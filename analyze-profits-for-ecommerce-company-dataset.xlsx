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aaf\OneDrive\Desktop\AnalyzeProfitsForEcommerceCompany\"/>
    </mc:Choice>
  </mc:AlternateContent>
  <xr:revisionPtr revIDLastSave="0" documentId="13_ncr:1_{140343D0-7811-493E-8D8E-B9815D3C973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Data" sheetId="1" r:id="rId1"/>
    <sheet name="P&amp;L" sheetId="2" r:id="rId2"/>
    <sheet name="Products" sheetId="3" r:id="rId3"/>
    <sheet name="Charts" sheetId="5" r:id="rId4"/>
    <sheet name="Analysis" sheetId="7" r:id="rId5"/>
    <sheet name="More Analysis" sheetId="6" r:id="rId6"/>
  </sheets>
  <definedNames>
    <definedName name="_xlnm._FilterDatabase" localSheetId="0" hidden="1">Data!$A$1:$I$5266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7" i="1"/>
  <c r="C17" i="3"/>
  <c r="B17" i="3"/>
  <c r="C16" i="3"/>
  <c r="B14" i="3"/>
  <c r="C14" i="3"/>
  <c r="C32" i="3"/>
  <c r="B32" i="3"/>
  <c r="B34" i="3"/>
  <c r="C34" i="3"/>
  <c r="B33" i="3"/>
  <c r="C33" i="3"/>
  <c r="D32" i="3" l="1"/>
  <c r="D33" i="3"/>
  <c r="D34" i="3"/>
  <c r="D17" i="3"/>
  <c r="E17" i="3" s="1"/>
  <c r="D14" i="3"/>
  <c r="E14" i="3" s="1"/>
  <c r="B15" i="3"/>
  <c r="C15" i="3"/>
  <c r="D15" i="3"/>
  <c r="E15" i="3" s="1"/>
  <c r="B16" i="3"/>
  <c r="D16" i="3"/>
  <c r="E16" i="3" s="1"/>
  <c r="E5231" i="1"/>
  <c r="E5227" i="1"/>
  <c r="E5223" i="1"/>
  <c r="E5219" i="1"/>
  <c r="E5216" i="1"/>
  <c r="E5212" i="1"/>
  <c r="E5195" i="1"/>
  <c r="E5191" i="1"/>
  <c r="E5136" i="1"/>
  <c r="E5132" i="1"/>
  <c r="E5108" i="1"/>
  <c r="E5104" i="1"/>
  <c r="E5088" i="1"/>
  <c r="E5084" i="1"/>
  <c r="E5065" i="1"/>
  <c r="E5061" i="1"/>
  <c r="E5029" i="1"/>
  <c r="E5025" i="1"/>
  <c r="E5021" i="1"/>
  <c r="E5017" i="1"/>
  <c r="E4993" i="1"/>
  <c r="E4989" i="1"/>
  <c r="E4971" i="1"/>
  <c r="E4967" i="1"/>
  <c r="E4950" i="1"/>
  <c r="E4946" i="1"/>
  <c r="E4877" i="1"/>
  <c r="E4873" i="1"/>
  <c r="E4769" i="1"/>
  <c r="E4765" i="1"/>
  <c r="E4749" i="1"/>
  <c r="E4745" i="1"/>
  <c r="E4741" i="1"/>
  <c r="E4737" i="1"/>
  <c r="E4734" i="1"/>
  <c r="E4730" i="1"/>
  <c r="E4720" i="1"/>
  <c r="E4716" i="1"/>
  <c r="E4675" i="1"/>
  <c r="E4671" i="1"/>
  <c r="E4654" i="1"/>
  <c r="E4650" i="1"/>
  <c r="E4603" i="1"/>
  <c r="E4599" i="1"/>
  <c r="E4573" i="1"/>
  <c r="E4569" i="1"/>
  <c r="E4546" i="1"/>
  <c r="E4542" i="1"/>
  <c r="E4532" i="1"/>
  <c r="E4528" i="1"/>
  <c r="E4496" i="1"/>
  <c r="E4491" i="1"/>
  <c r="E4489" i="1"/>
  <c r="E4485" i="1"/>
  <c r="E4466" i="1"/>
  <c r="E4462" i="1"/>
  <c r="E4460" i="1"/>
  <c r="E4456" i="1"/>
  <c r="E4424" i="1"/>
  <c r="E4420" i="1"/>
  <c r="E4417" i="1"/>
  <c r="E4413" i="1"/>
  <c r="E4381" i="1"/>
  <c r="E4377" i="1"/>
  <c r="E4358" i="1"/>
  <c r="E4354" i="1"/>
  <c r="E4323" i="1"/>
  <c r="E4319" i="1"/>
  <c r="E4250" i="1"/>
  <c r="E4246" i="1"/>
  <c r="E4208" i="1"/>
  <c r="E4204" i="1"/>
  <c r="E4202" i="1"/>
  <c r="E4198" i="1"/>
  <c r="E4071" i="1"/>
  <c r="E4067" i="1"/>
  <c r="E4057" i="1"/>
  <c r="E4053" i="1"/>
  <c r="E4014" i="1"/>
  <c r="E4010" i="1"/>
  <c r="E3970" i="1"/>
  <c r="E3966" i="1"/>
  <c r="E3940" i="1"/>
  <c r="E3936" i="1"/>
  <c r="E3877" i="1"/>
  <c r="E3873" i="1"/>
  <c r="E3847" i="1"/>
  <c r="E3843" i="1"/>
  <c r="E3819" i="1"/>
  <c r="E3815" i="1"/>
  <c r="E3732" i="1"/>
  <c r="E3728" i="1"/>
  <c r="E3724" i="1"/>
  <c r="E3720" i="1"/>
  <c r="E3653" i="1"/>
  <c r="E3649" i="1"/>
  <c r="E3647" i="1"/>
  <c r="E3643" i="1"/>
  <c r="E3633" i="1"/>
  <c r="E3629" i="1"/>
  <c r="E3575" i="1"/>
  <c r="E3571" i="1"/>
  <c r="E3559" i="1"/>
  <c r="E3555" i="1"/>
  <c r="E3539" i="1"/>
  <c r="E3535" i="1"/>
  <c r="E3495" i="1"/>
  <c r="E3491" i="1"/>
  <c r="E3402" i="1"/>
  <c r="E3398" i="1"/>
  <c r="E3308" i="1"/>
  <c r="E3304" i="1"/>
  <c r="E3293" i="1"/>
  <c r="E3289" i="1"/>
  <c r="E3256" i="1"/>
  <c r="E3252" i="1"/>
  <c r="E3207" i="1"/>
  <c r="E3203" i="1"/>
  <c r="E3162" i="1"/>
  <c r="E3158" i="1"/>
  <c r="E3127" i="1"/>
  <c r="E3123" i="1"/>
  <c r="E3093" i="1"/>
  <c r="E3089" i="1"/>
  <c r="E3061" i="1"/>
  <c r="E3057" i="1"/>
  <c r="E3055" i="1"/>
  <c r="E3051" i="1"/>
  <c r="E3040" i="1"/>
  <c r="E3036" i="1"/>
  <c r="E2970" i="1"/>
  <c r="E2965" i="1"/>
  <c r="E2883" i="1"/>
  <c r="E2879" i="1"/>
  <c r="E2876" i="1"/>
  <c r="E2872" i="1"/>
  <c r="E2839" i="1"/>
  <c r="E2838" i="1"/>
  <c r="E2835" i="1"/>
  <c r="E2834" i="1"/>
  <c r="E2831" i="1"/>
  <c r="E2827" i="1"/>
  <c r="E2810" i="1"/>
  <c r="E2806" i="1"/>
  <c r="E2796" i="1"/>
  <c r="E2792" i="1"/>
  <c r="E2745" i="1"/>
  <c r="E2740" i="1"/>
  <c r="E2730" i="1"/>
  <c r="E2726" i="1"/>
  <c r="E2723" i="1"/>
  <c r="E2719" i="1"/>
  <c r="E2715" i="1"/>
  <c r="E2711" i="1"/>
  <c r="E2487" i="1"/>
  <c r="E2483" i="1"/>
  <c r="E2479" i="1"/>
  <c r="E2475" i="1"/>
  <c r="E2422" i="1"/>
  <c r="E2418" i="1"/>
  <c r="E2414" i="1"/>
  <c r="E2410" i="1"/>
  <c r="E2350" i="1"/>
  <c r="E2346" i="1"/>
  <c r="E2329" i="1"/>
  <c r="E2325" i="1"/>
  <c r="E2299" i="1"/>
  <c r="E2295" i="1"/>
  <c r="E2264" i="1"/>
  <c r="E2260" i="1"/>
  <c r="E2083" i="1"/>
  <c r="E2078" i="1"/>
  <c r="E1910" i="1"/>
  <c r="E1906" i="1"/>
  <c r="E1810" i="1"/>
  <c r="E1806" i="1"/>
  <c r="E1750" i="1"/>
  <c r="E1746" i="1"/>
  <c r="E1681" i="1"/>
  <c r="E1677" i="1"/>
  <c r="E1621" i="1"/>
  <c r="E1617" i="1"/>
  <c r="E1601" i="1"/>
  <c r="E1597" i="1"/>
  <c r="E1565" i="1"/>
  <c r="E1561" i="1"/>
  <c r="E1520" i="1"/>
  <c r="E1516" i="1"/>
  <c r="E1486" i="1"/>
  <c r="E1482" i="1"/>
  <c r="E1377" i="1"/>
  <c r="E1373" i="1"/>
  <c r="E1370" i="1"/>
  <c r="E1366" i="1"/>
  <c r="E1340" i="1"/>
  <c r="E1336" i="1"/>
  <c r="E1334" i="1"/>
  <c r="E1330" i="1"/>
  <c r="E1305" i="1"/>
  <c r="E1301" i="1"/>
  <c r="E1248" i="1"/>
  <c r="E1244" i="1"/>
  <c r="E1181" i="1"/>
  <c r="E1177" i="1"/>
  <c r="E1176" i="1"/>
  <c r="E1172" i="1"/>
  <c r="E1119" i="1"/>
  <c r="E1115" i="1"/>
  <c r="E1103" i="1"/>
  <c r="E1099" i="1"/>
  <c r="E1082" i="1"/>
  <c r="E1078" i="1"/>
  <c r="E1052" i="1"/>
  <c r="E1048" i="1"/>
  <c r="E1038" i="1"/>
  <c r="E1034" i="1"/>
  <c r="E880" i="1"/>
  <c r="E876" i="1"/>
  <c r="E836" i="1"/>
  <c r="E832" i="1"/>
  <c r="E816" i="1"/>
  <c r="E812" i="1"/>
  <c r="E781" i="1"/>
  <c r="E777" i="1"/>
  <c r="E657" i="1"/>
  <c r="E653" i="1"/>
  <c r="E579" i="1"/>
  <c r="E575" i="1"/>
  <c r="E426" i="1"/>
  <c r="E422" i="1"/>
  <c r="E383" i="1"/>
  <c r="E379" i="1"/>
  <c r="E363" i="1"/>
  <c r="E359" i="1"/>
  <c r="E303" i="1"/>
  <c r="E299" i="1"/>
  <c r="E254" i="1"/>
  <c r="E250" i="1"/>
  <c r="E188" i="1"/>
  <c r="E184" i="1"/>
  <c r="E67" i="1"/>
  <c r="E6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2" i="1"/>
  <c r="G3" i="1"/>
  <c r="G4" i="1"/>
  <c r="G5" i="1"/>
  <c r="G7" i="1"/>
  <c r="G8" i="1"/>
  <c r="G9" i="1"/>
  <c r="G11" i="1"/>
  <c r="G12" i="1"/>
  <c r="G13" i="1"/>
  <c r="G15" i="1"/>
  <c r="G16" i="1"/>
  <c r="G17" i="1"/>
  <c r="G18" i="1"/>
  <c r="G19" i="1"/>
  <c r="G20" i="1"/>
  <c r="G22" i="1"/>
  <c r="G23" i="1"/>
  <c r="G24" i="1"/>
  <c r="G25" i="1"/>
  <c r="G26" i="1"/>
  <c r="G27" i="1"/>
  <c r="G29" i="1"/>
  <c r="G30" i="1"/>
  <c r="G31" i="1"/>
  <c r="G32" i="1"/>
  <c r="G33" i="1"/>
  <c r="G34" i="1"/>
  <c r="G36" i="1"/>
  <c r="G37" i="1"/>
  <c r="G38" i="1"/>
  <c r="G40" i="1"/>
  <c r="G41" i="1"/>
  <c r="G42" i="1"/>
  <c r="G44" i="1"/>
  <c r="G45" i="1"/>
  <c r="G46" i="1"/>
  <c r="G47" i="1"/>
  <c r="G48" i="1"/>
  <c r="G49" i="1"/>
  <c r="G51" i="1"/>
  <c r="G52" i="1"/>
  <c r="G53" i="1"/>
  <c r="G54" i="1"/>
  <c r="G55" i="1"/>
  <c r="G56" i="1"/>
  <c r="G58" i="1"/>
  <c r="G59" i="1"/>
  <c r="G60" i="1"/>
  <c r="G61" i="1"/>
  <c r="G62" i="1"/>
  <c r="G63" i="1"/>
  <c r="G65" i="1"/>
  <c r="G66" i="1"/>
  <c r="G67" i="1"/>
  <c r="G68" i="1"/>
  <c r="G69" i="1"/>
  <c r="G70" i="1"/>
  <c r="G72" i="1"/>
  <c r="G73" i="1"/>
  <c r="G74" i="1"/>
  <c r="G75" i="1"/>
  <c r="G76" i="1"/>
  <c r="G77" i="1"/>
  <c r="G79" i="1"/>
  <c r="G80" i="1"/>
  <c r="G81" i="1"/>
  <c r="G82" i="1"/>
  <c r="G83" i="1"/>
  <c r="G84" i="1"/>
  <c r="G86" i="1"/>
  <c r="G87" i="1"/>
  <c r="G88" i="1"/>
  <c r="G89" i="1"/>
  <c r="G90" i="1"/>
  <c r="G91" i="1"/>
  <c r="G93" i="1"/>
  <c r="G94" i="1"/>
  <c r="G95" i="1"/>
  <c r="G96" i="1"/>
  <c r="G97" i="1"/>
  <c r="G98" i="1"/>
  <c r="G100" i="1"/>
  <c r="G101" i="1"/>
  <c r="G102" i="1"/>
  <c r="G103" i="1"/>
  <c r="G104" i="1"/>
  <c r="G105" i="1"/>
  <c r="G108" i="1"/>
  <c r="G109" i="1"/>
  <c r="G110" i="1"/>
  <c r="G112" i="1"/>
  <c r="G113" i="1"/>
  <c r="G114" i="1"/>
  <c r="G116" i="1"/>
  <c r="G117" i="1"/>
  <c r="G118" i="1"/>
  <c r="G119" i="1"/>
  <c r="G120" i="1"/>
  <c r="G121" i="1"/>
  <c r="G123" i="1"/>
  <c r="G124" i="1"/>
  <c r="G125" i="1"/>
  <c r="G126" i="1"/>
  <c r="G127" i="1"/>
  <c r="G128" i="1"/>
  <c r="G130" i="1"/>
  <c r="G131" i="1"/>
  <c r="G132" i="1"/>
  <c r="G133" i="1"/>
  <c r="G134" i="1"/>
  <c r="G135" i="1"/>
  <c r="G137" i="1"/>
  <c r="G138" i="1"/>
  <c r="G139" i="1"/>
  <c r="G141" i="1"/>
  <c r="G142" i="1"/>
  <c r="G143" i="1"/>
  <c r="G145" i="1"/>
  <c r="G146" i="1"/>
  <c r="G147" i="1"/>
  <c r="G148" i="1"/>
  <c r="G149" i="1"/>
  <c r="G150" i="1"/>
  <c r="G152" i="1"/>
  <c r="G153" i="1"/>
  <c r="G154" i="1"/>
  <c r="G155" i="1"/>
  <c r="G156" i="1"/>
  <c r="G157" i="1"/>
  <c r="G159" i="1"/>
  <c r="G160" i="1"/>
  <c r="G161" i="1"/>
  <c r="G162" i="1"/>
  <c r="G163" i="1"/>
  <c r="G164" i="1"/>
  <c r="G166" i="1"/>
  <c r="G167" i="1"/>
  <c r="G168" i="1"/>
  <c r="G169" i="1"/>
  <c r="G170" i="1"/>
  <c r="G171" i="1"/>
  <c r="G173" i="1"/>
  <c r="G174" i="1"/>
  <c r="G175" i="1"/>
  <c r="G176" i="1"/>
  <c r="G177" i="1"/>
  <c r="G178" i="1"/>
  <c r="G180" i="1"/>
  <c r="G181" i="1"/>
  <c r="G182" i="1"/>
  <c r="G183" i="1"/>
  <c r="G184" i="1"/>
  <c r="G185" i="1"/>
  <c r="G187" i="1"/>
  <c r="G188" i="1"/>
  <c r="G189" i="1"/>
  <c r="G190" i="1"/>
  <c r="G191" i="1"/>
  <c r="G192" i="1"/>
  <c r="G194" i="1"/>
  <c r="G195" i="1"/>
  <c r="G196" i="1"/>
  <c r="G197" i="1"/>
  <c r="G198" i="1"/>
  <c r="G199" i="1"/>
  <c r="G201" i="1"/>
  <c r="G202" i="1"/>
  <c r="G203" i="1"/>
  <c r="G204" i="1"/>
  <c r="G205" i="1"/>
  <c r="G206" i="1"/>
  <c r="G208" i="1"/>
  <c r="G209" i="1"/>
  <c r="G210" i="1"/>
  <c r="G211" i="1"/>
  <c r="G212" i="1"/>
  <c r="G213" i="1"/>
  <c r="G215" i="1"/>
  <c r="G216" i="1"/>
  <c r="G217" i="1"/>
  <c r="G218" i="1"/>
  <c r="G219" i="1"/>
  <c r="G220" i="1"/>
  <c r="G222" i="1"/>
  <c r="G223" i="1"/>
  <c r="G224" i="1"/>
  <c r="G226" i="1"/>
  <c r="G227" i="1"/>
  <c r="G228" i="1"/>
  <c r="G230" i="1"/>
  <c r="G231" i="1"/>
  <c r="G232" i="1"/>
  <c r="G234" i="1"/>
  <c r="G235" i="1"/>
  <c r="G236" i="1"/>
  <c r="G238" i="1"/>
  <c r="G239" i="1"/>
  <c r="G240" i="1"/>
  <c r="G242" i="1"/>
  <c r="G243" i="1"/>
  <c r="G244" i="1"/>
  <c r="G246" i="1"/>
  <c r="G247" i="1"/>
  <c r="G248" i="1"/>
  <c r="G249" i="1"/>
  <c r="G250" i="1"/>
  <c r="G251" i="1"/>
  <c r="G253" i="1"/>
  <c r="G254" i="1"/>
  <c r="G255" i="1"/>
  <c r="G256" i="1"/>
  <c r="G257" i="1"/>
  <c r="G258" i="1"/>
  <c r="G260" i="1"/>
  <c r="G261" i="1"/>
  <c r="G262" i="1"/>
  <c r="G263" i="1"/>
  <c r="G264" i="1"/>
  <c r="G265" i="1"/>
  <c r="G267" i="1"/>
  <c r="G268" i="1"/>
  <c r="G269" i="1"/>
  <c r="G270" i="1"/>
  <c r="G271" i="1"/>
  <c r="G272" i="1"/>
  <c r="G274" i="1"/>
  <c r="G275" i="1"/>
  <c r="G276" i="1"/>
  <c r="G277" i="1"/>
  <c r="G278" i="1"/>
  <c r="G279" i="1"/>
  <c r="G281" i="1"/>
  <c r="G282" i="1"/>
  <c r="G283" i="1"/>
  <c r="G284" i="1"/>
  <c r="G285" i="1"/>
  <c r="G286" i="1"/>
  <c r="G288" i="1"/>
  <c r="G289" i="1"/>
  <c r="G290" i="1"/>
  <c r="G291" i="1"/>
  <c r="G292" i="1"/>
  <c r="G293" i="1"/>
  <c r="G295" i="1"/>
  <c r="G296" i="1"/>
  <c r="G297" i="1"/>
  <c r="G298" i="1"/>
  <c r="G299" i="1"/>
  <c r="G300" i="1"/>
  <c r="G302" i="1"/>
  <c r="G303" i="1"/>
  <c r="G304" i="1"/>
  <c r="G305" i="1"/>
  <c r="G306" i="1"/>
  <c r="G307" i="1"/>
  <c r="G309" i="1"/>
  <c r="G310" i="1"/>
  <c r="G311" i="1"/>
  <c r="G312" i="1"/>
  <c r="G313" i="1"/>
  <c r="G314" i="1"/>
  <c r="G316" i="1"/>
  <c r="G317" i="1"/>
  <c r="G318" i="1"/>
  <c r="G319" i="1"/>
  <c r="G320" i="1"/>
  <c r="G321" i="1"/>
  <c r="G323" i="1"/>
  <c r="G324" i="1"/>
  <c r="G325" i="1"/>
  <c r="G326" i="1"/>
  <c r="G327" i="1"/>
  <c r="G328" i="1"/>
  <c r="G331" i="1"/>
  <c r="G332" i="1"/>
  <c r="G333" i="1"/>
  <c r="G335" i="1"/>
  <c r="G336" i="1"/>
  <c r="G337" i="1"/>
  <c r="G339" i="1"/>
  <c r="G340" i="1"/>
  <c r="G341" i="1"/>
  <c r="G343" i="1"/>
  <c r="G344" i="1"/>
  <c r="G345" i="1"/>
  <c r="G347" i="1"/>
  <c r="G348" i="1"/>
  <c r="G349" i="1"/>
  <c r="G350" i="1"/>
  <c r="G351" i="1"/>
  <c r="G352" i="1"/>
  <c r="G354" i="1"/>
  <c r="G355" i="1"/>
  <c r="G356" i="1"/>
  <c r="G357" i="1"/>
  <c r="G358" i="1"/>
  <c r="G359" i="1"/>
  <c r="G361" i="1"/>
  <c r="G362" i="1"/>
  <c r="G363" i="1"/>
  <c r="G364" i="1"/>
  <c r="G365" i="1"/>
  <c r="G366" i="1"/>
  <c r="G368" i="1"/>
  <c r="G369" i="1"/>
  <c r="G370" i="1"/>
  <c r="G371" i="1"/>
  <c r="G372" i="1"/>
  <c r="G373" i="1"/>
  <c r="G375" i="1"/>
  <c r="G376" i="1"/>
  <c r="G377" i="1"/>
  <c r="G378" i="1"/>
  <c r="G379" i="1"/>
  <c r="G380" i="1"/>
  <c r="G382" i="1"/>
  <c r="G383" i="1"/>
  <c r="G384" i="1"/>
  <c r="G385" i="1"/>
  <c r="G386" i="1"/>
  <c r="G387" i="1"/>
  <c r="G389" i="1"/>
  <c r="G390" i="1"/>
  <c r="G391" i="1"/>
  <c r="G392" i="1"/>
  <c r="G393" i="1"/>
  <c r="G394" i="1"/>
  <c r="G396" i="1"/>
  <c r="G397" i="1"/>
  <c r="G398" i="1"/>
  <c r="G399" i="1"/>
  <c r="G400" i="1"/>
  <c r="G401" i="1"/>
  <c r="G403" i="1"/>
  <c r="G404" i="1"/>
  <c r="G405" i="1"/>
  <c r="G406" i="1"/>
  <c r="G407" i="1"/>
  <c r="G408" i="1"/>
  <c r="G410" i="1"/>
  <c r="G411" i="1"/>
  <c r="G412" i="1"/>
  <c r="G413" i="1"/>
  <c r="G414" i="1"/>
  <c r="G415" i="1"/>
  <c r="G417" i="1"/>
  <c r="G418" i="1"/>
  <c r="G419" i="1"/>
  <c r="G420" i="1"/>
  <c r="G421" i="1"/>
  <c r="G422" i="1"/>
  <c r="G424" i="1"/>
  <c r="G425" i="1"/>
  <c r="G426" i="1"/>
  <c r="G427" i="1"/>
  <c r="G428" i="1"/>
  <c r="G429" i="1"/>
  <c r="G431" i="1"/>
  <c r="G432" i="1"/>
  <c r="G433" i="1"/>
  <c r="G435" i="1"/>
  <c r="G436" i="1"/>
  <c r="G437" i="1"/>
  <c r="G439" i="1"/>
  <c r="G440" i="1"/>
  <c r="G441" i="1"/>
  <c r="G444" i="1"/>
  <c r="G445" i="1"/>
  <c r="G446" i="1"/>
  <c r="G448" i="1"/>
  <c r="G449" i="1"/>
  <c r="G450" i="1"/>
  <c r="G451" i="1"/>
  <c r="G452" i="1"/>
  <c r="G453" i="1"/>
  <c r="G455" i="1"/>
  <c r="G456" i="1"/>
  <c r="G457" i="1"/>
  <c r="G458" i="1"/>
  <c r="G459" i="1"/>
  <c r="G460" i="1"/>
  <c r="G462" i="1"/>
  <c r="G463" i="1"/>
  <c r="G464" i="1"/>
  <c r="G465" i="1"/>
  <c r="G466" i="1"/>
  <c r="G467" i="1"/>
  <c r="G469" i="1"/>
  <c r="G470" i="1"/>
  <c r="G471" i="1"/>
  <c r="G472" i="1"/>
  <c r="G473" i="1"/>
  <c r="G474" i="1"/>
  <c r="G476" i="1"/>
  <c r="G477" i="1"/>
  <c r="G478" i="1"/>
  <c r="G479" i="1"/>
  <c r="G480" i="1"/>
  <c r="G481" i="1"/>
  <c r="G483" i="1"/>
  <c r="G484" i="1"/>
  <c r="G485" i="1"/>
  <c r="G486" i="1"/>
  <c r="G487" i="1"/>
  <c r="G488" i="1"/>
  <c r="G490" i="1"/>
  <c r="G491" i="1"/>
  <c r="G492" i="1"/>
  <c r="G493" i="1"/>
  <c r="G494" i="1"/>
  <c r="G495" i="1"/>
  <c r="G497" i="1"/>
  <c r="G498" i="1"/>
  <c r="G499" i="1"/>
  <c r="G500" i="1"/>
  <c r="G501" i="1"/>
  <c r="G502" i="1"/>
  <c r="G504" i="1"/>
  <c r="G505" i="1"/>
  <c r="G506" i="1"/>
  <c r="G507" i="1"/>
  <c r="G508" i="1"/>
  <c r="G509" i="1"/>
  <c r="G511" i="1"/>
  <c r="G512" i="1"/>
  <c r="G513" i="1"/>
  <c r="G514" i="1"/>
  <c r="G515" i="1"/>
  <c r="G516" i="1"/>
  <c r="G518" i="1"/>
  <c r="G519" i="1"/>
  <c r="G520" i="1"/>
  <c r="G521" i="1"/>
  <c r="G522" i="1"/>
  <c r="G523" i="1"/>
  <c r="G525" i="1"/>
  <c r="G526" i="1"/>
  <c r="G527" i="1"/>
  <c r="G528" i="1"/>
  <c r="G529" i="1"/>
  <c r="G530" i="1"/>
  <c r="G532" i="1"/>
  <c r="G533" i="1"/>
  <c r="G534" i="1"/>
  <c r="G535" i="1"/>
  <c r="G536" i="1"/>
  <c r="G537" i="1"/>
  <c r="G540" i="1"/>
  <c r="G541" i="1"/>
  <c r="G542" i="1"/>
  <c r="G545" i="1"/>
  <c r="G546" i="1"/>
  <c r="G547" i="1"/>
  <c r="G549" i="1"/>
  <c r="G550" i="1"/>
  <c r="G551" i="1"/>
  <c r="G552" i="1"/>
  <c r="G553" i="1"/>
  <c r="G554" i="1"/>
  <c r="G556" i="1"/>
  <c r="G557" i="1"/>
  <c r="G558" i="1"/>
  <c r="G559" i="1"/>
  <c r="G560" i="1"/>
  <c r="G561" i="1"/>
  <c r="G563" i="1"/>
  <c r="G564" i="1"/>
  <c r="G565" i="1"/>
  <c r="G566" i="1"/>
  <c r="G567" i="1"/>
  <c r="G568" i="1"/>
  <c r="G570" i="1"/>
  <c r="G571" i="1"/>
  <c r="G572" i="1"/>
  <c r="G573" i="1"/>
  <c r="G574" i="1"/>
  <c r="G575" i="1"/>
  <c r="G577" i="1"/>
  <c r="G578" i="1"/>
  <c r="G579" i="1"/>
  <c r="G580" i="1"/>
  <c r="G581" i="1"/>
  <c r="G582" i="1"/>
  <c r="G584" i="1"/>
  <c r="G585" i="1"/>
  <c r="G586" i="1"/>
  <c r="G587" i="1"/>
  <c r="G588" i="1"/>
  <c r="G589" i="1"/>
  <c r="G591" i="1"/>
  <c r="G592" i="1"/>
  <c r="G593" i="1"/>
  <c r="G594" i="1"/>
  <c r="G595" i="1"/>
  <c r="G596" i="1"/>
  <c r="G598" i="1"/>
  <c r="G599" i="1"/>
  <c r="G600" i="1"/>
  <c r="G601" i="1"/>
  <c r="G602" i="1"/>
  <c r="G603" i="1"/>
  <c r="G605" i="1"/>
  <c r="G606" i="1"/>
  <c r="G607" i="1"/>
  <c r="G608" i="1"/>
  <c r="G609" i="1"/>
  <c r="G610" i="1"/>
  <c r="G612" i="1"/>
  <c r="G613" i="1"/>
  <c r="G614" i="1"/>
  <c r="G615" i="1"/>
  <c r="G616" i="1"/>
  <c r="G617" i="1"/>
  <c r="G619" i="1"/>
  <c r="G620" i="1"/>
  <c r="G621" i="1"/>
  <c r="G622" i="1"/>
  <c r="G623" i="1"/>
  <c r="G624" i="1"/>
  <c r="G626" i="1"/>
  <c r="G627" i="1"/>
  <c r="G628" i="1"/>
  <c r="G629" i="1"/>
  <c r="G630" i="1"/>
  <c r="G631" i="1"/>
  <c r="G633" i="1"/>
  <c r="G634" i="1"/>
  <c r="G635" i="1"/>
  <c r="G636" i="1"/>
  <c r="G637" i="1"/>
  <c r="G638" i="1"/>
  <c r="G640" i="1"/>
  <c r="G641" i="1"/>
  <c r="G642" i="1"/>
  <c r="G644" i="1"/>
  <c r="G645" i="1"/>
  <c r="G646" i="1"/>
  <c r="G648" i="1"/>
  <c r="G649" i="1"/>
  <c r="G650" i="1"/>
  <c r="G651" i="1"/>
  <c r="G652" i="1"/>
  <c r="G653" i="1"/>
  <c r="G655" i="1"/>
  <c r="G656" i="1"/>
  <c r="G657" i="1"/>
  <c r="G659" i="1"/>
  <c r="G660" i="1"/>
  <c r="G661" i="1"/>
  <c r="G663" i="1"/>
  <c r="G664" i="1"/>
  <c r="G665" i="1"/>
  <c r="G667" i="1"/>
  <c r="G668" i="1"/>
  <c r="G669" i="1"/>
  <c r="G671" i="1"/>
  <c r="G672" i="1"/>
  <c r="G673" i="1"/>
  <c r="G674" i="1"/>
  <c r="G675" i="1"/>
  <c r="G676" i="1"/>
  <c r="G678" i="1"/>
  <c r="G679" i="1"/>
  <c r="G680" i="1"/>
  <c r="G681" i="1"/>
  <c r="G682" i="1"/>
  <c r="G683" i="1"/>
  <c r="G685" i="1"/>
  <c r="G686" i="1"/>
  <c r="G687" i="1"/>
  <c r="G688" i="1"/>
  <c r="G689" i="1"/>
  <c r="G690" i="1"/>
  <c r="G692" i="1"/>
  <c r="G693" i="1"/>
  <c r="G694" i="1"/>
  <c r="G695" i="1"/>
  <c r="G696" i="1"/>
  <c r="G697" i="1"/>
  <c r="G699" i="1"/>
  <c r="G700" i="1"/>
  <c r="G701" i="1"/>
  <c r="G702" i="1"/>
  <c r="G703" i="1"/>
  <c r="G704" i="1"/>
  <c r="G706" i="1"/>
  <c r="G707" i="1"/>
  <c r="G708" i="1"/>
  <c r="G709" i="1"/>
  <c r="G710" i="1"/>
  <c r="G711" i="1"/>
  <c r="G713" i="1"/>
  <c r="G714" i="1"/>
  <c r="G715" i="1"/>
  <c r="G716" i="1"/>
  <c r="G717" i="1"/>
  <c r="G718" i="1"/>
  <c r="G720" i="1"/>
  <c r="G721" i="1"/>
  <c r="G722" i="1"/>
  <c r="G723" i="1"/>
  <c r="G724" i="1"/>
  <c r="G725" i="1"/>
  <c r="G727" i="1"/>
  <c r="G728" i="1"/>
  <c r="G729" i="1"/>
  <c r="G730" i="1"/>
  <c r="G731" i="1"/>
  <c r="G732" i="1"/>
  <c r="G734" i="1"/>
  <c r="G735" i="1"/>
  <c r="G736" i="1"/>
  <c r="G737" i="1"/>
  <c r="G738" i="1"/>
  <c r="G739" i="1"/>
  <c r="G741" i="1"/>
  <c r="G742" i="1"/>
  <c r="G743" i="1"/>
  <c r="G745" i="1"/>
  <c r="G746" i="1"/>
  <c r="G747" i="1"/>
  <c r="G749" i="1"/>
  <c r="G750" i="1"/>
  <c r="G751" i="1"/>
  <c r="G752" i="1"/>
  <c r="G753" i="1"/>
  <c r="G754" i="1"/>
  <c r="G756" i="1"/>
  <c r="G757" i="1"/>
  <c r="G758" i="1"/>
  <c r="G759" i="1"/>
  <c r="G760" i="1"/>
  <c r="G761" i="1"/>
  <c r="G764" i="1"/>
  <c r="G765" i="1"/>
  <c r="G766" i="1"/>
  <c r="G768" i="1"/>
  <c r="G769" i="1"/>
  <c r="G770" i="1"/>
  <c r="G772" i="1"/>
  <c r="G773" i="1"/>
  <c r="G774" i="1"/>
  <c r="G775" i="1"/>
  <c r="G776" i="1"/>
  <c r="G777" i="1"/>
  <c r="G779" i="1"/>
  <c r="G780" i="1"/>
  <c r="G781" i="1"/>
  <c r="G782" i="1"/>
  <c r="G783" i="1"/>
  <c r="G784" i="1"/>
  <c r="G786" i="1"/>
  <c r="G787" i="1"/>
  <c r="G788" i="1"/>
  <c r="G789" i="1"/>
  <c r="G790" i="1"/>
  <c r="G791" i="1"/>
  <c r="G793" i="1"/>
  <c r="G794" i="1"/>
  <c r="G795" i="1"/>
  <c r="G796" i="1"/>
  <c r="G797" i="1"/>
  <c r="G798" i="1"/>
  <c r="G800" i="1"/>
  <c r="G801" i="1"/>
  <c r="G802" i="1"/>
  <c r="G803" i="1"/>
  <c r="G804" i="1"/>
  <c r="G805" i="1"/>
  <c r="G807" i="1"/>
  <c r="G808" i="1"/>
  <c r="G809" i="1"/>
  <c r="G810" i="1"/>
  <c r="G811" i="1"/>
  <c r="G812" i="1"/>
  <c r="G814" i="1"/>
  <c r="G815" i="1"/>
  <c r="G816" i="1"/>
  <c r="G817" i="1"/>
  <c r="G818" i="1"/>
  <c r="G819" i="1"/>
  <c r="G821" i="1"/>
  <c r="G822" i="1"/>
  <c r="G823" i="1"/>
  <c r="G824" i="1"/>
  <c r="G825" i="1"/>
  <c r="G826" i="1"/>
  <c r="G828" i="1"/>
  <c r="G829" i="1"/>
  <c r="G830" i="1"/>
  <c r="G831" i="1"/>
  <c r="G832" i="1"/>
  <c r="G833" i="1"/>
  <c r="G835" i="1"/>
  <c r="G836" i="1"/>
  <c r="G837" i="1"/>
  <c r="G838" i="1"/>
  <c r="G839" i="1"/>
  <c r="G840" i="1"/>
  <c r="G842" i="1"/>
  <c r="G843" i="1"/>
  <c r="G844" i="1"/>
  <c r="G846" i="1"/>
  <c r="G847" i="1"/>
  <c r="G848" i="1"/>
  <c r="G850" i="1"/>
  <c r="G851" i="1"/>
  <c r="G852" i="1"/>
  <c r="G853" i="1"/>
  <c r="G854" i="1"/>
  <c r="G855" i="1"/>
  <c r="G857" i="1"/>
  <c r="G858" i="1"/>
  <c r="G859" i="1"/>
  <c r="G860" i="1"/>
  <c r="G861" i="1"/>
  <c r="G862" i="1"/>
  <c r="G864" i="1"/>
  <c r="G865" i="1"/>
  <c r="G866" i="1"/>
  <c r="G867" i="1"/>
  <c r="G868" i="1"/>
  <c r="G869" i="1"/>
  <c r="G871" i="1"/>
  <c r="G872" i="1"/>
  <c r="G873" i="1"/>
  <c r="G875" i="1"/>
  <c r="G876" i="1"/>
  <c r="G877" i="1"/>
  <c r="G879" i="1"/>
  <c r="G880" i="1"/>
  <c r="G881" i="1"/>
  <c r="G883" i="1"/>
  <c r="G884" i="1"/>
  <c r="G885" i="1"/>
  <c r="G887" i="1"/>
  <c r="G888" i="1"/>
  <c r="G889" i="1"/>
  <c r="G890" i="1"/>
  <c r="G891" i="1"/>
  <c r="G892" i="1"/>
  <c r="G894" i="1"/>
  <c r="G895" i="1"/>
  <c r="G896" i="1"/>
  <c r="G897" i="1"/>
  <c r="G898" i="1"/>
  <c r="G899" i="1"/>
  <c r="G901" i="1"/>
  <c r="G902" i="1"/>
  <c r="G903" i="1"/>
  <c r="G904" i="1"/>
  <c r="G905" i="1"/>
  <c r="G906" i="1"/>
  <c r="G908" i="1"/>
  <c r="G909" i="1"/>
  <c r="G910" i="1"/>
  <c r="G911" i="1"/>
  <c r="G912" i="1"/>
  <c r="G913" i="1"/>
  <c r="G915" i="1"/>
  <c r="G916" i="1"/>
  <c r="G917" i="1"/>
  <c r="G918" i="1"/>
  <c r="G919" i="1"/>
  <c r="G920" i="1"/>
  <c r="G922" i="1"/>
  <c r="G923" i="1"/>
  <c r="G924" i="1"/>
  <c r="G925" i="1"/>
  <c r="G926" i="1"/>
  <c r="G927" i="1"/>
  <c r="G929" i="1"/>
  <c r="G930" i="1"/>
  <c r="G931" i="1"/>
  <c r="G932" i="1"/>
  <c r="G933" i="1"/>
  <c r="G934" i="1"/>
  <c r="G936" i="1"/>
  <c r="G937" i="1"/>
  <c r="G938" i="1"/>
  <c r="G939" i="1"/>
  <c r="G940" i="1"/>
  <c r="G941" i="1"/>
  <c r="G943" i="1"/>
  <c r="G944" i="1"/>
  <c r="G945" i="1"/>
  <c r="G947" i="1"/>
  <c r="G948" i="1"/>
  <c r="G949" i="1"/>
  <c r="G951" i="1"/>
  <c r="G952" i="1"/>
  <c r="G953" i="1"/>
  <c r="G954" i="1"/>
  <c r="G955" i="1"/>
  <c r="G956" i="1"/>
  <c r="G958" i="1"/>
  <c r="G959" i="1"/>
  <c r="G960" i="1"/>
  <c r="G961" i="1"/>
  <c r="G962" i="1"/>
  <c r="G963" i="1"/>
  <c r="G965" i="1"/>
  <c r="G966" i="1"/>
  <c r="G967" i="1"/>
  <c r="G968" i="1"/>
  <c r="G969" i="1"/>
  <c r="G970" i="1"/>
  <c r="G972" i="1"/>
  <c r="G973" i="1"/>
  <c r="G974" i="1"/>
  <c r="G975" i="1"/>
  <c r="G976" i="1"/>
  <c r="G977" i="1"/>
  <c r="G980" i="1"/>
  <c r="G981" i="1"/>
  <c r="G982" i="1"/>
  <c r="G984" i="1"/>
  <c r="G985" i="1"/>
  <c r="G986" i="1"/>
  <c r="G988" i="1"/>
  <c r="G989" i="1"/>
  <c r="G990" i="1"/>
  <c r="G991" i="1"/>
  <c r="G992" i="1"/>
  <c r="G993" i="1"/>
  <c r="G995" i="1"/>
  <c r="G996" i="1"/>
  <c r="G997" i="1"/>
  <c r="G998" i="1"/>
  <c r="G999" i="1"/>
  <c r="G1000" i="1"/>
  <c r="G1002" i="1"/>
  <c r="G1003" i="1"/>
  <c r="G1004" i="1"/>
  <c r="G1005" i="1"/>
  <c r="G1006" i="1"/>
  <c r="G1007" i="1"/>
  <c r="G1009" i="1"/>
  <c r="G1010" i="1"/>
  <c r="G1011" i="1"/>
  <c r="G1012" i="1"/>
  <c r="G1013" i="1"/>
  <c r="G1014" i="1"/>
  <c r="G1016" i="1"/>
  <c r="G1017" i="1"/>
  <c r="G1018" i="1"/>
  <c r="G1019" i="1"/>
  <c r="G1020" i="1"/>
  <c r="G1021" i="1"/>
  <c r="G1023" i="1"/>
  <c r="G1024" i="1"/>
  <c r="G1025" i="1"/>
  <c r="G1026" i="1"/>
  <c r="G1027" i="1"/>
  <c r="G1028" i="1"/>
  <c r="G1030" i="1"/>
  <c r="G1031" i="1"/>
  <c r="G1032" i="1"/>
  <c r="G1033" i="1"/>
  <c r="G1034" i="1"/>
  <c r="G1035" i="1"/>
  <c r="G1037" i="1"/>
  <c r="G1038" i="1"/>
  <c r="G1039" i="1"/>
  <c r="G1040" i="1"/>
  <c r="G1041" i="1"/>
  <c r="G1042" i="1"/>
  <c r="G1044" i="1"/>
  <c r="G1045" i="1"/>
  <c r="G1046" i="1"/>
  <c r="G1048" i="1"/>
  <c r="G1049" i="1"/>
  <c r="G1050" i="1"/>
  <c r="G1052" i="1"/>
  <c r="G1053" i="1"/>
  <c r="G1054" i="1"/>
  <c r="G1055" i="1"/>
  <c r="G1056" i="1"/>
  <c r="G1057" i="1"/>
  <c r="G1059" i="1"/>
  <c r="G1060" i="1"/>
  <c r="G1061" i="1"/>
  <c r="G1062" i="1"/>
  <c r="G1063" i="1"/>
  <c r="G1064" i="1"/>
  <c r="G1066" i="1"/>
  <c r="G1067" i="1"/>
  <c r="G1068" i="1"/>
  <c r="G1069" i="1"/>
  <c r="G1070" i="1"/>
  <c r="G1071" i="1"/>
  <c r="G1073" i="1"/>
  <c r="G1074" i="1"/>
  <c r="G1075" i="1"/>
  <c r="G1076" i="1"/>
  <c r="G1077" i="1"/>
  <c r="G1078" i="1"/>
  <c r="G1080" i="1"/>
  <c r="G1081" i="1"/>
  <c r="G1082" i="1"/>
  <c r="G1083" i="1"/>
  <c r="G1084" i="1"/>
  <c r="G1085" i="1"/>
  <c r="G1087" i="1"/>
  <c r="G1088" i="1"/>
  <c r="G1089" i="1"/>
  <c r="G1090" i="1"/>
  <c r="G1091" i="1"/>
  <c r="G1092" i="1"/>
  <c r="G1094" i="1"/>
  <c r="G1095" i="1"/>
  <c r="G1096" i="1"/>
  <c r="G1098" i="1"/>
  <c r="G1099" i="1"/>
  <c r="G1100" i="1"/>
  <c r="G1102" i="1"/>
  <c r="G1103" i="1"/>
  <c r="G1104" i="1"/>
  <c r="G1106" i="1"/>
  <c r="G1107" i="1"/>
  <c r="G1108" i="1"/>
  <c r="G1110" i="1"/>
  <c r="G1111" i="1"/>
  <c r="G1112" i="1"/>
  <c r="G1113" i="1"/>
  <c r="G1114" i="1"/>
  <c r="G1115" i="1"/>
  <c r="G1117" i="1"/>
  <c r="G1118" i="1"/>
  <c r="G1119" i="1"/>
  <c r="G1120" i="1"/>
  <c r="G1121" i="1"/>
  <c r="G1122" i="1"/>
  <c r="G1124" i="1"/>
  <c r="G1125" i="1"/>
  <c r="G1126" i="1"/>
  <c r="G1127" i="1"/>
  <c r="G1128" i="1"/>
  <c r="G1129" i="1"/>
  <c r="G1131" i="1"/>
  <c r="G1132" i="1"/>
  <c r="G1133" i="1"/>
  <c r="G1134" i="1"/>
  <c r="G1135" i="1"/>
  <c r="G1136" i="1"/>
  <c r="G1138" i="1"/>
  <c r="G1139" i="1"/>
  <c r="G1140" i="1"/>
  <c r="G1141" i="1"/>
  <c r="G1142" i="1"/>
  <c r="G1143" i="1"/>
  <c r="G1145" i="1"/>
  <c r="G1146" i="1"/>
  <c r="G1147" i="1"/>
  <c r="G1149" i="1"/>
  <c r="G1150" i="1"/>
  <c r="G1151" i="1"/>
  <c r="G1153" i="1"/>
  <c r="G1154" i="1"/>
  <c r="G1155" i="1"/>
  <c r="G1156" i="1"/>
  <c r="G1157" i="1"/>
  <c r="G1158" i="1"/>
  <c r="G1160" i="1"/>
  <c r="G1161" i="1"/>
  <c r="G1162" i="1"/>
  <c r="G1163" i="1"/>
  <c r="G1164" i="1"/>
  <c r="G1165" i="1"/>
  <c r="G1167" i="1"/>
  <c r="G1168" i="1"/>
  <c r="G1169" i="1"/>
  <c r="G1170" i="1"/>
  <c r="G1171" i="1"/>
  <c r="G1172" i="1"/>
  <c r="G1174" i="1"/>
  <c r="G1175" i="1"/>
  <c r="G1176" i="1"/>
  <c r="G1177" i="1"/>
  <c r="G1178" i="1"/>
  <c r="G1179" i="1"/>
  <c r="G1181" i="1"/>
  <c r="G1182" i="1"/>
  <c r="G1183" i="1"/>
  <c r="G1184" i="1"/>
  <c r="G1185" i="1"/>
  <c r="G1186" i="1"/>
  <c r="G1188" i="1"/>
  <c r="G1189" i="1"/>
  <c r="G1190" i="1"/>
  <c r="G1191" i="1"/>
  <c r="G1192" i="1"/>
  <c r="G1193" i="1"/>
  <c r="G1195" i="1"/>
  <c r="G1196" i="1"/>
  <c r="G1197" i="1"/>
  <c r="G1198" i="1"/>
  <c r="G1199" i="1"/>
  <c r="G1200" i="1"/>
  <c r="G1203" i="1"/>
  <c r="G1204" i="1"/>
  <c r="G1205" i="1"/>
  <c r="G1207" i="1"/>
  <c r="G1208" i="1"/>
  <c r="G1209" i="1"/>
  <c r="G1211" i="1"/>
  <c r="G1212" i="1"/>
  <c r="G1213" i="1"/>
  <c r="G1214" i="1"/>
  <c r="G1215" i="1"/>
  <c r="G1216" i="1"/>
  <c r="G1218" i="1"/>
  <c r="G1219" i="1"/>
  <c r="G1220" i="1"/>
  <c r="G1221" i="1"/>
  <c r="G1222" i="1"/>
  <c r="G1223" i="1"/>
  <c r="G1225" i="1"/>
  <c r="G1226" i="1"/>
  <c r="G1227" i="1"/>
  <c r="G1228" i="1"/>
  <c r="G1229" i="1"/>
  <c r="G1230" i="1"/>
  <c r="G1232" i="1"/>
  <c r="G1233" i="1"/>
  <c r="G1234" i="1"/>
  <c r="G1235" i="1"/>
  <c r="G1236" i="1"/>
  <c r="G1237" i="1"/>
  <c r="G1239" i="1"/>
  <c r="G1240" i="1"/>
  <c r="G1241" i="1"/>
  <c r="G1242" i="1"/>
  <c r="G1243" i="1"/>
  <c r="G1244" i="1"/>
  <c r="G1246" i="1"/>
  <c r="G1247" i="1"/>
  <c r="G1248" i="1"/>
  <c r="G1250" i="1"/>
  <c r="G1251" i="1"/>
  <c r="G1252" i="1"/>
  <c r="G1254" i="1"/>
  <c r="G1255" i="1"/>
  <c r="G1256" i="1"/>
  <c r="G1257" i="1"/>
  <c r="G1258" i="1"/>
  <c r="G1259" i="1"/>
  <c r="G1261" i="1"/>
  <c r="G1262" i="1"/>
  <c r="G1263" i="1"/>
  <c r="G1264" i="1"/>
  <c r="G1265" i="1"/>
  <c r="G1266" i="1"/>
  <c r="G1268" i="1"/>
  <c r="G1269" i="1"/>
  <c r="G1270" i="1"/>
  <c r="G1271" i="1"/>
  <c r="G1272" i="1"/>
  <c r="G1273" i="1"/>
  <c r="G1275" i="1"/>
  <c r="G1276" i="1"/>
  <c r="G1277" i="1"/>
  <c r="G1278" i="1"/>
  <c r="G1279" i="1"/>
  <c r="G1280" i="1"/>
  <c r="G1282" i="1"/>
  <c r="G1283" i="1"/>
  <c r="G1284" i="1"/>
  <c r="G1285" i="1"/>
  <c r="G1286" i="1"/>
  <c r="G1287" i="1"/>
  <c r="G1289" i="1"/>
  <c r="G1290" i="1"/>
  <c r="G1291" i="1"/>
  <c r="G1292" i="1"/>
  <c r="G1293" i="1"/>
  <c r="G1294" i="1"/>
  <c r="G1296" i="1"/>
  <c r="G1297" i="1"/>
  <c r="G1298" i="1"/>
  <c r="G1299" i="1"/>
  <c r="G1300" i="1"/>
  <c r="G1301" i="1"/>
  <c r="G1303" i="1"/>
  <c r="G1304" i="1"/>
  <c r="G1305" i="1"/>
  <c r="G1306" i="1"/>
  <c r="G1307" i="1"/>
  <c r="G1308" i="1"/>
  <c r="G1310" i="1"/>
  <c r="G1311" i="1"/>
  <c r="G1312" i="1"/>
  <c r="G1314" i="1"/>
  <c r="G1315" i="1"/>
  <c r="G1316" i="1"/>
  <c r="G1318" i="1"/>
  <c r="G1319" i="1"/>
  <c r="G1320" i="1"/>
  <c r="G1322" i="1"/>
  <c r="G1323" i="1"/>
  <c r="G1324" i="1"/>
  <c r="G1326" i="1"/>
  <c r="G1327" i="1"/>
  <c r="G1328" i="1"/>
  <c r="G1329" i="1"/>
  <c r="G1330" i="1"/>
  <c r="G1331" i="1"/>
  <c r="G1333" i="1"/>
  <c r="G1334" i="1"/>
  <c r="G1335" i="1"/>
  <c r="G1336" i="1"/>
  <c r="G1337" i="1"/>
  <c r="G1338" i="1"/>
  <c r="G1340" i="1"/>
  <c r="G1341" i="1"/>
  <c r="G1342" i="1"/>
  <c r="G1343" i="1"/>
  <c r="G1344" i="1"/>
  <c r="G1345" i="1"/>
  <c r="G1347" i="1"/>
  <c r="G1348" i="1"/>
  <c r="G1349" i="1"/>
  <c r="G1351" i="1"/>
  <c r="G1352" i="1"/>
  <c r="G1353" i="1"/>
  <c r="G1355" i="1"/>
  <c r="G1356" i="1"/>
  <c r="G1357" i="1"/>
  <c r="G1358" i="1"/>
  <c r="G1359" i="1"/>
  <c r="G1360" i="1"/>
  <c r="G1362" i="1"/>
  <c r="G1363" i="1"/>
  <c r="G1364" i="1"/>
  <c r="G1365" i="1"/>
  <c r="G1366" i="1"/>
  <c r="G1367" i="1"/>
  <c r="G1369" i="1"/>
  <c r="G1370" i="1"/>
  <c r="G1371" i="1"/>
  <c r="G1372" i="1"/>
  <c r="G1373" i="1"/>
  <c r="G1374" i="1"/>
  <c r="G1376" i="1"/>
  <c r="G1377" i="1"/>
  <c r="G1378" i="1"/>
  <c r="G1379" i="1"/>
  <c r="G1380" i="1"/>
  <c r="G1381" i="1"/>
  <c r="G1383" i="1"/>
  <c r="G1384" i="1"/>
  <c r="G1385" i="1"/>
  <c r="G1386" i="1"/>
  <c r="G1387" i="1"/>
  <c r="G1388" i="1"/>
  <c r="G1390" i="1"/>
  <c r="G1391" i="1"/>
  <c r="G1392" i="1"/>
  <c r="G1393" i="1"/>
  <c r="G1394" i="1"/>
  <c r="G1395" i="1"/>
  <c r="G1397" i="1"/>
  <c r="G1398" i="1"/>
  <c r="G1399" i="1"/>
  <c r="G1400" i="1"/>
  <c r="G1401" i="1"/>
  <c r="G1402" i="1"/>
  <c r="G1404" i="1"/>
  <c r="G1405" i="1"/>
  <c r="G1406" i="1"/>
  <c r="G1407" i="1"/>
  <c r="G1408" i="1"/>
  <c r="G1409" i="1"/>
  <c r="G1411" i="1"/>
  <c r="G1412" i="1"/>
  <c r="G1413" i="1"/>
  <c r="G1414" i="1"/>
  <c r="G1415" i="1"/>
  <c r="G1416" i="1"/>
  <c r="G1419" i="1"/>
  <c r="G1420" i="1"/>
  <c r="G1421" i="1"/>
  <c r="G1423" i="1"/>
  <c r="G1424" i="1"/>
  <c r="G1425" i="1"/>
  <c r="G1427" i="1"/>
  <c r="G1428" i="1"/>
  <c r="G1429" i="1"/>
  <c r="G1430" i="1"/>
  <c r="G1431" i="1"/>
  <c r="G1432" i="1"/>
  <c r="G1434" i="1"/>
  <c r="G1435" i="1"/>
  <c r="G1436" i="1"/>
  <c r="G1437" i="1"/>
  <c r="G1438" i="1"/>
  <c r="G1439" i="1"/>
  <c r="G1441" i="1"/>
  <c r="G1442" i="1"/>
  <c r="G1443" i="1"/>
  <c r="G1444" i="1"/>
  <c r="G1445" i="1"/>
  <c r="G1446" i="1"/>
  <c r="G1448" i="1"/>
  <c r="G1449" i="1"/>
  <c r="G1450" i="1"/>
  <c r="G1452" i="1"/>
  <c r="G1453" i="1"/>
  <c r="G1454" i="1"/>
  <c r="G1456" i="1"/>
  <c r="G1457" i="1"/>
  <c r="G1458" i="1"/>
  <c r="G1459" i="1"/>
  <c r="G1460" i="1"/>
  <c r="G1461" i="1"/>
  <c r="G1463" i="1"/>
  <c r="G1464" i="1"/>
  <c r="G1465" i="1"/>
  <c r="G1466" i="1"/>
  <c r="G1467" i="1"/>
  <c r="G1468" i="1"/>
  <c r="G1470" i="1"/>
  <c r="G1471" i="1"/>
  <c r="G1472" i="1"/>
  <c r="G1473" i="1"/>
  <c r="G1474" i="1"/>
  <c r="G1475" i="1"/>
  <c r="G1477" i="1"/>
  <c r="G1478" i="1"/>
  <c r="G1479" i="1"/>
  <c r="G1480" i="1"/>
  <c r="G1481" i="1"/>
  <c r="G1482" i="1"/>
  <c r="G1484" i="1"/>
  <c r="G1485" i="1"/>
  <c r="G1486" i="1"/>
  <c r="G1487" i="1"/>
  <c r="G1488" i="1"/>
  <c r="G1489" i="1"/>
  <c r="G1491" i="1"/>
  <c r="G1492" i="1"/>
  <c r="G1493" i="1"/>
  <c r="G1494" i="1"/>
  <c r="G1495" i="1"/>
  <c r="G1496" i="1"/>
  <c r="G1498" i="1"/>
  <c r="G1499" i="1"/>
  <c r="G1500" i="1"/>
  <c r="G1501" i="1"/>
  <c r="G1502" i="1"/>
  <c r="G1503" i="1"/>
  <c r="G1505" i="1"/>
  <c r="G1506" i="1"/>
  <c r="G1507" i="1"/>
  <c r="G1508" i="1"/>
  <c r="G1509" i="1"/>
  <c r="G1510" i="1"/>
  <c r="G1512" i="1"/>
  <c r="G1513" i="1"/>
  <c r="G1514" i="1"/>
  <c r="G1515" i="1"/>
  <c r="G1516" i="1"/>
  <c r="G1517" i="1"/>
  <c r="G1519" i="1"/>
  <c r="G1520" i="1"/>
  <c r="G1521" i="1"/>
  <c r="G1522" i="1"/>
  <c r="G1523" i="1"/>
  <c r="G1524" i="1"/>
  <c r="G1526" i="1"/>
  <c r="G1527" i="1"/>
  <c r="G1528" i="1"/>
  <c r="G1529" i="1"/>
  <c r="G1530" i="1"/>
  <c r="G1531" i="1"/>
  <c r="G1533" i="1"/>
  <c r="G1534" i="1"/>
  <c r="G1535" i="1"/>
  <c r="G1537" i="1"/>
  <c r="G1538" i="1"/>
  <c r="G1539" i="1"/>
  <c r="G1541" i="1"/>
  <c r="G1542" i="1"/>
  <c r="G1543" i="1"/>
  <c r="G1545" i="1"/>
  <c r="G1546" i="1"/>
  <c r="G1547" i="1"/>
  <c r="G1549" i="1"/>
  <c r="G1550" i="1"/>
  <c r="G1551" i="1"/>
  <c r="G1553" i="1"/>
  <c r="G1554" i="1"/>
  <c r="G1555" i="1"/>
  <c r="G1557" i="1"/>
  <c r="G1558" i="1"/>
  <c r="G1559" i="1"/>
  <c r="G1560" i="1"/>
  <c r="G1561" i="1"/>
  <c r="G1562" i="1"/>
  <c r="G1564" i="1"/>
  <c r="G1565" i="1"/>
  <c r="G1566" i="1"/>
  <c r="G1567" i="1"/>
  <c r="G1568" i="1"/>
  <c r="G1569" i="1"/>
  <c r="G1571" i="1"/>
  <c r="G1572" i="1"/>
  <c r="G1573" i="1"/>
  <c r="G1574" i="1"/>
  <c r="G1575" i="1"/>
  <c r="G1576" i="1"/>
  <c r="G1578" i="1"/>
  <c r="G1579" i="1"/>
  <c r="G1580" i="1"/>
  <c r="G1581" i="1"/>
  <c r="G1582" i="1"/>
  <c r="G1583" i="1"/>
  <c r="G1585" i="1"/>
  <c r="G1586" i="1"/>
  <c r="G1587" i="1"/>
  <c r="G1588" i="1"/>
  <c r="G1589" i="1"/>
  <c r="G1590" i="1"/>
  <c r="G1592" i="1"/>
  <c r="G1593" i="1"/>
  <c r="G1594" i="1"/>
  <c r="G1595" i="1"/>
  <c r="G1596" i="1"/>
  <c r="G1597" i="1"/>
  <c r="G1599" i="1"/>
  <c r="G1600" i="1"/>
  <c r="G1601" i="1"/>
  <c r="G1602" i="1"/>
  <c r="G1603" i="1"/>
  <c r="G1604" i="1"/>
  <c r="G1606" i="1"/>
  <c r="G1607" i="1"/>
  <c r="G1608" i="1"/>
  <c r="G1609" i="1"/>
  <c r="G1610" i="1"/>
  <c r="G1611" i="1"/>
  <c r="G1613" i="1"/>
  <c r="G1614" i="1"/>
  <c r="G1615" i="1"/>
  <c r="G1616" i="1"/>
  <c r="G1617" i="1"/>
  <c r="G1618" i="1"/>
  <c r="G1620" i="1"/>
  <c r="G1621" i="1"/>
  <c r="G1622" i="1"/>
  <c r="G1623" i="1"/>
  <c r="G1624" i="1"/>
  <c r="G1625" i="1"/>
  <c r="G1627" i="1"/>
  <c r="G1628" i="1"/>
  <c r="G1629" i="1"/>
  <c r="G1630" i="1"/>
  <c r="G1631" i="1"/>
  <c r="G1632" i="1"/>
  <c r="G1634" i="1"/>
  <c r="G1635" i="1"/>
  <c r="G1636" i="1"/>
  <c r="G1637" i="1"/>
  <c r="G1638" i="1"/>
  <c r="G1639" i="1"/>
  <c r="G1642" i="1"/>
  <c r="G1643" i="1"/>
  <c r="G1644" i="1"/>
  <c r="G1646" i="1"/>
  <c r="G1647" i="1"/>
  <c r="G1648" i="1"/>
  <c r="G1650" i="1"/>
  <c r="G1651" i="1"/>
  <c r="G1652" i="1"/>
  <c r="G1654" i="1"/>
  <c r="G1655" i="1"/>
  <c r="G1656" i="1"/>
  <c r="G1658" i="1"/>
  <c r="G1659" i="1"/>
  <c r="G1660" i="1"/>
  <c r="G1661" i="1"/>
  <c r="G1662" i="1"/>
  <c r="G1663" i="1"/>
  <c r="G1665" i="1"/>
  <c r="G1666" i="1"/>
  <c r="G1667" i="1"/>
  <c r="G1668" i="1"/>
  <c r="G1669" i="1"/>
  <c r="G1670" i="1"/>
  <c r="G1672" i="1"/>
  <c r="G1673" i="1"/>
  <c r="G1674" i="1"/>
  <c r="G1675" i="1"/>
  <c r="G1676" i="1"/>
  <c r="G1677" i="1"/>
  <c r="G1679" i="1"/>
  <c r="G1680" i="1"/>
  <c r="G1681" i="1"/>
  <c r="G1682" i="1"/>
  <c r="G1683" i="1"/>
  <c r="G1684" i="1"/>
  <c r="G1686" i="1"/>
  <c r="G1687" i="1"/>
  <c r="G1688" i="1"/>
  <c r="G1689" i="1"/>
  <c r="G1690" i="1"/>
  <c r="G1691" i="1"/>
  <c r="G1693" i="1"/>
  <c r="G1694" i="1"/>
  <c r="G1695" i="1"/>
  <c r="G1696" i="1"/>
  <c r="G1697" i="1"/>
  <c r="G1698" i="1"/>
  <c r="G1700" i="1"/>
  <c r="G1701" i="1"/>
  <c r="G1702" i="1"/>
  <c r="G1703" i="1"/>
  <c r="G1704" i="1"/>
  <c r="G1705" i="1"/>
  <c r="G1707" i="1"/>
  <c r="G1708" i="1"/>
  <c r="G1709" i="1"/>
  <c r="G1710" i="1"/>
  <c r="G1711" i="1"/>
  <c r="G1712" i="1"/>
  <c r="G1714" i="1"/>
  <c r="G1715" i="1"/>
  <c r="G1716" i="1"/>
  <c r="G1717" i="1"/>
  <c r="G1718" i="1"/>
  <c r="G1719" i="1"/>
  <c r="G1721" i="1"/>
  <c r="G1722" i="1"/>
  <c r="G1723" i="1"/>
  <c r="G1724" i="1"/>
  <c r="G1725" i="1"/>
  <c r="G1726" i="1"/>
  <c r="G1728" i="1"/>
  <c r="G1729" i="1"/>
  <c r="G1730" i="1"/>
  <c r="G1731" i="1"/>
  <c r="G1732" i="1"/>
  <c r="G1733" i="1"/>
  <c r="G1735" i="1"/>
  <c r="G1736" i="1"/>
  <c r="G1737" i="1"/>
  <c r="G1738" i="1"/>
  <c r="G1739" i="1"/>
  <c r="G1740" i="1"/>
  <c r="G1742" i="1"/>
  <c r="G1743" i="1"/>
  <c r="G1744" i="1"/>
  <c r="G1745" i="1"/>
  <c r="G1746" i="1"/>
  <c r="G1747" i="1"/>
  <c r="G1749" i="1"/>
  <c r="G1750" i="1"/>
  <c r="G1751" i="1"/>
  <c r="G1753" i="1"/>
  <c r="G1754" i="1"/>
  <c r="G1755" i="1"/>
  <c r="G1757" i="1"/>
  <c r="G1758" i="1"/>
  <c r="G1759" i="1"/>
  <c r="G1761" i="1"/>
  <c r="G1762" i="1"/>
  <c r="G1763" i="1"/>
  <c r="G1765" i="1"/>
  <c r="G1766" i="1"/>
  <c r="G1767" i="1"/>
  <c r="G1769" i="1"/>
  <c r="G1770" i="1"/>
  <c r="G1771" i="1"/>
  <c r="G1773" i="1"/>
  <c r="G1774" i="1"/>
  <c r="G1775" i="1"/>
  <c r="G1776" i="1"/>
  <c r="G1777" i="1"/>
  <c r="G1778" i="1"/>
  <c r="G1780" i="1"/>
  <c r="G1781" i="1"/>
  <c r="G1782" i="1"/>
  <c r="G1783" i="1"/>
  <c r="G1784" i="1"/>
  <c r="G1785" i="1"/>
  <c r="G1787" i="1"/>
  <c r="G1788" i="1"/>
  <c r="G1789" i="1"/>
  <c r="G1790" i="1"/>
  <c r="G1791" i="1"/>
  <c r="G1792" i="1"/>
  <c r="G1794" i="1"/>
  <c r="G1795" i="1"/>
  <c r="G1796" i="1"/>
  <c r="G1797" i="1"/>
  <c r="G1798" i="1"/>
  <c r="G1799" i="1"/>
  <c r="G1801" i="1"/>
  <c r="G1802" i="1"/>
  <c r="G1803" i="1"/>
  <c r="G1804" i="1"/>
  <c r="G1805" i="1"/>
  <c r="G1806" i="1"/>
  <c r="G1808" i="1"/>
  <c r="G1809" i="1"/>
  <c r="G1810" i="1"/>
  <c r="G1811" i="1"/>
  <c r="G1812" i="1"/>
  <c r="G1813" i="1"/>
  <c r="G1815" i="1"/>
  <c r="G1816" i="1"/>
  <c r="G1817" i="1"/>
  <c r="G1818" i="1"/>
  <c r="G1819" i="1"/>
  <c r="G1820" i="1"/>
  <c r="G1822" i="1"/>
  <c r="G1823" i="1"/>
  <c r="G1824" i="1"/>
  <c r="G1825" i="1"/>
  <c r="G1826" i="1"/>
  <c r="G1827" i="1"/>
  <c r="G1829" i="1"/>
  <c r="G1830" i="1"/>
  <c r="G1831" i="1"/>
  <c r="G1832" i="1"/>
  <c r="G1833" i="1"/>
  <c r="G1834" i="1"/>
  <c r="G1836" i="1"/>
  <c r="G1837" i="1"/>
  <c r="G1838" i="1"/>
  <c r="G1839" i="1"/>
  <c r="G1840" i="1"/>
  <c r="G1841" i="1"/>
  <c r="G1843" i="1"/>
  <c r="G1844" i="1"/>
  <c r="G1845" i="1"/>
  <c r="G1846" i="1"/>
  <c r="G1847" i="1"/>
  <c r="G1848" i="1"/>
  <c r="G1850" i="1"/>
  <c r="G1851" i="1"/>
  <c r="G1852" i="1"/>
  <c r="G1854" i="1"/>
  <c r="G1855" i="1"/>
  <c r="G1856" i="1"/>
  <c r="G1858" i="1"/>
  <c r="G1859" i="1"/>
  <c r="G1860" i="1"/>
  <c r="G1861" i="1"/>
  <c r="G1862" i="1"/>
  <c r="G1863" i="1"/>
  <c r="G1866" i="1"/>
  <c r="G1867" i="1"/>
  <c r="G1868" i="1"/>
  <c r="G1870" i="1"/>
  <c r="G1871" i="1"/>
  <c r="G1872" i="1"/>
  <c r="G1874" i="1"/>
  <c r="G1875" i="1"/>
  <c r="G1876" i="1"/>
  <c r="G1877" i="1"/>
  <c r="G1878" i="1"/>
  <c r="G1879" i="1"/>
  <c r="G1881" i="1"/>
  <c r="G1882" i="1"/>
  <c r="G1883" i="1"/>
  <c r="G1884" i="1"/>
  <c r="G1885" i="1"/>
  <c r="G1886" i="1"/>
  <c r="G1888" i="1"/>
  <c r="G1889" i="1"/>
  <c r="G1890" i="1"/>
  <c r="G1891" i="1"/>
  <c r="G1892" i="1"/>
  <c r="G1893" i="1"/>
  <c r="G1895" i="1"/>
  <c r="G1896" i="1"/>
  <c r="G1897" i="1"/>
  <c r="G1898" i="1"/>
  <c r="G1899" i="1"/>
  <c r="G1900" i="1"/>
  <c r="G1902" i="1"/>
  <c r="G1903" i="1"/>
  <c r="G1904" i="1"/>
  <c r="G1905" i="1"/>
  <c r="G1906" i="1"/>
  <c r="G1907" i="1"/>
  <c r="G1909" i="1"/>
  <c r="G1910" i="1"/>
  <c r="G1911" i="1"/>
  <c r="G1912" i="1"/>
  <c r="G1913" i="1"/>
  <c r="G1914" i="1"/>
  <c r="G1916" i="1"/>
  <c r="G1917" i="1"/>
  <c r="G1918" i="1"/>
  <c r="G1919" i="1"/>
  <c r="G1920" i="1"/>
  <c r="G1921" i="1"/>
  <c r="G1923" i="1"/>
  <c r="G1924" i="1"/>
  <c r="G1925" i="1"/>
  <c r="G1926" i="1"/>
  <c r="G1927" i="1"/>
  <c r="G1928" i="1"/>
  <c r="G1930" i="1"/>
  <c r="G1931" i="1"/>
  <c r="G1932" i="1"/>
  <c r="G1933" i="1"/>
  <c r="G1934" i="1"/>
  <c r="G1935" i="1"/>
  <c r="G1937" i="1"/>
  <c r="G1938" i="1"/>
  <c r="G1939" i="1"/>
  <c r="G1940" i="1"/>
  <c r="G1941" i="1"/>
  <c r="G1942" i="1"/>
  <c r="G1944" i="1"/>
  <c r="G1945" i="1"/>
  <c r="G1946" i="1"/>
  <c r="G1947" i="1"/>
  <c r="G1948" i="1"/>
  <c r="G1949" i="1"/>
  <c r="G1951" i="1"/>
  <c r="G1952" i="1"/>
  <c r="G1953" i="1"/>
  <c r="G1955" i="1"/>
  <c r="G1956" i="1"/>
  <c r="G1957" i="1"/>
  <c r="G1959" i="1"/>
  <c r="G1960" i="1"/>
  <c r="G1961" i="1"/>
  <c r="G1962" i="1"/>
  <c r="G1963" i="1"/>
  <c r="G1964" i="1"/>
  <c r="G1966" i="1"/>
  <c r="G1967" i="1"/>
  <c r="G1968" i="1"/>
  <c r="G1969" i="1"/>
  <c r="G1970" i="1"/>
  <c r="G1971" i="1"/>
  <c r="G1973" i="1"/>
  <c r="G1974" i="1"/>
  <c r="G1975" i="1"/>
  <c r="G1977" i="1"/>
  <c r="G1978" i="1"/>
  <c r="G1979" i="1"/>
  <c r="G1981" i="1"/>
  <c r="G1982" i="1"/>
  <c r="G1983" i="1"/>
  <c r="G1985" i="1"/>
  <c r="G1986" i="1"/>
  <c r="G1987" i="1"/>
  <c r="G1989" i="1"/>
  <c r="G1990" i="1"/>
  <c r="G1991" i="1"/>
  <c r="G1992" i="1"/>
  <c r="G1993" i="1"/>
  <c r="G1994" i="1"/>
  <c r="G1996" i="1"/>
  <c r="G1997" i="1"/>
  <c r="G1998" i="1"/>
  <c r="G1999" i="1"/>
  <c r="G2000" i="1"/>
  <c r="G2001" i="1"/>
  <c r="G2003" i="1"/>
  <c r="G2004" i="1"/>
  <c r="G2005" i="1"/>
  <c r="G2006" i="1"/>
  <c r="G2007" i="1"/>
  <c r="G2008" i="1"/>
  <c r="G2010" i="1"/>
  <c r="G2011" i="1"/>
  <c r="G2012" i="1"/>
  <c r="G2013" i="1"/>
  <c r="G2014" i="1"/>
  <c r="G2015" i="1"/>
  <c r="G2017" i="1"/>
  <c r="G2018" i="1"/>
  <c r="G2019" i="1"/>
  <c r="G2020" i="1"/>
  <c r="G2021" i="1"/>
  <c r="G2022" i="1"/>
  <c r="G2024" i="1"/>
  <c r="G2025" i="1"/>
  <c r="G2026" i="1"/>
  <c r="G2027" i="1"/>
  <c r="G2028" i="1"/>
  <c r="G2029" i="1"/>
  <c r="G2031" i="1"/>
  <c r="G2032" i="1"/>
  <c r="G2033" i="1"/>
  <c r="G2034" i="1"/>
  <c r="G2035" i="1"/>
  <c r="G2036" i="1"/>
  <c r="G2038" i="1"/>
  <c r="G2039" i="1"/>
  <c r="G2040" i="1"/>
  <c r="G2041" i="1"/>
  <c r="G2042" i="1"/>
  <c r="G2043" i="1"/>
  <c r="G2045" i="1"/>
  <c r="G2046" i="1"/>
  <c r="G2047" i="1"/>
  <c r="G2048" i="1"/>
  <c r="G2049" i="1"/>
  <c r="G2050" i="1"/>
  <c r="G2052" i="1"/>
  <c r="G2053" i="1"/>
  <c r="G2054" i="1"/>
  <c r="G2056" i="1"/>
  <c r="G2057" i="1"/>
  <c r="G2058" i="1"/>
  <c r="G2060" i="1"/>
  <c r="G2061" i="1"/>
  <c r="G2062" i="1"/>
  <c r="G2063" i="1"/>
  <c r="G2064" i="1"/>
  <c r="G2065" i="1"/>
  <c r="G2067" i="1"/>
  <c r="G2068" i="1"/>
  <c r="G2069" i="1"/>
  <c r="G2070" i="1"/>
  <c r="G2071" i="1"/>
  <c r="G2072" i="1"/>
  <c r="G2074" i="1"/>
  <c r="G2075" i="1"/>
  <c r="G2076" i="1"/>
  <c r="G2077" i="1"/>
  <c r="G2078" i="1"/>
  <c r="G2079" i="1"/>
  <c r="G2082" i="1"/>
  <c r="G2083" i="1"/>
  <c r="G2084" i="1"/>
  <c r="G2086" i="1"/>
  <c r="G2087" i="1"/>
  <c r="G2088" i="1"/>
  <c r="G2090" i="1"/>
  <c r="G2091" i="1"/>
  <c r="G2092" i="1"/>
  <c r="G2093" i="1"/>
  <c r="G2094" i="1"/>
  <c r="G2095" i="1"/>
  <c r="G2097" i="1"/>
  <c r="G2098" i="1"/>
  <c r="G2099" i="1"/>
  <c r="G2100" i="1"/>
  <c r="G2101" i="1"/>
  <c r="G2102" i="1"/>
  <c r="G2104" i="1"/>
  <c r="G2105" i="1"/>
  <c r="G2106" i="1"/>
  <c r="G2107" i="1"/>
  <c r="G2108" i="1"/>
  <c r="G2109" i="1"/>
  <c r="G2111" i="1"/>
  <c r="G2112" i="1"/>
  <c r="G2113" i="1"/>
  <c r="G2114" i="1"/>
  <c r="G2115" i="1"/>
  <c r="G2116" i="1"/>
  <c r="G2118" i="1"/>
  <c r="G2119" i="1"/>
  <c r="G2120" i="1"/>
  <c r="G2121" i="1"/>
  <c r="G2122" i="1"/>
  <c r="G2123" i="1"/>
  <c r="G2125" i="1"/>
  <c r="G2126" i="1"/>
  <c r="G2127" i="1"/>
  <c r="G2128" i="1"/>
  <c r="G2129" i="1"/>
  <c r="G2130" i="1"/>
  <c r="G2132" i="1"/>
  <c r="G2133" i="1"/>
  <c r="G2134" i="1"/>
  <c r="G2135" i="1"/>
  <c r="G2136" i="1"/>
  <c r="G2137" i="1"/>
  <c r="G2139" i="1"/>
  <c r="G2140" i="1"/>
  <c r="G2141" i="1"/>
  <c r="G2142" i="1"/>
  <c r="G2143" i="1"/>
  <c r="G2144" i="1"/>
  <c r="G2146" i="1"/>
  <c r="G2147" i="1"/>
  <c r="G2148" i="1"/>
  <c r="G2149" i="1"/>
  <c r="G2150" i="1"/>
  <c r="G2151" i="1"/>
  <c r="G2153" i="1"/>
  <c r="G2154" i="1"/>
  <c r="G2155" i="1"/>
  <c r="G2157" i="1"/>
  <c r="G2158" i="1"/>
  <c r="G2159" i="1"/>
  <c r="G2161" i="1"/>
  <c r="G2162" i="1"/>
  <c r="G2163" i="1"/>
  <c r="G2164" i="1"/>
  <c r="G2165" i="1"/>
  <c r="G2166" i="1"/>
  <c r="G2168" i="1"/>
  <c r="G2169" i="1"/>
  <c r="G2170" i="1"/>
  <c r="G2171" i="1"/>
  <c r="G2172" i="1"/>
  <c r="G2173" i="1"/>
  <c r="G2175" i="1"/>
  <c r="G2176" i="1"/>
  <c r="G2177" i="1"/>
  <c r="G2178" i="1"/>
  <c r="G2179" i="1"/>
  <c r="G2180" i="1"/>
  <c r="G2182" i="1"/>
  <c r="G2183" i="1"/>
  <c r="G2184" i="1"/>
  <c r="G2185" i="1"/>
  <c r="G2186" i="1"/>
  <c r="G2187" i="1"/>
  <c r="G2189" i="1"/>
  <c r="G2190" i="1"/>
  <c r="G2191" i="1"/>
  <c r="G2192" i="1"/>
  <c r="G2193" i="1"/>
  <c r="G2194" i="1"/>
  <c r="G2196" i="1"/>
  <c r="G2197" i="1"/>
  <c r="G2198" i="1"/>
  <c r="G2200" i="1"/>
  <c r="G2201" i="1"/>
  <c r="G2202" i="1"/>
  <c r="G2204" i="1"/>
  <c r="G2205" i="1"/>
  <c r="G2206" i="1"/>
  <c r="G2208" i="1"/>
  <c r="G2209" i="1"/>
  <c r="G2210" i="1"/>
  <c r="G2212" i="1"/>
  <c r="G2213" i="1"/>
  <c r="G2214" i="1"/>
  <c r="G2215" i="1"/>
  <c r="G2216" i="1"/>
  <c r="G2217" i="1"/>
  <c r="G2219" i="1"/>
  <c r="G2220" i="1"/>
  <c r="G2221" i="1"/>
  <c r="G2222" i="1"/>
  <c r="G2223" i="1"/>
  <c r="G2224" i="1"/>
  <c r="G2226" i="1"/>
  <c r="G2227" i="1"/>
  <c r="G2228" i="1"/>
  <c r="G2229" i="1"/>
  <c r="G2230" i="1"/>
  <c r="G2231" i="1"/>
  <c r="G2233" i="1"/>
  <c r="G2234" i="1"/>
  <c r="G2235" i="1"/>
  <c r="G2236" i="1"/>
  <c r="G2237" i="1"/>
  <c r="G2238" i="1"/>
  <c r="G2240" i="1"/>
  <c r="G2241" i="1"/>
  <c r="G2242" i="1"/>
  <c r="G2243" i="1"/>
  <c r="G2244" i="1"/>
  <c r="G2245" i="1"/>
  <c r="G2247" i="1"/>
  <c r="G2248" i="1"/>
  <c r="G2249" i="1"/>
  <c r="G2250" i="1"/>
  <c r="G2251" i="1"/>
  <c r="G2252" i="1"/>
  <c r="G2254" i="1"/>
  <c r="G2255" i="1"/>
  <c r="G2256" i="1"/>
  <c r="G2258" i="1"/>
  <c r="G2259" i="1"/>
  <c r="G2260" i="1"/>
  <c r="G2262" i="1"/>
  <c r="G2263" i="1"/>
  <c r="G2264" i="1"/>
  <c r="G2265" i="1"/>
  <c r="G2266" i="1"/>
  <c r="G2267" i="1"/>
  <c r="G2269" i="1"/>
  <c r="G2270" i="1"/>
  <c r="G2271" i="1"/>
  <c r="G2272" i="1"/>
  <c r="G2273" i="1"/>
  <c r="G2274" i="1"/>
  <c r="G2276" i="1"/>
  <c r="G2277" i="1"/>
  <c r="G2278" i="1"/>
  <c r="G2279" i="1"/>
  <c r="G2280" i="1"/>
  <c r="G2281" i="1"/>
  <c r="G2283" i="1"/>
  <c r="G2284" i="1"/>
  <c r="G2285" i="1"/>
  <c r="G2286" i="1"/>
  <c r="G2287" i="1"/>
  <c r="G2288" i="1"/>
  <c r="G2290" i="1"/>
  <c r="G2291" i="1"/>
  <c r="G2292" i="1"/>
  <c r="G2293" i="1"/>
  <c r="G2294" i="1"/>
  <c r="G2295" i="1"/>
  <c r="G2297" i="1"/>
  <c r="G2298" i="1"/>
  <c r="G2299" i="1"/>
  <c r="G2300" i="1"/>
  <c r="G2301" i="1"/>
  <c r="G2302" i="1"/>
  <c r="G2305" i="1"/>
  <c r="G2306" i="1"/>
  <c r="G2307" i="1"/>
  <c r="G2309" i="1"/>
  <c r="G2310" i="1"/>
  <c r="G2311" i="1"/>
  <c r="G2313" i="1"/>
  <c r="G2314" i="1"/>
  <c r="G2315" i="1"/>
  <c r="G2316" i="1"/>
  <c r="G2317" i="1"/>
  <c r="G2318" i="1"/>
  <c r="G2320" i="1"/>
  <c r="G2321" i="1"/>
  <c r="G2322" i="1"/>
  <c r="G2323" i="1"/>
  <c r="G2324" i="1"/>
  <c r="G2325" i="1"/>
  <c r="G2327" i="1"/>
  <c r="G2328" i="1"/>
  <c r="G2329" i="1"/>
  <c r="G2330" i="1"/>
  <c r="G2331" i="1"/>
  <c r="G2332" i="1"/>
  <c r="G2334" i="1"/>
  <c r="G2335" i="1"/>
  <c r="G2336" i="1"/>
  <c r="G2337" i="1"/>
  <c r="G2338" i="1"/>
  <c r="G2339" i="1"/>
  <c r="G2341" i="1"/>
  <c r="G2342" i="1"/>
  <c r="G2343" i="1"/>
  <c r="G2344" i="1"/>
  <c r="G2345" i="1"/>
  <c r="G2346" i="1"/>
  <c r="G2348" i="1"/>
  <c r="G2349" i="1"/>
  <c r="G2350" i="1"/>
  <c r="G2351" i="1"/>
  <c r="G2352" i="1"/>
  <c r="G2353" i="1"/>
  <c r="G2355" i="1"/>
  <c r="G2356" i="1"/>
  <c r="G2357" i="1"/>
  <c r="G2359" i="1"/>
  <c r="G2360" i="1"/>
  <c r="G2361" i="1"/>
  <c r="G2363" i="1"/>
  <c r="G2364" i="1"/>
  <c r="G2365" i="1"/>
  <c r="G2366" i="1"/>
  <c r="G2367" i="1"/>
  <c r="G2368" i="1"/>
  <c r="G2370" i="1"/>
  <c r="G2371" i="1"/>
  <c r="G2372" i="1"/>
  <c r="G2373" i="1"/>
  <c r="G2374" i="1"/>
  <c r="G2375" i="1"/>
  <c r="G2377" i="1"/>
  <c r="G2378" i="1"/>
  <c r="G2379" i="1"/>
  <c r="G2380" i="1"/>
  <c r="G2381" i="1"/>
  <c r="G2382" i="1"/>
  <c r="G2384" i="1"/>
  <c r="G2385" i="1"/>
  <c r="G2386" i="1"/>
  <c r="G2387" i="1"/>
  <c r="G2388" i="1"/>
  <c r="G2389" i="1"/>
  <c r="G2391" i="1"/>
  <c r="G2392" i="1"/>
  <c r="G2393" i="1"/>
  <c r="G2394" i="1"/>
  <c r="G2395" i="1"/>
  <c r="G2396" i="1"/>
  <c r="G2398" i="1"/>
  <c r="G2399" i="1"/>
  <c r="G2400" i="1"/>
  <c r="G2401" i="1"/>
  <c r="G2402" i="1"/>
  <c r="G2403" i="1"/>
  <c r="G2405" i="1"/>
  <c r="G2406" i="1"/>
  <c r="G2407" i="1"/>
  <c r="G2408" i="1"/>
  <c r="G2409" i="1"/>
  <c r="G2410" i="1"/>
  <c r="G2412" i="1"/>
  <c r="G2413" i="1"/>
  <c r="G2414" i="1"/>
  <c r="G2416" i="1"/>
  <c r="G2417" i="1"/>
  <c r="G2418" i="1"/>
  <c r="G2420" i="1"/>
  <c r="G2421" i="1"/>
  <c r="G2422" i="1"/>
  <c r="G2424" i="1"/>
  <c r="G2425" i="1"/>
  <c r="G2426" i="1"/>
  <c r="G2428" i="1"/>
  <c r="G2429" i="1"/>
  <c r="G2430" i="1"/>
  <c r="G2431" i="1"/>
  <c r="G2432" i="1"/>
  <c r="G2433" i="1"/>
  <c r="G2435" i="1"/>
  <c r="G2436" i="1"/>
  <c r="G2437" i="1"/>
  <c r="G2438" i="1"/>
  <c r="G2439" i="1"/>
  <c r="G2440" i="1"/>
  <c r="G2442" i="1"/>
  <c r="G2443" i="1"/>
  <c r="G2444" i="1"/>
  <c r="G2445" i="1"/>
  <c r="G2446" i="1"/>
  <c r="G2447" i="1"/>
  <c r="G2449" i="1"/>
  <c r="G2450" i="1"/>
  <c r="G2451" i="1"/>
  <c r="G2452" i="1"/>
  <c r="G2453" i="1"/>
  <c r="G2454" i="1"/>
  <c r="G2456" i="1"/>
  <c r="G2457" i="1"/>
  <c r="G2458" i="1"/>
  <c r="G2460" i="1"/>
  <c r="G2461" i="1"/>
  <c r="G2462" i="1"/>
  <c r="G2464" i="1"/>
  <c r="G2465" i="1"/>
  <c r="G2466" i="1"/>
  <c r="G2467" i="1"/>
  <c r="G2468" i="1"/>
  <c r="G2469" i="1"/>
  <c r="G2471" i="1"/>
  <c r="G2472" i="1"/>
  <c r="G2473" i="1"/>
  <c r="G2474" i="1"/>
  <c r="G2475" i="1"/>
  <c r="G2476" i="1"/>
  <c r="G2478" i="1"/>
  <c r="G2479" i="1"/>
  <c r="G2480" i="1"/>
  <c r="G2481" i="1"/>
  <c r="G2482" i="1"/>
  <c r="G2483" i="1"/>
  <c r="G2485" i="1"/>
  <c r="G2486" i="1"/>
  <c r="G2487" i="1"/>
  <c r="G2488" i="1"/>
  <c r="G2489" i="1"/>
  <c r="G2490" i="1"/>
  <c r="G2492" i="1"/>
  <c r="G2493" i="1"/>
  <c r="G2494" i="1"/>
  <c r="G2495" i="1"/>
  <c r="G2496" i="1"/>
  <c r="G2497" i="1"/>
  <c r="G2499" i="1"/>
  <c r="G2500" i="1"/>
  <c r="G2501" i="1"/>
  <c r="G2502" i="1"/>
  <c r="G2503" i="1"/>
  <c r="G2504" i="1"/>
  <c r="G2506" i="1"/>
  <c r="G2507" i="1"/>
  <c r="G2508" i="1"/>
  <c r="G2509" i="1"/>
  <c r="G2510" i="1"/>
  <c r="G2511" i="1"/>
  <c r="G2513" i="1"/>
  <c r="G2514" i="1"/>
  <c r="G2515" i="1"/>
  <c r="G2516" i="1"/>
  <c r="G2517" i="1"/>
  <c r="G2518" i="1"/>
  <c r="G2521" i="1"/>
  <c r="G2522" i="1"/>
  <c r="G2523" i="1"/>
  <c r="G2525" i="1"/>
  <c r="G2526" i="1"/>
  <c r="G2527" i="1"/>
  <c r="G2529" i="1"/>
  <c r="G2530" i="1"/>
  <c r="G2531" i="1"/>
  <c r="G2532" i="1"/>
  <c r="G2533" i="1"/>
  <c r="G2534" i="1"/>
  <c r="G2536" i="1"/>
  <c r="G2537" i="1"/>
  <c r="G2538" i="1"/>
  <c r="G2539" i="1"/>
  <c r="G2540" i="1"/>
  <c r="G2541" i="1"/>
  <c r="G2543" i="1"/>
  <c r="G2544" i="1"/>
  <c r="G2545" i="1"/>
  <c r="G2546" i="1"/>
  <c r="G2547" i="1"/>
  <c r="G2548" i="1"/>
  <c r="G2550" i="1"/>
  <c r="G2551" i="1"/>
  <c r="G2552" i="1"/>
  <c r="G2553" i="1"/>
  <c r="G2554" i="1"/>
  <c r="G2555" i="1"/>
  <c r="G2557" i="1"/>
  <c r="G2558" i="1"/>
  <c r="G2559" i="1"/>
  <c r="G2561" i="1"/>
  <c r="G2562" i="1"/>
  <c r="G2563" i="1"/>
  <c r="G2565" i="1"/>
  <c r="G2566" i="1"/>
  <c r="G2567" i="1"/>
  <c r="G2568" i="1"/>
  <c r="G2569" i="1"/>
  <c r="G2570" i="1"/>
  <c r="G2572" i="1"/>
  <c r="G2573" i="1"/>
  <c r="G2574" i="1"/>
  <c r="G2575" i="1"/>
  <c r="G2576" i="1"/>
  <c r="G2577" i="1"/>
  <c r="G2579" i="1"/>
  <c r="G2580" i="1"/>
  <c r="G2581" i="1"/>
  <c r="G2582" i="1"/>
  <c r="G2583" i="1"/>
  <c r="G2584" i="1"/>
  <c r="G2586" i="1"/>
  <c r="G2587" i="1"/>
  <c r="G2588" i="1"/>
  <c r="G2589" i="1"/>
  <c r="G2590" i="1"/>
  <c r="G2591" i="1"/>
  <c r="G2593" i="1"/>
  <c r="G2594" i="1"/>
  <c r="G2595" i="1"/>
  <c r="G2596" i="1"/>
  <c r="G2597" i="1"/>
  <c r="G2598" i="1"/>
  <c r="G2600" i="1"/>
  <c r="G2601" i="1"/>
  <c r="G2602" i="1"/>
  <c r="G2603" i="1"/>
  <c r="G2604" i="1"/>
  <c r="G2605" i="1"/>
  <c r="G2607" i="1"/>
  <c r="G2608" i="1"/>
  <c r="G2609" i="1"/>
  <c r="G2610" i="1"/>
  <c r="G2611" i="1"/>
  <c r="G2612" i="1"/>
  <c r="G2614" i="1"/>
  <c r="G2615" i="1"/>
  <c r="G2616" i="1"/>
  <c r="G2617" i="1"/>
  <c r="G2618" i="1"/>
  <c r="G2619" i="1"/>
  <c r="G2621" i="1"/>
  <c r="G2622" i="1"/>
  <c r="G2623" i="1"/>
  <c r="G2624" i="1"/>
  <c r="G2625" i="1"/>
  <c r="G2626" i="1"/>
  <c r="G2628" i="1"/>
  <c r="G2629" i="1"/>
  <c r="G2630" i="1"/>
  <c r="G2631" i="1"/>
  <c r="G2632" i="1"/>
  <c r="G2633" i="1"/>
  <c r="G2635" i="1"/>
  <c r="G2636" i="1"/>
  <c r="G2637" i="1"/>
  <c r="G2639" i="1"/>
  <c r="G2640" i="1"/>
  <c r="G2641" i="1"/>
  <c r="G2643" i="1"/>
  <c r="G2644" i="1"/>
  <c r="G2645" i="1"/>
  <c r="G2647" i="1"/>
  <c r="G2648" i="1"/>
  <c r="G2649" i="1"/>
  <c r="G2651" i="1"/>
  <c r="G2652" i="1"/>
  <c r="G2653" i="1"/>
  <c r="G2654" i="1"/>
  <c r="G2655" i="1"/>
  <c r="G2656" i="1"/>
  <c r="G2658" i="1"/>
  <c r="G2659" i="1"/>
  <c r="G2660" i="1"/>
  <c r="G2662" i="1"/>
  <c r="G2663" i="1"/>
  <c r="G2664" i="1"/>
  <c r="G2666" i="1"/>
  <c r="G2667" i="1"/>
  <c r="G2668" i="1"/>
  <c r="G2669" i="1"/>
  <c r="G2670" i="1"/>
  <c r="G2671" i="1"/>
  <c r="G2673" i="1"/>
  <c r="G2674" i="1"/>
  <c r="G2675" i="1"/>
  <c r="G2676" i="1"/>
  <c r="G2677" i="1"/>
  <c r="G2678" i="1"/>
  <c r="G2680" i="1"/>
  <c r="G2681" i="1"/>
  <c r="G2682" i="1"/>
  <c r="G2683" i="1"/>
  <c r="G2684" i="1"/>
  <c r="G2685" i="1"/>
  <c r="G2687" i="1"/>
  <c r="G2688" i="1"/>
  <c r="G2689" i="1"/>
  <c r="G2690" i="1"/>
  <c r="G2691" i="1"/>
  <c r="G2692" i="1"/>
  <c r="G2694" i="1"/>
  <c r="G2695" i="1"/>
  <c r="G2696" i="1"/>
  <c r="G2697" i="1"/>
  <c r="G2698" i="1"/>
  <c r="G2699" i="1"/>
  <c r="G2701" i="1"/>
  <c r="G2702" i="1"/>
  <c r="G2703" i="1"/>
  <c r="G2704" i="1"/>
  <c r="G2705" i="1"/>
  <c r="G2706" i="1"/>
  <c r="G2708" i="1"/>
  <c r="G2709" i="1"/>
  <c r="G2710" i="1"/>
  <c r="G2711" i="1"/>
  <c r="G2712" i="1"/>
  <c r="G2713" i="1"/>
  <c r="G2715" i="1"/>
  <c r="G2716" i="1"/>
  <c r="G2717" i="1"/>
  <c r="G2718" i="1"/>
  <c r="G2719" i="1"/>
  <c r="G2720" i="1"/>
  <c r="G2722" i="1"/>
  <c r="G2723" i="1"/>
  <c r="G2724" i="1"/>
  <c r="G2725" i="1"/>
  <c r="G2726" i="1"/>
  <c r="G2727" i="1"/>
  <c r="G2729" i="1"/>
  <c r="G2730" i="1"/>
  <c r="G2731" i="1"/>
  <c r="G2732" i="1"/>
  <c r="G2733" i="1"/>
  <c r="G2734" i="1"/>
  <c r="G2736" i="1"/>
  <c r="G2737" i="1"/>
  <c r="G2738" i="1"/>
  <c r="G2739" i="1"/>
  <c r="G2740" i="1"/>
  <c r="G2741" i="1"/>
  <c r="G2744" i="1"/>
  <c r="G2745" i="1"/>
  <c r="G2746" i="1"/>
  <c r="G2748" i="1"/>
  <c r="G2749" i="1"/>
  <c r="G2750" i="1"/>
  <c r="G2752" i="1"/>
  <c r="G2753" i="1"/>
  <c r="G2754" i="1"/>
  <c r="G2755" i="1"/>
  <c r="G2756" i="1"/>
  <c r="G2757" i="1"/>
  <c r="G2759" i="1"/>
  <c r="G2760" i="1"/>
  <c r="G2761" i="1"/>
  <c r="G2763" i="1"/>
  <c r="G2764" i="1"/>
  <c r="G2765" i="1"/>
  <c r="G2767" i="1"/>
  <c r="G2768" i="1"/>
  <c r="G2769" i="1"/>
  <c r="G2770" i="1"/>
  <c r="G2771" i="1"/>
  <c r="G2772" i="1"/>
  <c r="G2774" i="1"/>
  <c r="G2775" i="1"/>
  <c r="G2776" i="1"/>
  <c r="G2777" i="1"/>
  <c r="G2778" i="1"/>
  <c r="G2779" i="1"/>
  <c r="G2781" i="1"/>
  <c r="G2782" i="1"/>
  <c r="G2783" i="1"/>
  <c r="G2784" i="1"/>
  <c r="G2785" i="1"/>
  <c r="G2786" i="1"/>
  <c r="G2788" i="1"/>
  <c r="G2789" i="1"/>
  <c r="G2790" i="1"/>
  <c r="G2791" i="1"/>
  <c r="G2792" i="1"/>
  <c r="G2793" i="1"/>
  <c r="G2795" i="1"/>
  <c r="G2796" i="1"/>
  <c r="G2797" i="1"/>
  <c r="G2798" i="1"/>
  <c r="G2799" i="1"/>
  <c r="G2800" i="1"/>
  <c r="G2802" i="1"/>
  <c r="G2803" i="1"/>
  <c r="G2804" i="1"/>
  <c r="G2805" i="1"/>
  <c r="G2806" i="1"/>
  <c r="G2807" i="1"/>
  <c r="G2809" i="1"/>
  <c r="G2810" i="1"/>
  <c r="G2811" i="1"/>
  <c r="G2812" i="1"/>
  <c r="G2813" i="1"/>
  <c r="G2814" i="1"/>
  <c r="G2816" i="1"/>
  <c r="G2817" i="1"/>
  <c r="G2818" i="1"/>
  <c r="G2819" i="1"/>
  <c r="G2820" i="1"/>
  <c r="G2821" i="1"/>
  <c r="G2823" i="1"/>
  <c r="G2824" i="1"/>
  <c r="G2825" i="1"/>
  <c r="G2826" i="1"/>
  <c r="G2827" i="1"/>
  <c r="G2828" i="1"/>
  <c r="G2830" i="1"/>
  <c r="G2831" i="1"/>
  <c r="G2832" i="1"/>
  <c r="G2833" i="1"/>
  <c r="G2834" i="1"/>
  <c r="G2835" i="1"/>
  <c r="G2837" i="1"/>
  <c r="G2838" i="1"/>
  <c r="G2839" i="1"/>
  <c r="G2840" i="1"/>
  <c r="G2841" i="1"/>
  <c r="G2842" i="1"/>
  <c r="G2844" i="1"/>
  <c r="G2845" i="1"/>
  <c r="G2846" i="1"/>
  <c r="G2847" i="1"/>
  <c r="G2848" i="1"/>
  <c r="G2849" i="1"/>
  <c r="G2851" i="1"/>
  <c r="G2852" i="1"/>
  <c r="G2853" i="1"/>
  <c r="G2854" i="1"/>
  <c r="G2855" i="1"/>
  <c r="G2856" i="1"/>
  <c r="G2858" i="1"/>
  <c r="G2859" i="1"/>
  <c r="G2860" i="1"/>
  <c r="G2863" i="1"/>
  <c r="G2864" i="1"/>
  <c r="G2865" i="1"/>
  <c r="G2867" i="1"/>
  <c r="G2868" i="1"/>
  <c r="G2869" i="1"/>
  <c r="G2871" i="1"/>
  <c r="G2872" i="1"/>
  <c r="G2873" i="1"/>
  <c r="G2875" i="1"/>
  <c r="G2876" i="1"/>
  <c r="G2877" i="1"/>
  <c r="G2878" i="1"/>
  <c r="G2879" i="1"/>
  <c r="G2880" i="1"/>
  <c r="G2882" i="1"/>
  <c r="G2883" i="1"/>
  <c r="G2884" i="1"/>
  <c r="G2885" i="1"/>
  <c r="G2886" i="1"/>
  <c r="G2887" i="1"/>
  <c r="G2889" i="1"/>
  <c r="G2890" i="1"/>
  <c r="G2891" i="1"/>
  <c r="G2892" i="1"/>
  <c r="G2893" i="1"/>
  <c r="G2894" i="1"/>
  <c r="G2896" i="1"/>
  <c r="G2897" i="1"/>
  <c r="G2898" i="1"/>
  <c r="G2899" i="1"/>
  <c r="G2900" i="1"/>
  <c r="G2901" i="1"/>
  <c r="G2903" i="1"/>
  <c r="G2904" i="1"/>
  <c r="G2905" i="1"/>
  <c r="G2906" i="1"/>
  <c r="G2907" i="1"/>
  <c r="G2908" i="1"/>
  <c r="G2910" i="1"/>
  <c r="G2911" i="1"/>
  <c r="G2912" i="1"/>
  <c r="G2913" i="1"/>
  <c r="G2914" i="1"/>
  <c r="G2915" i="1"/>
  <c r="G2917" i="1"/>
  <c r="G2918" i="1"/>
  <c r="G2919" i="1"/>
  <c r="G2920" i="1"/>
  <c r="G2921" i="1"/>
  <c r="G2922" i="1"/>
  <c r="G2924" i="1"/>
  <c r="G2925" i="1"/>
  <c r="G2926" i="1"/>
  <c r="G2927" i="1"/>
  <c r="G2928" i="1"/>
  <c r="G2929" i="1"/>
  <c r="G2931" i="1"/>
  <c r="G2932" i="1"/>
  <c r="G2933" i="1"/>
  <c r="G2934" i="1"/>
  <c r="G2935" i="1"/>
  <c r="G2936" i="1"/>
  <c r="G2938" i="1"/>
  <c r="G2939" i="1"/>
  <c r="G2940" i="1"/>
  <c r="G2941" i="1"/>
  <c r="G2942" i="1"/>
  <c r="G2943" i="1"/>
  <c r="G2945" i="1"/>
  <c r="G2946" i="1"/>
  <c r="G2947" i="1"/>
  <c r="G2948" i="1"/>
  <c r="G2949" i="1"/>
  <c r="G2950" i="1"/>
  <c r="G2952" i="1"/>
  <c r="G2953" i="1"/>
  <c r="G2954" i="1"/>
  <c r="G2955" i="1"/>
  <c r="G2956" i="1"/>
  <c r="G2957" i="1"/>
  <c r="G2959" i="1"/>
  <c r="G2960" i="1"/>
  <c r="G2961" i="1"/>
  <c r="G2963" i="1"/>
  <c r="G2964" i="1"/>
  <c r="G2965" i="1"/>
  <c r="G2968" i="1"/>
  <c r="G2969" i="1"/>
  <c r="G2970" i="1"/>
  <c r="G2972" i="1"/>
  <c r="G2973" i="1"/>
  <c r="G2974" i="1"/>
  <c r="G2976" i="1"/>
  <c r="G2977" i="1"/>
  <c r="G2978" i="1"/>
  <c r="G2979" i="1"/>
  <c r="G2980" i="1"/>
  <c r="G2981" i="1"/>
  <c r="G2983" i="1"/>
  <c r="G2984" i="1"/>
  <c r="G2985" i="1"/>
  <c r="G2986" i="1"/>
  <c r="G2987" i="1"/>
  <c r="G2988" i="1"/>
  <c r="G2990" i="1"/>
  <c r="G2991" i="1"/>
  <c r="G2992" i="1"/>
  <c r="G2993" i="1"/>
  <c r="G2994" i="1"/>
  <c r="G2995" i="1"/>
  <c r="G2997" i="1"/>
  <c r="G2998" i="1"/>
  <c r="G2999" i="1"/>
  <c r="G3000" i="1"/>
  <c r="G3001" i="1"/>
  <c r="G3002" i="1"/>
  <c r="G3004" i="1"/>
  <c r="G3005" i="1"/>
  <c r="G3006" i="1"/>
  <c r="G3007" i="1"/>
  <c r="G3008" i="1"/>
  <c r="G3009" i="1"/>
  <c r="G3011" i="1"/>
  <c r="G3012" i="1"/>
  <c r="G3013" i="1"/>
  <c r="G3014" i="1"/>
  <c r="G3015" i="1"/>
  <c r="G3016" i="1"/>
  <c r="G3018" i="1"/>
  <c r="G3019" i="1"/>
  <c r="G3020" i="1"/>
  <c r="G3021" i="1"/>
  <c r="G3022" i="1"/>
  <c r="G3023" i="1"/>
  <c r="G3025" i="1"/>
  <c r="G3026" i="1"/>
  <c r="G3027" i="1"/>
  <c r="G3028" i="1"/>
  <c r="G3029" i="1"/>
  <c r="G3030" i="1"/>
  <c r="G3032" i="1"/>
  <c r="G3033" i="1"/>
  <c r="G3034" i="1"/>
  <c r="G3035" i="1"/>
  <c r="G3036" i="1"/>
  <c r="G3037" i="1"/>
  <c r="G3039" i="1"/>
  <c r="G3040" i="1"/>
  <c r="G3041" i="1"/>
  <c r="G3042" i="1"/>
  <c r="G3043" i="1"/>
  <c r="G3044" i="1"/>
  <c r="G3046" i="1"/>
  <c r="G3047" i="1"/>
  <c r="G3048" i="1"/>
  <c r="G3049" i="1"/>
  <c r="G3050" i="1"/>
  <c r="G3051" i="1"/>
  <c r="G3053" i="1"/>
  <c r="G3054" i="1"/>
  <c r="G3055" i="1"/>
  <c r="G3056" i="1"/>
  <c r="G3057" i="1"/>
  <c r="G3058" i="1"/>
  <c r="G3060" i="1"/>
  <c r="G3061" i="1"/>
  <c r="G3062" i="1"/>
  <c r="G3065" i="1"/>
  <c r="G3066" i="1"/>
  <c r="G3067" i="1"/>
  <c r="G3069" i="1"/>
  <c r="G3070" i="1"/>
  <c r="G3071" i="1"/>
  <c r="G3073" i="1"/>
  <c r="G3074" i="1"/>
  <c r="G3075" i="1"/>
  <c r="G3077" i="1"/>
  <c r="G3078" i="1"/>
  <c r="G3079" i="1"/>
  <c r="G3080" i="1"/>
  <c r="G3081" i="1"/>
  <c r="G3082" i="1"/>
  <c r="G3084" i="1"/>
  <c r="G3085" i="1"/>
  <c r="G3086" i="1"/>
  <c r="G3087" i="1"/>
  <c r="G3088" i="1"/>
  <c r="G3089" i="1"/>
  <c r="G3091" i="1"/>
  <c r="G3092" i="1"/>
  <c r="G3093" i="1"/>
  <c r="G3094" i="1"/>
  <c r="G3095" i="1"/>
  <c r="G3096" i="1"/>
  <c r="G3098" i="1"/>
  <c r="G3099" i="1"/>
  <c r="G3100" i="1"/>
  <c r="G3101" i="1"/>
  <c r="G3102" i="1"/>
  <c r="G3103" i="1"/>
  <c r="G3105" i="1"/>
  <c r="G3106" i="1"/>
  <c r="G3107" i="1"/>
  <c r="G3108" i="1"/>
  <c r="G3109" i="1"/>
  <c r="G3110" i="1"/>
  <c r="G3112" i="1"/>
  <c r="G3113" i="1"/>
  <c r="G3114" i="1"/>
  <c r="G3115" i="1"/>
  <c r="G3116" i="1"/>
  <c r="G3117" i="1"/>
  <c r="G3119" i="1"/>
  <c r="G3120" i="1"/>
  <c r="G3121" i="1"/>
  <c r="G3122" i="1"/>
  <c r="G3123" i="1"/>
  <c r="G3124" i="1"/>
  <c r="G3126" i="1"/>
  <c r="G3127" i="1"/>
  <c r="G3128" i="1"/>
  <c r="G3129" i="1"/>
  <c r="G3130" i="1"/>
  <c r="G3131" i="1"/>
  <c r="G3133" i="1"/>
  <c r="G3134" i="1"/>
  <c r="G3135" i="1"/>
  <c r="G3136" i="1"/>
  <c r="G3137" i="1"/>
  <c r="G3138" i="1"/>
  <c r="G3140" i="1"/>
  <c r="G3141" i="1"/>
  <c r="G3142" i="1"/>
  <c r="G3143" i="1"/>
  <c r="G3144" i="1"/>
  <c r="G3145" i="1"/>
  <c r="G3147" i="1"/>
  <c r="G3148" i="1"/>
  <c r="G3149" i="1"/>
  <c r="G3150" i="1"/>
  <c r="G3151" i="1"/>
  <c r="G3152" i="1"/>
  <c r="G3154" i="1"/>
  <c r="G3155" i="1"/>
  <c r="G3156" i="1"/>
  <c r="G3157" i="1"/>
  <c r="G3158" i="1"/>
  <c r="G3159" i="1"/>
  <c r="G3161" i="1"/>
  <c r="G3162" i="1"/>
  <c r="G3163" i="1"/>
  <c r="G3165" i="1"/>
  <c r="G3166" i="1"/>
  <c r="G3167" i="1"/>
  <c r="G3170" i="1"/>
  <c r="G3171" i="1"/>
  <c r="G3172" i="1"/>
  <c r="G3174" i="1"/>
  <c r="G3175" i="1"/>
  <c r="G3176" i="1"/>
  <c r="G3178" i="1"/>
  <c r="G3179" i="1"/>
  <c r="G3180" i="1"/>
  <c r="G3181" i="1"/>
  <c r="G3182" i="1"/>
  <c r="G3183" i="1"/>
  <c r="G3185" i="1"/>
  <c r="G3186" i="1"/>
  <c r="G3187" i="1"/>
  <c r="G3188" i="1"/>
  <c r="G3189" i="1"/>
  <c r="G3190" i="1"/>
  <c r="G3192" i="1"/>
  <c r="G3193" i="1"/>
  <c r="G3194" i="1"/>
  <c r="G3195" i="1"/>
  <c r="G3196" i="1"/>
  <c r="G3197" i="1"/>
  <c r="G3199" i="1"/>
  <c r="G3200" i="1"/>
  <c r="G3201" i="1"/>
  <c r="G3202" i="1"/>
  <c r="G3203" i="1"/>
  <c r="G3204" i="1"/>
  <c r="G3206" i="1"/>
  <c r="G3207" i="1"/>
  <c r="G3208" i="1"/>
  <c r="G3209" i="1"/>
  <c r="G3210" i="1"/>
  <c r="G3211" i="1"/>
  <c r="G3213" i="1"/>
  <c r="G3214" i="1"/>
  <c r="G3215" i="1"/>
  <c r="G3216" i="1"/>
  <c r="G3217" i="1"/>
  <c r="G3218" i="1"/>
  <c r="G3220" i="1"/>
  <c r="G3221" i="1"/>
  <c r="G3222" i="1"/>
  <c r="G3223" i="1"/>
  <c r="G3224" i="1"/>
  <c r="G3225" i="1"/>
  <c r="G3227" i="1"/>
  <c r="G3228" i="1"/>
  <c r="G3229" i="1"/>
  <c r="G3230" i="1"/>
  <c r="G3231" i="1"/>
  <c r="G3232" i="1"/>
  <c r="G3234" i="1"/>
  <c r="G3235" i="1"/>
  <c r="G3236" i="1"/>
  <c r="G3237" i="1"/>
  <c r="G3238" i="1"/>
  <c r="G3239" i="1"/>
  <c r="G3241" i="1"/>
  <c r="G3242" i="1"/>
  <c r="G3243" i="1"/>
  <c r="G3244" i="1"/>
  <c r="G3245" i="1"/>
  <c r="G3246" i="1"/>
  <c r="G3248" i="1"/>
  <c r="G3249" i="1"/>
  <c r="G3250" i="1"/>
  <c r="G3251" i="1"/>
  <c r="G3252" i="1"/>
  <c r="G3253" i="1"/>
  <c r="G3255" i="1"/>
  <c r="G3256" i="1"/>
  <c r="G3257" i="1"/>
  <c r="G3258" i="1"/>
  <c r="G3259" i="1"/>
  <c r="G3260" i="1"/>
  <c r="G3262" i="1"/>
  <c r="G3263" i="1"/>
  <c r="G3264" i="1"/>
  <c r="G3266" i="1"/>
  <c r="G3267" i="1"/>
  <c r="G3268" i="1"/>
  <c r="G3270" i="1"/>
  <c r="G3271" i="1"/>
  <c r="G3272" i="1"/>
  <c r="G3273" i="1"/>
  <c r="G3274" i="1"/>
  <c r="G3275" i="1"/>
  <c r="G3277" i="1"/>
  <c r="G3278" i="1"/>
  <c r="G3279" i="1"/>
  <c r="G3280" i="1"/>
  <c r="G3281" i="1"/>
  <c r="G3282" i="1"/>
  <c r="G3284" i="1"/>
  <c r="G3285" i="1"/>
  <c r="G3286" i="1"/>
  <c r="G3288" i="1"/>
  <c r="G3289" i="1"/>
  <c r="G3290" i="1"/>
  <c r="G3292" i="1"/>
  <c r="G3293" i="1"/>
  <c r="G3294" i="1"/>
  <c r="G3296" i="1"/>
  <c r="G3297" i="1"/>
  <c r="G3298" i="1"/>
  <c r="G3300" i="1"/>
  <c r="G3301" i="1"/>
  <c r="G3302" i="1"/>
  <c r="G3303" i="1"/>
  <c r="G3304" i="1"/>
  <c r="G3305" i="1"/>
  <c r="G3307" i="1"/>
  <c r="G3308" i="1"/>
  <c r="G3309" i="1"/>
  <c r="G3310" i="1"/>
  <c r="G3311" i="1"/>
  <c r="G3312" i="1"/>
  <c r="G3314" i="1"/>
  <c r="G3315" i="1"/>
  <c r="G3316" i="1"/>
  <c r="G3317" i="1"/>
  <c r="G3318" i="1"/>
  <c r="G3319" i="1"/>
  <c r="G3321" i="1"/>
  <c r="G3322" i="1"/>
  <c r="G3323" i="1"/>
  <c r="G3324" i="1"/>
  <c r="G3325" i="1"/>
  <c r="G3326" i="1"/>
  <c r="G3328" i="1"/>
  <c r="G3329" i="1"/>
  <c r="G3330" i="1"/>
  <c r="G3331" i="1"/>
  <c r="G3332" i="1"/>
  <c r="G3333" i="1"/>
  <c r="G3335" i="1"/>
  <c r="G3336" i="1"/>
  <c r="G3337" i="1"/>
  <c r="G3338" i="1"/>
  <c r="G3339" i="1"/>
  <c r="G3340" i="1"/>
  <c r="G3342" i="1"/>
  <c r="G3343" i="1"/>
  <c r="G3344" i="1"/>
  <c r="G3345" i="1"/>
  <c r="G3346" i="1"/>
  <c r="G3347" i="1"/>
  <c r="G3349" i="1"/>
  <c r="G3350" i="1"/>
  <c r="G3351" i="1"/>
  <c r="G3352" i="1"/>
  <c r="G3353" i="1"/>
  <c r="G3354" i="1"/>
  <c r="G3356" i="1"/>
  <c r="G3357" i="1"/>
  <c r="G3358" i="1"/>
  <c r="G3359" i="1"/>
  <c r="G3360" i="1"/>
  <c r="G3361" i="1"/>
  <c r="G3363" i="1"/>
  <c r="G3364" i="1"/>
  <c r="G3365" i="1"/>
  <c r="G3367" i="1"/>
  <c r="G3368" i="1"/>
  <c r="G3369" i="1"/>
  <c r="G3371" i="1"/>
  <c r="G3372" i="1"/>
  <c r="G3373" i="1"/>
  <c r="G3374" i="1"/>
  <c r="G3375" i="1"/>
  <c r="G3376" i="1"/>
  <c r="G3378" i="1"/>
  <c r="G3379" i="1"/>
  <c r="G3380" i="1"/>
  <c r="G3381" i="1"/>
  <c r="G3382" i="1"/>
  <c r="G3383" i="1"/>
  <c r="G3385" i="1"/>
  <c r="G3386" i="1"/>
  <c r="G3387" i="1"/>
  <c r="G3388" i="1"/>
  <c r="G3389" i="1"/>
  <c r="G3390" i="1"/>
  <c r="G3393" i="1"/>
  <c r="G3394" i="1"/>
  <c r="G3395" i="1"/>
  <c r="G3397" i="1"/>
  <c r="G3398" i="1"/>
  <c r="G3399" i="1"/>
  <c r="G3401" i="1"/>
  <c r="G3402" i="1"/>
  <c r="G3403" i="1"/>
  <c r="G3404" i="1"/>
  <c r="G3405" i="1"/>
  <c r="G3406" i="1"/>
  <c r="G3408" i="1"/>
  <c r="G3409" i="1"/>
  <c r="G3410" i="1"/>
  <c r="G3411" i="1"/>
  <c r="G3412" i="1"/>
  <c r="G3413" i="1"/>
  <c r="G3415" i="1"/>
  <c r="G3416" i="1"/>
  <c r="G3417" i="1"/>
  <c r="G3418" i="1"/>
  <c r="G3419" i="1"/>
  <c r="G3420" i="1"/>
  <c r="G3422" i="1"/>
  <c r="G3423" i="1"/>
  <c r="G3424" i="1"/>
  <c r="G3425" i="1"/>
  <c r="G3426" i="1"/>
  <c r="G3427" i="1"/>
  <c r="G3429" i="1"/>
  <c r="G3430" i="1"/>
  <c r="G3431" i="1"/>
  <c r="G3432" i="1"/>
  <c r="G3433" i="1"/>
  <c r="G3434" i="1"/>
  <c r="G3436" i="1"/>
  <c r="G3437" i="1"/>
  <c r="G3438" i="1"/>
  <c r="G3439" i="1"/>
  <c r="G3440" i="1"/>
  <c r="G3441" i="1"/>
  <c r="G3443" i="1"/>
  <c r="G3444" i="1"/>
  <c r="G3445" i="1"/>
  <c r="G3446" i="1"/>
  <c r="G3447" i="1"/>
  <c r="G3448" i="1"/>
  <c r="G3450" i="1"/>
  <c r="G3451" i="1"/>
  <c r="G3452" i="1"/>
  <c r="G3453" i="1"/>
  <c r="G3454" i="1"/>
  <c r="G3455" i="1"/>
  <c r="G3457" i="1"/>
  <c r="G3458" i="1"/>
  <c r="G3459" i="1"/>
  <c r="G3460" i="1"/>
  <c r="G3461" i="1"/>
  <c r="G3462" i="1"/>
  <c r="G3464" i="1"/>
  <c r="G3465" i="1"/>
  <c r="G3466" i="1"/>
  <c r="G3468" i="1"/>
  <c r="G3469" i="1"/>
  <c r="G3470" i="1"/>
  <c r="G3472" i="1"/>
  <c r="G3473" i="1"/>
  <c r="G3474" i="1"/>
  <c r="G3475" i="1"/>
  <c r="G3476" i="1"/>
  <c r="G3477" i="1"/>
  <c r="G3479" i="1"/>
  <c r="G3480" i="1"/>
  <c r="G3481" i="1"/>
  <c r="G3482" i="1"/>
  <c r="G3483" i="1"/>
  <c r="G3484" i="1"/>
  <c r="G3486" i="1"/>
  <c r="G3487" i="1"/>
  <c r="G3488" i="1"/>
  <c r="G3489" i="1"/>
  <c r="G3490" i="1"/>
  <c r="G3491" i="1"/>
  <c r="G3493" i="1"/>
  <c r="G3494" i="1"/>
  <c r="G3495" i="1"/>
  <c r="G3496" i="1"/>
  <c r="G3497" i="1"/>
  <c r="G3498" i="1"/>
  <c r="G3500" i="1"/>
  <c r="G3501" i="1"/>
  <c r="G3502" i="1"/>
  <c r="G3504" i="1"/>
  <c r="G3505" i="1"/>
  <c r="G3506" i="1"/>
  <c r="G3508" i="1"/>
  <c r="G3509" i="1"/>
  <c r="G3510" i="1"/>
  <c r="G3512" i="1"/>
  <c r="G3513" i="1"/>
  <c r="G3514" i="1"/>
  <c r="G3516" i="1"/>
  <c r="G3517" i="1"/>
  <c r="G3518" i="1"/>
  <c r="G3519" i="1"/>
  <c r="G3520" i="1"/>
  <c r="G3521" i="1"/>
  <c r="G3523" i="1"/>
  <c r="G3524" i="1"/>
  <c r="G3525" i="1"/>
  <c r="G3526" i="1"/>
  <c r="G3527" i="1"/>
  <c r="G3528" i="1"/>
  <c r="G3530" i="1"/>
  <c r="G3531" i="1"/>
  <c r="G3532" i="1"/>
  <c r="G3533" i="1"/>
  <c r="G3534" i="1"/>
  <c r="G3535" i="1"/>
  <c r="G3537" i="1"/>
  <c r="G3538" i="1"/>
  <c r="G3539" i="1"/>
  <c r="G3540" i="1"/>
  <c r="G3541" i="1"/>
  <c r="G3542" i="1"/>
  <c r="G3544" i="1"/>
  <c r="G3545" i="1"/>
  <c r="G3546" i="1"/>
  <c r="G3547" i="1"/>
  <c r="G3548" i="1"/>
  <c r="G3549" i="1"/>
  <c r="G3551" i="1"/>
  <c r="G3552" i="1"/>
  <c r="G3553" i="1"/>
  <c r="G3554" i="1"/>
  <c r="G3555" i="1"/>
  <c r="G3556" i="1"/>
  <c r="G3558" i="1"/>
  <c r="G3559" i="1"/>
  <c r="G3560" i="1"/>
  <c r="G3561" i="1"/>
  <c r="G3562" i="1"/>
  <c r="G3563" i="1"/>
  <c r="G3565" i="1"/>
  <c r="G3566" i="1"/>
  <c r="G3567" i="1"/>
  <c r="G3569" i="1"/>
  <c r="G3570" i="1"/>
  <c r="G3571" i="1"/>
  <c r="G3573" i="1"/>
  <c r="G3574" i="1"/>
  <c r="G3575" i="1"/>
  <c r="G3576" i="1"/>
  <c r="G3577" i="1"/>
  <c r="G3578" i="1"/>
  <c r="G3580" i="1"/>
  <c r="G3581" i="1"/>
  <c r="G3582" i="1"/>
  <c r="G3583" i="1"/>
  <c r="G3584" i="1"/>
  <c r="G3585" i="1"/>
  <c r="G3587" i="1"/>
  <c r="G3588" i="1"/>
  <c r="G3589" i="1"/>
  <c r="G3590" i="1"/>
  <c r="G3591" i="1"/>
  <c r="G3592" i="1"/>
  <c r="G3594" i="1"/>
  <c r="G3595" i="1"/>
  <c r="G3596" i="1"/>
  <c r="G3597" i="1"/>
  <c r="G3598" i="1"/>
  <c r="G3599" i="1"/>
  <c r="G3601" i="1"/>
  <c r="G3602" i="1"/>
  <c r="G3603" i="1"/>
  <c r="G3604" i="1"/>
  <c r="G3605" i="1"/>
  <c r="G3606" i="1"/>
  <c r="G3609" i="1"/>
  <c r="G3610" i="1"/>
  <c r="G3611" i="1"/>
  <c r="G3613" i="1"/>
  <c r="G3614" i="1"/>
  <c r="G3615" i="1"/>
  <c r="G3617" i="1"/>
  <c r="G3618" i="1"/>
  <c r="G3619" i="1"/>
  <c r="G3620" i="1"/>
  <c r="G3621" i="1"/>
  <c r="G3622" i="1"/>
  <c r="G3624" i="1"/>
  <c r="G3625" i="1"/>
  <c r="G3626" i="1"/>
  <c r="G3627" i="1"/>
  <c r="G3628" i="1"/>
  <c r="G3629" i="1"/>
  <c r="G3631" i="1"/>
  <c r="G3632" i="1"/>
  <c r="G3633" i="1"/>
  <c r="G3634" i="1"/>
  <c r="G3635" i="1"/>
  <c r="G3636" i="1"/>
  <c r="G3638" i="1"/>
  <c r="G3639" i="1"/>
  <c r="G3640" i="1"/>
  <c r="G3641" i="1"/>
  <c r="G3642" i="1"/>
  <c r="G3643" i="1"/>
  <c r="G3645" i="1"/>
  <c r="G3646" i="1"/>
  <c r="G3647" i="1"/>
  <c r="G3648" i="1"/>
  <c r="G3649" i="1"/>
  <c r="G3650" i="1"/>
  <c r="G3652" i="1"/>
  <c r="G3653" i="1"/>
  <c r="G3654" i="1"/>
  <c r="G3655" i="1"/>
  <c r="G3656" i="1"/>
  <c r="G3657" i="1"/>
  <c r="G3659" i="1"/>
  <c r="G3660" i="1"/>
  <c r="G3661" i="1"/>
  <c r="G3662" i="1"/>
  <c r="G3663" i="1"/>
  <c r="G3664" i="1"/>
  <c r="G3666" i="1"/>
  <c r="G3667" i="1"/>
  <c r="G3668" i="1"/>
  <c r="G3670" i="1"/>
  <c r="G3671" i="1"/>
  <c r="G3672" i="1"/>
  <c r="G3674" i="1"/>
  <c r="G3675" i="1"/>
  <c r="G3676" i="1"/>
  <c r="G3677" i="1"/>
  <c r="G3678" i="1"/>
  <c r="G3679" i="1"/>
  <c r="G3681" i="1"/>
  <c r="G3682" i="1"/>
  <c r="G3683" i="1"/>
  <c r="G3684" i="1"/>
  <c r="G3685" i="1"/>
  <c r="G3686" i="1"/>
  <c r="G3688" i="1"/>
  <c r="G3689" i="1"/>
  <c r="G3690" i="1"/>
  <c r="G3691" i="1"/>
  <c r="G3692" i="1"/>
  <c r="G3693" i="1"/>
  <c r="G3695" i="1"/>
  <c r="G3696" i="1"/>
  <c r="G3697" i="1"/>
  <c r="G3698" i="1"/>
  <c r="G3699" i="1"/>
  <c r="G3700" i="1"/>
  <c r="G3702" i="1"/>
  <c r="G3703" i="1"/>
  <c r="G3704" i="1"/>
  <c r="G3705" i="1"/>
  <c r="G3706" i="1"/>
  <c r="G3707" i="1"/>
  <c r="G3709" i="1"/>
  <c r="G3710" i="1"/>
  <c r="G3711" i="1"/>
  <c r="G3712" i="1"/>
  <c r="G3713" i="1"/>
  <c r="G3714" i="1"/>
  <c r="G3716" i="1"/>
  <c r="G3717" i="1"/>
  <c r="G3718" i="1"/>
  <c r="G3719" i="1"/>
  <c r="G3720" i="1"/>
  <c r="G3721" i="1"/>
  <c r="G3723" i="1"/>
  <c r="G3724" i="1"/>
  <c r="G3725" i="1"/>
  <c r="G3727" i="1"/>
  <c r="G3728" i="1"/>
  <c r="G3729" i="1"/>
  <c r="G3731" i="1"/>
  <c r="G3732" i="1"/>
  <c r="G3733" i="1"/>
  <c r="G3735" i="1"/>
  <c r="G3736" i="1"/>
  <c r="G3737" i="1"/>
  <c r="G3739" i="1"/>
  <c r="G3740" i="1"/>
  <c r="G3741" i="1"/>
  <c r="G3742" i="1"/>
  <c r="G3743" i="1"/>
  <c r="G3744" i="1"/>
  <c r="G3746" i="1"/>
  <c r="G3747" i="1"/>
  <c r="G3748" i="1"/>
  <c r="G3749" i="1"/>
  <c r="G3750" i="1"/>
  <c r="G3751" i="1"/>
  <c r="G3753" i="1"/>
  <c r="G3754" i="1"/>
  <c r="G3755" i="1"/>
  <c r="G3756" i="1"/>
  <c r="G3757" i="1"/>
  <c r="G3758" i="1"/>
  <c r="G3760" i="1"/>
  <c r="G3761" i="1"/>
  <c r="G3762" i="1"/>
  <c r="G3763" i="1"/>
  <c r="G3764" i="1"/>
  <c r="G3765" i="1"/>
  <c r="G3767" i="1"/>
  <c r="G3768" i="1"/>
  <c r="G3769" i="1"/>
  <c r="G3771" i="1"/>
  <c r="G3772" i="1"/>
  <c r="G3773" i="1"/>
  <c r="G3775" i="1"/>
  <c r="G3776" i="1"/>
  <c r="G3777" i="1"/>
  <c r="G3778" i="1"/>
  <c r="G3779" i="1"/>
  <c r="G3780" i="1"/>
  <c r="G3782" i="1"/>
  <c r="G3783" i="1"/>
  <c r="G3784" i="1"/>
  <c r="G3785" i="1"/>
  <c r="G3786" i="1"/>
  <c r="G3787" i="1"/>
  <c r="G3789" i="1"/>
  <c r="G3790" i="1"/>
  <c r="G3791" i="1"/>
  <c r="G3792" i="1"/>
  <c r="G3793" i="1"/>
  <c r="G3794" i="1"/>
  <c r="G3796" i="1"/>
  <c r="G3797" i="1"/>
  <c r="G3798" i="1"/>
  <c r="G3799" i="1"/>
  <c r="G3800" i="1"/>
  <c r="G3801" i="1"/>
  <c r="G3803" i="1"/>
  <c r="G3804" i="1"/>
  <c r="G3805" i="1"/>
  <c r="G3806" i="1"/>
  <c r="G3807" i="1"/>
  <c r="G3808" i="1"/>
  <c r="G3810" i="1"/>
  <c r="G3811" i="1"/>
  <c r="G3812" i="1"/>
  <c r="G3813" i="1"/>
  <c r="G3814" i="1"/>
  <c r="G3815" i="1"/>
  <c r="G3817" i="1"/>
  <c r="G3818" i="1"/>
  <c r="G3819" i="1"/>
  <c r="G3820" i="1"/>
  <c r="G3821" i="1"/>
  <c r="G3822" i="1"/>
  <c r="G3824" i="1"/>
  <c r="G3825" i="1"/>
  <c r="G3826" i="1"/>
  <c r="G3827" i="1"/>
  <c r="G3828" i="1"/>
  <c r="G3829" i="1"/>
  <c r="G3832" i="1"/>
  <c r="G3833" i="1"/>
  <c r="G3834" i="1"/>
  <c r="G3836" i="1"/>
  <c r="G3837" i="1"/>
  <c r="G3838" i="1"/>
  <c r="G3840" i="1"/>
  <c r="G3841" i="1"/>
  <c r="G3842" i="1"/>
  <c r="G3843" i="1"/>
  <c r="G3844" i="1"/>
  <c r="G3845" i="1"/>
  <c r="G3847" i="1"/>
  <c r="G3848" i="1"/>
  <c r="G3849" i="1"/>
  <c r="G3850" i="1"/>
  <c r="G3851" i="1"/>
  <c r="G3852" i="1"/>
  <c r="G3854" i="1"/>
  <c r="G3855" i="1"/>
  <c r="G3856" i="1"/>
  <c r="G3857" i="1"/>
  <c r="G3858" i="1"/>
  <c r="G3859" i="1"/>
  <c r="G3861" i="1"/>
  <c r="G3862" i="1"/>
  <c r="G3863" i="1"/>
  <c r="G3864" i="1"/>
  <c r="G3865" i="1"/>
  <c r="G3866" i="1"/>
  <c r="G3868" i="1"/>
  <c r="G3869" i="1"/>
  <c r="G3870" i="1"/>
  <c r="G3872" i="1"/>
  <c r="G3873" i="1"/>
  <c r="G3874" i="1"/>
  <c r="G3876" i="1"/>
  <c r="G3877" i="1"/>
  <c r="G3878" i="1"/>
  <c r="G3879" i="1"/>
  <c r="G3880" i="1"/>
  <c r="G3881" i="1"/>
  <c r="G3883" i="1"/>
  <c r="G3884" i="1"/>
  <c r="G3885" i="1"/>
  <c r="G3886" i="1"/>
  <c r="G3887" i="1"/>
  <c r="G3888" i="1"/>
  <c r="G3890" i="1"/>
  <c r="G3891" i="1"/>
  <c r="G3892" i="1"/>
  <c r="G3893" i="1"/>
  <c r="G3894" i="1"/>
  <c r="G3895" i="1"/>
  <c r="G3897" i="1"/>
  <c r="G3898" i="1"/>
  <c r="G3899" i="1"/>
  <c r="G3900" i="1"/>
  <c r="G3901" i="1"/>
  <c r="G3902" i="1"/>
  <c r="G3904" i="1"/>
  <c r="G3905" i="1"/>
  <c r="G3906" i="1"/>
  <c r="G3907" i="1"/>
  <c r="G3908" i="1"/>
  <c r="G3909" i="1"/>
  <c r="G3911" i="1"/>
  <c r="G3912" i="1"/>
  <c r="G3913" i="1"/>
  <c r="G3914" i="1"/>
  <c r="G3915" i="1"/>
  <c r="G3916" i="1"/>
  <c r="G3918" i="1"/>
  <c r="G3919" i="1"/>
  <c r="G3920" i="1"/>
  <c r="G3921" i="1"/>
  <c r="G3922" i="1"/>
  <c r="G3923" i="1"/>
  <c r="G3925" i="1"/>
  <c r="G3926" i="1"/>
  <c r="G3927" i="1"/>
  <c r="G3928" i="1"/>
  <c r="G3929" i="1"/>
  <c r="G3930" i="1"/>
  <c r="G3932" i="1"/>
  <c r="G3933" i="1"/>
  <c r="G3934" i="1"/>
  <c r="G3935" i="1"/>
  <c r="G3936" i="1"/>
  <c r="G3937" i="1"/>
  <c r="G3939" i="1"/>
  <c r="G3940" i="1"/>
  <c r="G3941" i="1"/>
  <c r="G3943" i="1"/>
  <c r="G3944" i="1"/>
  <c r="G3945" i="1"/>
  <c r="G3947" i="1"/>
  <c r="G3948" i="1"/>
  <c r="G3949" i="1"/>
  <c r="G3951" i="1"/>
  <c r="G3952" i="1"/>
  <c r="G3953" i="1"/>
  <c r="G3955" i="1"/>
  <c r="G3956" i="1"/>
  <c r="G3957" i="1"/>
  <c r="G3958" i="1"/>
  <c r="G3959" i="1"/>
  <c r="G3960" i="1"/>
  <c r="G3962" i="1"/>
  <c r="G3963" i="1"/>
  <c r="G3964" i="1"/>
  <c r="G3965" i="1"/>
  <c r="G3966" i="1"/>
  <c r="G3967" i="1"/>
  <c r="G3969" i="1"/>
  <c r="G3970" i="1"/>
  <c r="G3971" i="1"/>
  <c r="G3973" i="1"/>
  <c r="G3974" i="1"/>
  <c r="G3975" i="1"/>
  <c r="G3977" i="1"/>
  <c r="G3978" i="1"/>
  <c r="G3979" i="1"/>
  <c r="G3980" i="1"/>
  <c r="G3981" i="1"/>
  <c r="G3982" i="1"/>
  <c r="G3984" i="1"/>
  <c r="G3985" i="1"/>
  <c r="G3986" i="1"/>
  <c r="G3987" i="1"/>
  <c r="G3988" i="1"/>
  <c r="G3989" i="1"/>
  <c r="G3991" i="1"/>
  <c r="G3992" i="1"/>
  <c r="G3993" i="1"/>
  <c r="G3994" i="1"/>
  <c r="G3995" i="1"/>
  <c r="G3996" i="1"/>
  <c r="G3998" i="1"/>
  <c r="G3999" i="1"/>
  <c r="G4000" i="1"/>
  <c r="G4001" i="1"/>
  <c r="G4002" i="1"/>
  <c r="G4003" i="1"/>
  <c r="G4005" i="1"/>
  <c r="G4006" i="1"/>
  <c r="G4007" i="1"/>
  <c r="G4008" i="1"/>
  <c r="G4009" i="1"/>
  <c r="G4010" i="1"/>
  <c r="G4012" i="1"/>
  <c r="G4013" i="1"/>
  <c r="G4014" i="1"/>
  <c r="G4015" i="1"/>
  <c r="G4016" i="1"/>
  <c r="G4017" i="1"/>
  <c r="G4019" i="1"/>
  <c r="G4020" i="1"/>
  <c r="G4021" i="1"/>
  <c r="G4022" i="1"/>
  <c r="G4023" i="1"/>
  <c r="G4024" i="1"/>
  <c r="G4026" i="1"/>
  <c r="G4027" i="1"/>
  <c r="G4028" i="1"/>
  <c r="G4029" i="1"/>
  <c r="G4030" i="1"/>
  <c r="G4031" i="1"/>
  <c r="G4033" i="1"/>
  <c r="G4034" i="1"/>
  <c r="G4035" i="1"/>
  <c r="G4036" i="1"/>
  <c r="G4037" i="1"/>
  <c r="G4038" i="1"/>
  <c r="G4040" i="1"/>
  <c r="G4041" i="1"/>
  <c r="G4042" i="1"/>
  <c r="G4043" i="1"/>
  <c r="G4044" i="1"/>
  <c r="G4045" i="1"/>
  <c r="G4048" i="1"/>
  <c r="G4049" i="1"/>
  <c r="G4050" i="1"/>
  <c r="G4052" i="1"/>
  <c r="G4053" i="1"/>
  <c r="G4054" i="1"/>
  <c r="G4056" i="1"/>
  <c r="G4057" i="1"/>
  <c r="G4058" i="1"/>
  <c r="G4059" i="1"/>
  <c r="G4060" i="1"/>
  <c r="G4061" i="1"/>
  <c r="G4063" i="1"/>
  <c r="G4064" i="1"/>
  <c r="G4065" i="1"/>
  <c r="G4066" i="1"/>
  <c r="G4067" i="1"/>
  <c r="G4068" i="1"/>
  <c r="G4070" i="1"/>
  <c r="G4071" i="1"/>
  <c r="G4072" i="1"/>
  <c r="G4074" i="1"/>
  <c r="G4075" i="1"/>
  <c r="G4076" i="1"/>
  <c r="G4078" i="1"/>
  <c r="G4079" i="1"/>
  <c r="G4080" i="1"/>
  <c r="G4081" i="1"/>
  <c r="G4082" i="1"/>
  <c r="G4083" i="1"/>
  <c r="G4085" i="1"/>
  <c r="G4086" i="1"/>
  <c r="G4087" i="1"/>
  <c r="G4088" i="1"/>
  <c r="G4089" i="1"/>
  <c r="G4090" i="1"/>
  <c r="G4092" i="1"/>
  <c r="G4093" i="1"/>
  <c r="G4094" i="1"/>
  <c r="G4095" i="1"/>
  <c r="G4096" i="1"/>
  <c r="G4097" i="1"/>
  <c r="G4099" i="1"/>
  <c r="G4100" i="1"/>
  <c r="G4101" i="1"/>
  <c r="G4102" i="1"/>
  <c r="G4103" i="1"/>
  <c r="G4104" i="1"/>
  <c r="G4106" i="1"/>
  <c r="G4107" i="1"/>
  <c r="G4108" i="1"/>
  <c r="G4109" i="1"/>
  <c r="G4110" i="1"/>
  <c r="G4111" i="1"/>
  <c r="G4113" i="1"/>
  <c r="G4114" i="1"/>
  <c r="G4115" i="1"/>
  <c r="G4116" i="1"/>
  <c r="G4117" i="1"/>
  <c r="G4118" i="1"/>
  <c r="G4120" i="1"/>
  <c r="G4121" i="1"/>
  <c r="G4122" i="1"/>
  <c r="G4123" i="1"/>
  <c r="G4124" i="1"/>
  <c r="G4125" i="1"/>
  <c r="G4127" i="1"/>
  <c r="G4128" i="1"/>
  <c r="G4129" i="1"/>
  <c r="G4130" i="1"/>
  <c r="G4131" i="1"/>
  <c r="G4132" i="1"/>
  <c r="G4134" i="1"/>
  <c r="G4135" i="1"/>
  <c r="G4136" i="1"/>
  <c r="G4137" i="1"/>
  <c r="G4138" i="1"/>
  <c r="G4139" i="1"/>
  <c r="G4141" i="1"/>
  <c r="G4142" i="1"/>
  <c r="G4143" i="1"/>
  <c r="G4144" i="1"/>
  <c r="G4145" i="1"/>
  <c r="G4146" i="1"/>
  <c r="G4148" i="1"/>
  <c r="G4149" i="1"/>
  <c r="G4150" i="1"/>
  <c r="G4151" i="1"/>
  <c r="G4152" i="1"/>
  <c r="G4153" i="1"/>
  <c r="G4155" i="1"/>
  <c r="G4156" i="1"/>
  <c r="G4157" i="1"/>
  <c r="G4158" i="1"/>
  <c r="G4159" i="1"/>
  <c r="G4160" i="1"/>
  <c r="G4162" i="1"/>
  <c r="G4163" i="1"/>
  <c r="G4164" i="1"/>
  <c r="G4166" i="1"/>
  <c r="G4167" i="1"/>
  <c r="G4168" i="1"/>
  <c r="G4170" i="1"/>
  <c r="G4171" i="1"/>
  <c r="G4172" i="1"/>
  <c r="G4175" i="1"/>
  <c r="G4176" i="1"/>
  <c r="G4177" i="1"/>
  <c r="G4179" i="1"/>
  <c r="G4180" i="1"/>
  <c r="G4181" i="1"/>
  <c r="G4182" i="1"/>
  <c r="G4183" i="1"/>
  <c r="G4184" i="1"/>
  <c r="G4186" i="1"/>
  <c r="G4187" i="1"/>
  <c r="G4188" i="1"/>
  <c r="G4189" i="1"/>
  <c r="G4190" i="1"/>
  <c r="G4191" i="1"/>
  <c r="G4193" i="1"/>
  <c r="G4194" i="1"/>
  <c r="G4195" i="1"/>
  <c r="G4196" i="1"/>
  <c r="G4197" i="1"/>
  <c r="G4198" i="1"/>
  <c r="G4200" i="1"/>
  <c r="G4201" i="1"/>
  <c r="G4202" i="1"/>
  <c r="G4203" i="1"/>
  <c r="G4204" i="1"/>
  <c r="G4205" i="1"/>
  <c r="G4207" i="1"/>
  <c r="G4208" i="1"/>
  <c r="G4209" i="1"/>
  <c r="G4210" i="1"/>
  <c r="G4211" i="1"/>
  <c r="G4212" i="1"/>
  <c r="G4214" i="1"/>
  <c r="G4215" i="1"/>
  <c r="G4216" i="1"/>
  <c r="G4217" i="1"/>
  <c r="G4218" i="1"/>
  <c r="G4219" i="1"/>
  <c r="G4221" i="1"/>
  <c r="G4222" i="1"/>
  <c r="G4223" i="1"/>
  <c r="G4224" i="1"/>
  <c r="G4225" i="1"/>
  <c r="G4226" i="1"/>
  <c r="G4228" i="1"/>
  <c r="G4229" i="1"/>
  <c r="G4230" i="1"/>
  <c r="G4231" i="1"/>
  <c r="G4232" i="1"/>
  <c r="G4233" i="1"/>
  <c r="G4235" i="1"/>
  <c r="G4236" i="1"/>
  <c r="G4237" i="1"/>
  <c r="G4238" i="1"/>
  <c r="G4239" i="1"/>
  <c r="G4240" i="1"/>
  <c r="G4242" i="1"/>
  <c r="G4243" i="1"/>
  <c r="G4244" i="1"/>
  <c r="G4245" i="1"/>
  <c r="G4246" i="1"/>
  <c r="G4247" i="1"/>
  <c r="G4249" i="1"/>
  <c r="G4250" i="1"/>
  <c r="G4251" i="1"/>
  <c r="G4252" i="1"/>
  <c r="G4253" i="1"/>
  <c r="G4254" i="1"/>
  <c r="G4256" i="1"/>
  <c r="G4257" i="1"/>
  <c r="G4258" i="1"/>
  <c r="G4259" i="1"/>
  <c r="G4260" i="1"/>
  <c r="G4261" i="1"/>
  <c r="G4263" i="1"/>
  <c r="G4264" i="1"/>
  <c r="G4265" i="1"/>
  <c r="G4266" i="1"/>
  <c r="G4267" i="1"/>
  <c r="G4268" i="1"/>
  <c r="G4271" i="1"/>
  <c r="G4272" i="1"/>
  <c r="G4273" i="1"/>
  <c r="G4276" i="1"/>
  <c r="G4277" i="1"/>
  <c r="G4278" i="1"/>
  <c r="G4280" i="1"/>
  <c r="G4281" i="1"/>
  <c r="G4282" i="1"/>
  <c r="G4283" i="1"/>
  <c r="G4284" i="1"/>
  <c r="G4285" i="1"/>
  <c r="G4287" i="1"/>
  <c r="G4288" i="1"/>
  <c r="G4289" i="1"/>
  <c r="G4290" i="1"/>
  <c r="G4291" i="1"/>
  <c r="G4292" i="1"/>
  <c r="G4294" i="1"/>
  <c r="G4295" i="1"/>
  <c r="G4296" i="1"/>
  <c r="G4297" i="1"/>
  <c r="G4298" i="1"/>
  <c r="G4299" i="1"/>
  <c r="G4301" i="1"/>
  <c r="G4302" i="1"/>
  <c r="G4303" i="1"/>
  <c r="G4304" i="1"/>
  <c r="G4305" i="1"/>
  <c r="G4306" i="1"/>
  <c r="G4308" i="1"/>
  <c r="G4309" i="1"/>
  <c r="G4310" i="1"/>
  <c r="G4311" i="1"/>
  <c r="G4312" i="1"/>
  <c r="G4313" i="1"/>
  <c r="G4315" i="1"/>
  <c r="G4316" i="1"/>
  <c r="G4317" i="1"/>
  <c r="G4318" i="1"/>
  <c r="G4319" i="1"/>
  <c r="G4320" i="1"/>
  <c r="G4322" i="1"/>
  <c r="G4323" i="1"/>
  <c r="G4324" i="1"/>
  <c r="G4325" i="1"/>
  <c r="G4326" i="1"/>
  <c r="G4327" i="1"/>
  <c r="G4329" i="1"/>
  <c r="G4330" i="1"/>
  <c r="G4331" i="1"/>
  <c r="G4332" i="1"/>
  <c r="G4333" i="1"/>
  <c r="G4334" i="1"/>
  <c r="G4336" i="1"/>
  <c r="G4337" i="1"/>
  <c r="G4338" i="1"/>
  <c r="G4339" i="1"/>
  <c r="G4340" i="1"/>
  <c r="G4341" i="1"/>
  <c r="G4343" i="1"/>
  <c r="G4344" i="1"/>
  <c r="G4345" i="1"/>
  <c r="G4346" i="1"/>
  <c r="G4347" i="1"/>
  <c r="G4348" i="1"/>
  <c r="G4350" i="1"/>
  <c r="G4351" i="1"/>
  <c r="G4352" i="1"/>
  <c r="G4353" i="1"/>
  <c r="G4354" i="1"/>
  <c r="G4355" i="1"/>
  <c r="G4357" i="1"/>
  <c r="G4358" i="1"/>
  <c r="G4359" i="1"/>
  <c r="G4360" i="1"/>
  <c r="G4361" i="1"/>
  <c r="G4362" i="1"/>
  <c r="G4364" i="1"/>
  <c r="G4365" i="1"/>
  <c r="G4366" i="1"/>
  <c r="G4367" i="1"/>
  <c r="G4368" i="1"/>
  <c r="G4369" i="1"/>
  <c r="G4371" i="1"/>
  <c r="G4372" i="1"/>
  <c r="G4373" i="1"/>
  <c r="G4375" i="1"/>
  <c r="G4376" i="1"/>
  <c r="G4377" i="1"/>
  <c r="G4379" i="1"/>
  <c r="G4380" i="1"/>
  <c r="G4381" i="1"/>
  <c r="G4382" i="1"/>
  <c r="G4383" i="1"/>
  <c r="G4384" i="1"/>
  <c r="G4386" i="1"/>
  <c r="G4387" i="1"/>
  <c r="G4388" i="1"/>
  <c r="G4390" i="1"/>
  <c r="G4391" i="1"/>
  <c r="G4392" i="1"/>
  <c r="G4394" i="1"/>
  <c r="G4395" i="1"/>
  <c r="G4396" i="1"/>
  <c r="G4398" i="1"/>
  <c r="G4399" i="1"/>
  <c r="G4400" i="1"/>
  <c r="G4402" i="1"/>
  <c r="G4403" i="1"/>
  <c r="G4404" i="1"/>
  <c r="G4405" i="1"/>
  <c r="G4406" i="1"/>
  <c r="G4407" i="1"/>
  <c r="G4409" i="1"/>
  <c r="G4410" i="1"/>
  <c r="G4411" i="1"/>
  <c r="G4412" i="1"/>
  <c r="G4413" i="1"/>
  <c r="G4414" i="1"/>
  <c r="G4416" i="1"/>
  <c r="G4417" i="1"/>
  <c r="G4418" i="1"/>
  <c r="G4419" i="1"/>
  <c r="G4420" i="1"/>
  <c r="G4421" i="1"/>
  <c r="G4423" i="1"/>
  <c r="G4424" i="1"/>
  <c r="G4425" i="1"/>
  <c r="G4426" i="1"/>
  <c r="G4427" i="1"/>
  <c r="G4428" i="1"/>
  <c r="G4430" i="1"/>
  <c r="G4431" i="1"/>
  <c r="G4432" i="1"/>
  <c r="G4433" i="1"/>
  <c r="G4434" i="1"/>
  <c r="G4435" i="1"/>
  <c r="G4437" i="1"/>
  <c r="G4438" i="1"/>
  <c r="G4439" i="1"/>
  <c r="G4440" i="1"/>
  <c r="G4441" i="1"/>
  <c r="G4442" i="1"/>
  <c r="G4444" i="1"/>
  <c r="G4445" i="1"/>
  <c r="G4446" i="1"/>
  <c r="G4447" i="1"/>
  <c r="G4448" i="1"/>
  <c r="G4449" i="1"/>
  <c r="G4451" i="1"/>
  <c r="G4452" i="1"/>
  <c r="G4453" i="1"/>
  <c r="G4454" i="1"/>
  <c r="G4455" i="1"/>
  <c r="G4456" i="1"/>
  <c r="G4458" i="1"/>
  <c r="G4459" i="1"/>
  <c r="G4460" i="1"/>
  <c r="G4461" i="1"/>
  <c r="G4462" i="1"/>
  <c r="G4463" i="1"/>
  <c r="G4465" i="1"/>
  <c r="G4466" i="1"/>
  <c r="G4467" i="1"/>
  <c r="G4468" i="1"/>
  <c r="G4469" i="1"/>
  <c r="G4470" i="1"/>
  <c r="G4472" i="1"/>
  <c r="G4473" i="1"/>
  <c r="G4474" i="1"/>
  <c r="G4476" i="1"/>
  <c r="G4477" i="1"/>
  <c r="G4478" i="1"/>
  <c r="G4480" i="1"/>
  <c r="G4481" i="1"/>
  <c r="G4482" i="1"/>
  <c r="G4483" i="1"/>
  <c r="G4484" i="1"/>
  <c r="G4485" i="1"/>
  <c r="G4487" i="1"/>
  <c r="G4488" i="1"/>
  <c r="G4489" i="1"/>
  <c r="G4490" i="1"/>
  <c r="G4491" i="1"/>
  <c r="G4492" i="1"/>
  <c r="G4495" i="1"/>
  <c r="G4496" i="1"/>
  <c r="G4497" i="1"/>
  <c r="G4499" i="1"/>
  <c r="G4500" i="1"/>
  <c r="G4501" i="1"/>
  <c r="G4503" i="1"/>
  <c r="G4504" i="1"/>
  <c r="G4505" i="1"/>
  <c r="G4506" i="1"/>
  <c r="G4507" i="1"/>
  <c r="G4508" i="1"/>
  <c r="G4510" i="1"/>
  <c r="G4511" i="1"/>
  <c r="G4512" i="1"/>
  <c r="G4513" i="1"/>
  <c r="G4514" i="1"/>
  <c r="G4515" i="1"/>
  <c r="G4517" i="1"/>
  <c r="G4518" i="1"/>
  <c r="G4519" i="1"/>
  <c r="G4520" i="1"/>
  <c r="G4521" i="1"/>
  <c r="G4522" i="1"/>
  <c r="G4524" i="1"/>
  <c r="G4525" i="1"/>
  <c r="G4526" i="1"/>
  <c r="G4527" i="1"/>
  <c r="G4528" i="1"/>
  <c r="G4529" i="1"/>
  <c r="G4531" i="1"/>
  <c r="G4532" i="1"/>
  <c r="G4533" i="1"/>
  <c r="G4534" i="1"/>
  <c r="G4535" i="1"/>
  <c r="G4536" i="1"/>
  <c r="G4538" i="1"/>
  <c r="G4539" i="1"/>
  <c r="G4540" i="1"/>
  <c r="G4541" i="1"/>
  <c r="G4542" i="1"/>
  <c r="G4543" i="1"/>
  <c r="G4545" i="1"/>
  <c r="G4546" i="1"/>
  <c r="G4547" i="1"/>
  <c r="G4548" i="1"/>
  <c r="G4549" i="1"/>
  <c r="G4550" i="1"/>
  <c r="G4552" i="1"/>
  <c r="G4553" i="1"/>
  <c r="G4554" i="1"/>
  <c r="G4555" i="1"/>
  <c r="G4556" i="1"/>
  <c r="G4557" i="1"/>
  <c r="G4559" i="1"/>
  <c r="G4560" i="1"/>
  <c r="G4561" i="1"/>
  <c r="G4562" i="1"/>
  <c r="G4563" i="1"/>
  <c r="G4564" i="1"/>
  <c r="G4566" i="1"/>
  <c r="G4567" i="1"/>
  <c r="G4568" i="1"/>
  <c r="G4569" i="1"/>
  <c r="G4570" i="1"/>
  <c r="G4571" i="1"/>
  <c r="G4573" i="1"/>
  <c r="G4574" i="1"/>
  <c r="G4575" i="1"/>
  <c r="G4577" i="1"/>
  <c r="G4578" i="1"/>
  <c r="G4579" i="1"/>
  <c r="G4581" i="1"/>
  <c r="G4582" i="1"/>
  <c r="G4583" i="1"/>
  <c r="G4584" i="1"/>
  <c r="G4585" i="1"/>
  <c r="G4586" i="1"/>
  <c r="G4588" i="1"/>
  <c r="G4589" i="1"/>
  <c r="G4590" i="1"/>
  <c r="G4591" i="1"/>
  <c r="G4592" i="1"/>
  <c r="G4593" i="1"/>
  <c r="G4595" i="1"/>
  <c r="G4596" i="1"/>
  <c r="G4597" i="1"/>
  <c r="G4598" i="1"/>
  <c r="G4599" i="1"/>
  <c r="G4600" i="1"/>
  <c r="G4602" i="1"/>
  <c r="G4603" i="1"/>
  <c r="G4604" i="1"/>
  <c r="G4606" i="1"/>
  <c r="G4607" i="1"/>
  <c r="G4608" i="1"/>
  <c r="G4610" i="1"/>
  <c r="G4611" i="1"/>
  <c r="G4612" i="1"/>
  <c r="G4614" i="1"/>
  <c r="G4615" i="1"/>
  <c r="G4616" i="1"/>
  <c r="G4618" i="1"/>
  <c r="G4619" i="1"/>
  <c r="G4620" i="1"/>
  <c r="G4621" i="1"/>
  <c r="G4622" i="1"/>
  <c r="G4623" i="1"/>
  <c r="G4625" i="1"/>
  <c r="G4626" i="1"/>
  <c r="G4627" i="1"/>
  <c r="G4628" i="1"/>
  <c r="G4629" i="1"/>
  <c r="G4630" i="1"/>
  <c r="G4632" i="1"/>
  <c r="G4633" i="1"/>
  <c r="G4634" i="1"/>
  <c r="G4635" i="1"/>
  <c r="G4636" i="1"/>
  <c r="G4637" i="1"/>
  <c r="G4639" i="1"/>
  <c r="G4640" i="1"/>
  <c r="G4641" i="1"/>
  <c r="G4642" i="1"/>
  <c r="G4643" i="1"/>
  <c r="G4644" i="1"/>
  <c r="G4646" i="1"/>
  <c r="G4647" i="1"/>
  <c r="G4648" i="1"/>
  <c r="G4649" i="1"/>
  <c r="G4650" i="1"/>
  <c r="G4651" i="1"/>
  <c r="G4653" i="1"/>
  <c r="G4654" i="1"/>
  <c r="G4655" i="1"/>
  <c r="G4656" i="1"/>
  <c r="G4657" i="1"/>
  <c r="G4658" i="1"/>
  <c r="G4660" i="1"/>
  <c r="G4661" i="1"/>
  <c r="G4662" i="1"/>
  <c r="G4663" i="1"/>
  <c r="G4664" i="1"/>
  <c r="G4665" i="1"/>
  <c r="G4667" i="1"/>
  <c r="G4668" i="1"/>
  <c r="G4669" i="1"/>
  <c r="G4670" i="1"/>
  <c r="G4671" i="1"/>
  <c r="G4672" i="1"/>
  <c r="G4674" i="1"/>
  <c r="G4675" i="1"/>
  <c r="G4676" i="1"/>
  <c r="G4678" i="1"/>
  <c r="G4679" i="1"/>
  <c r="G4680" i="1"/>
  <c r="G4682" i="1"/>
  <c r="G4683" i="1"/>
  <c r="G4684" i="1"/>
  <c r="G4685" i="1"/>
  <c r="G4686" i="1"/>
  <c r="G4687" i="1"/>
  <c r="G4689" i="1"/>
  <c r="G4690" i="1"/>
  <c r="G4691" i="1"/>
  <c r="G4692" i="1"/>
  <c r="G4693" i="1"/>
  <c r="G4694" i="1"/>
  <c r="G4696" i="1"/>
  <c r="G4697" i="1"/>
  <c r="G4698" i="1"/>
  <c r="G4699" i="1"/>
  <c r="G4700" i="1"/>
  <c r="G4701" i="1"/>
  <c r="G4703" i="1"/>
  <c r="G4704" i="1"/>
  <c r="G4705" i="1"/>
  <c r="G4706" i="1"/>
  <c r="G4707" i="1"/>
  <c r="G4708" i="1"/>
  <c r="G4711" i="1"/>
  <c r="G4712" i="1"/>
  <c r="G4713" i="1"/>
  <c r="G4715" i="1"/>
  <c r="G4716" i="1"/>
  <c r="G4717" i="1"/>
  <c r="G4719" i="1"/>
  <c r="G4720" i="1"/>
  <c r="G4721" i="1"/>
  <c r="G4722" i="1"/>
  <c r="G4723" i="1"/>
  <c r="G4724" i="1"/>
  <c r="G4726" i="1"/>
  <c r="G4727" i="1"/>
  <c r="G4728" i="1"/>
  <c r="G4729" i="1"/>
  <c r="G4730" i="1"/>
  <c r="G4731" i="1"/>
  <c r="G4733" i="1"/>
  <c r="G4734" i="1"/>
  <c r="G4735" i="1"/>
  <c r="G4736" i="1"/>
  <c r="G4737" i="1"/>
  <c r="G4738" i="1"/>
  <c r="G4740" i="1"/>
  <c r="G4741" i="1"/>
  <c r="G4742" i="1"/>
  <c r="G4743" i="1"/>
  <c r="G4744" i="1"/>
  <c r="G4745" i="1"/>
  <c r="G4747" i="1"/>
  <c r="G4748" i="1"/>
  <c r="G4749" i="1"/>
  <c r="G4750" i="1"/>
  <c r="G4751" i="1"/>
  <c r="G4752" i="1"/>
  <c r="G4754" i="1"/>
  <c r="G4755" i="1"/>
  <c r="G4756" i="1"/>
  <c r="G4757" i="1"/>
  <c r="G4758" i="1"/>
  <c r="G4759" i="1"/>
  <c r="G4761" i="1"/>
  <c r="G4762" i="1"/>
  <c r="G4763" i="1"/>
  <c r="G4764" i="1"/>
  <c r="G4765" i="1"/>
  <c r="G4766" i="1"/>
  <c r="G4768" i="1"/>
  <c r="G4769" i="1"/>
  <c r="G4770" i="1"/>
  <c r="G4771" i="1"/>
  <c r="G4772" i="1"/>
  <c r="G4773" i="1"/>
  <c r="G4775" i="1"/>
  <c r="G4776" i="1"/>
  <c r="G4777" i="1"/>
  <c r="G4779" i="1"/>
  <c r="G4780" i="1"/>
  <c r="G4781" i="1"/>
  <c r="G4783" i="1"/>
  <c r="G4784" i="1"/>
  <c r="G4785" i="1"/>
  <c r="G4786" i="1"/>
  <c r="G4787" i="1"/>
  <c r="G4788" i="1"/>
  <c r="G4790" i="1"/>
  <c r="G4791" i="1"/>
  <c r="G4792" i="1"/>
  <c r="G4793" i="1"/>
  <c r="G4794" i="1"/>
  <c r="G4795" i="1"/>
  <c r="G4797" i="1"/>
  <c r="G4798" i="1"/>
  <c r="G4799" i="1"/>
  <c r="G4800" i="1"/>
  <c r="G4801" i="1"/>
  <c r="G4802" i="1"/>
  <c r="G4804" i="1"/>
  <c r="G4805" i="1"/>
  <c r="G4806" i="1"/>
  <c r="G4807" i="1"/>
  <c r="G4808" i="1"/>
  <c r="G4809" i="1"/>
  <c r="G4811" i="1"/>
  <c r="G4812" i="1"/>
  <c r="G4813" i="1"/>
  <c r="G4814" i="1"/>
  <c r="G4815" i="1"/>
  <c r="G4816" i="1"/>
  <c r="G4818" i="1"/>
  <c r="G4819" i="1"/>
  <c r="G4820" i="1"/>
  <c r="G4821" i="1"/>
  <c r="G4822" i="1"/>
  <c r="G4823" i="1"/>
  <c r="G4825" i="1"/>
  <c r="G4826" i="1"/>
  <c r="G4827" i="1"/>
  <c r="G4829" i="1"/>
  <c r="G4830" i="1"/>
  <c r="G4831" i="1"/>
  <c r="G4833" i="1"/>
  <c r="G4834" i="1"/>
  <c r="G4835" i="1"/>
  <c r="G4837" i="1"/>
  <c r="G4838" i="1"/>
  <c r="G4839" i="1"/>
  <c r="G4841" i="1"/>
  <c r="G4842" i="1"/>
  <c r="G4843" i="1"/>
  <c r="G4844" i="1"/>
  <c r="G4845" i="1"/>
  <c r="G4846" i="1"/>
  <c r="G4848" i="1"/>
  <c r="G4849" i="1"/>
  <c r="G4850" i="1"/>
  <c r="G4851" i="1"/>
  <c r="G4852" i="1"/>
  <c r="G4853" i="1"/>
  <c r="G4855" i="1"/>
  <c r="G4856" i="1"/>
  <c r="G4857" i="1"/>
  <c r="G4858" i="1"/>
  <c r="G4859" i="1"/>
  <c r="G4860" i="1"/>
  <c r="G4862" i="1"/>
  <c r="G4863" i="1"/>
  <c r="G4864" i="1"/>
  <c r="G4865" i="1"/>
  <c r="G4866" i="1"/>
  <c r="G4867" i="1"/>
  <c r="G4869" i="1"/>
  <c r="G4870" i="1"/>
  <c r="G4871" i="1"/>
  <c r="G4872" i="1"/>
  <c r="G4873" i="1"/>
  <c r="G4874" i="1"/>
  <c r="G4876" i="1"/>
  <c r="G4877" i="1"/>
  <c r="G4878" i="1"/>
  <c r="G4880" i="1"/>
  <c r="G4881" i="1"/>
  <c r="G4882" i="1"/>
  <c r="G4884" i="1"/>
  <c r="G4885" i="1"/>
  <c r="G4886" i="1"/>
  <c r="G4887" i="1"/>
  <c r="G4888" i="1"/>
  <c r="G4889" i="1"/>
  <c r="G4891" i="1"/>
  <c r="G4892" i="1"/>
  <c r="G4893" i="1"/>
  <c r="G4894" i="1"/>
  <c r="G4895" i="1"/>
  <c r="G4896" i="1"/>
  <c r="G4898" i="1"/>
  <c r="G4899" i="1"/>
  <c r="G4900" i="1"/>
  <c r="G4901" i="1"/>
  <c r="G4902" i="1"/>
  <c r="G4903" i="1"/>
  <c r="G4905" i="1"/>
  <c r="G4906" i="1"/>
  <c r="G4907" i="1"/>
  <c r="G4908" i="1"/>
  <c r="G4909" i="1"/>
  <c r="G4910" i="1"/>
  <c r="G4912" i="1"/>
  <c r="G4913" i="1"/>
  <c r="G4914" i="1"/>
  <c r="G4915" i="1"/>
  <c r="G4916" i="1"/>
  <c r="G4917" i="1"/>
  <c r="G4919" i="1"/>
  <c r="G4920" i="1"/>
  <c r="G4921" i="1"/>
  <c r="G4922" i="1"/>
  <c r="G4923" i="1"/>
  <c r="G4924" i="1"/>
  <c r="G4926" i="1"/>
  <c r="G4927" i="1"/>
  <c r="G4928" i="1"/>
  <c r="G4929" i="1"/>
  <c r="G4930" i="1"/>
  <c r="G4931" i="1"/>
  <c r="G4934" i="1"/>
  <c r="G4935" i="1"/>
  <c r="G4936" i="1"/>
  <c r="G4938" i="1"/>
  <c r="G4939" i="1"/>
  <c r="G4940" i="1"/>
  <c r="G4942" i="1"/>
  <c r="G4943" i="1"/>
  <c r="G4944" i="1"/>
  <c r="G4945" i="1"/>
  <c r="G4946" i="1"/>
  <c r="G4947" i="1"/>
  <c r="G4949" i="1"/>
  <c r="G4950" i="1"/>
  <c r="G4951" i="1"/>
  <c r="G4952" i="1"/>
  <c r="G4953" i="1"/>
  <c r="G4954" i="1"/>
  <c r="G4956" i="1"/>
  <c r="G4957" i="1"/>
  <c r="G4958" i="1"/>
  <c r="G4959" i="1"/>
  <c r="G4960" i="1"/>
  <c r="G4961" i="1"/>
  <c r="G4963" i="1"/>
  <c r="G4964" i="1"/>
  <c r="G4965" i="1"/>
  <c r="G4966" i="1"/>
  <c r="G4967" i="1"/>
  <c r="G4968" i="1"/>
  <c r="G4970" i="1"/>
  <c r="G4971" i="1"/>
  <c r="G4972" i="1"/>
  <c r="G4973" i="1"/>
  <c r="G4974" i="1"/>
  <c r="G4975" i="1"/>
  <c r="G4977" i="1"/>
  <c r="G4978" i="1"/>
  <c r="G4979" i="1"/>
  <c r="G4981" i="1"/>
  <c r="G4982" i="1"/>
  <c r="G4983" i="1"/>
  <c r="G4985" i="1"/>
  <c r="G4986" i="1"/>
  <c r="G4987" i="1"/>
  <c r="G4988" i="1"/>
  <c r="G4989" i="1"/>
  <c r="G4990" i="1"/>
  <c r="G4992" i="1"/>
  <c r="G4993" i="1"/>
  <c r="G4994" i="1"/>
  <c r="G4995" i="1"/>
  <c r="G4996" i="1"/>
  <c r="G4997" i="1"/>
  <c r="G4999" i="1"/>
  <c r="G5000" i="1"/>
  <c r="G5001" i="1"/>
  <c r="G5002" i="1"/>
  <c r="G5003" i="1"/>
  <c r="G5004" i="1"/>
  <c r="G5006" i="1"/>
  <c r="G5007" i="1"/>
  <c r="G5008" i="1"/>
  <c r="G5009" i="1"/>
  <c r="G5010" i="1"/>
  <c r="G5011" i="1"/>
  <c r="G5013" i="1"/>
  <c r="G5014" i="1"/>
  <c r="G5015" i="1"/>
  <c r="G5016" i="1"/>
  <c r="G5017" i="1"/>
  <c r="G5018" i="1"/>
  <c r="G5020" i="1"/>
  <c r="G5021" i="1"/>
  <c r="G5022" i="1"/>
  <c r="G5023" i="1"/>
  <c r="G5024" i="1"/>
  <c r="G5025" i="1"/>
  <c r="G5027" i="1"/>
  <c r="G5028" i="1"/>
  <c r="G5029" i="1"/>
  <c r="G5030" i="1"/>
  <c r="G5031" i="1"/>
  <c r="G5032" i="1"/>
  <c r="G5034" i="1"/>
  <c r="G5035" i="1"/>
  <c r="G5036" i="1"/>
  <c r="G5037" i="1"/>
  <c r="G5038" i="1"/>
  <c r="G5039" i="1"/>
  <c r="G5041" i="1"/>
  <c r="G5042" i="1"/>
  <c r="G5043" i="1"/>
  <c r="G5045" i="1"/>
  <c r="G5046" i="1"/>
  <c r="G5047" i="1"/>
  <c r="G5049" i="1"/>
  <c r="G5050" i="1"/>
  <c r="G5051" i="1"/>
  <c r="G5053" i="1"/>
  <c r="G5054" i="1"/>
  <c r="G5055" i="1"/>
  <c r="G5057" i="1"/>
  <c r="G5058" i="1"/>
  <c r="G5059" i="1"/>
  <c r="G5060" i="1"/>
  <c r="G5061" i="1"/>
  <c r="G5062" i="1"/>
  <c r="G5064" i="1"/>
  <c r="G5065" i="1"/>
  <c r="G5066" i="1"/>
  <c r="G5067" i="1"/>
  <c r="G5068" i="1"/>
  <c r="G5069" i="1"/>
  <c r="G5071" i="1"/>
  <c r="G5072" i="1"/>
  <c r="G5073" i="1"/>
  <c r="G5074" i="1"/>
  <c r="G5075" i="1"/>
  <c r="G5076" i="1"/>
  <c r="G5078" i="1"/>
  <c r="G5079" i="1"/>
  <c r="G5080" i="1"/>
  <c r="G5082" i="1"/>
  <c r="G5083" i="1"/>
  <c r="G5084" i="1"/>
  <c r="G5086" i="1"/>
  <c r="G5087" i="1"/>
  <c r="G5088" i="1"/>
  <c r="G5089" i="1"/>
  <c r="G5090" i="1"/>
  <c r="G5091" i="1"/>
  <c r="G5093" i="1"/>
  <c r="G5094" i="1"/>
  <c r="G5095" i="1"/>
  <c r="G5096" i="1"/>
  <c r="G5097" i="1"/>
  <c r="G5098" i="1"/>
  <c r="G5100" i="1"/>
  <c r="G5101" i="1"/>
  <c r="G5102" i="1"/>
  <c r="G5103" i="1"/>
  <c r="G5104" i="1"/>
  <c r="G5105" i="1"/>
  <c r="G5107" i="1"/>
  <c r="G5108" i="1"/>
  <c r="G5109" i="1"/>
  <c r="G5110" i="1"/>
  <c r="G5111" i="1"/>
  <c r="G5112" i="1"/>
  <c r="G5114" i="1"/>
  <c r="G5115" i="1"/>
  <c r="G5116" i="1"/>
  <c r="G5117" i="1"/>
  <c r="G5118" i="1"/>
  <c r="G5119" i="1"/>
  <c r="G5121" i="1"/>
  <c r="G5122" i="1"/>
  <c r="G5123" i="1"/>
  <c r="G5124" i="1"/>
  <c r="G5125" i="1"/>
  <c r="G5126" i="1"/>
  <c r="G5128" i="1"/>
  <c r="G5129" i="1"/>
  <c r="G5130" i="1"/>
  <c r="G5131" i="1"/>
  <c r="G5132" i="1"/>
  <c r="G5133" i="1"/>
  <c r="G5135" i="1"/>
  <c r="G5136" i="1"/>
  <c r="G5137" i="1"/>
  <c r="G5138" i="1"/>
  <c r="G5139" i="1"/>
  <c r="G5140" i="1"/>
  <c r="G5142" i="1"/>
  <c r="G5143" i="1"/>
  <c r="G5144" i="1"/>
  <c r="G5145" i="1"/>
  <c r="G5146" i="1"/>
  <c r="G5147" i="1"/>
  <c r="G5150" i="1"/>
  <c r="G5151" i="1"/>
  <c r="G5152" i="1"/>
  <c r="G5154" i="1"/>
  <c r="G5155" i="1"/>
  <c r="G5156" i="1"/>
  <c r="G5158" i="1"/>
  <c r="G5159" i="1"/>
  <c r="G5160" i="1"/>
  <c r="G5161" i="1"/>
  <c r="G5162" i="1"/>
  <c r="G5163" i="1"/>
  <c r="G5165" i="1"/>
  <c r="G5166" i="1"/>
  <c r="G5167" i="1"/>
  <c r="G5168" i="1"/>
  <c r="G5169" i="1"/>
  <c r="G5170" i="1"/>
  <c r="G5172" i="1"/>
  <c r="G5173" i="1"/>
  <c r="G5174" i="1"/>
  <c r="G5175" i="1"/>
  <c r="G5176" i="1"/>
  <c r="G5177" i="1"/>
  <c r="G5179" i="1"/>
  <c r="G5180" i="1"/>
  <c r="G5181" i="1"/>
  <c r="G5183" i="1"/>
  <c r="G5184" i="1"/>
  <c r="G5185" i="1"/>
  <c r="G5187" i="1"/>
  <c r="G5188" i="1"/>
  <c r="G5189" i="1"/>
  <c r="G5190" i="1"/>
  <c r="G5191" i="1"/>
  <c r="G5192" i="1"/>
  <c r="G5194" i="1"/>
  <c r="G5195" i="1"/>
  <c r="G5196" i="1"/>
  <c r="G5197" i="1"/>
  <c r="G5198" i="1"/>
  <c r="G5199" i="1"/>
  <c r="G5201" i="1"/>
  <c r="G5202" i="1"/>
  <c r="G5203" i="1"/>
  <c r="G5204" i="1"/>
  <c r="G5205" i="1"/>
  <c r="G5206" i="1"/>
  <c r="G5208" i="1"/>
  <c r="G5209" i="1"/>
  <c r="G5210" i="1"/>
  <c r="G5211" i="1"/>
  <c r="G5212" i="1"/>
  <c r="G5213" i="1"/>
  <c r="G5215" i="1"/>
  <c r="G5216" i="1"/>
  <c r="G5217" i="1"/>
  <c r="G5218" i="1"/>
  <c r="G5219" i="1"/>
  <c r="G5220" i="1"/>
  <c r="G5222" i="1"/>
  <c r="G5223" i="1"/>
  <c r="G5224" i="1"/>
  <c r="G5225" i="1"/>
  <c r="G5226" i="1"/>
  <c r="G5227" i="1"/>
  <c r="G5229" i="1"/>
  <c r="G5230" i="1"/>
  <c r="G5231" i="1"/>
  <c r="G5232" i="1"/>
  <c r="G5233" i="1"/>
  <c r="G5234" i="1"/>
  <c r="G5236" i="1"/>
  <c r="G5237" i="1"/>
  <c r="G5238" i="1"/>
  <c r="G5239" i="1"/>
  <c r="G5240" i="1"/>
  <c r="G5241" i="1"/>
  <c r="G5243" i="1"/>
  <c r="G5244" i="1"/>
  <c r="G5245" i="1"/>
  <c r="G5246" i="1"/>
  <c r="G5247" i="1"/>
  <c r="G5248" i="1"/>
  <c r="G5250" i="1"/>
  <c r="G5251" i="1"/>
  <c r="G5252" i="1"/>
  <c r="G5253" i="1"/>
  <c r="G5254" i="1"/>
  <c r="G5255" i="1"/>
  <c r="G5257" i="1"/>
  <c r="G5258" i="1"/>
  <c r="G5259" i="1"/>
  <c r="G5260" i="1"/>
  <c r="G5261" i="1"/>
  <c r="G5262" i="1"/>
  <c r="G5264" i="1"/>
  <c r="G5265" i="1"/>
  <c r="G526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J436" i="1" s="1"/>
  <c r="F220" i="1"/>
  <c r="J437" i="1" s="1"/>
  <c r="F221" i="1"/>
  <c r="J438" i="1" s="1"/>
  <c r="F222" i="1"/>
  <c r="J439" i="1" s="1"/>
  <c r="F223" i="1"/>
  <c r="J440" i="1" s="1"/>
  <c r="F224" i="1"/>
  <c r="J441" i="1" s="1"/>
  <c r="F225" i="1"/>
  <c r="J442" i="1" s="1"/>
  <c r="F226" i="1"/>
  <c r="J443" i="1" s="1"/>
  <c r="F227" i="1"/>
  <c r="J444" i="1" s="1"/>
  <c r="F228" i="1"/>
  <c r="J445" i="1" s="1"/>
  <c r="F229" i="1"/>
  <c r="J446" i="1" s="1"/>
  <c r="F230" i="1"/>
  <c r="J447" i="1" s="1"/>
  <c r="F231" i="1"/>
  <c r="J448" i="1" s="1"/>
  <c r="F232" i="1"/>
  <c r="J449" i="1" s="1"/>
  <c r="F233" i="1"/>
  <c r="J450" i="1" s="1"/>
  <c r="F234" i="1"/>
  <c r="J451" i="1" s="1"/>
  <c r="F235" i="1"/>
  <c r="J452" i="1" s="1"/>
  <c r="F236" i="1"/>
  <c r="J453" i="1" s="1"/>
  <c r="F237" i="1"/>
  <c r="J454" i="1" s="1"/>
  <c r="F238" i="1"/>
  <c r="J455" i="1" s="1"/>
  <c r="F239" i="1"/>
  <c r="J456" i="1" s="1"/>
  <c r="F240" i="1"/>
  <c r="J457" i="1" s="1"/>
  <c r="F241" i="1"/>
  <c r="J458" i="1" s="1"/>
  <c r="F242" i="1"/>
  <c r="J459" i="1" s="1"/>
  <c r="F243" i="1"/>
  <c r="J460" i="1" s="1"/>
  <c r="F244" i="1"/>
  <c r="J461" i="1" s="1"/>
  <c r="F245" i="1"/>
  <c r="J462" i="1" s="1"/>
  <c r="F246" i="1"/>
  <c r="J463" i="1" s="1"/>
  <c r="F247" i="1"/>
  <c r="J464" i="1" s="1"/>
  <c r="F248" i="1"/>
  <c r="J465" i="1" s="1"/>
  <c r="F249" i="1"/>
  <c r="J466" i="1" s="1"/>
  <c r="F250" i="1"/>
  <c r="J467" i="1" s="1"/>
  <c r="F251" i="1"/>
  <c r="J468" i="1" s="1"/>
  <c r="F252" i="1"/>
  <c r="J469" i="1" s="1"/>
  <c r="F253" i="1"/>
  <c r="J470" i="1" s="1"/>
  <c r="F254" i="1"/>
  <c r="J471" i="1" s="1"/>
  <c r="F255" i="1"/>
  <c r="J472" i="1" s="1"/>
  <c r="F256" i="1"/>
  <c r="J473" i="1" s="1"/>
  <c r="F257" i="1"/>
  <c r="J474" i="1" s="1"/>
  <c r="F258" i="1"/>
  <c r="J475" i="1" s="1"/>
  <c r="F259" i="1"/>
  <c r="J476" i="1" s="1"/>
  <c r="F260" i="1"/>
  <c r="J477" i="1" s="1"/>
  <c r="F261" i="1"/>
  <c r="J478" i="1" s="1"/>
  <c r="F262" i="1"/>
  <c r="J479" i="1" s="1"/>
  <c r="F263" i="1"/>
  <c r="J480" i="1" s="1"/>
  <c r="F264" i="1"/>
  <c r="J481" i="1" s="1"/>
  <c r="F265" i="1"/>
  <c r="J482" i="1" s="1"/>
  <c r="F266" i="1"/>
  <c r="J483" i="1" s="1"/>
  <c r="F267" i="1"/>
  <c r="J484" i="1" s="1"/>
  <c r="F268" i="1"/>
  <c r="J485" i="1" s="1"/>
  <c r="F269" i="1"/>
  <c r="J486" i="1" s="1"/>
  <c r="F270" i="1"/>
  <c r="J487" i="1" s="1"/>
  <c r="F271" i="1"/>
  <c r="J488" i="1" s="1"/>
  <c r="F272" i="1"/>
  <c r="J489" i="1" s="1"/>
  <c r="F273" i="1"/>
  <c r="J490" i="1" s="1"/>
  <c r="F274" i="1"/>
  <c r="J491" i="1" s="1"/>
  <c r="F275" i="1"/>
  <c r="J492" i="1" s="1"/>
  <c r="F276" i="1"/>
  <c r="J493" i="1" s="1"/>
  <c r="F277" i="1"/>
  <c r="J494" i="1" s="1"/>
  <c r="F278" i="1"/>
  <c r="J495" i="1" s="1"/>
  <c r="F279" i="1"/>
  <c r="J496" i="1" s="1"/>
  <c r="F280" i="1"/>
  <c r="J497" i="1" s="1"/>
  <c r="F281" i="1"/>
  <c r="J498" i="1" s="1"/>
  <c r="F282" i="1"/>
  <c r="J499" i="1" s="1"/>
  <c r="F283" i="1"/>
  <c r="J500" i="1" s="1"/>
  <c r="F284" i="1"/>
  <c r="J501" i="1" s="1"/>
  <c r="F285" i="1"/>
  <c r="J502" i="1" s="1"/>
  <c r="F286" i="1"/>
  <c r="J503" i="1" s="1"/>
  <c r="F287" i="1"/>
  <c r="J504" i="1" s="1"/>
  <c r="F288" i="1"/>
  <c r="J505" i="1" s="1"/>
  <c r="F289" i="1"/>
  <c r="J506" i="1" s="1"/>
  <c r="F290" i="1"/>
  <c r="J507" i="1" s="1"/>
  <c r="F291" i="1"/>
  <c r="J508" i="1" s="1"/>
  <c r="F292" i="1"/>
  <c r="J509" i="1" s="1"/>
  <c r="F293" i="1"/>
  <c r="J510" i="1" s="1"/>
  <c r="F294" i="1"/>
  <c r="J511" i="1" s="1"/>
  <c r="F295" i="1"/>
  <c r="J512" i="1" s="1"/>
  <c r="F296" i="1"/>
  <c r="J513" i="1" s="1"/>
  <c r="F297" i="1"/>
  <c r="J514" i="1" s="1"/>
  <c r="F298" i="1"/>
  <c r="J515" i="1" s="1"/>
  <c r="F299" i="1"/>
  <c r="J516" i="1" s="1"/>
  <c r="F300" i="1"/>
  <c r="J517" i="1" s="1"/>
  <c r="F301" i="1"/>
  <c r="J518" i="1" s="1"/>
  <c r="F302" i="1"/>
  <c r="J519" i="1" s="1"/>
  <c r="F303" i="1"/>
  <c r="J520" i="1" s="1"/>
  <c r="F304" i="1"/>
  <c r="J521" i="1" s="1"/>
  <c r="F305" i="1"/>
  <c r="J522" i="1" s="1"/>
  <c r="F306" i="1"/>
  <c r="J523" i="1" s="1"/>
  <c r="F307" i="1"/>
  <c r="J524" i="1" s="1"/>
  <c r="F308" i="1"/>
  <c r="J525" i="1" s="1"/>
  <c r="F309" i="1"/>
  <c r="J526" i="1" s="1"/>
  <c r="F310" i="1"/>
  <c r="J527" i="1" s="1"/>
  <c r="F311" i="1"/>
  <c r="J528" i="1" s="1"/>
  <c r="F312" i="1"/>
  <c r="J529" i="1" s="1"/>
  <c r="F313" i="1"/>
  <c r="J530" i="1" s="1"/>
  <c r="F314" i="1"/>
  <c r="J531" i="1" s="1"/>
  <c r="F315" i="1"/>
  <c r="J532" i="1" s="1"/>
  <c r="F316" i="1"/>
  <c r="J533" i="1" s="1"/>
  <c r="F317" i="1"/>
  <c r="J534" i="1" s="1"/>
  <c r="F318" i="1"/>
  <c r="J535" i="1" s="1"/>
  <c r="F319" i="1"/>
  <c r="J536" i="1" s="1"/>
  <c r="F320" i="1"/>
  <c r="J537" i="1" s="1"/>
  <c r="F321" i="1"/>
  <c r="J538" i="1" s="1"/>
  <c r="F322" i="1"/>
  <c r="J539" i="1" s="1"/>
  <c r="F323" i="1"/>
  <c r="J540" i="1" s="1"/>
  <c r="F324" i="1"/>
  <c r="J541" i="1" s="1"/>
  <c r="F325" i="1"/>
  <c r="J542" i="1" s="1"/>
  <c r="F326" i="1"/>
  <c r="J543" i="1" s="1"/>
  <c r="F327" i="1"/>
  <c r="J544" i="1" s="1"/>
  <c r="F328" i="1"/>
  <c r="J545" i="1" s="1"/>
  <c r="F329" i="1"/>
  <c r="J546" i="1" s="1"/>
  <c r="F330" i="1"/>
  <c r="J547" i="1" s="1"/>
  <c r="F331" i="1"/>
  <c r="J548" i="1" s="1"/>
  <c r="F332" i="1"/>
  <c r="J549" i="1" s="1"/>
  <c r="F333" i="1"/>
  <c r="J550" i="1" s="1"/>
  <c r="F334" i="1"/>
  <c r="J551" i="1" s="1"/>
  <c r="F335" i="1"/>
  <c r="J552" i="1" s="1"/>
  <c r="F336" i="1"/>
  <c r="J553" i="1" s="1"/>
  <c r="F337" i="1"/>
  <c r="J554" i="1" s="1"/>
  <c r="F338" i="1"/>
  <c r="J555" i="1" s="1"/>
  <c r="F339" i="1"/>
  <c r="J556" i="1" s="1"/>
  <c r="F340" i="1"/>
  <c r="J557" i="1" s="1"/>
  <c r="F341" i="1"/>
  <c r="J558" i="1" s="1"/>
  <c r="F342" i="1"/>
  <c r="J559" i="1" s="1"/>
  <c r="F343" i="1"/>
  <c r="J560" i="1" s="1"/>
  <c r="F344" i="1"/>
  <c r="J561" i="1" s="1"/>
  <c r="F345" i="1"/>
  <c r="J562" i="1" s="1"/>
  <c r="F346" i="1"/>
  <c r="J563" i="1" s="1"/>
  <c r="F347" i="1"/>
  <c r="J564" i="1" s="1"/>
  <c r="F348" i="1"/>
  <c r="J565" i="1" s="1"/>
  <c r="F349" i="1"/>
  <c r="J566" i="1" s="1"/>
  <c r="F350" i="1"/>
  <c r="J567" i="1" s="1"/>
  <c r="F351" i="1"/>
  <c r="J568" i="1" s="1"/>
  <c r="F352" i="1"/>
  <c r="J569" i="1" s="1"/>
  <c r="F353" i="1"/>
  <c r="J570" i="1" s="1"/>
  <c r="F354" i="1"/>
  <c r="J571" i="1" s="1"/>
  <c r="F355" i="1"/>
  <c r="J572" i="1" s="1"/>
  <c r="F356" i="1"/>
  <c r="J573" i="1" s="1"/>
  <c r="F357" i="1"/>
  <c r="J574" i="1" s="1"/>
  <c r="F358" i="1"/>
  <c r="J575" i="1" s="1"/>
  <c r="F359" i="1"/>
  <c r="J576" i="1" s="1"/>
  <c r="F360" i="1"/>
  <c r="J577" i="1" s="1"/>
  <c r="F361" i="1"/>
  <c r="J578" i="1" s="1"/>
  <c r="F362" i="1"/>
  <c r="J579" i="1" s="1"/>
  <c r="F363" i="1"/>
  <c r="J580" i="1" s="1"/>
  <c r="F364" i="1"/>
  <c r="J581" i="1" s="1"/>
  <c r="F365" i="1"/>
  <c r="J582" i="1" s="1"/>
  <c r="F366" i="1"/>
  <c r="J583" i="1" s="1"/>
  <c r="F367" i="1"/>
  <c r="J584" i="1" s="1"/>
  <c r="F368" i="1"/>
  <c r="J585" i="1" s="1"/>
  <c r="F369" i="1"/>
  <c r="J586" i="1" s="1"/>
  <c r="F370" i="1"/>
  <c r="J587" i="1" s="1"/>
  <c r="F371" i="1"/>
  <c r="J588" i="1" s="1"/>
  <c r="F372" i="1"/>
  <c r="J589" i="1" s="1"/>
  <c r="F373" i="1"/>
  <c r="J590" i="1" s="1"/>
  <c r="F374" i="1"/>
  <c r="J591" i="1" s="1"/>
  <c r="F375" i="1"/>
  <c r="J592" i="1" s="1"/>
  <c r="F376" i="1"/>
  <c r="J593" i="1" s="1"/>
  <c r="F377" i="1"/>
  <c r="J594" i="1" s="1"/>
  <c r="F378" i="1"/>
  <c r="J595" i="1" s="1"/>
  <c r="F379" i="1"/>
  <c r="J596" i="1" s="1"/>
  <c r="F380" i="1"/>
  <c r="J597" i="1" s="1"/>
  <c r="F381" i="1"/>
  <c r="J598" i="1" s="1"/>
  <c r="F382" i="1"/>
  <c r="J599" i="1" s="1"/>
  <c r="F383" i="1"/>
  <c r="J600" i="1" s="1"/>
  <c r="F384" i="1"/>
  <c r="J601" i="1" s="1"/>
  <c r="F385" i="1"/>
  <c r="J602" i="1" s="1"/>
  <c r="F386" i="1"/>
  <c r="J603" i="1" s="1"/>
  <c r="F387" i="1"/>
  <c r="J604" i="1" s="1"/>
  <c r="F388" i="1"/>
  <c r="J605" i="1" s="1"/>
  <c r="F389" i="1"/>
  <c r="J606" i="1" s="1"/>
  <c r="F390" i="1"/>
  <c r="J607" i="1" s="1"/>
  <c r="F391" i="1"/>
  <c r="J608" i="1" s="1"/>
  <c r="F392" i="1"/>
  <c r="J609" i="1" s="1"/>
  <c r="F393" i="1"/>
  <c r="J610" i="1" s="1"/>
  <c r="F394" i="1"/>
  <c r="J611" i="1" s="1"/>
  <c r="F395" i="1"/>
  <c r="J612" i="1" s="1"/>
  <c r="F396" i="1"/>
  <c r="J613" i="1" s="1"/>
  <c r="F397" i="1"/>
  <c r="J614" i="1" s="1"/>
  <c r="F398" i="1"/>
  <c r="J615" i="1" s="1"/>
  <c r="F399" i="1"/>
  <c r="J616" i="1" s="1"/>
  <c r="F400" i="1"/>
  <c r="J617" i="1" s="1"/>
  <c r="F401" i="1"/>
  <c r="J618" i="1" s="1"/>
  <c r="F402" i="1"/>
  <c r="J619" i="1" s="1"/>
  <c r="F403" i="1"/>
  <c r="J620" i="1" s="1"/>
  <c r="F404" i="1"/>
  <c r="J621" i="1" s="1"/>
  <c r="F405" i="1"/>
  <c r="J622" i="1" s="1"/>
  <c r="F406" i="1"/>
  <c r="J623" i="1" s="1"/>
  <c r="F407" i="1"/>
  <c r="J624" i="1" s="1"/>
  <c r="F408" i="1"/>
  <c r="J625" i="1" s="1"/>
  <c r="F409" i="1"/>
  <c r="J626" i="1" s="1"/>
  <c r="F410" i="1"/>
  <c r="J627" i="1" s="1"/>
  <c r="F411" i="1"/>
  <c r="J628" i="1" s="1"/>
  <c r="F412" i="1"/>
  <c r="J629" i="1" s="1"/>
  <c r="F413" i="1"/>
  <c r="J630" i="1" s="1"/>
  <c r="F414" i="1"/>
  <c r="J631" i="1" s="1"/>
  <c r="F415" i="1"/>
  <c r="J632" i="1" s="1"/>
  <c r="F416" i="1"/>
  <c r="J633" i="1" s="1"/>
  <c r="F417" i="1"/>
  <c r="J634" i="1" s="1"/>
  <c r="F418" i="1"/>
  <c r="J635" i="1" s="1"/>
  <c r="F419" i="1"/>
  <c r="J636" i="1" s="1"/>
  <c r="F420" i="1"/>
  <c r="J637" i="1" s="1"/>
  <c r="F421" i="1"/>
  <c r="J638" i="1" s="1"/>
  <c r="F422" i="1"/>
  <c r="F423" i="1"/>
  <c r="J640" i="1" s="1"/>
  <c r="F424" i="1"/>
  <c r="J641" i="1" s="1"/>
  <c r="F425" i="1"/>
  <c r="J642" i="1" s="1"/>
  <c r="F426" i="1"/>
  <c r="J643" i="1" s="1"/>
  <c r="F427" i="1"/>
  <c r="J644" i="1" s="1"/>
  <c r="F428" i="1"/>
  <c r="J645" i="1" s="1"/>
  <c r="F429" i="1"/>
  <c r="J646" i="1" s="1"/>
  <c r="F430" i="1"/>
  <c r="J647" i="1" s="1"/>
  <c r="F431" i="1"/>
  <c r="J648" i="1" s="1"/>
  <c r="F432" i="1"/>
  <c r="J649" i="1" s="1"/>
  <c r="F433" i="1"/>
  <c r="J650" i="1" s="1"/>
  <c r="F434" i="1"/>
  <c r="J651" i="1" s="1"/>
  <c r="F435" i="1"/>
  <c r="J652" i="1" s="1"/>
  <c r="F436" i="1"/>
  <c r="J653" i="1" s="1"/>
  <c r="F437" i="1"/>
  <c r="J654" i="1" s="1"/>
  <c r="F438" i="1"/>
  <c r="J655" i="1" s="1"/>
  <c r="F439" i="1"/>
  <c r="J656" i="1" s="1"/>
  <c r="F440" i="1"/>
  <c r="J657" i="1" s="1"/>
  <c r="F441" i="1"/>
  <c r="J658" i="1" s="1"/>
  <c r="F442" i="1"/>
  <c r="J659" i="1" s="1"/>
  <c r="F443" i="1"/>
  <c r="J660" i="1" s="1"/>
  <c r="F444" i="1"/>
  <c r="J661" i="1" s="1"/>
  <c r="F445" i="1"/>
  <c r="J662" i="1" s="1"/>
  <c r="F446" i="1"/>
  <c r="J663" i="1" s="1"/>
  <c r="F447" i="1"/>
  <c r="J664" i="1" s="1"/>
  <c r="F448" i="1"/>
  <c r="J665" i="1" s="1"/>
  <c r="F449" i="1"/>
  <c r="J666" i="1" s="1"/>
  <c r="F450" i="1"/>
  <c r="J667" i="1" s="1"/>
  <c r="F451" i="1"/>
  <c r="J668" i="1" s="1"/>
  <c r="F452" i="1"/>
  <c r="J669" i="1" s="1"/>
  <c r="F453" i="1"/>
  <c r="J670" i="1" s="1"/>
  <c r="F454" i="1"/>
  <c r="J671" i="1" s="1"/>
  <c r="F455" i="1"/>
  <c r="J672" i="1" s="1"/>
  <c r="F456" i="1"/>
  <c r="J673" i="1" s="1"/>
  <c r="F457" i="1"/>
  <c r="J674" i="1" s="1"/>
  <c r="F458" i="1"/>
  <c r="J675" i="1" s="1"/>
  <c r="F459" i="1"/>
  <c r="J676" i="1" s="1"/>
  <c r="F460" i="1"/>
  <c r="J677" i="1" s="1"/>
  <c r="F461" i="1"/>
  <c r="J678" i="1" s="1"/>
  <c r="F462" i="1"/>
  <c r="J679" i="1" s="1"/>
  <c r="F463" i="1"/>
  <c r="J680" i="1" s="1"/>
  <c r="F464" i="1"/>
  <c r="J681" i="1" s="1"/>
  <c r="F465" i="1"/>
  <c r="J682" i="1" s="1"/>
  <c r="F466" i="1"/>
  <c r="J683" i="1" s="1"/>
  <c r="F467" i="1"/>
  <c r="J684" i="1" s="1"/>
  <c r="F468" i="1"/>
  <c r="J685" i="1" s="1"/>
  <c r="F469" i="1"/>
  <c r="J686" i="1" s="1"/>
  <c r="F470" i="1"/>
  <c r="J687" i="1" s="1"/>
  <c r="F471" i="1"/>
  <c r="J688" i="1" s="1"/>
  <c r="F472" i="1"/>
  <c r="J689" i="1" s="1"/>
  <c r="F473" i="1"/>
  <c r="J690" i="1" s="1"/>
  <c r="F474" i="1"/>
  <c r="J691" i="1" s="1"/>
  <c r="F475" i="1"/>
  <c r="J692" i="1" s="1"/>
  <c r="F476" i="1"/>
  <c r="J693" i="1" s="1"/>
  <c r="F477" i="1"/>
  <c r="J694" i="1" s="1"/>
  <c r="F478" i="1"/>
  <c r="J695" i="1" s="1"/>
  <c r="F479" i="1"/>
  <c r="J696" i="1" s="1"/>
  <c r="F480" i="1"/>
  <c r="J697" i="1" s="1"/>
  <c r="F481" i="1"/>
  <c r="J698" i="1" s="1"/>
  <c r="F482" i="1"/>
  <c r="J699" i="1" s="1"/>
  <c r="F483" i="1"/>
  <c r="J700" i="1" s="1"/>
  <c r="F484" i="1"/>
  <c r="J701" i="1" s="1"/>
  <c r="F485" i="1"/>
  <c r="J702" i="1" s="1"/>
  <c r="F486" i="1"/>
  <c r="J703" i="1" s="1"/>
  <c r="F487" i="1"/>
  <c r="J704" i="1" s="1"/>
  <c r="F488" i="1"/>
  <c r="J705" i="1" s="1"/>
  <c r="F489" i="1"/>
  <c r="J706" i="1" s="1"/>
  <c r="F490" i="1"/>
  <c r="J707" i="1" s="1"/>
  <c r="F491" i="1"/>
  <c r="J708" i="1" s="1"/>
  <c r="F492" i="1"/>
  <c r="J709" i="1" s="1"/>
  <c r="F493" i="1"/>
  <c r="J710" i="1" s="1"/>
  <c r="F494" i="1"/>
  <c r="J711" i="1" s="1"/>
  <c r="F495" i="1"/>
  <c r="J712" i="1" s="1"/>
  <c r="F496" i="1"/>
  <c r="J713" i="1" s="1"/>
  <c r="F497" i="1"/>
  <c r="J714" i="1" s="1"/>
  <c r="F498" i="1"/>
  <c r="J715" i="1" s="1"/>
  <c r="F499" i="1"/>
  <c r="J716" i="1" s="1"/>
  <c r="F500" i="1"/>
  <c r="J717" i="1" s="1"/>
  <c r="F501" i="1"/>
  <c r="J718" i="1" s="1"/>
  <c r="F502" i="1"/>
  <c r="J719" i="1" s="1"/>
  <c r="F503" i="1"/>
  <c r="J720" i="1" s="1"/>
  <c r="F504" i="1"/>
  <c r="J721" i="1" s="1"/>
  <c r="F505" i="1"/>
  <c r="J722" i="1" s="1"/>
  <c r="F506" i="1"/>
  <c r="J723" i="1" s="1"/>
  <c r="F507" i="1"/>
  <c r="J724" i="1" s="1"/>
  <c r="F508" i="1"/>
  <c r="J725" i="1" s="1"/>
  <c r="F509" i="1"/>
  <c r="J726" i="1" s="1"/>
  <c r="F510" i="1"/>
  <c r="J727" i="1" s="1"/>
  <c r="F511" i="1"/>
  <c r="J728" i="1" s="1"/>
  <c r="F512" i="1"/>
  <c r="J729" i="1" s="1"/>
  <c r="F513" i="1"/>
  <c r="J730" i="1" s="1"/>
  <c r="F514" i="1"/>
  <c r="J731" i="1" s="1"/>
  <c r="F515" i="1"/>
  <c r="J732" i="1" s="1"/>
  <c r="F516" i="1"/>
  <c r="J733" i="1" s="1"/>
  <c r="F517" i="1"/>
  <c r="J734" i="1" s="1"/>
  <c r="F518" i="1"/>
  <c r="J735" i="1" s="1"/>
  <c r="F519" i="1"/>
  <c r="J736" i="1" s="1"/>
  <c r="F520" i="1"/>
  <c r="J737" i="1" s="1"/>
  <c r="F521" i="1"/>
  <c r="J738" i="1" s="1"/>
  <c r="F522" i="1"/>
  <c r="J739" i="1" s="1"/>
  <c r="F523" i="1"/>
  <c r="J740" i="1" s="1"/>
  <c r="F524" i="1"/>
  <c r="J741" i="1" s="1"/>
  <c r="F525" i="1"/>
  <c r="J742" i="1" s="1"/>
  <c r="F526" i="1"/>
  <c r="J743" i="1" s="1"/>
  <c r="F527" i="1"/>
  <c r="J744" i="1" s="1"/>
  <c r="F528" i="1"/>
  <c r="J745" i="1" s="1"/>
  <c r="F529" i="1"/>
  <c r="J746" i="1" s="1"/>
  <c r="F530" i="1"/>
  <c r="J747" i="1" s="1"/>
  <c r="F531" i="1"/>
  <c r="J748" i="1" s="1"/>
  <c r="F532" i="1"/>
  <c r="J749" i="1" s="1"/>
  <c r="F533" i="1"/>
  <c r="J750" i="1" s="1"/>
  <c r="F534" i="1"/>
  <c r="J751" i="1" s="1"/>
  <c r="F535" i="1"/>
  <c r="J752" i="1" s="1"/>
  <c r="F536" i="1"/>
  <c r="J753" i="1" s="1"/>
  <c r="F537" i="1"/>
  <c r="J754" i="1" s="1"/>
  <c r="F538" i="1"/>
  <c r="J755" i="1" s="1"/>
  <c r="F539" i="1"/>
  <c r="J756" i="1" s="1"/>
  <c r="F540" i="1"/>
  <c r="J757" i="1" s="1"/>
  <c r="F541" i="1"/>
  <c r="J758" i="1" s="1"/>
  <c r="F542" i="1"/>
  <c r="J759" i="1" s="1"/>
  <c r="F543" i="1"/>
  <c r="J760" i="1" s="1"/>
  <c r="F544" i="1"/>
  <c r="J761" i="1" s="1"/>
  <c r="F545" i="1"/>
  <c r="J762" i="1" s="1"/>
  <c r="F546" i="1"/>
  <c r="J763" i="1" s="1"/>
  <c r="F547" i="1"/>
  <c r="J764" i="1" s="1"/>
  <c r="F548" i="1"/>
  <c r="J765" i="1" s="1"/>
  <c r="F549" i="1"/>
  <c r="J766" i="1" s="1"/>
  <c r="F550" i="1"/>
  <c r="J767" i="1" s="1"/>
  <c r="F551" i="1"/>
  <c r="J768" i="1" s="1"/>
  <c r="F552" i="1"/>
  <c r="J769" i="1" s="1"/>
  <c r="F553" i="1"/>
  <c r="J770" i="1" s="1"/>
  <c r="F554" i="1"/>
  <c r="J771" i="1" s="1"/>
  <c r="F555" i="1"/>
  <c r="J772" i="1" s="1"/>
  <c r="F556" i="1"/>
  <c r="J773" i="1" s="1"/>
  <c r="F557" i="1"/>
  <c r="J774" i="1" s="1"/>
  <c r="F558" i="1"/>
  <c r="J775" i="1" s="1"/>
  <c r="F559" i="1"/>
  <c r="J776" i="1" s="1"/>
  <c r="F560" i="1"/>
  <c r="J777" i="1" s="1"/>
  <c r="F561" i="1"/>
  <c r="J778" i="1" s="1"/>
  <c r="F562" i="1"/>
  <c r="J779" i="1" s="1"/>
  <c r="F563" i="1"/>
  <c r="J780" i="1" s="1"/>
  <c r="F564" i="1"/>
  <c r="J781" i="1" s="1"/>
  <c r="F565" i="1"/>
  <c r="J782" i="1" s="1"/>
  <c r="F566" i="1"/>
  <c r="J783" i="1" s="1"/>
  <c r="F567" i="1"/>
  <c r="J784" i="1" s="1"/>
  <c r="F568" i="1"/>
  <c r="J785" i="1" s="1"/>
  <c r="F569" i="1"/>
  <c r="J786" i="1" s="1"/>
  <c r="F570" i="1"/>
  <c r="J787" i="1" s="1"/>
  <c r="F571" i="1"/>
  <c r="J788" i="1" s="1"/>
  <c r="F572" i="1"/>
  <c r="J789" i="1" s="1"/>
  <c r="F573" i="1"/>
  <c r="J790" i="1" s="1"/>
  <c r="F574" i="1"/>
  <c r="J791" i="1" s="1"/>
  <c r="F575" i="1"/>
  <c r="J792" i="1" s="1"/>
  <c r="F576" i="1"/>
  <c r="J793" i="1" s="1"/>
  <c r="F577" i="1"/>
  <c r="J794" i="1" s="1"/>
  <c r="F578" i="1"/>
  <c r="J795" i="1" s="1"/>
  <c r="F579" i="1"/>
  <c r="J796" i="1" s="1"/>
  <c r="F580" i="1"/>
  <c r="J797" i="1" s="1"/>
  <c r="F581" i="1"/>
  <c r="J798" i="1" s="1"/>
  <c r="F582" i="1"/>
  <c r="J799" i="1" s="1"/>
  <c r="F583" i="1"/>
  <c r="J800" i="1" s="1"/>
  <c r="F584" i="1"/>
  <c r="J801" i="1" s="1"/>
  <c r="F585" i="1"/>
  <c r="J802" i="1" s="1"/>
  <c r="F586" i="1"/>
  <c r="J803" i="1" s="1"/>
  <c r="F587" i="1"/>
  <c r="J804" i="1" s="1"/>
  <c r="F588" i="1"/>
  <c r="J805" i="1" s="1"/>
  <c r="F589" i="1"/>
  <c r="J806" i="1" s="1"/>
  <c r="F590" i="1"/>
  <c r="J807" i="1" s="1"/>
  <c r="F591" i="1"/>
  <c r="J808" i="1" s="1"/>
  <c r="F592" i="1"/>
  <c r="J809" i="1" s="1"/>
  <c r="F593" i="1"/>
  <c r="J810" i="1" s="1"/>
  <c r="F594" i="1"/>
  <c r="J811" i="1" s="1"/>
  <c r="F595" i="1"/>
  <c r="J812" i="1" s="1"/>
  <c r="F596" i="1"/>
  <c r="J813" i="1" s="1"/>
  <c r="F597" i="1"/>
  <c r="J814" i="1" s="1"/>
  <c r="F598" i="1"/>
  <c r="J815" i="1" s="1"/>
  <c r="F599" i="1"/>
  <c r="J816" i="1" s="1"/>
  <c r="F600" i="1"/>
  <c r="J817" i="1" s="1"/>
  <c r="F601" i="1"/>
  <c r="J818" i="1" s="1"/>
  <c r="F602" i="1"/>
  <c r="J819" i="1" s="1"/>
  <c r="F603" i="1"/>
  <c r="J820" i="1" s="1"/>
  <c r="F604" i="1"/>
  <c r="J821" i="1" s="1"/>
  <c r="F605" i="1"/>
  <c r="J822" i="1" s="1"/>
  <c r="F606" i="1"/>
  <c r="J823" i="1" s="1"/>
  <c r="F607" i="1"/>
  <c r="J824" i="1" s="1"/>
  <c r="F608" i="1"/>
  <c r="J825" i="1" s="1"/>
  <c r="F609" i="1"/>
  <c r="J826" i="1" s="1"/>
  <c r="F610" i="1"/>
  <c r="J827" i="1" s="1"/>
  <c r="F611" i="1"/>
  <c r="J828" i="1" s="1"/>
  <c r="F612" i="1"/>
  <c r="J829" i="1" s="1"/>
  <c r="F613" i="1"/>
  <c r="J830" i="1" s="1"/>
  <c r="F614" i="1"/>
  <c r="J831" i="1" s="1"/>
  <c r="F615" i="1"/>
  <c r="J832" i="1" s="1"/>
  <c r="F616" i="1"/>
  <c r="J833" i="1" s="1"/>
  <c r="F617" i="1"/>
  <c r="J834" i="1" s="1"/>
  <c r="F618" i="1"/>
  <c r="J835" i="1" s="1"/>
  <c r="F619" i="1"/>
  <c r="J836" i="1" s="1"/>
  <c r="F620" i="1"/>
  <c r="J837" i="1" s="1"/>
  <c r="F621" i="1"/>
  <c r="J838" i="1" s="1"/>
  <c r="F622" i="1"/>
  <c r="J839" i="1" s="1"/>
  <c r="F623" i="1"/>
  <c r="J840" i="1" s="1"/>
  <c r="F624" i="1"/>
  <c r="J841" i="1" s="1"/>
  <c r="F625" i="1"/>
  <c r="J842" i="1" s="1"/>
  <c r="F626" i="1"/>
  <c r="J843" i="1" s="1"/>
  <c r="F627" i="1"/>
  <c r="J844" i="1" s="1"/>
  <c r="F628" i="1"/>
  <c r="J845" i="1" s="1"/>
  <c r="F629" i="1"/>
  <c r="J846" i="1" s="1"/>
  <c r="F630" i="1"/>
  <c r="J847" i="1" s="1"/>
  <c r="F631" i="1"/>
  <c r="J848" i="1" s="1"/>
  <c r="F632" i="1"/>
  <c r="J849" i="1" s="1"/>
  <c r="F633" i="1"/>
  <c r="J850" i="1" s="1"/>
  <c r="F634" i="1"/>
  <c r="J851" i="1" s="1"/>
  <c r="F635" i="1"/>
  <c r="J852" i="1" s="1"/>
  <c r="F636" i="1"/>
  <c r="J853" i="1" s="1"/>
  <c r="F637" i="1"/>
  <c r="J854" i="1" s="1"/>
  <c r="F638" i="1"/>
  <c r="J855" i="1" s="1"/>
  <c r="F639" i="1"/>
  <c r="J856" i="1" s="1"/>
  <c r="F640" i="1"/>
  <c r="J857" i="1" s="1"/>
  <c r="F641" i="1"/>
  <c r="J858" i="1" s="1"/>
  <c r="F642" i="1"/>
  <c r="J859" i="1" s="1"/>
  <c r="F643" i="1"/>
  <c r="J860" i="1" s="1"/>
  <c r="F644" i="1"/>
  <c r="J861" i="1" s="1"/>
  <c r="F645" i="1"/>
  <c r="J862" i="1" s="1"/>
  <c r="F646" i="1"/>
  <c r="J863" i="1" s="1"/>
  <c r="F647" i="1"/>
  <c r="J864" i="1" s="1"/>
  <c r="F648" i="1"/>
  <c r="J865" i="1" s="1"/>
  <c r="F649" i="1"/>
  <c r="J866" i="1" s="1"/>
  <c r="F650" i="1"/>
  <c r="J867" i="1" s="1"/>
  <c r="F651" i="1"/>
  <c r="J868" i="1" s="1"/>
  <c r="F652" i="1"/>
  <c r="J869" i="1" s="1"/>
  <c r="F653" i="1"/>
  <c r="J870" i="1" s="1"/>
  <c r="F654" i="1"/>
  <c r="J871" i="1" s="1"/>
  <c r="F655" i="1"/>
  <c r="J872" i="1" s="1"/>
  <c r="F656" i="1"/>
  <c r="J873" i="1" s="1"/>
  <c r="F657" i="1"/>
  <c r="J874" i="1" s="1"/>
  <c r="F658" i="1"/>
  <c r="J875" i="1" s="1"/>
  <c r="F659" i="1"/>
  <c r="J876" i="1" s="1"/>
  <c r="F660" i="1"/>
  <c r="J877" i="1" s="1"/>
  <c r="F661" i="1"/>
  <c r="J878" i="1" s="1"/>
  <c r="F662" i="1"/>
  <c r="J879" i="1" s="1"/>
  <c r="F663" i="1"/>
  <c r="J880" i="1" s="1"/>
  <c r="F664" i="1"/>
  <c r="J881" i="1" s="1"/>
  <c r="F665" i="1"/>
  <c r="J882" i="1" s="1"/>
  <c r="F666" i="1"/>
  <c r="J883" i="1" s="1"/>
  <c r="F667" i="1"/>
  <c r="J884" i="1" s="1"/>
  <c r="F668" i="1"/>
  <c r="J885" i="1" s="1"/>
  <c r="F669" i="1"/>
  <c r="J886" i="1" s="1"/>
  <c r="F670" i="1"/>
  <c r="J887" i="1" s="1"/>
  <c r="F671" i="1"/>
  <c r="J888" i="1" s="1"/>
  <c r="F672" i="1"/>
  <c r="J889" i="1" s="1"/>
  <c r="F673" i="1"/>
  <c r="J890" i="1" s="1"/>
  <c r="F674" i="1"/>
  <c r="J891" i="1" s="1"/>
  <c r="F675" i="1"/>
  <c r="J892" i="1" s="1"/>
  <c r="F676" i="1"/>
  <c r="J893" i="1" s="1"/>
  <c r="F677" i="1"/>
  <c r="J894" i="1" s="1"/>
  <c r="F678" i="1"/>
  <c r="J895" i="1" s="1"/>
  <c r="F679" i="1"/>
  <c r="J896" i="1" s="1"/>
  <c r="F680" i="1"/>
  <c r="J897" i="1" s="1"/>
  <c r="F681" i="1"/>
  <c r="J898" i="1" s="1"/>
  <c r="F682" i="1"/>
  <c r="J899" i="1" s="1"/>
  <c r="F683" i="1"/>
  <c r="J900" i="1" s="1"/>
  <c r="F684" i="1"/>
  <c r="J901" i="1" s="1"/>
  <c r="F685" i="1"/>
  <c r="J902" i="1" s="1"/>
  <c r="F686" i="1"/>
  <c r="J903" i="1" s="1"/>
  <c r="F687" i="1"/>
  <c r="J904" i="1" s="1"/>
  <c r="F688" i="1"/>
  <c r="J905" i="1" s="1"/>
  <c r="F689" i="1"/>
  <c r="J906" i="1" s="1"/>
  <c r="F690" i="1"/>
  <c r="J907" i="1" s="1"/>
  <c r="F691" i="1"/>
  <c r="J908" i="1" s="1"/>
  <c r="F692" i="1"/>
  <c r="J909" i="1" s="1"/>
  <c r="F693" i="1"/>
  <c r="J910" i="1" s="1"/>
  <c r="F694" i="1"/>
  <c r="J911" i="1" s="1"/>
  <c r="F695" i="1"/>
  <c r="J912" i="1" s="1"/>
  <c r="F696" i="1"/>
  <c r="J913" i="1" s="1"/>
  <c r="F697" i="1"/>
  <c r="J914" i="1" s="1"/>
  <c r="F698" i="1"/>
  <c r="J915" i="1" s="1"/>
  <c r="F699" i="1"/>
  <c r="J916" i="1" s="1"/>
  <c r="F700" i="1"/>
  <c r="J917" i="1" s="1"/>
  <c r="F701" i="1"/>
  <c r="J918" i="1" s="1"/>
  <c r="F702" i="1"/>
  <c r="J919" i="1" s="1"/>
  <c r="F703" i="1"/>
  <c r="J920" i="1" s="1"/>
  <c r="F704" i="1"/>
  <c r="J921" i="1" s="1"/>
  <c r="F705" i="1"/>
  <c r="J922" i="1" s="1"/>
  <c r="F706" i="1"/>
  <c r="J923" i="1" s="1"/>
  <c r="F707" i="1"/>
  <c r="J924" i="1" s="1"/>
  <c r="F708" i="1"/>
  <c r="J925" i="1" s="1"/>
  <c r="F709" i="1"/>
  <c r="J926" i="1" s="1"/>
  <c r="F710" i="1"/>
  <c r="J927" i="1" s="1"/>
  <c r="F711" i="1"/>
  <c r="J928" i="1" s="1"/>
  <c r="F712" i="1"/>
  <c r="J929" i="1" s="1"/>
  <c r="F713" i="1"/>
  <c r="J930" i="1" s="1"/>
  <c r="F714" i="1"/>
  <c r="J931" i="1" s="1"/>
  <c r="F715" i="1"/>
  <c r="J932" i="1" s="1"/>
  <c r="F716" i="1"/>
  <c r="J933" i="1" s="1"/>
  <c r="F717" i="1"/>
  <c r="J934" i="1" s="1"/>
  <c r="F718" i="1"/>
  <c r="J935" i="1" s="1"/>
  <c r="F719" i="1"/>
  <c r="J936" i="1" s="1"/>
  <c r="F720" i="1"/>
  <c r="J937" i="1" s="1"/>
  <c r="F721" i="1"/>
  <c r="J938" i="1" s="1"/>
  <c r="F722" i="1"/>
  <c r="J939" i="1" s="1"/>
  <c r="F723" i="1"/>
  <c r="J940" i="1" s="1"/>
  <c r="F724" i="1"/>
  <c r="J941" i="1" s="1"/>
  <c r="F725" i="1"/>
  <c r="J942" i="1" s="1"/>
  <c r="F726" i="1"/>
  <c r="J943" i="1" s="1"/>
  <c r="F727" i="1"/>
  <c r="J944" i="1" s="1"/>
  <c r="F728" i="1"/>
  <c r="J945" i="1" s="1"/>
  <c r="F729" i="1"/>
  <c r="J946" i="1" s="1"/>
  <c r="F730" i="1"/>
  <c r="J947" i="1" s="1"/>
  <c r="F731" i="1"/>
  <c r="J948" i="1" s="1"/>
  <c r="F732" i="1"/>
  <c r="J949" i="1" s="1"/>
  <c r="F733" i="1"/>
  <c r="J950" i="1" s="1"/>
  <c r="F734" i="1"/>
  <c r="J951" i="1" s="1"/>
  <c r="F735" i="1"/>
  <c r="J952" i="1" s="1"/>
  <c r="F736" i="1"/>
  <c r="J953" i="1" s="1"/>
  <c r="F737" i="1"/>
  <c r="J954" i="1" s="1"/>
  <c r="F738" i="1"/>
  <c r="J955" i="1" s="1"/>
  <c r="F739" i="1"/>
  <c r="J956" i="1" s="1"/>
  <c r="F740" i="1"/>
  <c r="J957" i="1" s="1"/>
  <c r="F741" i="1"/>
  <c r="J958" i="1" s="1"/>
  <c r="F742" i="1"/>
  <c r="J959" i="1" s="1"/>
  <c r="F743" i="1"/>
  <c r="J960" i="1" s="1"/>
  <c r="F744" i="1"/>
  <c r="J961" i="1" s="1"/>
  <c r="F745" i="1"/>
  <c r="J962" i="1" s="1"/>
  <c r="F746" i="1"/>
  <c r="J963" i="1" s="1"/>
  <c r="F747" i="1"/>
  <c r="J964" i="1" s="1"/>
  <c r="F748" i="1"/>
  <c r="J965" i="1" s="1"/>
  <c r="F749" i="1"/>
  <c r="J966" i="1" s="1"/>
  <c r="F750" i="1"/>
  <c r="J967" i="1" s="1"/>
  <c r="F751" i="1"/>
  <c r="J968" i="1" s="1"/>
  <c r="F752" i="1"/>
  <c r="J969" i="1" s="1"/>
  <c r="F753" i="1"/>
  <c r="J970" i="1" s="1"/>
  <c r="F754" i="1"/>
  <c r="J971" i="1" s="1"/>
  <c r="F755" i="1"/>
  <c r="J972" i="1" s="1"/>
  <c r="F756" i="1"/>
  <c r="J973" i="1" s="1"/>
  <c r="F757" i="1"/>
  <c r="J974" i="1" s="1"/>
  <c r="F758" i="1"/>
  <c r="J975" i="1" s="1"/>
  <c r="F759" i="1"/>
  <c r="J976" i="1" s="1"/>
  <c r="F760" i="1"/>
  <c r="J977" i="1" s="1"/>
  <c r="F761" i="1"/>
  <c r="J978" i="1" s="1"/>
  <c r="F762" i="1"/>
  <c r="J979" i="1" s="1"/>
  <c r="F763" i="1"/>
  <c r="J980" i="1" s="1"/>
  <c r="F764" i="1"/>
  <c r="J981" i="1" s="1"/>
  <c r="F765" i="1"/>
  <c r="J982" i="1" s="1"/>
  <c r="F766" i="1"/>
  <c r="J983" i="1" s="1"/>
  <c r="F767" i="1"/>
  <c r="J984" i="1" s="1"/>
  <c r="F768" i="1"/>
  <c r="J985" i="1" s="1"/>
  <c r="F769" i="1"/>
  <c r="J986" i="1" s="1"/>
  <c r="F770" i="1"/>
  <c r="J987" i="1" s="1"/>
  <c r="F771" i="1"/>
  <c r="J988" i="1" s="1"/>
  <c r="F772" i="1"/>
  <c r="J989" i="1" s="1"/>
  <c r="F773" i="1"/>
  <c r="J990" i="1" s="1"/>
  <c r="F774" i="1"/>
  <c r="J991" i="1" s="1"/>
  <c r="F775" i="1"/>
  <c r="J992" i="1" s="1"/>
  <c r="F776" i="1"/>
  <c r="J993" i="1" s="1"/>
  <c r="F777" i="1"/>
  <c r="J994" i="1" s="1"/>
  <c r="F778" i="1"/>
  <c r="J995" i="1" s="1"/>
  <c r="F779" i="1"/>
  <c r="J996" i="1" s="1"/>
  <c r="F780" i="1"/>
  <c r="J997" i="1" s="1"/>
  <c r="F781" i="1"/>
  <c r="J998" i="1" s="1"/>
  <c r="F782" i="1"/>
  <c r="J999" i="1" s="1"/>
  <c r="F783" i="1"/>
  <c r="J1000" i="1" s="1"/>
  <c r="F784" i="1"/>
  <c r="J1001" i="1" s="1"/>
  <c r="F785" i="1"/>
  <c r="J1002" i="1" s="1"/>
  <c r="F786" i="1"/>
  <c r="J1003" i="1" s="1"/>
  <c r="F787" i="1"/>
  <c r="J1004" i="1" s="1"/>
  <c r="F788" i="1"/>
  <c r="J1005" i="1" s="1"/>
  <c r="F789" i="1"/>
  <c r="J1006" i="1" s="1"/>
  <c r="F790" i="1"/>
  <c r="J1007" i="1" s="1"/>
  <c r="F791" i="1"/>
  <c r="J1008" i="1" s="1"/>
  <c r="F792" i="1"/>
  <c r="J1009" i="1" s="1"/>
  <c r="F793" i="1"/>
  <c r="J1010" i="1" s="1"/>
  <c r="F794" i="1"/>
  <c r="J1011" i="1" s="1"/>
  <c r="F795" i="1"/>
  <c r="J1012" i="1" s="1"/>
  <c r="F796" i="1"/>
  <c r="J1013" i="1" s="1"/>
  <c r="F797" i="1"/>
  <c r="J1014" i="1" s="1"/>
  <c r="F798" i="1"/>
  <c r="J1015" i="1" s="1"/>
  <c r="F799" i="1"/>
  <c r="J1016" i="1" s="1"/>
  <c r="F800" i="1"/>
  <c r="J1017" i="1" s="1"/>
  <c r="F801" i="1"/>
  <c r="J1018" i="1" s="1"/>
  <c r="F802" i="1"/>
  <c r="J1019" i="1" s="1"/>
  <c r="F803" i="1"/>
  <c r="J1020" i="1" s="1"/>
  <c r="F804" i="1"/>
  <c r="J1021" i="1" s="1"/>
  <c r="F805" i="1"/>
  <c r="J1022" i="1" s="1"/>
  <c r="F806" i="1"/>
  <c r="J1023" i="1" s="1"/>
  <c r="F807" i="1"/>
  <c r="J1024" i="1" s="1"/>
  <c r="F808" i="1"/>
  <c r="J1025" i="1" s="1"/>
  <c r="F809" i="1"/>
  <c r="J1026" i="1" s="1"/>
  <c r="F810" i="1"/>
  <c r="J1027" i="1" s="1"/>
  <c r="F811" i="1"/>
  <c r="J1028" i="1" s="1"/>
  <c r="F812" i="1"/>
  <c r="F813" i="1"/>
  <c r="J1030" i="1" s="1"/>
  <c r="F814" i="1"/>
  <c r="J1031" i="1" s="1"/>
  <c r="F815" i="1"/>
  <c r="J1032" i="1" s="1"/>
  <c r="F816" i="1"/>
  <c r="J1033" i="1" s="1"/>
  <c r="F817" i="1"/>
  <c r="J1034" i="1" s="1"/>
  <c r="F818" i="1"/>
  <c r="J1035" i="1" s="1"/>
  <c r="F819" i="1"/>
  <c r="J1036" i="1" s="1"/>
  <c r="F820" i="1"/>
  <c r="J1037" i="1" s="1"/>
  <c r="F821" i="1"/>
  <c r="J1038" i="1" s="1"/>
  <c r="F822" i="1"/>
  <c r="J1039" i="1" s="1"/>
  <c r="F823" i="1"/>
  <c r="J1040" i="1" s="1"/>
  <c r="F824" i="1"/>
  <c r="J1041" i="1" s="1"/>
  <c r="F825" i="1"/>
  <c r="J1042" i="1" s="1"/>
  <c r="F826" i="1"/>
  <c r="J1043" i="1" s="1"/>
  <c r="F827" i="1"/>
  <c r="J1044" i="1" s="1"/>
  <c r="F828" i="1"/>
  <c r="J1045" i="1" s="1"/>
  <c r="F829" i="1"/>
  <c r="J1046" i="1" s="1"/>
  <c r="F830" i="1"/>
  <c r="J1047" i="1" s="1"/>
  <c r="F831" i="1"/>
  <c r="J1048" i="1" s="1"/>
  <c r="F832" i="1"/>
  <c r="J1049" i="1" s="1"/>
  <c r="F833" i="1"/>
  <c r="J1050" i="1" s="1"/>
  <c r="F834" i="1"/>
  <c r="J1051" i="1" s="1"/>
  <c r="F835" i="1"/>
  <c r="J1052" i="1" s="1"/>
  <c r="F836" i="1"/>
  <c r="J1053" i="1" s="1"/>
  <c r="F837" i="1"/>
  <c r="J1054" i="1" s="1"/>
  <c r="F838" i="1"/>
  <c r="J1055" i="1" s="1"/>
  <c r="F839" i="1"/>
  <c r="J1056" i="1" s="1"/>
  <c r="F840" i="1"/>
  <c r="J1057" i="1" s="1"/>
  <c r="F841" i="1"/>
  <c r="J1058" i="1" s="1"/>
  <c r="F842" i="1"/>
  <c r="J1059" i="1" s="1"/>
  <c r="F843" i="1"/>
  <c r="J1060" i="1" s="1"/>
  <c r="F844" i="1"/>
  <c r="J1061" i="1" s="1"/>
  <c r="F845" i="1"/>
  <c r="J1062" i="1" s="1"/>
  <c r="F846" i="1"/>
  <c r="J1063" i="1" s="1"/>
  <c r="F847" i="1"/>
  <c r="J1064" i="1" s="1"/>
  <c r="F848" i="1"/>
  <c r="J1065" i="1" s="1"/>
  <c r="F849" i="1"/>
  <c r="J1066" i="1" s="1"/>
  <c r="F850" i="1"/>
  <c r="J1067" i="1" s="1"/>
  <c r="F851" i="1"/>
  <c r="J1068" i="1" s="1"/>
  <c r="F852" i="1"/>
  <c r="J1069" i="1" s="1"/>
  <c r="F853" i="1"/>
  <c r="J1070" i="1" s="1"/>
  <c r="F854" i="1"/>
  <c r="J1071" i="1" s="1"/>
  <c r="F855" i="1"/>
  <c r="J1072" i="1" s="1"/>
  <c r="F856" i="1"/>
  <c r="J1073" i="1" s="1"/>
  <c r="F857" i="1"/>
  <c r="J1074" i="1" s="1"/>
  <c r="F858" i="1"/>
  <c r="J1075" i="1" s="1"/>
  <c r="F859" i="1"/>
  <c r="J1076" i="1" s="1"/>
  <c r="F860" i="1"/>
  <c r="J1077" i="1" s="1"/>
  <c r="F861" i="1"/>
  <c r="J1078" i="1" s="1"/>
  <c r="F862" i="1"/>
  <c r="J1079" i="1" s="1"/>
  <c r="F863" i="1"/>
  <c r="J1080" i="1" s="1"/>
  <c r="F864" i="1"/>
  <c r="J1081" i="1" s="1"/>
  <c r="F865" i="1"/>
  <c r="J1082" i="1" s="1"/>
  <c r="F866" i="1"/>
  <c r="J1083" i="1" s="1"/>
  <c r="F867" i="1"/>
  <c r="J1084" i="1" s="1"/>
  <c r="F868" i="1"/>
  <c r="J1085" i="1" s="1"/>
  <c r="F869" i="1"/>
  <c r="J1086" i="1" s="1"/>
  <c r="F870" i="1"/>
  <c r="J1087" i="1" s="1"/>
  <c r="F871" i="1"/>
  <c r="J1088" i="1" s="1"/>
  <c r="F872" i="1"/>
  <c r="J1089" i="1" s="1"/>
  <c r="F873" i="1"/>
  <c r="J1090" i="1" s="1"/>
  <c r="F874" i="1"/>
  <c r="J1091" i="1" s="1"/>
  <c r="F875" i="1"/>
  <c r="J1092" i="1" s="1"/>
  <c r="F876" i="1"/>
  <c r="J1093" i="1" s="1"/>
  <c r="F877" i="1"/>
  <c r="J1094" i="1" s="1"/>
  <c r="F878" i="1"/>
  <c r="J1095" i="1" s="1"/>
  <c r="F879" i="1"/>
  <c r="J1096" i="1" s="1"/>
  <c r="F880" i="1"/>
  <c r="J1097" i="1" s="1"/>
  <c r="F881" i="1"/>
  <c r="J1098" i="1" s="1"/>
  <c r="F882" i="1"/>
  <c r="J1099" i="1" s="1"/>
  <c r="F883" i="1"/>
  <c r="J1100" i="1" s="1"/>
  <c r="F884" i="1"/>
  <c r="J1101" i="1" s="1"/>
  <c r="F885" i="1"/>
  <c r="J1102" i="1" s="1"/>
  <c r="F886" i="1"/>
  <c r="J1103" i="1" s="1"/>
  <c r="F887" i="1"/>
  <c r="J1104" i="1" s="1"/>
  <c r="F888" i="1"/>
  <c r="J1105" i="1" s="1"/>
  <c r="F889" i="1"/>
  <c r="J1106" i="1" s="1"/>
  <c r="F890" i="1"/>
  <c r="J1107" i="1" s="1"/>
  <c r="F891" i="1"/>
  <c r="J1108" i="1" s="1"/>
  <c r="F892" i="1"/>
  <c r="J1109" i="1" s="1"/>
  <c r="F893" i="1"/>
  <c r="J1110" i="1" s="1"/>
  <c r="F894" i="1"/>
  <c r="J1111" i="1" s="1"/>
  <c r="F895" i="1"/>
  <c r="J1112" i="1" s="1"/>
  <c r="F896" i="1"/>
  <c r="J1113" i="1" s="1"/>
  <c r="F897" i="1"/>
  <c r="J1114" i="1" s="1"/>
  <c r="F898" i="1"/>
  <c r="J1115" i="1" s="1"/>
  <c r="F899" i="1"/>
  <c r="J1116" i="1" s="1"/>
  <c r="F900" i="1"/>
  <c r="J1117" i="1" s="1"/>
  <c r="F901" i="1"/>
  <c r="J1118" i="1" s="1"/>
  <c r="F902" i="1"/>
  <c r="J1119" i="1" s="1"/>
  <c r="F903" i="1"/>
  <c r="J1120" i="1" s="1"/>
  <c r="F904" i="1"/>
  <c r="J1121" i="1" s="1"/>
  <c r="F905" i="1"/>
  <c r="J1122" i="1" s="1"/>
  <c r="F906" i="1"/>
  <c r="J1123" i="1" s="1"/>
  <c r="F907" i="1"/>
  <c r="J1124" i="1" s="1"/>
  <c r="F908" i="1"/>
  <c r="J1125" i="1" s="1"/>
  <c r="F909" i="1"/>
  <c r="J1126" i="1" s="1"/>
  <c r="F910" i="1"/>
  <c r="J1127" i="1" s="1"/>
  <c r="F911" i="1"/>
  <c r="J1128" i="1" s="1"/>
  <c r="F912" i="1"/>
  <c r="J1129" i="1" s="1"/>
  <c r="F913" i="1"/>
  <c r="J1130" i="1" s="1"/>
  <c r="F914" i="1"/>
  <c r="J1131" i="1" s="1"/>
  <c r="F915" i="1"/>
  <c r="J1132" i="1" s="1"/>
  <c r="F916" i="1"/>
  <c r="J1133" i="1" s="1"/>
  <c r="F917" i="1"/>
  <c r="J1134" i="1" s="1"/>
  <c r="F918" i="1"/>
  <c r="J1135" i="1" s="1"/>
  <c r="F919" i="1"/>
  <c r="J1136" i="1" s="1"/>
  <c r="F920" i="1"/>
  <c r="J1137" i="1" s="1"/>
  <c r="F921" i="1"/>
  <c r="J1138" i="1" s="1"/>
  <c r="F922" i="1"/>
  <c r="J1139" i="1" s="1"/>
  <c r="F923" i="1"/>
  <c r="J1140" i="1" s="1"/>
  <c r="F924" i="1"/>
  <c r="J1141" i="1" s="1"/>
  <c r="F925" i="1"/>
  <c r="J1142" i="1" s="1"/>
  <c r="F926" i="1"/>
  <c r="J1143" i="1" s="1"/>
  <c r="F927" i="1"/>
  <c r="J1144" i="1" s="1"/>
  <c r="F928" i="1"/>
  <c r="J1145" i="1" s="1"/>
  <c r="F929" i="1"/>
  <c r="J1146" i="1" s="1"/>
  <c r="F930" i="1"/>
  <c r="J1147" i="1" s="1"/>
  <c r="F931" i="1"/>
  <c r="J1148" i="1" s="1"/>
  <c r="F932" i="1"/>
  <c r="J1149" i="1" s="1"/>
  <c r="F933" i="1"/>
  <c r="J1150" i="1" s="1"/>
  <c r="F934" i="1"/>
  <c r="J1151" i="1" s="1"/>
  <c r="F935" i="1"/>
  <c r="J1152" i="1" s="1"/>
  <c r="F936" i="1"/>
  <c r="J1153" i="1" s="1"/>
  <c r="F937" i="1"/>
  <c r="J1154" i="1" s="1"/>
  <c r="F938" i="1"/>
  <c r="J1155" i="1" s="1"/>
  <c r="F939" i="1"/>
  <c r="J1156" i="1" s="1"/>
  <c r="F940" i="1"/>
  <c r="J1157" i="1" s="1"/>
  <c r="F941" i="1"/>
  <c r="J1158" i="1" s="1"/>
  <c r="F942" i="1"/>
  <c r="J1159" i="1" s="1"/>
  <c r="F943" i="1"/>
  <c r="J1160" i="1" s="1"/>
  <c r="F944" i="1"/>
  <c r="J1161" i="1" s="1"/>
  <c r="F945" i="1"/>
  <c r="J1162" i="1" s="1"/>
  <c r="F946" i="1"/>
  <c r="J1163" i="1" s="1"/>
  <c r="F947" i="1"/>
  <c r="J1164" i="1" s="1"/>
  <c r="F948" i="1"/>
  <c r="J1165" i="1" s="1"/>
  <c r="F949" i="1"/>
  <c r="J1166" i="1" s="1"/>
  <c r="F950" i="1"/>
  <c r="J1167" i="1" s="1"/>
  <c r="F951" i="1"/>
  <c r="J1168" i="1" s="1"/>
  <c r="F952" i="1"/>
  <c r="J1169" i="1" s="1"/>
  <c r="F953" i="1"/>
  <c r="J1170" i="1" s="1"/>
  <c r="F954" i="1"/>
  <c r="J1171" i="1" s="1"/>
  <c r="F955" i="1"/>
  <c r="J1172" i="1" s="1"/>
  <c r="F956" i="1"/>
  <c r="J1173" i="1" s="1"/>
  <c r="F957" i="1"/>
  <c r="J1174" i="1" s="1"/>
  <c r="F958" i="1"/>
  <c r="J1175" i="1" s="1"/>
  <c r="F959" i="1"/>
  <c r="J1176" i="1" s="1"/>
  <c r="F960" i="1"/>
  <c r="J1177" i="1" s="1"/>
  <c r="F961" i="1"/>
  <c r="J1178" i="1" s="1"/>
  <c r="F962" i="1"/>
  <c r="J1179" i="1" s="1"/>
  <c r="F963" i="1"/>
  <c r="J1180" i="1" s="1"/>
  <c r="F964" i="1"/>
  <c r="J1181" i="1" s="1"/>
  <c r="F965" i="1"/>
  <c r="J1182" i="1" s="1"/>
  <c r="F966" i="1"/>
  <c r="J1183" i="1" s="1"/>
  <c r="F967" i="1"/>
  <c r="J1184" i="1" s="1"/>
  <c r="F968" i="1"/>
  <c r="J1185" i="1" s="1"/>
  <c r="F969" i="1"/>
  <c r="J1186" i="1" s="1"/>
  <c r="F970" i="1"/>
  <c r="J1187" i="1" s="1"/>
  <c r="F971" i="1"/>
  <c r="J1188" i="1" s="1"/>
  <c r="F972" i="1"/>
  <c r="J1189" i="1" s="1"/>
  <c r="F973" i="1"/>
  <c r="J1190" i="1" s="1"/>
  <c r="F974" i="1"/>
  <c r="J1191" i="1" s="1"/>
  <c r="F975" i="1"/>
  <c r="J1192" i="1" s="1"/>
  <c r="F976" i="1"/>
  <c r="J1193" i="1" s="1"/>
  <c r="F977" i="1"/>
  <c r="J1194" i="1" s="1"/>
  <c r="F978" i="1"/>
  <c r="J1195" i="1" s="1"/>
  <c r="F979" i="1"/>
  <c r="J1196" i="1" s="1"/>
  <c r="F980" i="1"/>
  <c r="J1197" i="1" s="1"/>
  <c r="F981" i="1"/>
  <c r="J1198" i="1" s="1"/>
  <c r="F982" i="1"/>
  <c r="J1199" i="1" s="1"/>
  <c r="F983" i="1"/>
  <c r="J1200" i="1" s="1"/>
  <c r="F984" i="1"/>
  <c r="J1201" i="1" s="1"/>
  <c r="F985" i="1"/>
  <c r="J1202" i="1" s="1"/>
  <c r="F986" i="1"/>
  <c r="J1203" i="1" s="1"/>
  <c r="F987" i="1"/>
  <c r="J1204" i="1" s="1"/>
  <c r="F988" i="1"/>
  <c r="J1205" i="1" s="1"/>
  <c r="F989" i="1"/>
  <c r="J1206" i="1" s="1"/>
  <c r="F990" i="1"/>
  <c r="J1207" i="1" s="1"/>
  <c r="F991" i="1"/>
  <c r="J1208" i="1" s="1"/>
  <c r="F992" i="1"/>
  <c r="J1209" i="1" s="1"/>
  <c r="F993" i="1"/>
  <c r="J1210" i="1" s="1"/>
  <c r="F994" i="1"/>
  <c r="J1211" i="1" s="1"/>
  <c r="F995" i="1"/>
  <c r="J1212" i="1" s="1"/>
  <c r="F996" i="1"/>
  <c r="J1213" i="1" s="1"/>
  <c r="F997" i="1"/>
  <c r="J1214" i="1" s="1"/>
  <c r="F998" i="1"/>
  <c r="J1215" i="1" s="1"/>
  <c r="F999" i="1"/>
  <c r="J1216" i="1" s="1"/>
  <c r="F1000" i="1"/>
  <c r="J1217" i="1" s="1"/>
  <c r="F1001" i="1"/>
  <c r="J1218" i="1" s="1"/>
  <c r="F1002" i="1"/>
  <c r="J1219" i="1" s="1"/>
  <c r="F1003" i="1"/>
  <c r="J1220" i="1" s="1"/>
  <c r="F1004" i="1"/>
  <c r="J1221" i="1" s="1"/>
  <c r="F1005" i="1"/>
  <c r="J1222" i="1" s="1"/>
  <c r="F1006" i="1"/>
  <c r="J1223" i="1" s="1"/>
  <c r="F1007" i="1"/>
  <c r="J1224" i="1" s="1"/>
  <c r="F1008" i="1"/>
  <c r="J1225" i="1" s="1"/>
  <c r="F1009" i="1"/>
  <c r="J1226" i="1" s="1"/>
  <c r="F1010" i="1"/>
  <c r="J1227" i="1" s="1"/>
  <c r="F1011" i="1"/>
  <c r="J1228" i="1" s="1"/>
  <c r="F1012" i="1"/>
  <c r="J1229" i="1" s="1"/>
  <c r="F1013" i="1"/>
  <c r="J1230" i="1" s="1"/>
  <c r="F1014" i="1"/>
  <c r="J1231" i="1" s="1"/>
  <c r="F1015" i="1"/>
  <c r="J1232" i="1" s="1"/>
  <c r="F1016" i="1"/>
  <c r="J1233" i="1" s="1"/>
  <c r="F1017" i="1"/>
  <c r="J1234" i="1" s="1"/>
  <c r="F1018" i="1"/>
  <c r="J1235" i="1" s="1"/>
  <c r="F1019" i="1"/>
  <c r="J1236" i="1" s="1"/>
  <c r="F1020" i="1"/>
  <c r="J1237" i="1" s="1"/>
  <c r="F1021" i="1"/>
  <c r="J1238" i="1" s="1"/>
  <c r="F1022" i="1"/>
  <c r="J1239" i="1" s="1"/>
  <c r="F1023" i="1"/>
  <c r="J1240" i="1" s="1"/>
  <c r="F1024" i="1"/>
  <c r="J1241" i="1" s="1"/>
  <c r="F1025" i="1"/>
  <c r="J1242" i="1" s="1"/>
  <c r="F1026" i="1"/>
  <c r="J1243" i="1" s="1"/>
  <c r="F1027" i="1"/>
  <c r="J1244" i="1" s="1"/>
  <c r="F1028" i="1"/>
  <c r="J1245" i="1" s="1"/>
  <c r="F1029" i="1"/>
  <c r="J1246" i="1" s="1"/>
  <c r="F1030" i="1"/>
  <c r="J1247" i="1" s="1"/>
  <c r="F1031" i="1"/>
  <c r="J1248" i="1" s="1"/>
  <c r="F1032" i="1"/>
  <c r="J1249" i="1" s="1"/>
  <c r="F1033" i="1"/>
  <c r="J1250" i="1" s="1"/>
  <c r="F1034" i="1"/>
  <c r="J1251" i="1" s="1"/>
  <c r="F1035" i="1"/>
  <c r="J1252" i="1" s="1"/>
  <c r="F1036" i="1"/>
  <c r="J1253" i="1" s="1"/>
  <c r="F1037" i="1"/>
  <c r="J1254" i="1" s="1"/>
  <c r="F1038" i="1"/>
  <c r="J1255" i="1" s="1"/>
  <c r="F1039" i="1"/>
  <c r="J1256" i="1" s="1"/>
  <c r="F1040" i="1"/>
  <c r="J1257" i="1" s="1"/>
  <c r="F1041" i="1"/>
  <c r="J1258" i="1" s="1"/>
  <c r="F1042" i="1"/>
  <c r="J1259" i="1" s="1"/>
  <c r="F1043" i="1"/>
  <c r="J1260" i="1" s="1"/>
  <c r="F1044" i="1"/>
  <c r="J1261" i="1" s="1"/>
  <c r="F1045" i="1"/>
  <c r="J1262" i="1" s="1"/>
  <c r="F1046" i="1"/>
  <c r="J1263" i="1" s="1"/>
  <c r="F1047" i="1"/>
  <c r="J1264" i="1" s="1"/>
  <c r="F1048" i="1"/>
  <c r="F1049" i="1"/>
  <c r="J1266" i="1" s="1"/>
  <c r="F1050" i="1"/>
  <c r="J1267" i="1" s="1"/>
  <c r="F1051" i="1"/>
  <c r="J1268" i="1" s="1"/>
  <c r="F1052" i="1"/>
  <c r="J1269" i="1" s="1"/>
  <c r="F1053" i="1"/>
  <c r="J1270" i="1" s="1"/>
  <c r="F1054" i="1"/>
  <c r="J1271" i="1" s="1"/>
  <c r="F1055" i="1"/>
  <c r="J1272" i="1" s="1"/>
  <c r="F1056" i="1"/>
  <c r="J1273" i="1" s="1"/>
  <c r="F1057" i="1"/>
  <c r="J1274" i="1" s="1"/>
  <c r="F1058" i="1"/>
  <c r="J1275" i="1" s="1"/>
  <c r="F1059" i="1"/>
  <c r="J1276" i="1" s="1"/>
  <c r="F1060" i="1"/>
  <c r="J1277" i="1" s="1"/>
  <c r="F1061" i="1"/>
  <c r="J1278" i="1" s="1"/>
  <c r="F1062" i="1"/>
  <c r="J1279" i="1" s="1"/>
  <c r="F1063" i="1"/>
  <c r="J1280" i="1" s="1"/>
  <c r="F1064" i="1"/>
  <c r="J1281" i="1" s="1"/>
  <c r="F1065" i="1"/>
  <c r="J1282" i="1" s="1"/>
  <c r="F1066" i="1"/>
  <c r="J1283" i="1" s="1"/>
  <c r="F1067" i="1"/>
  <c r="J1284" i="1" s="1"/>
  <c r="F1068" i="1"/>
  <c r="J1285" i="1" s="1"/>
  <c r="F1069" i="1"/>
  <c r="J1286" i="1" s="1"/>
  <c r="F1070" i="1"/>
  <c r="J1287" i="1" s="1"/>
  <c r="F1071" i="1"/>
  <c r="J1288" i="1" s="1"/>
  <c r="F1072" i="1"/>
  <c r="J1289" i="1" s="1"/>
  <c r="F1073" i="1"/>
  <c r="J1290" i="1" s="1"/>
  <c r="F1074" i="1"/>
  <c r="J1291" i="1" s="1"/>
  <c r="F1075" i="1"/>
  <c r="J1292" i="1" s="1"/>
  <c r="F1076" i="1"/>
  <c r="J1293" i="1" s="1"/>
  <c r="F1077" i="1"/>
  <c r="J1294" i="1" s="1"/>
  <c r="F1078" i="1"/>
  <c r="J1295" i="1" s="1"/>
  <c r="F1079" i="1"/>
  <c r="J1296" i="1" s="1"/>
  <c r="F1080" i="1"/>
  <c r="J1297" i="1" s="1"/>
  <c r="F1081" i="1"/>
  <c r="J1298" i="1" s="1"/>
  <c r="F1082" i="1"/>
  <c r="J1299" i="1" s="1"/>
  <c r="F1083" i="1"/>
  <c r="J1300" i="1" s="1"/>
  <c r="F1084" i="1"/>
  <c r="J1301" i="1" s="1"/>
  <c r="F1085" i="1"/>
  <c r="J1302" i="1" s="1"/>
  <c r="F1086" i="1"/>
  <c r="J1303" i="1" s="1"/>
  <c r="F1087" i="1"/>
  <c r="J1304" i="1" s="1"/>
  <c r="F1088" i="1"/>
  <c r="J1305" i="1" s="1"/>
  <c r="F1089" i="1"/>
  <c r="J1306" i="1" s="1"/>
  <c r="F1090" i="1"/>
  <c r="J1307" i="1" s="1"/>
  <c r="F1091" i="1"/>
  <c r="J1308" i="1" s="1"/>
  <c r="F1092" i="1"/>
  <c r="J1309" i="1" s="1"/>
  <c r="F1093" i="1"/>
  <c r="J1310" i="1" s="1"/>
  <c r="F1094" i="1"/>
  <c r="J1311" i="1" s="1"/>
  <c r="F1095" i="1"/>
  <c r="J1312" i="1" s="1"/>
  <c r="F1096" i="1"/>
  <c r="J1313" i="1" s="1"/>
  <c r="F1097" i="1"/>
  <c r="J1314" i="1" s="1"/>
  <c r="F1098" i="1"/>
  <c r="J1315" i="1" s="1"/>
  <c r="F1099" i="1"/>
  <c r="J1316" i="1" s="1"/>
  <c r="F1100" i="1"/>
  <c r="J1317" i="1" s="1"/>
  <c r="F1101" i="1"/>
  <c r="J1318" i="1" s="1"/>
  <c r="F1102" i="1"/>
  <c r="J1319" i="1" s="1"/>
  <c r="F1103" i="1"/>
  <c r="J1320" i="1" s="1"/>
  <c r="F1104" i="1"/>
  <c r="J1321" i="1" s="1"/>
  <c r="F1105" i="1"/>
  <c r="J1322" i="1" s="1"/>
  <c r="F1106" i="1"/>
  <c r="J1323" i="1" s="1"/>
  <c r="F1107" i="1"/>
  <c r="J1324" i="1" s="1"/>
  <c r="F1108" i="1"/>
  <c r="J1325" i="1" s="1"/>
  <c r="F1109" i="1"/>
  <c r="J1326" i="1" s="1"/>
  <c r="F1110" i="1"/>
  <c r="J1327" i="1" s="1"/>
  <c r="F1111" i="1"/>
  <c r="J1328" i="1" s="1"/>
  <c r="F1112" i="1"/>
  <c r="J1329" i="1" s="1"/>
  <c r="F1113" i="1"/>
  <c r="J1330" i="1" s="1"/>
  <c r="F1114" i="1"/>
  <c r="J1331" i="1" s="1"/>
  <c r="F1115" i="1"/>
  <c r="J1332" i="1" s="1"/>
  <c r="F1116" i="1"/>
  <c r="J1333" i="1" s="1"/>
  <c r="F1117" i="1"/>
  <c r="J1334" i="1" s="1"/>
  <c r="F1118" i="1"/>
  <c r="J1335" i="1" s="1"/>
  <c r="F1119" i="1"/>
  <c r="J1336" i="1" s="1"/>
  <c r="F1120" i="1"/>
  <c r="J1337" i="1" s="1"/>
  <c r="F1121" i="1"/>
  <c r="J1338" i="1" s="1"/>
  <c r="F1122" i="1"/>
  <c r="J1339" i="1" s="1"/>
  <c r="F1123" i="1"/>
  <c r="J1340" i="1" s="1"/>
  <c r="F1124" i="1"/>
  <c r="J1341" i="1" s="1"/>
  <c r="F1125" i="1"/>
  <c r="J1342" i="1" s="1"/>
  <c r="F1126" i="1"/>
  <c r="J1343" i="1" s="1"/>
  <c r="F1127" i="1"/>
  <c r="J1344" i="1" s="1"/>
  <c r="F1128" i="1"/>
  <c r="J1345" i="1" s="1"/>
  <c r="F1129" i="1"/>
  <c r="J1346" i="1" s="1"/>
  <c r="F1130" i="1"/>
  <c r="J1347" i="1" s="1"/>
  <c r="F1131" i="1"/>
  <c r="J1348" i="1" s="1"/>
  <c r="F1132" i="1"/>
  <c r="J1349" i="1" s="1"/>
  <c r="F1133" i="1"/>
  <c r="J1350" i="1" s="1"/>
  <c r="F1134" i="1"/>
  <c r="J1351" i="1" s="1"/>
  <c r="F1135" i="1"/>
  <c r="J1352" i="1" s="1"/>
  <c r="F1136" i="1"/>
  <c r="J1353" i="1" s="1"/>
  <c r="F1137" i="1"/>
  <c r="J1354" i="1" s="1"/>
  <c r="F1138" i="1"/>
  <c r="J1355" i="1" s="1"/>
  <c r="F1139" i="1"/>
  <c r="J1356" i="1" s="1"/>
  <c r="F1140" i="1"/>
  <c r="J1357" i="1" s="1"/>
  <c r="F1141" i="1"/>
  <c r="J1358" i="1" s="1"/>
  <c r="F1142" i="1"/>
  <c r="J1359" i="1" s="1"/>
  <c r="F1143" i="1"/>
  <c r="J1360" i="1" s="1"/>
  <c r="F1144" i="1"/>
  <c r="J1361" i="1" s="1"/>
  <c r="F1145" i="1"/>
  <c r="J1362" i="1" s="1"/>
  <c r="F1146" i="1"/>
  <c r="J1363" i="1" s="1"/>
  <c r="F1147" i="1"/>
  <c r="J1364" i="1" s="1"/>
  <c r="F1148" i="1"/>
  <c r="J1365" i="1" s="1"/>
  <c r="F1149" i="1"/>
  <c r="J1366" i="1" s="1"/>
  <c r="F1150" i="1"/>
  <c r="J1367" i="1" s="1"/>
  <c r="F1151" i="1"/>
  <c r="J1368" i="1" s="1"/>
  <c r="F1152" i="1"/>
  <c r="J1369" i="1" s="1"/>
  <c r="F1153" i="1"/>
  <c r="J1370" i="1" s="1"/>
  <c r="F1154" i="1"/>
  <c r="J1371" i="1" s="1"/>
  <c r="F1155" i="1"/>
  <c r="J1372" i="1" s="1"/>
  <c r="F1156" i="1"/>
  <c r="J1373" i="1" s="1"/>
  <c r="F1157" i="1"/>
  <c r="J1374" i="1" s="1"/>
  <c r="F1158" i="1"/>
  <c r="J1375" i="1" s="1"/>
  <c r="F1159" i="1"/>
  <c r="J1376" i="1" s="1"/>
  <c r="F1160" i="1"/>
  <c r="J1377" i="1" s="1"/>
  <c r="F1161" i="1"/>
  <c r="J1378" i="1" s="1"/>
  <c r="F1162" i="1"/>
  <c r="J1379" i="1" s="1"/>
  <c r="F1163" i="1"/>
  <c r="J1380" i="1" s="1"/>
  <c r="F1164" i="1"/>
  <c r="J1381" i="1" s="1"/>
  <c r="F1165" i="1"/>
  <c r="J1382" i="1" s="1"/>
  <c r="F1166" i="1"/>
  <c r="J1383" i="1" s="1"/>
  <c r="F1167" i="1"/>
  <c r="J1384" i="1" s="1"/>
  <c r="F1168" i="1"/>
  <c r="J1385" i="1" s="1"/>
  <c r="F1169" i="1"/>
  <c r="J1386" i="1" s="1"/>
  <c r="F1170" i="1"/>
  <c r="J1387" i="1" s="1"/>
  <c r="F1171" i="1"/>
  <c r="J1388" i="1" s="1"/>
  <c r="F1172" i="1"/>
  <c r="F1173" i="1"/>
  <c r="J1390" i="1" s="1"/>
  <c r="F1174" i="1"/>
  <c r="J1391" i="1" s="1"/>
  <c r="F1175" i="1"/>
  <c r="J1392" i="1" s="1"/>
  <c r="F1176" i="1"/>
  <c r="J1393" i="1" s="1"/>
  <c r="F1177" i="1"/>
  <c r="J1394" i="1" s="1"/>
  <c r="F1178" i="1"/>
  <c r="J1395" i="1" s="1"/>
  <c r="F1179" i="1"/>
  <c r="J1396" i="1" s="1"/>
  <c r="F1180" i="1"/>
  <c r="J1397" i="1" s="1"/>
  <c r="F1181" i="1"/>
  <c r="J1398" i="1" s="1"/>
  <c r="F1182" i="1"/>
  <c r="J1399" i="1" s="1"/>
  <c r="F1183" i="1"/>
  <c r="J1400" i="1" s="1"/>
  <c r="F1184" i="1"/>
  <c r="J1401" i="1" s="1"/>
  <c r="F1185" i="1"/>
  <c r="J1402" i="1" s="1"/>
  <c r="F1186" i="1"/>
  <c r="J1403" i="1" s="1"/>
  <c r="F1187" i="1"/>
  <c r="J1404" i="1" s="1"/>
  <c r="F1188" i="1"/>
  <c r="J1405" i="1" s="1"/>
  <c r="F1189" i="1"/>
  <c r="J1406" i="1" s="1"/>
  <c r="F1190" i="1"/>
  <c r="J1407" i="1" s="1"/>
  <c r="F1191" i="1"/>
  <c r="J1408" i="1" s="1"/>
  <c r="F1192" i="1"/>
  <c r="J1409" i="1" s="1"/>
  <c r="F1193" i="1"/>
  <c r="J1410" i="1" s="1"/>
  <c r="F1194" i="1"/>
  <c r="J1411" i="1" s="1"/>
  <c r="F1195" i="1"/>
  <c r="J1412" i="1" s="1"/>
  <c r="F1196" i="1"/>
  <c r="J1413" i="1" s="1"/>
  <c r="F1197" i="1"/>
  <c r="J1414" i="1" s="1"/>
  <c r="F1198" i="1"/>
  <c r="J1415" i="1" s="1"/>
  <c r="F1199" i="1"/>
  <c r="J1416" i="1" s="1"/>
  <c r="F1200" i="1"/>
  <c r="J1417" i="1" s="1"/>
  <c r="F1201" i="1"/>
  <c r="J1418" i="1" s="1"/>
  <c r="F1202" i="1"/>
  <c r="J1419" i="1" s="1"/>
  <c r="F1203" i="1"/>
  <c r="J1420" i="1" s="1"/>
  <c r="F1204" i="1"/>
  <c r="J1421" i="1" s="1"/>
  <c r="F1205" i="1"/>
  <c r="J1422" i="1" s="1"/>
  <c r="F1206" i="1"/>
  <c r="J1423" i="1" s="1"/>
  <c r="F1207" i="1"/>
  <c r="J1424" i="1" s="1"/>
  <c r="F1208" i="1"/>
  <c r="J1425" i="1" s="1"/>
  <c r="F1209" i="1"/>
  <c r="J1426" i="1" s="1"/>
  <c r="F1210" i="1"/>
  <c r="J1427" i="1" s="1"/>
  <c r="F1211" i="1"/>
  <c r="J1428" i="1" s="1"/>
  <c r="F1212" i="1"/>
  <c r="J1429" i="1" s="1"/>
  <c r="F1213" i="1"/>
  <c r="J1430" i="1" s="1"/>
  <c r="F1214" i="1"/>
  <c r="J1431" i="1" s="1"/>
  <c r="F1215" i="1"/>
  <c r="J1432" i="1" s="1"/>
  <c r="F1216" i="1"/>
  <c r="J1433" i="1" s="1"/>
  <c r="F1217" i="1"/>
  <c r="J1434" i="1" s="1"/>
  <c r="F1218" i="1"/>
  <c r="J1435" i="1" s="1"/>
  <c r="F1219" i="1"/>
  <c r="J1436" i="1" s="1"/>
  <c r="F1220" i="1"/>
  <c r="J1437" i="1" s="1"/>
  <c r="F1221" i="1"/>
  <c r="J1438" i="1" s="1"/>
  <c r="F1222" i="1"/>
  <c r="J1439" i="1" s="1"/>
  <c r="F1223" i="1"/>
  <c r="J1440" i="1" s="1"/>
  <c r="F1224" i="1"/>
  <c r="J1441" i="1" s="1"/>
  <c r="F1225" i="1"/>
  <c r="J1442" i="1" s="1"/>
  <c r="F1226" i="1"/>
  <c r="J1443" i="1" s="1"/>
  <c r="F1227" i="1"/>
  <c r="J1444" i="1" s="1"/>
  <c r="F1228" i="1"/>
  <c r="J1445" i="1" s="1"/>
  <c r="F1229" i="1"/>
  <c r="J1446" i="1" s="1"/>
  <c r="F1230" i="1"/>
  <c r="J1447" i="1" s="1"/>
  <c r="F1231" i="1"/>
  <c r="J1448" i="1" s="1"/>
  <c r="F1232" i="1"/>
  <c r="J1449" i="1" s="1"/>
  <c r="F1233" i="1"/>
  <c r="J1450" i="1" s="1"/>
  <c r="F1234" i="1"/>
  <c r="J1451" i="1" s="1"/>
  <c r="F1235" i="1"/>
  <c r="J1452" i="1" s="1"/>
  <c r="F1236" i="1"/>
  <c r="J1453" i="1" s="1"/>
  <c r="F1237" i="1"/>
  <c r="J1454" i="1" s="1"/>
  <c r="F1238" i="1"/>
  <c r="J1455" i="1" s="1"/>
  <c r="F1239" i="1"/>
  <c r="J1456" i="1" s="1"/>
  <c r="F1240" i="1"/>
  <c r="J1457" i="1" s="1"/>
  <c r="F1241" i="1"/>
  <c r="J1458" i="1" s="1"/>
  <c r="F1242" i="1"/>
  <c r="J1459" i="1" s="1"/>
  <c r="F1243" i="1"/>
  <c r="J1460" i="1" s="1"/>
  <c r="F1244" i="1"/>
  <c r="J1461" i="1" s="1"/>
  <c r="F1245" i="1"/>
  <c r="J1462" i="1" s="1"/>
  <c r="F1246" i="1"/>
  <c r="J1463" i="1" s="1"/>
  <c r="F1247" i="1"/>
  <c r="J1464" i="1" s="1"/>
  <c r="F1248" i="1"/>
  <c r="J1465" i="1" s="1"/>
  <c r="F1249" i="1"/>
  <c r="J1466" i="1" s="1"/>
  <c r="F1250" i="1"/>
  <c r="J1467" i="1" s="1"/>
  <c r="F1251" i="1"/>
  <c r="J1468" i="1" s="1"/>
  <c r="F1252" i="1"/>
  <c r="J1469" i="1" s="1"/>
  <c r="F1253" i="1"/>
  <c r="J1470" i="1" s="1"/>
  <c r="F1254" i="1"/>
  <c r="J1471" i="1" s="1"/>
  <c r="F1255" i="1"/>
  <c r="J1472" i="1" s="1"/>
  <c r="F1256" i="1"/>
  <c r="J1473" i="1" s="1"/>
  <c r="F1257" i="1"/>
  <c r="J1474" i="1" s="1"/>
  <c r="F1258" i="1"/>
  <c r="J1475" i="1" s="1"/>
  <c r="F1259" i="1"/>
  <c r="J1476" i="1" s="1"/>
  <c r="F1260" i="1"/>
  <c r="J1477" i="1" s="1"/>
  <c r="F1261" i="1"/>
  <c r="J1478" i="1" s="1"/>
  <c r="F1262" i="1"/>
  <c r="J1479" i="1" s="1"/>
  <c r="F1263" i="1"/>
  <c r="J1480" i="1" s="1"/>
  <c r="F1264" i="1"/>
  <c r="J1481" i="1" s="1"/>
  <c r="F1265" i="1"/>
  <c r="J1482" i="1" s="1"/>
  <c r="F1266" i="1"/>
  <c r="J1483" i="1" s="1"/>
  <c r="F1267" i="1"/>
  <c r="J1484" i="1" s="1"/>
  <c r="F1268" i="1"/>
  <c r="J1485" i="1" s="1"/>
  <c r="F1269" i="1"/>
  <c r="J1486" i="1" s="1"/>
  <c r="F1270" i="1"/>
  <c r="J1487" i="1" s="1"/>
  <c r="F1271" i="1"/>
  <c r="J1488" i="1" s="1"/>
  <c r="F1272" i="1"/>
  <c r="J1489" i="1" s="1"/>
  <c r="F1273" i="1"/>
  <c r="J1490" i="1" s="1"/>
  <c r="F1274" i="1"/>
  <c r="J1491" i="1" s="1"/>
  <c r="F1275" i="1"/>
  <c r="J1492" i="1" s="1"/>
  <c r="F1276" i="1"/>
  <c r="J1493" i="1" s="1"/>
  <c r="F1277" i="1"/>
  <c r="J1494" i="1" s="1"/>
  <c r="F1278" i="1"/>
  <c r="J1495" i="1" s="1"/>
  <c r="F1279" i="1"/>
  <c r="J1496" i="1" s="1"/>
  <c r="F1280" i="1"/>
  <c r="J1497" i="1" s="1"/>
  <c r="F1281" i="1"/>
  <c r="J1498" i="1" s="1"/>
  <c r="F1282" i="1"/>
  <c r="J1499" i="1" s="1"/>
  <c r="F1283" i="1"/>
  <c r="J1500" i="1" s="1"/>
  <c r="F1284" i="1"/>
  <c r="J1501" i="1" s="1"/>
  <c r="F1285" i="1"/>
  <c r="J1502" i="1" s="1"/>
  <c r="F1286" i="1"/>
  <c r="J1503" i="1" s="1"/>
  <c r="F1287" i="1"/>
  <c r="J1504" i="1" s="1"/>
  <c r="F1288" i="1"/>
  <c r="J1505" i="1" s="1"/>
  <c r="F1289" i="1"/>
  <c r="J1506" i="1" s="1"/>
  <c r="F1290" i="1"/>
  <c r="J1507" i="1" s="1"/>
  <c r="F1291" i="1"/>
  <c r="J1508" i="1" s="1"/>
  <c r="F1292" i="1"/>
  <c r="J1509" i="1" s="1"/>
  <c r="F1293" i="1"/>
  <c r="J1510" i="1" s="1"/>
  <c r="F1294" i="1"/>
  <c r="J1511" i="1" s="1"/>
  <c r="F1295" i="1"/>
  <c r="J1512" i="1" s="1"/>
  <c r="F1296" i="1"/>
  <c r="J1513" i="1" s="1"/>
  <c r="F1297" i="1"/>
  <c r="J1514" i="1" s="1"/>
  <c r="F1298" i="1"/>
  <c r="J1515" i="1" s="1"/>
  <c r="F1299" i="1"/>
  <c r="J1516" i="1" s="1"/>
  <c r="F1300" i="1"/>
  <c r="J1517" i="1" s="1"/>
  <c r="F1301" i="1"/>
  <c r="J1518" i="1" s="1"/>
  <c r="F1302" i="1"/>
  <c r="J1519" i="1" s="1"/>
  <c r="F1303" i="1"/>
  <c r="J1520" i="1" s="1"/>
  <c r="F1304" i="1"/>
  <c r="J1521" i="1" s="1"/>
  <c r="F1305" i="1"/>
  <c r="J1522" i="1" s="1"/>
  <c r="F1306" i="1"/>
  <c r="J1523" i="1" s="1"/>
  <c r="F1307" i="1"/>
  <c r="J1524" i="1" s="1"/>
  <c r="F1308" i="1"/>
  <c r="J1525" i="1" s="1"/>
  <c r="F1309" i="1"/>
  <c r="J1526" i="1" s="1"/>
  <c r="F1310" i="1"/>
  <c r="J1527" i="1" s="1"/>
  <c r="F1311" i="1"/>
  <c r="J1528" i="1" s="1"/>
  <c r="F1312" i="1"/>
  <c r="J1529" i="1" s="1"/>
  <c r="F1313" i="1"/>
  <c r="J1530" i="1" s="1"/>
  <c r="F1314" i="1"/>
  <c r="J1531" i="1" s="1"/>
  <c r="F1315" i="1"/>
  <c r="J1532" i="1" s="1"/>
  <c r="F1316" i="1"/>
  <c r="J1533" i="1" s="1"/>
  <c r="F1317" i="1"/>
  <c r="J1534" i="1" s="1"/>
  <c r="F1318" i="1"/>
  <c r="J1535" i="1" s="1"/>
  <c r="F1319" i="1"/>
  <c r="J1536" i="1" s="1"/>
  <c r="F1320" i="1"/>
  <c r="J1537" i="1" s="1"/>
  <c r="F1321" i="1"/>
  <c r="J1538" i="1" s="1"/>
  <c r="F1322" i="1"/>
  <c r="J1539" i="1" s="1"/>
  <c r="F1323" i="1"/>
  <c r="J1540" i="1" s="1"/>
  <c r="F1324" i="1"/>
  <c r="J1541" i="1" s="1"/>
  <c r="F1325" i="1"/>
  <c r="J1542" i="1" s="1"/>
  <c r="F1326" i="1"/>
  <c r="J1543" i="1" s="1"/>
  <c r="F1327" i="1"/>
  <c r="J1544" i="1" s="1"/>
  <c r="F1328" i="1"/>
  <c r="J1545" i="1" s="1"/>
  <c r="F1329" i="1"/>
  <c r="J1546" i="1" s="1"/>
  <c r="F1330" i="1"/>
  <c r="J1547" i="1" s="1"/>
  <c r="F1331" i="1"/>
  <c r="J1548" i="1" s="1"/>
  <c r="F1332" i="1"/>
  <c r="J1549" i="1" s="1"/>
  <c r="F1333" i="1"/>
  <c r="J1550" i="1" s="1"/>
  <c r="F1334" i="1"/>
  <c r="J1551" i="1" s="1"/>
  <c r="F1335" i="1"/>
  <c r="J1552" i="1" s="1"/>
  <c r="F1336" i="1"/>
  <c r="J1553" i="1" s="1"/>
  <c r="F1337" i="1"/>
  <c r="J1554" i="1" s="1"/>
  <c r="F1338" i="1"/>
  <c r="J1555" i="1" s="1"/>
  <c r="F1339" i="1"/>
  <c r="J1556" i="1" s="1"/>
  <c r="F1340" i="1"/>
  <c r="J1557" i="1" s="1"/>
  <c r="F1341" i="1"/>
  <c r="J1558" i="1" s="1"/>
  <c r="F1342" i="1"/>
  <c r="J1559" i="1" s="1"/>
  <c r="F1343" i="1"/>
  <c r="J1560" i="1" s="1"/>
  <c r="F1344" i="1"/>
  <c r="J1561" i="1" s="1"/>
  <c r="F1345" i="1"/>
  <c r="J1562" i="1" s="1"/>
  <c r="F1346" i="1"/>
  <c r="J1563" i="1" s="1"/>
  <c r="F1347" i="1"/>
  <c r="J1564" i="1" s="1"/>
  <c r="F1348" i="1"/>
  <c r="J1565" i="1" s="1"/>
  <c r="F1349" i="1"/>
  <c r="J1566" i="1" s="1"/>
  <c r="F1350" i="1"/>
  <c r="J1567" i="1" s="1"/>
  <c r="F1351" i="1"/>
  <c r="J1568" i="1" s="1"/>
  <c r="F1352" i="1"/>
  <c r="J1569" i="1" s="1"/>
  <c r="F1353" i="1"/>
  <c r="J1570" i="1" s="1"/>
  <c r="F1354" i="1"/>
  <c r="J1571" i="1" s="1"/>
  <c r="F1355" i="1"/>
  <c r="J1572" i="1" s="1"/>
  <c r="F1356" i="1"/>
  <c r="J1573" i="1" s="1"/>
  <c r="F1357" i="1"/>
  <c r="J1574" i="1" s="1"/>
  <c r="F1358" i="1"/>
  <c r="J1575" i="1" s="1"/>
  <c r="F1359" i="1"/>
  <c r="J1576" i="1" s="1"/>
  <c r="F1360" i="1"/>
  <c r="J1577" i="1" s="1"/>
  <c r="F1361" i="1"/>
  <c r="J1578" i="1" s="1"/>
  <c r="F1362" i="1"/>
  <c r="J1579" i="1" s="1"/>
  <c r="F1363" i="1"/>
  <c r="J1580" i="1" s="1"/>
  <c r="F1364" i="1"/>
  <c r="J1581" i="1" s="1"/>
  <c r="F1365" i="1"/>
  <c r="J1582" i="1" s="1"/>
  <c r="F1366" i="1"/>
  <c r="J1583" i="1" s="1"/>
  <c r="F1367" i="1"/>
  <c r="J1584" i="1" s="1"/>
  <c r="F1368" i="1"/>
  <c r="J1585" i="1" s="1"/>
  <c r="F1369" i="1"/>
  <c r="J1586" i="1" s="1"/>
  <c r="F1370" i="1"/>
  <c r="J1587" i="1" s="1"/>
  <c r="F1371" i="1"/>
  <c r="J1588" i="1" s="1"/>
  <c r="F1372" i="1"/>
  <c r="J1589" i="1" s="1"/>
  <c r="F1373" i="1"/>
  <c r="J1590" i="1" s="1"/>
  <c r="F1374" i="1"/>
  <c r="J1591" i="1" s="1"/>
  <c r="F1375" i="1"/>
  <c r="J1592" i="1" s="1"/>
  <c r="F1376" i="1"/>
  <c r="J1593" i="1" s="1"/>
  <c r="F1377" i="1"/>
  <c r="J1594" i="1" s="1"/>
  <c r="F1378" i="1"/>
  <c r="J1595" i="1" s="1"/>
  <c r="F1379" i="1"/>
  <c r="J1596" i="1" s="1"/>
  <c r="F1380" i="1"/>
  <c r="J1597" i="1" s="1"/>
  <c r="F1381" i="1"/>
  <c r="J1598" i="1" s="1"/>
  <c r="F1382" i="1"/>
  <c r="J1599" i="1" s="1"/>
  <c r="F1383" i="1"/>
  <c r="J1600" i="1" s="1"/>
  <c r="F1384" i="1"/>
  <c r="J1601" i="1" s="1"/>
  <c r="F1385" i="1"/>
  <c r="J1602" i="1" s="1"/>
  <c r="F1386" i="1"/>
  <c r="J1603" i="1" s="1"/>
  <c r="F1387" i="1"/>
  <c r="J1604" i="1" s="1"/>
  <c r="F1388" i="1"/>
  <c r="J1605" i="1" s="1"/>
  <c r="F1389" i="1"/>
  <c r="J1606" i="1" s="1"/>
  <c r="F1390" i="1"/>
  <c r="J1607" i="1" s="1"/>
  <c r="F1391" i="1"/>
  <c r="J1608" i="1" s="1"/>
  <c r="F1392" i="1"/>
  <c r="J1609" i="1" s="1"/>
  <c r="F1393" i="1"/>
  <c r="J1610" i="1" s="1"/>
  <c r="F1394" i="1"/>
  <c r="J1611" i="1" s="1"/>
  <c r="F1395" i="1"/>
  <c r="J1612" i="1" s="1"/>
  <c r="F1396" i="1"/>
  <c r="J1613" i="1" s="1"/>
  <c r="F1397" i="1"/>
  <c r="J1614" i="1" s="1"/>
  <c r="F1398" i="1"/>
  <c r="J1615" i="1" s="1"/>
  <c r="F1399" i="1"/>
  <c r="J1616" i="1" s="1"/>
  <c r="F1400" i="1"/>
  <c r="J1617" i="1" s="1"/>
  <c r="F1401" i="1"/>
  <c r="J1618" i="1" s="1"/>
  <c r="F1402" i="1"/>
  <c r="J1619" i="1" s="1"/>
  <c r="F1403" i="1"/>
  <c r="J1620" i="1" s="1"/>
  <c r="F1404" i="1"/>
  <c r="J1621" i="1" s="1"/>
  <c r="F1405" i="1"/>
  <c r="J1622" i="1" s="1"/>
  <c r="F1406" i="1"/>
  <c r="J1623" i="1" s="1"/>
  <c r="F1407" i="1"/>
  <c r="J1624" i="1" s="1"/>
  <c r="F1408" i="1"/>
  <c r="J1625" i="1" s="1"/>
  <c r="F1409" i="1"/>
  <c r="J1626" i="1" s="1"/>
  <c r="F1410" i="1"/>
  <c r="J1627" i="1" s="1"/>
  <c r="F1411" i="1"/>
  <c r="J1628" i="1" s="1"/>
  <c r="F1412" i="1"/>
  <c r="J1629" i="1" s="1"/>
  <c r="F1413" i="1"/>
  <c r="J1630" i="1" s="1"/>
  <c r="F1414" i="1"/>
  <c r="J1631" i="1" s="1"/>
  <c r="F1415" i="1"/>
  <c r="J1632" i="1" s="1"/>
  <c r="F1416" i="1"/>
  <c r="J1633" i="1" s="1"/>
  <c r="F1417" i="1"/>
  <c r="J1634" i="1" s="1"/>
  <c r="F1418" i="1"/>
  <c r="J1635" i="1" s="1"/>
  <c r="F1419" i="1"/>
  <c r="J1636" i="1" s="1"/>
  <c r="F1420" i="1"/>
  <c r="J1637" i="1" s="1"/>
  <c r="F1421" i="1"/>
  <c r="J1638" i="1" s="1"/>
  <c r="F1422" i="1"/>
  <c r="J1639" i="1" s="1"/>
  <c r="F1423" i="1"/>
  <c r="J1640" i="1" s="1"/>
  <c r="F1424" i="1"/>
  <c r="J1641" i="1" s="1"/>
  <c r="F1425" i="1"/>
  <c r="J1642" i="1" s="1"/>
  <c r="F1426" i="1"/>
  <c r="J1643" i="1" s="1"/>
  <c r="F1427" i="1"/>
  <c r="J1644" i="1" s="1"/>
  <c r="F1428" i="1"/>
  <c r="J1645" i="1" s="1"/>
  <c r="F1429" i="1"/>
  <c r="J1646" i="1" s="1"/>
  <c r="F1430" i="1"/>
  <c r="J1647" i="1" s="1"/>
  <c r="F1431" i="1"/>
  <c r="J1648" i="1" s="1"/>
  <c r="F1432" i="1"/>
  <c r="J1649" i="1" s="1"/>
  <c r="F1433" i="1"/>
  <c r="J1650" i="1" s="1"/>
  <c r="F1434" i="1"/>
  <c r="J1651" i="1" s="1"/>
  <c r="F1435" i="1"/>
  <c r="J1652" i="1" s="1"/>
  <c r="F1436" i="1"/>
  <c r="J1653" i="1" s="1"/>
  <c r="F1437" i="1"/>
  <c r="J1654" i="1" s="1"/>
  <c r="F1438" i="1"/>
  <c r="J1655" i="1" s="1"/>
  <c r="F1439" i="1"/>
  <c r="J1656" i="1" s="1"/>
  <c r="F1440" i="1"/>
  <c r="J1657" i="1" s="1"/>
  <c r="F1441" i="1"/>
  <c r="J1658" i="1" s="1"/>
  <c r="F1442" i="1"/>
  <c r="J1659" i="1" s="1"/>
  <c r="F1443" i="1"/>
  <c r="J1660" i="1" s="1"/>
  <c r="F1444" i="1"/>
  <c r="J1661" i="1" s="1"/>
  <c r="F1445" i="1"/>
  <c r="J1662" i="1" s="1"/>
  <c r="F1446" i="1"/>
  <c r="J1663" i="1" s="1"/>
  <c r="F1447" i="1"/>
  <c r="J1664" i="1" s="1"/>
  <c r="F1448" i="1"/>
  <c r="J1665" i="1" s="1"/>
  <c r="F1449" i="1"/>
  <c r="J1666" i="1" s="1"/>
  <c r="F1450" i="1"/>
  <c r="J1667" i="1" s="1"/>
  <c r="F1451" i="1"/>
  <c r="J1668" i="1" s="1"/>
  <c r="F1452" i="1"/>
  <c r="J1669" i="1" s="1"/>
  <c r="F1453" i="1"/>
  <c r="J1670" i="1" s="1"/>
  <c r="F1454" i="1"/>
  <c r="J1671" i="1" s="1"/>
  <c r="F1455" i="1"/>
  <c r="J1672" i="1" s="1"/>
  <c r="F1456" i="1"/>
  <c r="J1673" i="1" s="1"/>
  <c r="F1457" i="1"/>
  <c r="J1674" i="1" s="1"/>
  <c r="F1458" i="1"/>
  <c r="J1675" i="1" s="1"/>
  <c r="F1459" i="1"/>
  <c r="J1676" i="1" s="1"/>
  <c r="F1460" i="1"/>
  <c r="J1677" i="1" s="1"/>
  <c r="F1461" i="1"/>
  <c r="J1678" i="1" s="1"/>
  <c r="F1462" i="1"/>
  <c r="J1679" i="1" s="1"/>
  <c r="F1463" i="1"/>
  <c r="J1680" i="1" s="1"/>
  <c r="F1464" i="1"/>
  <c r="J1681" i="1" s="1"/>
  <c r="F1465" i="1"/>
  <c r="J1682" i="1" s="1"/>
  <c r="F1466" i="1"/>
  <c r="J1683" i="1" s="1"/>
  <c r="F1467" i="1"/>
  <c r="J1684" i="1" s="1"/>
  <c r="F1468" i="1"/>
  <c r="J1685" i="1" s="1"/>
  <c r="F1469" i="1"/>
  <c r="J1686" i="1" s="1"/>
  <c r="F1470" i="1"/>
  <c r="J1687" i="1" s="1"/>
  <c r="F1471" i="1"/>
  <c r="J1688" i="1" s="1"/>
  <c r="F1472" i="1"/>
  <c r="J1689" i="1" s="1"/>
  <c r="F1473" i="1"/>
  <c r="J1690" i="1" s="1"/>
  <c r="F1474" i="1"/>
  <c r="J1691" i="1" s="1"/>
  <c r="F1475" i="1"/>
  <c r="J1692" i="1" s="1"/>
  <c r="F1476" i="1"/>
  <c r="J1693" i="1" s="1"/>
  <c r="F1477" i="1"/>
  <c r="J1694" i="1" s="1"/>
  <c r="F1478" i="1"/>
  <c r="J1695" i="1" s="1"/>
  <c r="F1479" i="1"/>
  <c r="J1696" i="1" s="1"/>
  <c r="F1480" i="1"/>
  <c r="J1697" i="1" s="1"/>
  <c r="F1481" i="1"/>
  <c r="J1698" i="1" s="1"/>
  <c r="F1482" i="1"/>
  <c r="J1699" i="1" s="1"/>
  <c r="F1483" i="1"/>
  <c r="J1700" i="1" s="1"/>
  <c r="F1484" i="1"/>
  <c r="J1701" i="1" s="1"/>
  <c r="F1485" i="1"/>
  <c r="J1702" i="1" s="1"/>
  <c r="F1486" i="1"/>
  <c r="J1703" i="1" s="1"/>
  <c r="F1487" i="1"/>
  <c r="J1704" i="1" s="1"/>
  <c r="F1488" i="1"/>
  <c r="J1705" i="1" s="1"/>
  <c r="F1489" i="1"/>
  <c r="J1706" i="1" s="1"/>
  <c r="F1490" i="1"/>
  <c r="J1707" i="1" s="1"/>
  <c r="F1491" i="1"/>
  <c r="J1708" i="1" s="1"/>
  <c r="F1492" i="1"/>
  <c r="J1709" i="1" s="1"/>
  <c r="F1493" i="1"/>
  <c r="J1710" i="1" s="1"/>
  <c r="F1494" i="1"/>
  <c r="J1711" i="1" s="1"/>
  <c r="F1495" i="1"/>
  <c r="J1712" i="1" s="1"/>
  <c r="F1496" i="1"/>
  <c r="J1713" i="1" s="1"/>
  <c r="F1497" i="1"/>
  <c r="J1714" i="1" s="1"/>
  <c r="F1498" i="1"/>
  <c r="J1715" i="1" s="1"/>
  <c r="F1499" i="1"/>
  <c r="J1716" i="1" s="1"/>
  <c r="F1500" i="1"/>
  <c r="J1717" i="1" s="1"/>
  <c r="F1501" i="1"/>
  <c r="J1718" i="1" s="1"/>
  <c r="F1502" i="1"/>
  <c r="J1719" i="1" s="1"/>
  <c r="F1503" i="1"/>
  <c r="J1720" i="1" s="1"/>
  <c r="F1504" i="1"/>
  <c r="J1721" i="1" s="1"/>
  <c r="F1505" i="1"/>
  <c r="J1722" i="1" s="1"/>
  <c r="F1506" i="1"/>
  <c r="J1723" i="1" s="1"/>
  <c r="F1507" i="1"/>
  <c r="J1724" i="1" s="1"/>
  <c r="F1508" i="1"/>
  <c r="J1725" i="1" s="1"/>
  <c r="F1509" i="1"/>
  <c r="J1726" i="1" s="1"/>
  <c r="F1510" i="1"/>
  <c r="J1727" i="1" s="1"/>
  <c r="F1511" i="1"/>
  <c r="J1728" i="1" s="1"/>
  <c r="F1512" i="1"/>
  <c r="J1729" i="1" s="1"/>
  <c r="F1513" i="1"/>
  <c r="J1730" i="1" s="1"/>
  <c r="F1514" i="1"/>
  <c r="J1731" i="1" s="1"/>
  <c r="F1515" i="1"/>
  <c r="J1732" i="1" s="1"/>
  <c r="F1516" i="1"/>
  <c r="J1733" i="1" s="1"/>
  <c r="F1517" i="1"/>
  <c r="J1734" i="1" s="1"/>
  <c r="F1518" i="1"/>
  <c r="J1735" i="1" s="1"/>
  <c r="F1519" i="1"/>
  <c r="J1736" i="1" s="1"/>
  <c r="F1520" i="1"/>
  <c r="J1737" i="1" s="1"/>
  <c r="F1521" i="1"/>
  <c r="J1738" i="1" s="1"/>
  <c r="F1522" i="1"/>
  <c r="J1739" i="1" s="1"/>
  <c r="F1523" i="1"/>
  <c r="J1740" i="1" s="1"/>
  <c r="F1524" i="1"/>
  <c r="J1741" i="1" s="1"/>
  <c r="F1525" i="1"/>
  <c r="J1742" i="1" s="1"/>
  <c r="F1526" i="1"/>
  <c r="J1743" i="1" s="1"/>
  <c r="F1527" i="1"/>
  <c r="J1744" i="1" s="1"/>
  <c r="F1528" i="1"/>
  <c r="J1745" i="1" s="1"/>
  <c r="F1529" i="1"/>
  <c r="J1746" i="1" s="1"/>
  <c r="F1530" i="1"/>
  <c r="J1747" i="1" s="1"/>
  <c r="F1531" i="1"/>
  <c r="J1748" i="1" s="1"/>
  <c r="F1532" i="1"/>
  <c r="J1749" i="1" s="1"/>
  <c r="F1533" i="1"/>
  <c r="J1750" i="1" s="1"/>
  <c r="F1534" i="1"/>
  <c r="J1751" i="1" s="1"/>
  <c r="F1535" i="1"/>
  <c r="J1752" i="1" s="1"/>
  <c r="F1536" i="1"/>
  <c r="J1753" i="1" s="1"/>
  <c r="F1537" i="1"/>
  <c r="J1754" i="1" s="1"/>
  <c r="F1538" i="1"/>
  <c r="J1755" i="1" s="1"/>
  <c r="F1539" i="1"/>
  <c r="J1756" i="1" s="1"/>
  <c r="F1540" i="1"/>
  <c r="J1757" i="1" s="1"/>
  <c r="F1541" i="1"/>
  <c r="J1758" i="1" s="1"/>
  <c r="F1542" i="1"/>
  <c r="J1759" i="1" s="1"/>
  <c r="F1543" i="1"/>
  <c r="J1760" i="1" s="1"/>
  <c r="F1544" i="1"/>
  <c r="J1761" i="1" s="1"/>
  <c r="F1545" i="1"/>
  <c r="J1762" i="1" s="1"/>
  <c r="F1546" i="1"/>
  <c r="J1763" i="1" s="1"/>
  <c r="F1547" i="1"/>
  <c r="J1764" i="1" s="1"/>
  <c r="F1548" i="1"/>
  <c r="J1765" i="1" s="1"/>
  <c r="F1549" i="1"/>
  <c r="J1766" i="1" s="1"/>
  <c r="F1550" i="1"/>
  <c r="J1767" i="1" s="1"/>
  <c r="F1551" i="1"/>
  <c r="J1768" i="1" s="1"/>
  <c r="F1552" i="1"/>
  <c r="J1769" i="1" s="1"/>
  <c r="F1553" i="1"/>
  <c r="J1770" i="1" s="1"/>
  <c r="F1554" i="1"/>
  <c r="J1771" i="1" s="1"/>
  <c r="F1555" i="1"/>
  <c r="J1772" i="1" s="1"/>
  <c r="F1556" i="1"/>
  <c r="J1773" i="1" s="1"/>
  <c r="F1557" i="1"/>
  <c r="J1774" i="1" s="1"/>
  <c r="F1558" i="1"/>
  <c r="J1775" i="1" s="1"/>
  <c r="F1559" i="1"/>
  <c r="J1776" i="1" s="1"/>
  <c r="F1560" i="1"/>
  <c r="J1777" i="1" s="1"/>
  <c r="F1561" i="1"/>
  <c r="J1778" i="1" s="1"/>
  <c r="F1562" i="1"/>
  <c r="J1779" i="1" s="1"/>
  <c r="F1563" i="1"/>
  <c r="J1780" i="1" s="1"/>
  <c r="F1564" i="1"/>
  <c r="J1781" i="1" s="1"/>
  <c r="F1565" i="1"/>
  <c r="J1782" i="1" s="1"/>
  <c r="F1566" i="1"/>
  <c r="J1783" i="1" s="1"/>
  <c r="F1567" i="1"/>
  <c r="J1784" i="1" s="1"/>
  <c r="F1568" i="1"/>
  <c r="J1785" i="1" s="1"/>
  <c r="F1569" i="1"/>
  <c r="J1786" i="1" s="1"/>
  <c r="F1570" i="1"/>
  <c r="J1787" i="1" s="1"/>
  <c r="F1571" i="1"/>
  <c r="J1788" i="1" s="1"/>
  <c r="F1572" i="1"/>
  <c r="J1789" i="1" s="1"/>
  <c r="F1573" i="1"/>
  <c r="J1790" i="1" s="1"/>
  <c r="F1574" i="1"/>
  <c r="J1791" i="1" s="1"/>
  <c r="F1575" i="1"/>
  <c r="J1792" i="1" s="1"/>
  <c r="F1576" i="1"/>
  <c r="J1793" i="1" s="1"/>
  <c r="F1577" i="1"/>
  <c r="J1794" i="1" s="1"/>
  <c r="F1578" i="1"/>
  <c r="J1795" i="1" s="1"/>
  <c r="F1579" i="1"/>
  <c r="J1796" i="1" s="1"/>
  <c r="F1580" i="1"/>
  <c r="J1797" i="1" s="1"/>
  <c r="F1581" i="1"/>
  <c r="J1798" i="1" s="1"/>
  <c r="F1582" i="1"/>
  <c r="J1799" i="1" s="1"/>
  <c r="F1583" i="1"/>
  <c r="J1800" i="1" s="1"/>
  <c r="F1584" i="1"/>
  <c r="J1801" i="1" s="1"/>
  <c r="F1585" i="1"/>
  <c r="J1802" i="1" s="1"/>
  <c r="F1586" i="1"/>
  <c r="J1803" i="1" s="1"/>
  <c r="F1587" i="1"/>
  <c r="J1804" i="1" s="1"/>
  <c r="F1588" i="1"/>
  <c r="J1805" i="1" s="1"/>
  <c r="F1589" i="1"/>
  <c r="J1806" i="1" s="1"/>
  <c r="F1590" i="1"/>
  <c r="J1807" i="1" s="1"/>
  <c r="F1591" i="1"/>
  <c r="J1808" i="1" s="1"/>
  <c r="F1592" i="1"/>
  <c r="J1809" i="1" s="1"/>
  <c r="F1593" i="1"/>
  <c r="J1810" i="1" s="1"/>
  <c r="F1594" i="1"/>
  <c r="J1811" i="1" s="1"/>
  <c r="F1595" i="1"/>
  <c r="J1812" i="1" s="1"/>
  <c r="F1596" i="1"/>
  <c r="J1813" i="1" s="1"/>
  <c r="F1597" i="1"/>
  <c r="J1814" i="1" s="1"/>
  <c r="F1598" i="1"/>
  <c r="J1815" i="1" s="1"/>
  <c r="F1599" i="1"/>
  <c r="J1816" i="1" s="1"/>
  <c r="F1600" i="1"/>
  <c r="J1817" i="1" s="1"/>
  <c r="F1601" i="1"/>
  <c r="J1818" i="1" s="1"/>
  <c r="F1602" i="1"/>
  <c r="J1819" i="1" s="1"/>
  <c r="F1603" i="1"/>
  <c r="J1820" i="1" s="1"/>
  <c r="F1604" i="1"/>
  <c r="J1821" i="1" s="1"/>
  <c r="F1605" i="1"/>
  <c r="J1822" i="1" s="1"/>
  <c r="F1606" i="1"/>
  <c r="J1823" i="1" s="1"/>
  <c r="F1607" i="1"/>
  <c r="J1824" i="1" s="1"/>
  <c r="F1608" i="1"/>
  <c r="J1825" i="1" s="1"/>
  <c r="F1609" i="1"/>
  <c r="J1826" i="1" s="1"/>
  <c r="F1610" i="1"/>
  <c r="J1827" i="1" s="1"/>
  <c r="F1611" i="1"/>
  <c r="J1828" i="1" s="1"/>
  <c r="F1612" i="1"/>
  <c r="J1829" i="1" s="1"/>
  <c r="F1613" i="1"/>
  <c r="J1830" i="1" s="1"/>
  <c r="F1614" i="1"/>
  <c r="J1831" i="1" s="1"/>
  <c r="F1615" i="1"/>
  <c r="J1832" i="1" s="1"/>
  <c r="F1616" i="1"/>
  <c r="J1833" i="1" s="1"/>
  <c r="F1617" i="1"/>
  <c r="F1618" i="1"/>
  <c r="J1835" i="1" s="1"/>
  <c r="F1619" i="1"/>
  <c r="J1836" i="1" s="1"/>
  <c r="F1620" i="1"/>
  <c r="J1837" i="1" s="1"/>
  <c r="F1621" i="1"/>
  <c r="J1838" i="1" s="1"/>
  <c r="F1622" i="1"/>
  <c r="J1839" i="1" s="1"/>
  <c r="F1623" i="1"/>
  <c r="J1840" i="1" s="1"/>
  <c r="F1624" i="1"/>
  <c r="J1841" i="1" s="1"/>
  <c r="F1625" i="1"/>
  <c r="J1842" i="1" s="1"/>
  <c r="F1626" i="1"/>
  <c r="J1843" i="1" s="1"/>
  <c r="F1627" i="1"/>
  <c r="J1844" i="1" s="1"/>
  <c r="F1628" i="1"/>
  <c r="J1845" i="1" s="1"/>
  <c r="F1629" i="1"/>
  <c r="J1846" i="1" s="1"/>
  <c r="F1630" i="1"/>
  <c r="J1847" i="1" s="1"/>
  <c r="F1631" i="1"/>
  <c r="J1848" i="1" s="1"/>
  <c r="F1632" i="1"/>
  <c r="J1849" i="1" s="1"/>
  <c r="F1633" i="1"/>
  <c r="J1850" i="1" s="1"/>
  <c r="F1634" i="1"/>
  <c r="J1851" i="1" s="1"/>
  <c r="F1635" i="1"/>
  <c r="J1852" i="1" s="1"/>
  <c r="F1636" i="1"/>
  <c r="J1853" i="1" s="1"/>
  <c r="F1637" i="1"/>
  <c r="J1854" i="1" s="1"/>
  <c r="F1638" i="1"/>
  <c r="J1855" i="1" s="1"/>
  <c r="F1639" i="1"/>
  <c r="J1856" i="1" s="1"/>
  <c r="F1640" i="1"/>
  <c r="J1857" i="1" s="1"/>
  <c r="F1641" i="1"/>
  <c r="J1858" i="1" s="1"/>
  <c r="F1642" i="1"/>
  <c r="J1859" i="1" s="1"/>
  <c r="F1643" i="1"/>
  <c r="J1860" i="1" s="1"/>
  <c r="F1644" i="1"/>
  <c r="J1861" i="1" s="1"/>
  <c r="F1645" i="1"/>
  <c r="J1862" i="1" s="1"/>
  <c r="F1646" i="1"/>
  <c r="J1863" i="1" s="1"/>
  <c r="F1647" i="1"/>
  <c r="J1864" i="1" s="1"/>
  <c r="F1648" i="1"/>
  <c r="J1865" i="1" s="1"/>
  <c r="F1649" i="1"/>
  <c r="J1866" i="1" s="1"/>
  <c r="F1650" i="1"/>
  <c r="J1867" i="1" s="1"/>
  <c r="F1651" i="1"/>
  <c r="J1868" i="1" s="1"/>
  <c r="F1652" i="1"/>
  <c r="J1869" i="1" s="1"/>
  <c r="F1653" i="1"/>
  <c r="J1870" i="1" s="1"/>
  <c r="F1654" i="1"/>
  <c r="J1871" i="1" s="1"/>
  <c r="F1655" i="1"/>
  <c r="J1872" i="1" s="1"/>
  <c r="F1656" i="1"/>
  <c r="J1873" i="1" s="1"/>
  <c r="F1657" i="1"/>
  <c r="J1874" i="1" s="1"/>
  <c r="F1658" i="1"/>
  <c r="J1875" i="1" s="1"/>
  <c r="F1659" i="1"/>
  <c r="J1876" i="1" s="1"/>
  <c r="F1660" i="1"/>
  <c r="J1877" i="1" s="1"/>
  <c r="F1661" i="1"/>
  <c r="J1878" i="1" s="1"/>
  <c r="F1662" i="1"/>
  <c r="J1879" i="1" s="1"/>
  <c r="F1663" i="1"/>
  <c r="J1880" i="1" s="1"/>
  <c r="F1664" i="1"/>
  <c r="J1881" i="1" s="1"/>
  <c r="F1665" i="1"/>
  <c r="J1882" i="1" s="1"/>
  <c r="F1666" i="1"/>
  <c r="J1883" i="1" s="1"/>
  <c r="F1667" i="1"/>
  <c r="J1884" i="1" s="1"/>
  <c r="F1668" i="1"/>
  <c r="J1885" i="1" s="1"/>
  <c r="F1669" i="1"/>
  <c r="J1886" i="1" s="1"/>
  <c r="F1670" i="1"/>
  <c r="J1887" i="1" s="1"/>
  <c r="F1671" i="1"/>
  <c r="J1888" i="1" s="1"/>
  <c r="F1672" i="1"/>
  <c r="J1889" i="1" s="1"/>
  <c r="F1673" i="1"/>
  <c r="J1890" i="1" s="1"/>
  <c r="F1674" i="1"/>
  <c r="J1891" i="1" s="1"/>
  <c r="F1675" i="1"/>
  <c r="J1892" i="1" s="1"/>
  <c r="F1676" i="1"/>
  <c r="J1893" i="1" s="1"/>
  <c r="F1677" i="1"/>
  <c r="J1894" i="1" s="1"/>
  <c r="F1678" i="1"/>
  <c r="J1895" i="1" s="1"/>
  <c r="F1679" i="1"/>
  <c r="J1896" i="1" s="1"/>
  <c r="F1680" i="1"/>
  <c r="J1897" i="1" s="1"/>
  <c r="F1681" i="1"/>
  <c r="J1898" i="1" s="1"/>
  <c r="F1682" i="1"/>
  <c r="J1899" i="1" s="1"/>
  <c r="F1683" i="1"/>
  <c r="J1900" i="1" s="1"/>
  <c r="F1684" i="1"/>
  <c r="J1901" i="1" s="1"/>
  <c r="F1685" i="1"/>
  <c r="J1902" i="1" s="1"/>
  <c r="F1686" i="1"/>
  <c r="J1903" i="1" s="1"/>
  <c r="F1687" i="1"/>
  <c r="J1904" i="1" s="1"/>
  <c r="F1688" i="1"/>
  <c r="J1905" i="1" s="1"/>
  <c r="F1689" i="1"/>
  <c r="J1906" i="1" s="1"/>
  <c r="F1690" i="1"/>
  <c r="J1907" i="1" s="1"/>
  <c r="F1691" i="1"/>
  <c r="J1908" i="1" s="1"/>
  <c r="F1692" i="1"/>
  <c r="J1909" i="1" s="1"/>
  <c r="F1693" i="1"/>
  <c r="J1910" i="1" s="1"/>
  <c r="F1694" i="1"/>
  <c r="J1911" i="1" s="1"/>
  <c r="F1695" i="1"/>
  <c r="J1912" i="1" s="1"/>
  <c r="F1696" i="1"/>
  <c r="J1913" i="1" s="1"/>
  <c r="F1697" i="1"/>
  <c r="J1914" i="1" s="1"/>
  <c r="F1698" i="1"/>
  <c r="J1915" i="1" s="1"/>
  <c r="F1699" i="1"/>
  <c r="J1916" i="1" s="1"/>
  <c r="F1700" i="1"/>
  <c r="J1917" i="1" s="1"/>
  <c r="F1701" i="1"/>
  <c r="J1918" i="1" s="1"/>
  <c r="F1702" i="1"/>
  <c r="J1919" i="1" s="1"/>
  <c r="F1703" i="1"/>
  <c r="J1920" i="1" s="1"/>
  <c r="F1704" i="1"/>
  <c r="J1921" i="1" s="1"/>
  <c r="F1705" i="1"/>
  <c r="J1922" i="1" s="1"/>
  <c r="F1706" i="1"/>
  <c r="J1923" i="1" s="1"/>
  <c r="F1707" i="1"/>
  <c r="J1924" i="1" s="1"/>
  <c r="F1708" i="1"/>
  <c r="J1925" i="1" s="1"/>
  <c r="F1709" i="1"/>
  <c r="J1926" i="1" s="1"/>
  <c r="F1710" i="1"/>
  <c r="J1927" i="1" s="1"/>
  <c r="F1711" i="1"/>
  <c r="J1928" i="1" s="1"/>
  <c r="F1712" i="1"/>
  <c r="J1929" i="1" s="1"/>
  <c r="F1713" i="1"/>
  <c r="J1930" i="1" s="1"/>
  <c r="F1714" i="1"/>
  <c r="J1931" i="1" s="1"/>
  <c r="F1715" i="1"/>
  <c r="J1932" i="1" s="1"/>
  <c r="F1716" i="1"/>
  <c r="J1933" i="1" s="1"/>
  <c r="F1717" i="1"/>
  <c r="J1934" i="1" s="1"/>
  <c r="F1718" i="1"/>
  <c r="J1935" i="1" s="1"/>
  <c r="F1719" i="1"/>
  <c r="J1936" i="1" s="1"/>
  <c r="F1720" i="1"/>
  <c r="J1937" i="1" s="1"/>
  <c r="F1721" i="1"/>
  <c r="J1938" i="1" s="1"/>
  <c r="F1722" i="1"/>
  <c r="J1939" i="1" s="1"/>
  <c r="F1723" i="1"/>
  <c r="J1940" i="1" s="1"/>
  <c r="F1724" i="1"/>
  <c r="J1941" i="1" s="1"/>
  <c r="F1725" i="1"/>
  <c r="J1942" i="1" s="1"/>
  <c r="F1726" i="1"/>
  <c r="J1943" i="1" s="1"/>
  <c r="F1727" i="1"/>
  <c r="J1944" i="1" s="1"/>
  <c r="F1728" i="1"/>
  <c r="J1945" i="1" s="1"/>
  <c r="F1729" i="1"/>
  <c r="J1946" i="1" s="1"/>
  <c r="F1730" i="1"/>
  <c r="J1947" i="1" s="1"/>
  <c r="F1731" i="1"/>
  <c r="J1948" i="1" s="1"/>
  <c r="F1732" i="1"/>
  <c r="J1949" i="1" s="1"/>
  <c r="F1733" i="1"/>
  <c r="J1950" i="1" s="1"/>
  <c r="F1734" i="1"/>
  <c r="J1951" i="1" s="1"/>
  <c r="F1735" i="1"/>
  <c r="J1952" i="1" s="1"/>
  <c r="F1736" i="1"/>
  <c r="J1953" i="1" s="1"/>
  <c r="F1737" i="1"/>
  <c r="J1954" i="1" s="1"/>
  <c r="F1738" i="1"/>
  <c r="J1955" i="1" s="1"/>
  <c r="F1739" i="1"/>
  <c r="J1956" i="1" s="1"/>
  <c r="F1740" i="1"/>
  <c r="J1957" i="1" s="1"/>
  <c r="F1741" i="1"/>
  <c r="J1958" i="1" s="1"/>
  <c r="F1742" i="1"/>
  <c r="J1959" i="1" s="1"/>
  <c r="F1743" i="1"/>
  <c r="J1960" i="1" s="1"/>
  <c r="F1744" i="1"/>
  <c r="J1961" i="1" s="1"/>
  <c r="F1745" i="1"/>
  <c r="J1962" i="1" s="1"/>
  <c r="F1746" i="1"/>
  <c r="J1963" i="1" s="1"/>
  <c r="F1747" i="1"/>
  <c r="J1964" i="1" s="1"/>
  <c r="F1748" i="1"/>
  <c r="J1965" i="1" s="1"/>
  <c r="F1749" i="1"/>
  <c r="J1966" i="1" s="1"/>
  <c r="F1750" i="1"/>
  <c r="J1967" i="1" s="1"/>
  <c r="F1751" i="1"/>
  <c r="J1968" i="1" s="1"/>
  <c r="F1752" i="1"/>
  <c r="J1969" i="1" s="1"/>
  <c r="F1753" i="1"/>
  <c r="J1970" i="1" s="1"/>
  <c r="F1754" i="1"/>
  <c r="J1971" i="1" s="1"/>
  <c r="F1755" i="1"/>
  <c r="J1972" i="1" s="1"/>
  <c r="F1756" i="1"/>
  <c r="J1973" i="1" s="1"/>
  <c r="F1757" i="1"/>
  <c r="J1974" i="1" s="1"/>
  <c r="F1758" i="1"/>
  <c r="J1975" i="1" s="1"/>
  <c r="F1759" i="1"/>
  <c r="J1976" i="1" s="1"/>
  <c r="F1760" i="1"/>
  <c r="J1977" i="1" s="1"/>
  <c r="F1761" i="1"/>
  <c r="J1978" i="1" s="1"/>
  <c r="F1762" i="1"/>
  <c r="J1979" i="1" s="1"/>
  <c r="F1763" i="1"/>
  <c r="J1980" i="1" s="1"/>
  <c r="F1764" i="1"/>
  <c r="J1981" i="1" s="1"/>
  <c r="F1765" i="1"/>
  <c r="J1982" i="1" s="1"/>
  <c r="F1766" i="1"/>
  <c r="J1983" i="1" s="1"/>
  <c r="F1767" i="1"/>
  <c r="J1984" i="1" s="1"/>
  <c r="F1768" i="1"/>
  <c r="J1985" i="1" s="1"/>
  <c r="F1769" i="1"/>
  <c r="J1986" i="1" s="1"/>
  <c r="F1770" i="1"/>
  <c r="J1987" i="1" s="1"/>
  <c r="F1771" i="1"/>
  <c r="J1988" i="1" s="1"/>
  <c r="F1772" i="1"/>
  <c r="J1989" i="1" s="1"/>
  <c r="F1773" i="1"/>
  <c r="J1990" i="1" s="1"/>
  <c r="F1774" i="1"/>
  <c r="J1991" i="1" s="1"/>
  <c r="F1775" i="1"/>
  <c r="J1992" i="1" s="1"/>
  <c r="F1776" i="1"/>
  <c r="J1993" i="1" s="1"/>
  <c r="F1777" i="1"/>
  <c r="J1994" i="1" s="1"/>
  <c r="F1778" i="1"/>
  <c r="J1995" i="1" s="1"/>
  <c r="F1779" i="1"/>
  <c r="J1996" i="1" s="1"/>
  <c r="F1780" i="1"/>
  <c r="J1997" i="1" s="1"/>
  <c r="F1781" i="1"/>
  <c r="J1998" i="1" s="1"/>
  <c r="F1782" i="1"/>
  <c r="J1999" i="1" s="1"/>
  <c r="F1783" i="1"/>
  <c r="J2000" i="1" s="1"/>
  <c r="F1784" i="1"/>
  <c r="J2001" i="1" s="1"/>
  <c r="F1785" i="1"/>
  <c r="J2002" i="1" s="1"/>
  <c r="F1786" i="1"/>
  <c r="J2003" i="1" s="1"/>
  <c r="F1787" i="1"/>
  <c r="J2004" i="1" s="1"/>
  <c r="F1788" i="1"/>
  <c r="J2005" i="1" s="1"/>
  <c r="F1789" i="1"/>
  <c r="J2006" i="1" s="1"/>
  <c r="F1790" i="1"/>
  <c r="J2007" i="1" s="1"/>
  <c r="F1791" i="1"/>
  <c r="J2008" i="1" s="1"/>
  <c r="F1792" i="1"/>
  <c r="J2009" i="1" s="1"/>
  <c r="F1793" i="1"/>
  <c r="J2010" i="1" s="1"/>
  <c r="F1794" i="1"/>
  <c r="J2011" i="1" s="1"/>
  <c r="F1795" i="1"/>
  <c r="J2012" i="1" s="1"/>
  <c r="F1796" i="1"/>
  <c r="J2013" i="1" s="1"/>
  <c r="F1797" i="1"/>
  <c r="J2014" i="1" s="1"/>
  <c r="F1798" i="1"/>
  <c r="J2015" i="1" s="1"/>
  <c r="F1799" i="1"/>
  <c r="J2016" i="1" s="1"/>
  <c r="F1800" i="1"/>
  <c r="J2017" i="1" s="1"/>
  <c r="F1801" i="1"/>
  <c r="J2018" i="1" s="1"/>
  <c r="F1802" i="1"/>
  <c r="J2019" i="1" s="1"/>
  <c r="F1803" i="1"/>
  <c r="J2020" i="1" s="1"/>
  <c r="F1804" i="1"/>
  <c r="J2021" i="1" s="1"/>
  <c r="F1805" i="1"/>
  <c r="J2022" i="1" s="1"/>
  <c r="F1806" i="1"/>
  <c r="J2023" i="1" s="1"/>
  <c r="F1807" i="1"/>
  <c r="J2024" i="1" s="1"/>
  <c r="F1808" i="1"/>
  <c r="J2025" i="1" s="1"/>
  <c r="F1809" i="1"/>
  <c r="J2026" i="1" s="1"/>
  <c r="F1810" i="1"/>
  <c r="J2027" i="1" s="1"/>
  <c r="F1811" i="1"/>
  <c r="J2028" i="1" s="1"/>
  <c r="F1812" i="1"/>
  <c r="J2029" i="1" s="1"/>
  <c r="F1813" i="1"/>
  <c r="J2030" i="1" s="1"/>
  <c r="F1814" i="1"/>
  <c r="J2031" i="1" s="1"/>
  <c r="F1815" i="1"/>
  <c r="J2032" i="1" s="1"/>
  <c r="F1816" i="1"/>
  <c r="J2033" i="1" s="1"/>
  <c r="F1817" i="1"/>
  <c r="J2034" i="1" s="1"/>
  <c r="F1818" i="1"/>
  <c r="J2035" i="1" s="1"/>
  <c r="F1819" i="1"/>
  <c r="J2036" i="1" s="1"/>
  <c r="F1820" i="1"/>
  <c r="J2037" i="1" s="1"/>
  <c r="F1821" i="1"/>
  <c r="J2038" i="1" s="1"/>
  <c r="F1822" i="1"/>
  <c r="J2039" i="1" s="1"/>
  <c r="F1823" i="1"/>
  <c r="J2040" i="1" s="1"/>
  <c r="F1824" i="1"/>
  <c r="J2041" i="1" s="1"/>
  <c r="F1825" i="1"/>
  <c r="J2042" i="1" s="1"/>
  <c r="F1826" i="1"/>
  <c r="J2043" i="1" s="1"/>
  <c r="F1827" i="1"/>
  <c r="J2044" i="1" s="1"/>
  <c r="F1828" i="1"/>
  <c r="J2045" i="1" s="1"/>
  <c r="F1829" i="1"/>
  <c r="J2046" i="1" s="1"/>
  <c r="F1830" i="1"/>
  <c r="J2047" i="1" s="1"/>
  <c r="F1831" i="1"/>
  <c r="J2048" i="1" s="1"/>
  <c r="F1832" i="1"/>
  <c r="J2049" i="1" s="1"/>
  <c r="F1833" i="1"/>
  <c r="J2050" i="1" s="1"/>
  <c r="F1834" i="1"/>
  <c r="J2051" i="1" s="1"/>
  <c r="F1835" i="1"/>
  <c r="J2052" i="1" s="1"/>
  <c r="F1836" i="1"/>
  <c r="J2053" i="1" s="1"/>
  <c r="F1837" i="1"/>
  <c r="J2054" i="1" s="1"/>
  <c r="F1838" i="1"/>
  <c r="J2055" i="1" s="1"/>
  <c r="F1839" i="1"/>
  <c r="J2056" i="1" s="1"/>
  <c r="F1840" i="1"/>
  <c r="J2057" i="1" s="1"/>
  <c r="F1841" i="1"/>
  <c r="J2058" i="1" s="1"/>
  <c r="F1842" i="1"/>
  <c r="J2059" i="1" s="1"/>
  <c r="F1843" i="1"/>
  <c r="J2060" i="1" s="1"/>
  <c r="F1844" i="1"/>
  <c r="J2061" i="1" s="1"/>
  <c r="F1845" i="1"/>
  <c r="J2062" i="1" s="1"/>
  <c r="F1846" i="1"/>
  <c r="J2063" i="1" s="1"/>
  <c r="F1847" i="1"/>
  <c r="J2064" i="1" s="1"/>
  <c r="F1848" i="1"/>
  <c r="J2065" i="1" s="1"/>
  <c r="F1849" i="1"/>
  <c r="J2066" i="1" s="1"/>
  <c r="F1850" i="1"/>
  <c r="J2067" i="1" s="1"/>
  <c r="F1851" i="1"/>
  <c r="J2068" i="1" s="1"/>
  <c r="F1852" i="1"/>
  <c r="J2069" i="1" s="1"/>
  <c r="F1853" i="1"/>
  <c r="J2070" i="1" s="1"/>
  <c r="F1854" i="1"/>
  <c r="J2071" i="1" s="1"/>
  <c r="F1855" i="1"/>
  <c r="J2072" i="1" s="1"/>
  <c r="F1856" i="1"/>
  <c r="J2073" i="1" s="1"/>
  <c r="F1857" i="1"/>
  <c r="J2074" i="1" s="1"/>
  <c r="F1858" i="1"/>
  <c r="J2075" i="1" s="1"/>
  <c r="F1859" i="1"/>
  <c r="J2076" i="1" s="1"/>
  <c r="F1860" i="1"/>
  <c r="J2077" i="1" s="1"/>
  <c r="F1861" i="1"/>
  <c r="J2078" i="1" s="1"/>
  <c r="F1862" i="1"/>
  <c r="J2079" i="1" s="1"/>
  <c r="F1863" i="1"/>
  <c r="J2080" i="1" s="1"/>
  <c r="F1864" i="1"/>
  <c r="J2081" i="1" s="1"/>
  <c r="F1865" i="1"/>
  <c r="J2082" i="1" s="1"/>
  <c r="F1866" i="1"/>
  <c r="J2083" i="1" s="1"/>
  <c r="F1867" i="1"/>
  <c r="J2084" i="1" s="1"/>
  <c r="F1868" i="1"/>
  <c r="J2085" i="1" s="1"/>
  <c r="F1869" i="1"/>
  <c r="J2086" i="1" s="1"/>
  <c r="F1870" i="1"/>
  <c r="J2087" i="1" s="1"/>
  <c r="F1871" i="1"/>
  <c r="J2088" i="1" s="1"/>
  <c r="F1872" i="1"/>
  <c r="J2089" i="1" s="1"/>
  <c r="F1873" i="1"/>
  <c r="J2090" i="1" s="1"/>
  <c r="F1874" i="1"/>
  <c r="J2091" i="1" s="1"/>
  <c r="F1875" i="1"/>
  <c r="J2092" i="1" s="1"/>
  <c r="F1876" i="1"/>
  <c r="J2093" i="1" s="1"/>
  <c r="F1877" i="1"/>
  <c r="J2094" i="1" s="1"/>
  <c r="F1878" i="1"/>
  <c r="J2095" i="1" s="1"/>
  <c r="F1879" i="1"/>
  <c r="J2096" i="1" s="1"/>
  <c r="F1880" i="1"/>
  <c r="J2097" i="1" s="1"/>
  <c r="F1881" i="1"/>
  <c r="J2098" i="1" s="1"/>
  <c r="F1882" i="1"/>
  <c r="J2099" i="1" s="1"/>
  <c r="F1883" i="1"/>
  <c r="J2100" i="1" s="1"/>
  <c r="F1884" i="1"/>
  <c r="J2101" i="1" s="1"/>
  <c r="F1885" i="1"/>
  <c r="J2102" i="1" s="1"/>
  <c r="F1886" i="1"/>
  <c r="J2103" i="1" s="1"/>
  <c r="F1887" i="1"/>
  <c r="J2104" i="1" s="1"/>
  <c r="F1888" i="1"/>
  <c r="J2105" i="1" s="1"/>
  <c r="F1889" i="1"/>
  <c r="J2106" i="1" s="1"/>
  <c r="F1890" i="1"/>
  <c r="J2107" i="1" s="1"/>
  <c r="F1891" i="1"/>
  <c r="J2108" i="1" s="1"/>
  <c r="F1892" i="1"/>
  <c r="J2109" i="1" s="1"/>
  <c r="F1893" i="1"/>
  <c r="J2110" i="1" s="1"/>
  <c r="F1894" i="1"/>
  <c r="J2111" i="1" s="1"/>
  <c r="F1895" i="1"/>
  <c r="J2112" i="1" s="1"/>
  <c r="F1896" i="1"/>
  <c r="J2113" i="1" s="1"/>
  <c r="F1897" i="1"/>
  <c r="J2114" i="1" s="1"/>
  <c r="F1898" i="1"/>
  <c r="J2115" i="1" s="1"/>
  <c r="F1899" i="1"/>
  <c r="J2116" i="1" s="1"/>
  <c r="F1900" i="1"/>
  <c r="J2117" i="1" s="1"/>
  <c r="F1901" i="1"/>
  <c r="J2118" i="1" s="1"/>
  <c r="F1902" i="1"/>
  <c r="J2119" i="1" s="1"/>
  <c r="F1903" i="1"/>
  <c r="J2120" i="1" s="1"/>
  <c r="F1904" i="1"/>
  <c r="J2121" i="1" s="1"/>
  <c r="F1905" i="1"/>
  <c r="J2122" i="1" s="1"/>
  <c r="F1906" i="1"/>
  <c r="J2123" i="1" s="1"/>
  <c r="F1907" i="1"/>
  <c r="J2124" i="1" s="1"/>
  <c r="F1908" i="1"/>
  <c r="J2125" i="1" s="1"/>
  <c r="F1909" i="1"/>
  <c r="J2126" i="1" s="1"/>
  <c r="F1910" i="1"/>
  <c r="J2127" i="1" s="1"/>
  <c r="F1911" i="1"/>
  <c r="J2128" i="1" s="1"/>
  <c r="F1912" i="1"/>
  <c r="J2129" i="1" s="1"/>
  <c r="F1913" i="1"/>
  <c r="J2130" i="1" s="1"/>
  <c r="F1914" i="1"/>
  <c r="J2131" i="1" s="1"/>
  <c r="F1915" i="1"/>
  <c r="J2132" i="1" s="1"/>
  <c r="F1916" i="1"/>
  <c r="J2133" i="1" s="1"/>
  <c r="F1917" i="1"/>
  <c r="J2134" i="1" s="1"/>
  <c r="F1918" i="1"/>
  <c r="J2135" i="1" s="1"/>
  <c r="F1919" i="1"/>
  <c r="J2136" i="1" s="1"/>
  <c r="F1920" i="1"/>
  <c r="J2137" i="1" s="1"/>
  <c r="F1921" i="1"/>
  <c r="J2138" i="1" s="1"/>
  <c r="F1922" i="1"/>
  <c r="J2139" i="1" s="1"/>
  <c r="F1923" i="1"/>
  <c r="J2140" i="1" s="1"/>
  <c r="F1924" i="1"/>
  <c r="J2141" i="1" s="1"/>
  <c r="F1925" i="1"/>
  <c r="J2142" i="1" s="1"/>
  <c r="F1926" i="1"/>
  <c r="J2143" i="1" s="1"/>
  <c r="F1927" i="1"/>
  <c r="J2144" i="1" s="1"/>
  <c r="F1928" i="1"/>
  <c r="J2145" i="1" s="1"/>
  <c r="F1929" i="1"/>
  <c r="J2146" i="1" s="1"/>
  <c r="F1930" i="1"/>
  <c r="J2147" i="1" s="1"/>
  <c r="F1931" i="1"/>
  <c r="J2148" i="1" s="1"/>
  <c r="F1932" i="1"/>
  <c r="J2149" i="1" s="1"/>
  <c r="F1933" i="1"/>
  <c r="J2150" i="1" s="1"/>
  <c r="F1934" i="1"/>
  <c r="J2151" i="1" s="1"/>
  <c r="F1935" i="1"/>
  <c r="J2152" i="1" s="1"/>
  <c r="F1936" i="1"/>
  <c r="J2153" i="1" s="1"/>
  <c r="F1937" i="1"/>
  <c r="J2154" i="1" s="1"/>
  <c r="F1938" i="1"/>
  <c r="J2155" i="1" s="1"/>
  <c r="F1939" i="1"/>
  <c r="J2156" i="1" s="1"/>
  <c r="F1940" i="1"/>
  <c r="J2157" i="1" s="1"/>
  <c r="F1941" i="1"/>
  <c r="J2158" i="1" s="1"/>
  <c r="F1942" i="1"/>
  <c r="J2159" i="1" s="1"/>
  <c r="F1943" i="1"/>
  <c r="J2160" i="1" s="1"/>
  <c r="F1944" i="1"/>
  <c r="J2161" i="1" s="1"/>
  <c r="F1945" i="1"/>
  <c r="J2162" i="1" s="1"/>
  <c r="F1946" i="1"/>
  <c r="J2163" i="1" s="1"/>
  <c r="F1947" i="1"/>
  <c r="J2164" i="1" s="1"/>
  <c r="F1948" i="1"/>
  <c r="J2165" i="1" s="1"/>
  <c r="F1949" i="1"/>
  <c r="J2166" i="1" s="1"/>
  <c r="F1950" i="1"/>
  <c r="J2167" i="1" s="1"/>
  <c r="F1951" i="1"/>
  <c r="J2168" i="1" s="1"/>
  <c r="F1952" i="1"/>
  <c r="J2169" i="1" s="1"/>
  <c r="F1953" i="1"/>
  <c r="J2170" i="1" s="1"/>
  <c r="F1954" i="1"/>
  <c r="J2171" i="1" s="1"/>
  <c r="F1955" i="1"/>
  <c r="J2172" i="1" s="1"/>
  <c r="F1956" i="1"/>
  <c r="J2173" i="1" s="1"/>
  <c r="F1957" i="1"/>
  <c r="J2174" i="1" s="1"/>
  <c r="F1958" i="1"/>
  <c r="J2175" i="1" s="1"/>
  <c r="F1959" i="1"/>
  <c r="J2176" i="1" s="1"/>
  <c r="F1960" i="1"/>
  <c r="J2177" i="1" s="1"/>
  <c r="F1961" i="1"/>
  <c r="J2178" i="1" s="1"/>
  <c r="F1962" i="1"/>
  <c r="J2179" i="1" s="1"/>
  <c r="F1963" i="1"/>
  <c r="J2180" i="1" s="1"/>
  <c r="F1964" i="1"/>
  <c r="J2181" i="1" s="1"/>
  <c r="F1965" i="1"/>
  <c r="J2182" i="1" s="1"/>
  <c r="F1966" i="1"/>
  <c r="J2183" i="1" s="1"/>
  <c r="F1967" i="1"/>
  <c r="J2184" i="1" s="1"/>
  <c r="F1968" i="1"/>
  <c r="J2185" i="1" s="1"/>
  <c r="F1969" i="1"/>
  <c r="J2186" i="1" s="1"/>
  <c r="F1970" i="1"/>
  <c r="J2187" i="1" s="1"/>
  <c r="F1971" i="1"/>
  <c r="J2188" i="1" s="1"/>
  <c r="F1972" i="1"/>
  <c r="J2189" i="1" s="1"/>
  <c r="F1973" i="1"/>
  <c r="J2190" i="1" s="1"/>
  <c r="F1974" i="1"/>
  <c r="J2191" i="1" s="1"/>
  <c r="F1975" i="1"/>
  <c r="J2192" i="1" s="1"/>
  <c r="F1976" i="1"/>
  <c r="J2193" i="1" s="1"/>
  <c r="F1977" i="1"/>
  <c r="J2194" i="1" s="1"/>
  <c r="F1978" i="1"/>
  <c r="J2195" i="1" s="1"/>
  <c r="F1979" i="1"/>
  <c r="J2196" i="1" s="1"/>
  <c r="F1980" i="1"/>
  <c r="J2197" i="1" s="1"/>
  <c r="F1981" i="1"/>
  <c r="J2198" i="1" s="1"/>
  <c r="F1982" i="1"/>
  <c r="J2199" i="1" s="1"/>
  <c r="F1983" i="1"/>
  <c r="J2200" i="1" s="1"/>
  <c r="F1984" i="1"/>
  <c r="J2201" i="1" s="1"/>
  <c r="F1985" i="1"/>
  <c r="J2202" i="1" s="1"/>
  <c r="F1986" i="1"/>
  <c r="J2203" i="1" s="1"/>
  <c r="F1987" i="1"/>
  <c r="J2204" i="1" s="1"/>
  <c r="F1988" i="1"/>
  <c r="J2205" i="1" s="1"/>
  <c r="F1989" i="1"/>
  <c r="J2206" i="1" s="1"/>
  <c r="F1990" i="1"/>
  <c r="J2207" i="1" s="1"/>
  <c r="F1991" i="1"/>
  <c r="J2208" i="1" s="1"/>
  <c r="F1992" i="1"/>
  <c r="J2209" i="1" s="1"/>
  <c r="F1993" i="1"/>
  <c r="J2210" i="1" s="1"/>
  <c r="F1994" i="1"/>
  <c r="J2211" i="1" s="1"/>
  <c r="F1995" i="1"/>
  <c r="J2212" i="1" s="1"/>
  <c r="F1996" i="1"/>
  <c r="J2213" i="1" s="1"/>
  <c r="F1997" i="1"/>
  <c r="J2214" i="1" s="1"/>
  <c r="F1998" i="1"/>
  <c r="J2215" i="1" s="1"/>
  <c r="F1999" i="1"/>
  <c r="J2216" i="1" s="1"/>
  <c r="F2000" i="1"/>
  <c r="J2217" i="1" s="1"/>
  <c r="F2001" i="1"/>
  <c r="J2218" i="1" s="1"/>
  <c r="F2002" i="1"/>
  <c r="J2219" i="1" s="1"/>
  <c r="F2003" i="1"/>
  <c r="J2220" i="1" s="1"/>
  <c r="F2004" i="1"/>
  <c r="J2221" i="1" s="1"/>
  <c r="F2005" i="1"/>
  <c r="J2222" i="1" s="1"/>
  <c r="F2006" i="1"/>
  <c r="J2223" i="1" s="1"/>
  <c r="F2007" i="1"/>
  <c r="J2224" i="1" s="1"/>
  <c r="F2008" i="1"/>
  <c r="J2225" i="1" s="1"/>
  <c r="F2009" i="1"/>
  <c r="J2226" i="1" s="1"/>
  <c r="F2010" i="1"/>
  <c r="J2227" i="1" s="1"/>
  <c r="F2011" i="1"/>
  <c r="J2228" i="1" s="1"/>
  <c r="F2012" i="1"/>
  <c r="J2229" i="1" s="1"/>
  <c r="F2013" i="1"/>
  <c r="J2230" i="1" s="1"/>
  <c r="F2014" i="1"/>
  <c r="J2231" i="1" s="1"/>
  <c r="F2015" i="1"/>
  <c r="J2232" i="1" s="1"/>
  <c r="F2016" i="1"/>
  <c r="J2233" i="1" s="1"/>
  <c r="F2017" i="1"/>
  <c r="J2234" i="1" s="1"/>
  <c r="F2018" i="1"/>
  <c r="J2235" i="1" s="1"/>
  <c r="F2019" i="1"/>
  <c r="J2236" i="1" s="1"/>
  <c r="F2020" i="1"/>
  <c r="J2237" i="1" s="1"/>
  <c r="F2021" i="1"/>
  <c r="J2238" i="1" s="1"/>
  <c r="F2022" i="1"/>
  <c r="J2239" i="1" s="1"/>
  <c r="F2023" i="1"/>
  <c r="J2240" i="1" s="1"/>
  <c r="F2024" i="1"/>
  <c r="J2241" i="1" s="1"/>
  <c r="F2025" i="1"/>
  <c r="J2242" i="1" s="1"/>
  <c r="F2026" i="1"/>
  <c r="J2243" i="1" s="1"/>
  <c r="F2027" i="1"/>
  <c r="J2244" i="1" s="1"/>
  <c r="F2028" i="1"/>
  <c r="J2245" i="1" s="1"/>
  <c r="F2029" i="1"/>
  <c r="J2246" i="1" s="1"/>
  <c r="F2030" i="1"/>
  <c r="J2247" i="1" s="1"/>
  <c r="F2031" i="1"/>
  <c r="J2248" i="1" s="1"/>
  <c r="F2032" i="1"/>
  <c r="J2249" i="1" s="1"/>
  <c r="F2033" i="1"/>
  <c r="J2250" i="1" s="1"/>
  <c r="F2034" i="1"/>
  <c r="J2251" i="1" s="1"/>
  <c r="F2035" i="1"/>
  <c r="J2252" i="1" s="1"/>
  <c r="F2036" i="1"/>
  <c r="J2253" i="1" s="1"/>
  <c r="F2037" i="1"/>
  <c r="J2254" i="1" s="1"/>
  <c r="F2038" i="1"/>
  <c r="J2255" i="1" s="1"/>
  <c r="F2039" i="1"/>
  <c r="J2256" i="1" s="1"/>
  <c r="F2040" i="1"/>
  <c r="J2257" i="1" s="1"/>
  <c r="F2041" i="1"/>
  <c r="J2258" i="1" s="1"/>
  <c r="F2042" i="1"/>
  <c r="J2259" i="1" s="1"/>
  <c r="F2043" i="1"/>
  <c r="J2260" i="1" s="1"/>
  <c r="F2044" i="1"/>
  <c r="J2261" i="1" s="1"/>
  <c r="F2045" i="1"/>
  <c r="J2262" i="1" s="1"/>
  <c r="F2046" i="1"/>
  <c r="J2263" i="1" s="1"/>
  <c r="F2047" i="1"/>
  <c r="J2264" i="1" s="1"/>
  <c r="F2048" i="1"/>
  <c r="J2265" i="1" s="1"/>
  <c r="F2049" i="1"/>
  <c r="J2266" i="1" s="1"/>
  <c r="F2050" i="1"/>
  <c r="J2267" i="1" s="1"/>
  <c r="F2051" i="1"/>
  <c r="J2268" i="1" s="1"/>
  <c r="F2052" i="1"/>
  <c r="J2269" i="1" s="1"/>
  <c r="F2053" i="1"/>
  <c r="J2270" i="1" s="1"/>
  <c r="F2054" i="1"/>
  <c r="J2271" i="1" s="1"/>
  <c r="F2055" i="1"/>
  <c r="J2272" i="1" s="1"/>
  <c r="F2056" i="1"/>
  <c r="J2273" i="1" s="1"/>
  <c r="F2057" i="1"/>
  <c r="J2274" i="1" s="1"/>
  <c r="F2058" i="1"/>
  <c r="J2275" i="1" s="1"/>
  <c r="F2059" i="1"/>
  <c r="J2276" i="1" s="1"/>
  <c r="F2060" i="1"/>
  <c r="J2277" i="1" s="1"/>
  <c r="F2061" i="1"/>
  <c r="J2278" i="1" s="1"/>
  <c r="F2062" i="1"/>
  <c r="J2279" i="1" s="1"/>
  <c r="F2063" i="1"/>
  <c r="J2280" i="1" s="1"/>
  <c r="F2064" i="1"/>
  <c r="J2281" i="1" s="1"/>
  <c r="F2065" i="1"/>
  <c r="J2282" i="1" s="1"/>
  <c r="F2066" i="1"/>
  <c r="J2283" i="1" s="1"/>
  <c r="F2067" i="1"/>
  <c r="J2284" i="1" s="1"/>
  <c r="F2068" i="1"/>
  <c r="J2285" i="1" s="1"/>
  <c r="F2069" i="1"/>
  <c r="J2286" i="1" s="1"/>
  <c r="F2070" i="1"/>
  <c r="J2287" i="1" s="1"/>
  <c r="F2071" i="1"/>
  <c r="J2288" i="1" s="1"/>
  <c r="F2072" i="1"/>
  <c r="J2289" i="1" s="1"/>
  <c r="F2073" i="1"/>
  <c r="J2290" i="1" s="1"/>
  <c r="F2074" i="1"/>
  <c r="J2291" i="1" s="1"/>
  <c r="F2075" i="1"/>
  <c r="J2292" i="1" s="1"/>
  <c r="F2076" i="1"/>
  <c r="J2293" i="1" s="1"/>
  <c r="F2077" i="1"/>
  <c r="J2294" i="1" s="1"/>
  <c r="F2078" i="1"/>
  <c r="J2295" i="1" s="1"/>
  <c r="F2079" i="1"/>
  <c r="J2296" i="1" s="1"/>
  <c r="F2080" i="1"/>
  <c r="J2297" i="1" s="1"/>
  <c r="F2081" i="1"/>
  <c r="J2298" i="1" s="1"/>
  <c r="F2082" i="1"/>
  <c r="J2299" i="1" s="1"/>
  <c r="F2083" i="1"/>
  <c r="J2300" i="1" s="1"/>
  <c r="F2084" i="1"/>
  <c r="J2301" i="1" s="1"/>
  <c r="F2085" i="1"/>
  <c r="J2302" i="1" s="1"/>
  <c r="F2086" i="1"/>
  <c r="J2303" i="1" s="1"/>
  <c r="F2087" i="1"/>
  <c r="J2304" i="1" s="1"/>
  <c r="F2088" i="1"/>
  <c r="J2305" i="1" s="1"/>
  <c r="F2089" i="1"/>
  <c r="J2306" i="1" s="1"/>
  <c r="F2090" i="1"/>
  <c r="J2307" i="1" s="1"/>
  <c r="F2091" i="1"/>
  <c r="J2308" i="1" s="1"/>
  <c r="F2092" i="1"/>
  <c r="J2309" i="1" s="1"/>
  <c r="F2093" i="1"/>
  <c r="J2310" i="1" s="1"/>
  <c r="F2094" i="1"/>
  <c r="J2311" i="1" s="1"/>
  <c r="F2095" i="1"/>
  <c r="J2312" i="1" s="1"/>
  <c r="F2096" i="1"/>
  <c r="J2313" i="1" s="1"/>
  <c r="F2097" i="1"/>
  <c r="J2314" i="1" s="1"/>
  <c r="F2098" i="1"/>
  <c r="J2315" i="1" s="1"/>
  <c r="F2099" i="1"/>
  <c r="J2316" i="1" s="1"/>
  <c r="F2100" i="1"/>
  <c r="J2317" i="1" s="1"/>
  <c r="F2101" i="1"/>
  <c r="J2318" i="1" s="1"/>
  <c r="F2102" i="1"/>
  <c r="J2319" i="1" s="1"/>
  <c r="F2103" i="1"/>
  <c r="J2320" i="1" s="1"/>
  <c r="F2104" i="1"/>
  <c r="J2321" i="1" s="1"/>
  <c r="F2105" i="1"/>
  <c r="J2322" i="1" s="1"/>
  <c r="F2106" i="1"/>
  <c r="J2323" i="1" s="1"/>
  <c r="F2107" i="1"/>
  <c r="J2324" i="1" s="1"/>
  <c r="F2108" i="1"/>
  <c r="J2325" i="1" s="1"/>
  <c r="F2109" i="1"/>
  <c r="J2326" i="1" s="1"/>
  <c r="F2110" i="1"/>
  <c r="J2327" i="1" s="1"/>
  <c r="F2111" i="1"/>
  <c r="J2328" i="1" s="1"/>
  <c r="F2112" i="1"/>
  <c r="J2329" i="1" s="1"/>
  <c r="F2113" i="1"/>
  <c r="J2330" i="1" s="1"/>
  <c r="F2114" i="1"/>
  <c r="J2331" i="1" s="1"/>
  <c r="F2115" i="1"/>
  <c r="J2332" i="1" s="1"/>
  <c r="F2116" i="1"/>
  <c r="J2333" i="1" s="1"/>
  <c r="F2117" i="1"/>
  <c r="J2334" i="1" s="1"/>
  <c r="F2118" i="1"/>
  <c r="J2335" i="1" s="1"/>
  <c r="F2119" i="1"/>
  <c r="J2336" i="1" s="1"/>
  <c r="F2120" i="1"/>
  <c r="J2337" i="1" s="1"/>
  <c r="F2121" i="1"/>
  <c r="J2338" i="1" s="1"/>
  <c r="F2122" i="1"/>
  <c r="J2339" i="1" s="1"/>
  <c r="F2123" i="1"/>
  <c r="J2340" i="1" s="1"/>
  <c r="F2124" i="1"/>
  <c r="J2341" i="1" s="1"/>
  <c r="F2125" i="1"/>
  <c r="J2342" i="1" s="1"/>
  <c r="F2126" i="1"/>
  <c r="J2343" i="1" s="1"/>
  <c r="F2127" i="1"/>
  <c r="J2344" i="1" s="1"/>
  <c r="F2128" i="1"/>
  <c r="J2345" i="1" s="1"/>
  <c r="F2129" i="1"/>
  <c r="J2346" i="1" s="1"/>
  <c r="F2130" i="1"/>
  <c r="J2347" i="1" s="1"/>
  <c r="F2131" i="1"/>
  <c r="J2348" i="1" s="1"/>
  <c r="F2132" i="1"/>
  <c r="J2349" i="1" s="1"/>
  <c r="F2133" i="1"/>
  <c r="J2350" i="1" s="1"/>
  <c r="F2134" i="1"/>
  <c r="J2351" i="1" s="1"/>
  <c r="F2135" i="1"/>
  <c r="J2352" i="1" s="1"/>
  <c r="F2136" i="1"/>
  <c r="J2353" i="1" s="1"/>
  <c r="F2137" i="1"/>
  <c r="J2354" i="1" s="1"/>
  <c r="F2138" i="1"/>
  <c r="J2355" i="1" s="1"/>
  <c r="F2139" i="1"/>
  <c r="J2356" i="1" s="1"/>
  <c r="F2140" i="1"/>
  <c r="J2357" i="1" s="1"/>
  <c r="F2141" i="1"/>
  <c r="J2358" i="1" s="1"/>
  <c r="F2142" i="1"/>
  <c r="J2359" i="1" s="1"/>
  <c r="F2143" i="1"/>
  <c r="J2360" i="1" s="1"/>
  <c r="F2144" i="1"/>
  <c r="J2361" i="1" s="1"/>
  <c r="F2145" i="1"/>
  <c r="J2362" i="1" s="1"/>
  <c r="F2146" i="1"/>
  <c r="J2363" i="1" s="1"/>
  <c r="F2147" i="1"/>
  <c r="J2364" i="1" s="1"/>
  <c r="F2148" i="1"/>
  <c r="J2365" i="1" s="1"/>
  <c r="F2149" i="1"/>
  <c r="J2366" i="1" s="1"/>
  <c r="F2150" i="1"/>
  <c r="J2367" i="1" s="1"/>
  <c r="F2151" i="1"/>
  <c r="J2368" i="1" s="1"/>
  <c r="F2152" i="1"/>
  <c r="J2369" i="1" s="1"/>
  <c r="F2153" i="1"/>
  <c r="J2370" i="1" s="1"/>
  <c r="F2154" i="1"/>
  <c r="J2371" i="1" s="1"/>
  <c r="F2155" i="1"/>
  <c r="J2372" i="1" s="1"/>
  <c r="F2156" i="1"/>
  <c r="J2373" i="1" s="1"/>
  <c r="F2157" i="1"/>
  <c r="J2374" i="1" s="1"/>
  <c r="F2158" i="1"/>
  <c r="J2375" i="1" s="1"/>
  <c r="F2159" i="1"/>
  <c r="J2376" i="1" s="1"/>
  <c r="F2160" i="1"/>
  <c r="J2377" i="1" s="1"/>
  <c r="F2161" i="1"/>
  <c r="J2378" i="1" s="1"/>
  <c r="F2162" i="1"/>
  <c r="J2379" i="1" s="1"/>
  <c r="F2163" i="1"/>
  <c r="J2380" i="1" s="1"/>
  <c r="F2164" i="1"/>
  <c r="J2381" i="1" s="1"/>
  <c r="F2165" i="1"/>
  <c r="J2382" i="1" s="1"/>
  <c r="F2166" i="1"/>
  <c r="J2383" i="1" s="1"/>
  <c r="F2167" i="1"/>
  <c r="J2384" i="1" s="1"/>
  <c r="F2168" i="1"/>
  <c r="J2385" i="1" s="1"/>
  <c r="F2169" i="1"/>
  <c r="J2386" i="1" s="1"/>
  <c r="F2170" i="1"/>
  <c r="J2387" i="1" s="1"/>
  <c r="F2171" i="1"/>
  <c r="J2388" i="1" s="1"/>
  <c r="F2172" i="1"/>
  <c r="J2389" i="1" s="1"/>
  <c r="F2173" i="1"/>
  <c r="J2390" i="1" s="1"/>
  <c r="F2174" i="1"/>
  <c r="J2391" i="1" s="1"/>
  <c r="F2175" i="1"/>
  <c r="J2392" i="1" s="1"/>
  <c r="F2176" i="1"/>
  <c r="J2393" i="1" s="1"/>
  <c r="F2177" i="1"/>
  <c r="J2394" i="1" s="1"/>
  <c r="F2178" i="1"/>
  <c r="J2395" i="1" s="1"/>
  <c r="F2179" i="1"/>
  <c r="J2396" i="1" s="1"/>
  <c r="F2180" i="1"/>
  <c r="J2397" i="1" s="1"/>
  <c r="F2181" i="1"/>
  <c r="J2398" i="1" s="1"/>
  <c r="F2182" i="1"/>
  <c r="J2399" i="1" s="1"/>
  <c r="F2183" i="1"/>
  <c r="J2400" i="1" s="1"/>
  <c r="F2184" i="1"/>
  <c r="J2401" i="1" s="1"/>
  <c r="F2185" i="1"/>
  <c r="J2402" i="1" s="1"/>
  <c r="F2186" i="1"/>
  <c r="J2403" i="1" s="1"/>
  <c r="F2187" i="1"/>
  <c r="J2404" i="1" s="1"/>
  <c r="F2188" i="1"/>
  <c r="J2405" i="1" s="1"/>
  <c r="F2189" i="1"/>
  <c r="J2406" i="1" s="1"/>
  <c r="F2190" i="1"/>
  <c r="J2407" i="1" s="1"/>
  <c r="F2191" i="1"/>
  <c r="J2408" i="1" s="1"/>
  <c r="F2192" i="1"/>
  <c r="J2409" i="1" s="1"/>
  <c r="F2193" i="1"/>
  <c r="J2410" i="1" s="1"/>
  <c r="F2194" i="1"/>
  <c r="J2411" i="1" s="1"/>
  <c r="F2195" i="1"/>
  <c r="J2412" i="1" s="1"/>
  <c r="F2196" i="1"/>
  <c r="J2413" i="1" s="1"/>
  <c r="F2197" i="1"/>
  <c r="J2414" i="1" s="1"/>
  <c r="F2198" i="1"/>
  <c r="J2415" i="1" s="1"/>
  <c r="F2199" i="1"/>
  <c r="J2416" i="1" s="1"/>
  <c r="F2200" i="1"/>
  <c r="J2417" i="1" s="1"/>
  <c r="F2201" i="1"/>
  <c r="J2418" i="1" s="1"/>
  <c r="F2202" i="1"/>
  <c r="J2419" i="1" s="1"/>
  <c r="F2203" i="1"/>
  <c r="J2420" i="1" s="1"/>
  <c r="F2204" i="1"/>
  <c r="J2421" i="1" s="1"/>
  <c r="F2205" i="1"/>
  <c r="J2422" i="1" s="1"/>
  <c r="F2206" i="1"/>
  <c r="J2423" i="1" s="1"/>
  <c r="F2207" i="1"/>
  <c r="J2424" i="1" s="1"/>
  <c r="F2208" i="1"/>
  <c r="J2425" i="1" s="1"/>
  <c r="F2209" i="1"/>
  <c r="J2426" i="1" s="1"/>
  <c r="F2210" i="1"/>
  <c r="J2427" i="1" s="1"/>
  <c r="F2211" i="1"/>
  <c r="J2428" i="1" s="1"/>
  <c r="F2212" i="1"/>
  <c r="J2429" i="1" s="1"/>
  <c r="F2213" i="1"/>
  <c r="J2430" i="1" s="1"/>
  <c r="F2214" i="1"/>
  <c r="J2431" i="1" s="1"/>
  <c r="F2215" i="1"/>
  <c r="J2432" i="1" s="1"/>
  <c r="F2216" i="1"/>
  <c r="J2433" i="1" s="1"/>
  <c r="F2217" i="1"/>
  <c r="J2434" i="1" s="1"/>
  <c r="F2218" i="1"/>
  <c r="J2435" i="1" s="1"/>
  <c r="F2219" i="1"/>
  <c r="J2436" i="1" s="1"/>
  <c r="F2220" i="1"/>
  <c r="J2437" i="1" s="1"/>
  <c r="F2221" i="1"/>
  <c r="J2438" i="1" s="1"/>
  <c r="F2222" i="1"/>
  <c r="J2439" i="1" s="1"/>
  <c r="F2223" i="1"/>
  <c r="J2440" i="1" s="1"/>
  <c r="F2224" i="1"/>
  <c r="J2441" i="1" s="1"/>
  <c r="F2225" i="1"/>
  <c r="J2442" i="1" s="1"/>
  <c r="F2226" i="1"/>
  <c r="J2443" i="1" s="1"/>
  <c r="F2227" i="1"/>
  <c r="J2444" i="1" s="1"/>
  <c r="F2228" i="1"/>
  <c r="J2445" i="1" s="1"/>
  <c r="F2229" i="1"/>
  <c r="J2446" i="1" s="1"/>
  <c r="F2230" i="1"/>
  <c r="J2447" i="1" s="1"/>
  <c r="F2231" i="1"/>
  <c r="J2448" i="1" s="1"/>
  <c r="F2232" i="1"/>
  <c r="J2449" i="1" s="1"/>
  <c r="F2233" i="1"/>
  <c r="J2450" i="1" s="1"/>
  <c r="F2234" i="1"/>
  <c r="J2451" i="1" s="1"/>
  <c r="F2235" i="1"/>
  <c r="J2452" i="1" s="1"/>
  <c r="F2236" i="1"/>
  <c r="J2453" i="1" s="1"/>
  <c r="F2237" i="1"/>
  <c r="J2454" i="1" s="1"/>
  <c r="F2238" i="1"/>
  <c r="J2455" i="1" s="1"/>
  <c r="F2239" i="1"/>
  <c r="J2456" i="1" s="1"/>
  <c r="F2240" i="1"/>
  <c r="J2457" i="1" s="1"/>
  <c r="F2241" i="1"/>
  <c r="J2458" i="1" s="1"/>
  <c r="F2242" i="1"/>
  <c r="J2459" i="1" s="1"/>
  <c r="F2243" i="1"/>
  <c r="J2460" i="1" s="1"/>
  <c r="F2244" i="1"/>
  <c r="J2461" i="1" s="1"/>
  <c r="F2245" i="1"/>
  <c r="J2462" i="1" s="1"/>
  <c r="F2246" i="1"/>
  <c r="J2463" i="1" s="1"/>
  <c r="F2247" i="1"/>
  <c r="J2464" i="1" s="1"/>
  <c r="F2248" i="1"/>
  <c r="J2465" i="1" s="1"/>
  <c r="F2249" i="1"/>
  <c r="J2466" i="1" s="1"/>
  <c r="F2250" i="1"/>
  <c r="J2467" i="1" s="1"/>
  <c r="F2251" i="1"/>
  <c r="J2468" i="1" s="1"/>
  <c r="F2252" i="1"/>
  <c r="J2469" i="1" s="1"/>
  <c r="F2253" i="1"/>
  <c r="J2470" i="1" s="1"/>
  <c r="F2254" i="1"/>
  <c r="J2471" i="1" s="1"/>
  <c r="F2255" i="1"/>
  <c r="J2472" i="1" s="1"/>
  <c r="F2256" i="1"/>
  <c r="J2473" i="1" s="1"/>
  <c r="F2257" i="1"/>
  <c r="J2474" i="1" s="1"/>
  <c r="F2258" i="1"/>
  <c r="J2475" i="1" s="1"/>
  <c r="F2259" i="1"/>
  <c r="J2476" i="1" s="1"/>
  <c r="F2260" i="1"/>
  <c r="J2477" i="1" s="1"/>
  <c r="F2261" i="1"/>
  <c r="J2478" i="1" s="1"/>
  <c r="F2262" i="1"/>
  <c r="J2479" i="1" s="1"/>
  <c r="F2263" i="1"/>
  <c r="J2480" i="1" s="1"/>
  <c r="F2264" i="1"/>
  <c r="J2481" i="1" s="1"/>
  <c r="F2265" i="1"/>
  <c r="J2482" i="1" s="1"/>
  <c r="F2266" i="1"/>
  <c r="J2483" i="1" s="1"/>
  <c r="F2267" i="1"/>
  <c r="J2484" i="1" s="1"/>
  <c r="F2268" i="1"/>
  <c r="J2485" i="1" s="1"/>
  <c r="F2269" i="1"/>
  <c r="J2486" i="1" s="1"/>
  <c r="F2270" i="1"/>
  <c r="J2487" i="1" s="1"/>
  <c r="F2271" i="1"/>
  <c r="J2488" i="1" s="1"/>
  <c r="F2272" i="1"/>
  <c r="J2489" i="1" s="1"/>
  <c r="F2273" i="1"/>
  <c r="J2490" i="1" s="1"/>
  <c r="F2274" i="1"/>
  <c r="J2491" i="1" s="1"/>
  <c r="F2275" i="1"/>
  <c r="J2492" i="1" s="1"/>
  <c r="F2276" i="1"/>
  <c r="J2493" i="1" s="1"/>
  <c r="F2277" i="1"/>
  <c r="J2494" i="1" s="1"/>
  <c r="F2278" i="1"/>
  <c r="J2495" i="1" s="1"/>
  <c r="F2279" i="1"/>
  <c r="J2496" i="1" s="1"/>
  <c r="F2280" i="1"/>
  <c r="J2497" i="1" s="1"/>
  <c r="F2281" i="1"/>
  <c r="J2498" i="1" s="1"/>
  <c r="F2282" i="1"/>
  <c r="J2499" i="1" s="1"/>
  <c r="F2283" i="1"/>
  <c r="J2500" i="1" s="1"/>
  <c r="F2284" i="1"/>
  <c r="J2501" i="1" s="1"/>
  <c r="F2285" i="1"/>
  <c r="J2502" i="1" s="1"/>
  <c r="F2286" i="1"/>
  <c r="J2503" i="1" s="1"/>
  <c r="F2287" i="1"/>
  <c r="J2504" i="1" s="1"/>
  <c r="F2288" i="1"/>
  <c r="J2505" i="1" s="1"/>
  <c r="F2289" i="1"/>
  <c r="J2506" i="1" s="1"/>
  <c r="F2290" i="1"/>
  <c r="J2507" i="1" s="1"/>
  <c r="F2291" i="1"/>
  <c r="J2508" i="1" s="1"/>
  <c r="F2292" i="1"/>
  <c r="J2509" i="1" s="1"/>
  <c r="F2293" i="1"/>
  <c r="J2510" i="1" s="1"/>
  <c r="F2294" i="1"/>
  <c r="J2511" i="1" s="1"/>
  <c r="F2295" i="1"/>
  <c r="J2512" i="1" s="1"/>
  <c r="F2296" i="1"/>
  <c r="J2513" i="1" s="1"/>
  <c r="F2297" i="1"/>
  <c r="J2514" i="1" s="1"/>
  <c r="F2298" i="1"/>
  <c r="J2515" i="1" s="1"/>
  <c r="F2299" i="1"/>
  <c r="J2516" i="1" s="1"/>
  <c r="F2300" i="1"/>
  <c r="J2517" i="1" s="1"/>
  <c r="F2301" i="1"/>
  <c r="J2518" i="1" s="1"/>
  <c r="F2302" i="1"/>
  <c r="J2519" i="1" s="1"/>
  <c r="F2303" i="1"/>
  <c r="J2520" i="1" s="1"/>
  <c r="F2304" i="1"/>
  <c r="J2521" i="1" s="1"/>
  <c r="F2305" i="1"/>
  <c r="J2522" i="1" s="1"/>
  <c r="F2306" i="1"/>
  <c r="J2523" i="1" s="1"/>
  <c r="F2307" i="1"/>
  <c r="J2524" i="1" s="1"/>
  <c r="F2308" i="1"/>
  <c r="J2525" i="1" s="1"/>
  <c r="F2309" i="1"/>
  <c r="J2526" i="1" s="1"/>
  <c r="F2310" i="1"/>
  <c r="J2527" i="1" s="1"/>
  <c r="F2311" i="1"/>
  <c r="J2528" i="1" s="1"/>
  <c r="F2312" i="1"/>
  <c r="J2529" i="1" s="1"/>
  <c r="F2313" i="1"/>
  <c r="J2530" i="1" s="1"/>
  <c r="F2314" i="1"/>
  <c r="J2531" i="1" s="1"/>
  <c r="F2315" i="1"/>
  <c r="J2532" i="1" s="1"/>
  <c r="F2316" i="1"/>
  <c r="J2533" i="1" s="1"/>
  <c r="F2317" i="1"/>
  <c r="J2534" i="1" s="1"/>
  <c r="F2318" i="1"/>
  <c r="J2535" i="1" s="1"/>
  <c r="F2319" i="1"/>
  <c r="J2536" i="1" s="1"/>
  <c r="F2320" i="1"/>
  <c r="J2537" i="1" s="1"/>
  <c r="F2321" i="1"/>
  <c r="J2538" i="1" s="1"/>
  <c r="F2322" i="1"/>
  <c r="J2539" i="1" s="1"/>
  <c r="F2323" i="1"/>
  <c r="J2540" i="1" s="1"/>
  <c r="F2324" i="1"/>
  <c r="J2541" i="1" s="1"/>
  <c r="F2325" i="1"/>
  <c r="F2326" i="1"/>
  <c r="J2543" i="1" s="1"/>
  <c r="F2327" i="1"/>
  <c r="J2544" i="1" s="1"/>
  <c r="F2328" i="1"/>
  <c r="J2545" i="1" s="1"/>
  <c r="F2329" i="1"/>
  <c r="J2546" i="1" s="1"/>
  <c r="F2330" i="1"/>
  <c r="J2547" i="1" s="1"/>
  <c r="F2331" i="1"/>
  <c r="J2548" i="1" s="1"/>
  <c r="F2332" i="1"/>
  <c r="J2549" i="1" s="1"/>
  <c r="F2333" i="1"/>
  <c r="J2550" i="1" s="1"/>
  <c r="F2334" i="1"/>
  <c r="J2551" i="1" s="1"/>
  <c r="F2335" i="1"/>
  <c r="J2552" i="1" s="1"/>
  <c r="F2336" i="1"/>
  <c r="J2553" i="1" s="1"/>
  <c r="F2337" i="1"/>
  <c r="J2554" i="1" s="1"/>
  <c r="F2338" i="1"/>
  <c r="J2555" i="1" s="1"/>
  <c r="F2339" i="1"/>
  <c r="J2556" i="1" s="1"/>
  <c r="F2340" i="1"/>
  <c r="J2557" i="1" s="1"/>
  <c r="F2341" i="1"/>
  <c r="J2558" i="1" s="1"/>
  <c r="F2342" i="1"/>
  <c r="J2559" i="1" s="1"/>
  <c r="F2343" i="1"/>
  <c r="J2560" i="1" s="1"/>
  <c r="F2344" i="1"/>
  <c r="J2561" i="1" s="1"/>
  <c r="F2345" i="1"/>
  <c r="J2562" i="1" s="1"/>
  <c r="F2346" i="1"/>
  <c r="J2563" i="1" s="1"/>
  <c r="F2347" i="1"/>
  <c r="J2564" i="1" s="1"/>
  <c r="F2348" i="1"/>
  <c r="J2565" i="1" s="1"/>
  <c r="F2349" i="1"/>
  <c r="J2566" i="1" s="1"/>
  <c r="F2350" i="1"/>
  <c r="J2567" i="1" s="1"/>
  <c r="F2351" i="1"/>
  <c r="J2568" i="1" s="1"/>
  <c r="F2352" i="1"/>
  <c r="J2569" i="1" s="1"/>
  <c r="F2353" i="1"/>
  <c r="J2570" i="1" s="1"/>
  <c r="F2354" i="1"/>
  <c r="J2571" i="1" s="1"/>
  <c r="F2355" i="1"/>
  <c r="J2572" i="1" s="1"/>
  <c r="F2356" i="1"/>
  <c r="J2573" i="1" s="1"/>
  <c r="F2357" i="1"/>
  <c r="J2574" i="1" s="1"/>
  <c r="F2358" i="1"/>
  <c r="J2575" i="1" s="1"/>
  <c r="F2359" i="1"/>
  <c r="J2576" i="1" s="1"/>
  <c r="F2360" i="1"/>
  <c r="J2577" i="1" s="1"/>
  <c r="F2361" i="1"/>
  <c r="J2578" i="1" s="1"/>
  <c r="F2362" i="1"/>
  <c r="J2579" i="1" s="1"/>
  <c r="F2363" i="1"/>
  <c r="J2580" i="1" s="1"/>
  <c r="F2364" i="1"/>
  <c r="J2581" i="1" s="1"/>
  <c r="F2365" i="1"/>
  <c r="J2582" i="1" s="1"/>
  <c r="F2366" i="1"/>
  <c r="J2583" i="1" s="1"/>
  <c r="F2367" i="1"/>
  <c r="J2584" i="1" s="1"/>
  <c r="F2368" i="1"/>
  <c r="J2585" i="1" s="1"/>
  <c r="F2369" i="1"/>
  <c r="J2586" i="1" s="1"/>
  <c r="F2370" i="1"/>
  <c r="J2587" i="1" s="1"/>
  <c r="F2371" i="1"/>
  <c r="J2588" i="1" s="1"/>
  <c r="F2372" i="1"/>
  <c r="J2589" i="1" s="1"/>
  <c r="F2373" i="1"/>
  <c r="J2590" i="1" s="1"/>
  <c r="F2374" i="1"/>
  <c r="J2591" i="1" s="1"/>
  <c r="F2375" i="1"/>
  <c r="J2592" i="1" s="1"/>
  <c r="F2376" i="1"/>
  <c r="J2593" i="1" s="1"/>
  <c r="F2377" i="1"/>
  <c r="J2594" i="1" s="1"/>
  <c r="F2378" i="1"/>
  <c r="J2595" i="1" s="1"/>
  <c r="F2379" i="1"/>
  <c r="J2596" i="1" s="1"/>
  <c r="F2380" i="1"/>
  <c r="J2597" i="1" s="1"/>
  <c r="F2381" i="1"/>
  <c r="J2598" i="1" s="1"/>
  <c r="F2382" i="1"/>
  <c r="J2599" i="1" s="1"/>
  <c r="F2383" i="1"/>
  <c r="J2600" i="1" s="1"/>
  <c r="F2384" i="1"/>
  <c r="J2601" i="1" s="1"/>
  <c r="F2385" i="1"/>
  <c r="J2602" i="1" s="1"/>
  <c r="F2386" i="1"/>
  <c r="J2603" i="1" s="1"/>
  <c r="F2387" i="1"/>
  <c r="J2604" i="1" s="1"/>
  <c r="F2388" i="1"/>
  <c r="J2605" i="1" s="1"/>
  <c r="F2389" i="1"/>
  <c r="J2606" i="1" s="1"/>
  <c r="F2390" i="1"/>
  <c r="J2607" i="1" s="1"/>
  <c r="F2391" i="1"/>
  <c r="J2608" i="1" s="1"/>
  <c r="F2392" i="1"/>
  <c r="J2609" i="1" s="1"/>
  <c r="F2393" i="1"/>
  <c r="J2610" i="1" s="1"/>
  <c r="F2394" i="1"/>
  <c r="J2611" i="1" s="1"/>
  <c r="F2395" i="1"/>
  <c r="J2612" i="1" s="1"/>
  <c r="F2396" i="1"/>
  <c r="J2613" i="1" s="1"/>
  <c r="F2397" i="1"/>
  <c r="J2614" i="1" s="1"/>
  <c r="F2398" i="1"/>
  <c r="J2615" i="1" s="1"/>
  <c r="F2399" i="1"/>
  <c r="J2616" i="1" s="1"/>
  <c r="F2400" i="1"/>
  <c r="J2617" i="1" s="1"/>
  <c r="F2401" i="1"/>
  <c r="J2618" i="1" s="1"/>
  <c r="F2402" i="1"/>
  <c r="J2619" i="1" s="1"/>
  <c r="F2403" i="1"/>
  <c r="J2620" i="1" s="1"/>
  <c r="F2404" i="1"/>
  <c r="J2621" i="1" s="1"/>
  <c r="F2405" i="1"/>
  <c r="J2622" i="1" s="1"/>
  <c r="F2406" i="1"/>
  <c r="J2623" i="1" s="1"/>
  <c r="F2407" i="1"/>
  <c r="J2624" i="1" s="1"/>
  <c r="F2408" i="1"/>
  <c r="J2625" i="1" s="1"/>
  <c r="F2409" i="1"/>
  <c r="J2626" i="1" s="1"/>
  <c r="F2410" i="1"/>
  <c r="J2627" i="1" s="1"/>
  <c r="F2411" i="1"/>
  <c r="J2628" i="1" s="1"/>
  <c r="F2412" i="1"/>
  <c r="J2629" i="1" s="1"/>
  <c r="F2413" i="1"/>
  <c r="J2630" i="1" s="1"/>
  <c r="F2414" i="1"/>
  <c r="J2631" i="1" s="1"/>
  <c r="F2415" i="1"/>
  <c r="J2632" i="1" s="1"/>
  <c r="F2416" i="1"/>
  <c r="J2633" i="1" s="1"/>
  <c r="F2417" i="1"/>
  <c r="J2634" i="1" s="1"/>
  <c r="F2418" i="1"/>
  <c r="J2635" i="1" s="1"/>
  <c r="F2419" i="1"/>
  <c r="J2636" i="1" s="1"/>
  <c r="F2420" i="1"/>
  <c r="J2637" i="1" s="1"/>
  <c r="F2421" i="1"/>
  <c r="J2638" i="1" s="1"/>
  <c r="F2422" i="1"/>
  <c r="J2639" i="1" s="1"/>
  <c r="F2423" i="1"/>
  <c r="J2640" i="1" s="1"/>
  <c r="F2424" i="1"/>
  <c r="J2641" i="1" s="1"/>
  <c r="F2425" i="1"/>
  <c r="J2642" i="1" s="1"/>
  <c r="F2426" i="1"/>
  <c r="J2643" i="1" s="1"/>
  <c r="F2427" i="1"/>
  <c r="J2644" i="1" s="1"/>
  <c r="F2428" i="1"/>
  <c r="J2645" i="1" s="1"/>
  <c r="F2429" i="1"/>
  <c r="J2646" i="1" s="1"/>
  <c r="F2430" i="1"/>
  <c r="J2647" i="1" s="1"/>
  <c r="F2431" i="1"/>
  <c r="J2648" i="1" s="1"/>
  <c r="F2432" i="1"/>
  <c r="J2649" i="1" s="1"/>
  <c r="F2433" i="1"/>
  <c r="J2650" i="1" s="1"/>
  <c r="F2434" i="1"/>
  <c r="J2651" i="1" s="1"/>
  <c r="F2435" i="1"/>
  <c r="J2652" i="1" s="1"/>
  <c r="F2436" i="1"/>
  <c r="J2653" i="1" s="1"/>
  <c r="F2437" i="1"/>
  <c r="J2654" i="1" s="1"/>
  <c r="F2438" i="1"/>
  <c r="J2655" i="1" s="1"/>
  <c r="F2439" i="1"/>
  <c r="J2656" i="1" s="1"/>
  <c r="F2440" i="1"/>
  <c r="J2657" i="1" s="1"/>
  <c r="F2441" i="1"/>
  <c r="J2658" i="1" s="1"/>
  <c r="F2442" i="1"/>
  <c r="J2659" i="1" s="1"/>
  <c r="F2443" i="1"/>
  <c r="J2660" i="1" s="1"/>
  <c r="F2444" i="1"/>
  <c r="J2661" i="1" s="1"/>
  <c r="F2445" i="1"/>
  <c r="J2662" i="1" s="1"/>
  <c r="F2446" i="1"/>
  <c r="J2663" i="1" s="1"/>
  <c r="F2447" i="1"/>
  <c r="J2664" i="1" s="1"/>
  <c r="F2448" i="1"/>
  <c r="J2665" i="1" s="1"/>
  <c r="F2449" i="1"/>
  <c r="J2666" i="1" s="1"/>
  <c r="F2450" i="1"/>
  <c r="J2667" i="1" s="1"/>
  <c r="F2451" i="1"/>
  <c r="J2668" i="1" s="1"/>
  <c r="F2452" i="1"/>
  <c r="J2669" i="1" s="1"/>
  <c r="F2453" i="1"/>
  <c r="J2670" i="1" s="1"/>
  <c r="F2454" i="1"/>
  <c r="J2671" i="1" s="1"/>
  <c r="F2455" i="1"/>
  <c r="J2672" i="1" s="1"/>
  <c r="F2456" i="1"/>
  <c r="J2673" i="1" s="1"/>
  <c r="F2457" i="1"/>
  <c r="J2674" i="1" s="1"/>
  <c r="F2458" i="1"/>
  <c r="J2675" i="1" s="1"/>
  <c r="F2459" i="1"/>
  <c r="J2676" i="1" s="1"/>
  <c r="F2460" i="1"/>
  <c r="J2677" i="1" s="1"/>
  <c r="F2461" i="1"/>
  <c r="J2678" i="1" s="1"/>
  <c r="F2462" i="1"/>
  <c r="J2679" i="1" s="1"/>
  <c r="F2463" i="1"/>
  <c r="J2680" i="1" s="1"/>
  <c r="F2464" i="1"/>
  <c r="J2681" i="1" s="1"/>
  <c r="F2465" i="1"/>
  <c r="J2682" i="1" s="1"/>
  <c r="F2466" i="1"/>
  <c r="J2683" i="1" s="1"/>
  <c r="F2467" i="1"/>
  <c r="J2684" i="1" s="1"/>
  <c r="F2468" i="1"/>
  <c r="J2685" i="1" s="1"/>
  <c r="F2469" i="1"/>
  <c r="J2686" i="1" s="1"/>
  <c r="F2470" i="1"/>
  <c r="J2687" i="1" s="1"/>
  <c r="F2471" i="1"/>
  <c r="J2688" i="1" s="1"/>
  <c r="F2472" i="1"/>
  <c r="J2689" i="1" s="1"/>
  <c r="F2473" i="1"/>
  <c r="J2690" i="1" s="1"/>
  <c r="F2474" i="1"/>
  <c r="J2691" i="1" s="1"/>
  <c r="F2475" i="1"/>
  <c r="F2476" i="1"/>
  <c r="J2693" i="1" s="1"/>
  <c r="F2477" i="1"/>
  <c r="J2694" i="1" s="1"/>
  <c r="F2478" i="1"/>
  <c r="J2695" i="1" s="1"/>
  <c r="F2479" i="1"/>
  <c r="J2696" i="1" s="1"/>
  <c r="F2480" i="1"/>
  <c r="J2697" i="1" s="1"/>
  <c r="F2481" i="1"/>
  <c r="J2698" i="1" s="1"/>
  <c r="F2482" i="1"/>
  <c r="J2699" i="1" s="1"/>
  <c r="F2483" i="1"/>
  <c r="J2700" i="1" s="1"/>
  <c r="F2484" i="1"/>
  <c r="J2701" i="1" s="1"/>
  <c r="F2485" i="1"/>
  <c r="J2702" i="1" s="1"/>
  <c r="F2486" i="1"/>
  <c r="J2703" i="1" s="1"/>
  <c r="F2487" i="1"/>
  <c r="J2704" i="1" s="1"/>
  <c r="F2488" i="1"/>
  <c r="J2705" i="1" s="1"/>
  <c r="F2489" i="1"/>
  <c r="J2706" i="1" s="1"/>
  <c r="F2490" i="1"/>
  <c r="J2707" i="1" s="1"/>
  <c r="F2491" i="1"/>
  <c r="J2708" i="1" s="1"/>
  <c r="F2492" i="1"/>
  <c r="J2709" i="1" s="1"/>
  <c r="F2493" i="1"/>
  <c r="J2710" i="1" s="1"/>
  <c r="F2494" i="1"/>
  <c r="J2711" i="1" s="1"/>
  <c r="F2495" i="1"/>
  <c r="J2712" i="1" s="1"/>
  <c r="F2496" i="1"/>
  <c r="J2713" i="1" s="1"/>
  <c r="F2497" i="1"/>
  <c r="J2714" i="1" s="1"/>
  <c r="F2498" i="1"/>
  <c r="J2715" i="1" s="1"/>
  <c r="F2499" i="1"/>
  <c r="J2716" i="1" s="1"/>
  <c r="F2500" i="1"/>
  <c r="J2717" i="1" s="1"/>
  <c r="F2501" i="1"/>
  <c r="J2718" i="1" s="1"/>
  <c r="F2502" i="1"/>
  <c r="J2719" i="1" s="1"/>
  <c r="F2503" i="1"/>
  <c r="J2720" i="1" s="1"/>
  <c r="F2504" i="1"/>
  <c r="J2721" i="1" s="1"/>
  <c r="F2505" i="1"/>
  <c r="J2722" i="1" s="1"/>
  <c r="F2506" i="1"/>
  <c r="J2723" i="1" s="1"/>
  <c r="F2507" i="1"/>
  <c r="J2724" i="1" s="1"/>
  <c r="F2508" i="1"/>
  <c r="J2725" i="1" s="1"/>
  <c r="F2509" i="1"/>
  <c r="J2726" i="1" s="1"/>
  <c r="F2510" i="1"/>
  <c r="J2727" i="1" s="1"/>
  <c r="F2511" i="1"/>
  <c r="J2728" i="1" s="1"/>
  <c r="F2512" i="1"/>
  <c r="J2729" i="1" s="1"/>
  <c r="F2513" i="1"/>
  <c r="J2730" i="1" s="1"/>
  <c r="F2514" i="1"/>
  <c r="J2731" i="1" s="1"/>
  <c r="F2515" i="1"/>
  <c r="J2732" i="1" s="1"/>
  <c r="F2516" i="1"/>
  <c r="J2733" i="1" s="1"/>
  <c r="F2517" i="1"/>
  <c r="J2734" i="1" s="1"/>
  <c r="F2518" i="1"/>
  <c r="J2735" i="1" s="1"/>
  <c r="F2519" i="1"/>
  <c r="J2736" i="1" s="1"/>
  <c r="F2520" i="1"/>
  <c r="J2737" i="1" s="1"/>
  <c r="F2521" i="1"/>
  <c r="J2738" i="1" s="1"/>
  <c r="F2522" i="1"/>
  <c r="J2739" i="1" s="1"/>
  <c r="F2523" i="1"/>
  <c r="J2740" i="1" s="1"/>
  <c r="F2524" i="1"/>
  <c r="J2741" i="1" s="1"/>
  <c r="F2525" i="1"/>
  <c r="J2742" i="1" s="1"/>
  <c r="F2526" i="1"/>
  <c r="J2743" i="1" s="1"/>
  <c r="F2527" i="1"/>
  <c r="J2744" i="1" s="1"/>
  <c r="F2528" i="1"/>
  <c r="J2745" i="1" s="1"/>
  <c r="F2529" i="1"/>
  <c r="J2746" i="1" s="1"/>
  <c r="F2530" i="1"/>
  <c r="J2747" i="1" s="1"/>
  <c r="F2531" i="1"/>
  <c r="J2748" i="1" s="1"/>
  <c r="F2532" i="1"/>
  <c r="J2749" i="1" s="1"/>
  <c r="F2533" i="1"/>
  <c r="J2750" i="1" s="1"/>
  <c r="F2534" i="1"/>
  <c r="J2751" i="1" s="1"/>
  <c r="F2535" i="1"/>
  <c r="J2752" i="1" s="1"/>
  <c r="F2536" i="1"/>
  <c r="J2753" i="1" s="1"/>
  <c r="F2537" i="1"/>
  <c r="J2754" i="1" s="1"/>
  <c r="F2538" i="1"/>
  <c r="J2755" i="1" s="1"/>
  <c r="F2539" i="1"/>
  <c r="J2756" i="1" s="1"/>
  <c r="F2540" i="1"/>
  <c r="J2757" i="1" s="1"/>
  <c r="F2541" i="1"/>
  <c r="J2758" i="1" s="1"/>
  <c r="F2542" i="1"/>
  <c r="J2759" i="1" s="1"/>
  <c r="F2543" i="1"/>
  <c r="J2760" i="1" s="1"/>
  <c r="F2544" i="1"/>
  <c r="J2761" i="1" s="1"/>
  <c r="F2545" i="1"/>
  <c r="J2762" i="1" s="1"/>
  <c r="F2546" i="1"/>
  <c r="J2763" i="1" s="1"/>
  <c r="F2547" i="1"/>
  <c r="J2764" i="1" s="1"/>
  <c r="F2548" i="1"/>
  <c r="J2765" i="1" s="1"/>
  <c r="F2549" i="1"/>
  <c r="J2766" i="1" s="1"/>
  <c r="F2550" i="1"/>
  <c r="J2767" i="1" s="1"/>
  <c r="F2551" i="1"/>
  <c r="J2768" i="1" s="1"/>
  <c r="F2552" i="1"/>
  <c r="J2769" i="1" s="1"/>
  <c r="F2553" i="1"/>
  <c r="J2770" i="1" s="1"/>
  <c r="F2554" i="1"/>
  <c r="J2771" i="1" s="1"/>
  <c r="F2555" i="1"/>
  <c r="J2772" i="1" s="1"/>
  <c r="F2556" i="1"/>
  <c r="J2773" i="1" s="1"/>
  <c r="F2557" i="1"/>
  <c r="J2774" i="1" s="1"/>
  <c r="F2558" i="1"/>
  <c r="J2775" i="1" s="1"/>
  <c r="F2559" i="1"/>
  <c r="J2776" i="1" s="1"/>
  <c r="F2560" i="1"/>
  <c r="J2777" i="1" s="1"/>
  <c r="F2561" i="1"/>
  <c r="J2778" i="1" s="1"/>
  <c r="F2562" i="1"/>
  <c r="J2779" i="1" s="1"/>
  <c r="F2563" i="1"/>
  <c r="J2780" i="1" s="1"/>
  <c r="F2564" i="1"/>
  <c r="J2781" i="1" s="1"/>
  <c r="F2565" i="1"/>
  <c r="J2782" i="1" s="1"/>
  <c r="F2566" i="1"/>
  <c r="J2783" i="1" s="1"/>
  <c r="F2567" i="1"/>
  <c r="J2784" i="1" s="1"/>
  <c r="F2568" i="1"/>
  <c r="J2785" i="1" s="1"/>
  <c r="F2569" i="1"/>
  <c r="J2786" i="1" s="1"/>
  <c r="F2570" i="1"/>
  <c r="J2787" i="1" s="1"/>
  <c r="F2571" i="1"/>
  <c r="J2788" i="1" s="1"/>
  <c r="F2572" i="1"/>
  <c r="J2789" i="1" s="1"/>
  <c r="F2573" i="1"/>
  <c r="J2790" i="1" s="1"/>
  <c r="F2574" i="1"/>
  <c r="J2791" i="1" s="1"/>
  <c r="F2575" i="1"/>
  <c r="J2792" i="1" s="1"/>
  <c r="F2576" i="1"/>
  <c r="J2793" i="1" s="1"/>
  <c r="F2577" i="1"/>
  <c r="J2794" i="1" s="1"/>
  <c r="F2578" i="1"/>
  <c r="J2795" i="1" s="1"/>
  <c r="F2579" i="1"/>
  <c r="J2796" i="1" s="1"/>
  <c r="F2580" i="1"/>
  <c r="J2797" i="1" s="1"/>
  <c r="F2581" i="1"/>
  <c r="J2798" i="1" s="1"/>
  <c r="F2582" i="1"/>
  <c r="J2799" i="1" s="1"/>
  <c r="F2583" i="1"/>
  <c r="J2800" i="1" s="1"/>
  <c r="F2584" i="1"/>
  <c r="J2801" i="1" s="1"/>
  <c r="F2585" i="1"/>
  <c r="J2802" i="1" s="1"/>
  <c r="F2586" i="1"/>
  <c r="J2803" i="1" s="1"/>
  <c r="F2587" i="1"/>
  <c r="J2804" i="1" s="1"/>
  <c r="F2588" i="1"/>
  <c r="J2805" i="1" s="1"/>
  <c r="F2589" i="1"/>
  <c r="J2806" i="1" s="1"/>
  <c r="F2590" i="1"/>
  <c r="J2807" i="1" s="1"/>
  <c r="F2591" i="1"/>
  <c r="J2808" i="1" s="1"/>
  <c r="F2592" i="1"/>
  <c r="J2809" i="1" s="1"/>
  <c r="F2593" i="1"/>
  <c r="J2810" i="1" s="1"/>
  <c r="F2594" i="1"/>
  <c r="J2811" i="1" s="1"/>
  <c r="F2595" i="1"/>
  <c r="J2812" i="1" s="1"/>
  <c r="F2596" i="1"/>
  <c r="J2813" i="1" s="1"/>
  <c r="F2597" i="1"/>
  <c r="J2814" i="1" s="1"/>
  <c r="F2598" i="1"/>
  <c r="J2815" i="1" s="1"/>
  <c r="F2599" i="1"/>
  <c r="J2816" i="1" s="1"/>
  <c r="F2600" i="1"/>
  <c r="J2817" i="1" s="1"/>
  <c r="F2601" i="1"/>
  <c r="J2818" i="1" s="1"/>
  <c r="F2602" i="1"/>
  <c r="J2819" i="1" s="1"/>
  <c r="F2603" i="1"/>
  <c r="J2820" i="1" s="1"/>
  <c r="F2604" i="1"/>
  <c r="J2821" i="1" s="1"/>
  <c r="F2605" i="1"/>
  <c r="J2822" i="1" s="1"/>
  <c r="F2606" i="1"/>
  <c r="J2823" i="1" s="1"/>
  <c r="F2607" i="1"/>
  <c r="J2824" i="1" s="1"/>
  <c r="F2608" i="1"/>
  <c r="J2825" i="1" s="1"/>
  <c r="F2609" i="1"/>
  <c r="J2826" i="1" s="1"/>
  <c r="F2610" i="1"/>
  <c r="J2827" i="1" s="1"/>
  <c r="F2611" i="1"/>
  <c r="J2828" i="1" s="1"/>
  <c r="F2612" i="1"/>
  <c r="J2829" i="1" s="1"/>
  <c r="F2613" i="1"/>
  <c r="J2830" i="1" s="1"/>
  <c r="F2614" i="1"/>
  <c r="J2831" i="1" s="1"/>
  <c r="F2615" i="1"/>
  <c r="J2832" i="1" s="1"/>
  <c r="F2616" i="1"/>
  <c r="J2833" i="1" s="1"/>
  <c r="F2617" i="1"/>
  <c r="J2834" i="1" s="1"/>
  <c r="F2618" i="1"/>
  <c r="J2835" i="1" s="1"/>
  <c r="F2619" i="1"/>
  <c r="J2836" i="1" s="1"/>
  <c r="F2620" i="1"/>
  <c r="J2837" i="1" s="1"/>
  <c r="F2621" i="1"/>
  <c r="J2838" i="1" s="1"/>
  <c r="F2622" i="1"/>
  <c r="J2839" i="1" s="1"/>
  <c r="F2623" i="1"/>
  <c r="J2840" i="1" s="1"/>
  <c r="F2624" i="1"/>
  <c r="J2841" i="1" s="1"/>
  <c r="F2625" i="1"/>
  <c r="J2842" i="1" s="1"/>
  <c r="F2626" i="1"/>
  <c r="J2843" i="1" s="1"/>
  <c r="F2627" i="1"/>
  <c r="J2844" i="1" s="1"/>
  <c r="F2628" i="1"/>
  <c r="J2845" i="1" s="1"/>
  <c r="F2629" i="1"/>
  <c r="J2846" i="1" s="1"/>
  <c r="F2630" i="1"/>
  <c r="J2847" i="1" s="1"/>
  <c r="F2631" i="1"/>
  <c r="J2848" i="1" s="1"/>
  <c r="F2632" i="1"/>
  <c r="J2849" i="1" s="1"/>
  <c r="F2633" i="1"/>
  <c r="J2850" i="1" s="1"/>
  <c r="F2634" i="1"/>
  <c r="J2851" i="1" s="1"/>
  <c r="F2635" i="1"/>
  <c r="J2852" i="1" s="1"/>
  <c r="F2636" i="1"/>
  <c r="J2853" i="1" s="1"/>
  <c r="F2637" i="1"/>
  <c r="J2854" i="1" s="1"/>
  <c r="F2638" i="1"/>
  <c r="J2855" i="1" s="1"/>
  <c r="F2639" i="1"/>
  <c r="J2856" i="1" s="1"/>
  <c r="F2640" i="1"/>
  <c r="J2857" i="1" s="1"/>
  <c r="F2641" i="1"/>
  <c r="J2858" i="1" s="1"/>
  <c r="F2642" i="1"/>
  <c r="J2859" i="1" s="1"/>
  <c r="F2643" i="1"/>
  <c r="J2860" i="1" s="1"/>
  <c r="F2644" i="1"/>
  <c r="J2861" i="1" s="1"/>
  <c r="F2645" i="1"/>
  <c r="J2862" i="1" s="1"/>
  <c r="F2646" i="1"/>
  <c r="J2863" i="1" s="1"/>
  <c r="F2647" i="1"/>
  <c r="J2864" i="1" s="1"/>
  <c r="F2648" i="1"/>
  <c r="J2865" i="1" s="1"/>
  <c r="F2649" i="1"/>
  <c r="J2866" i="1" s="1"/>
  <c r="F2650" i="1"/>
  <c r="J2867" i="1" s="1"/>
  <c r="F2651" i="1"/>
  <c r="J2868" i="1" s="1"/>
  <c r="F2652" i="1"/>
  <c r="J2869" i="1" s="1"/>
  <c r="F2653" i="1"/>
  <c r="J2870" i="1" s="1"/>
  <c r="F2654" i="1"/>
  <c r="J2871" i="1" s="1"/>
  <c r="F2655" i="1"/>
  <c r="J2872" i="1" s="1"/>
  <c r="F2656" i="1"/>
  <c r="J2873" i="1" s="1"/>
  <c r="F2657" i="1"/>
  <c r="J2874" i="1" s="1"/>
  <c r="F2658" i="1"/>
  <c r="J2875" i="1" s="1"/>
  <c r="F2659" i="1"/>
  <c r="J2876" i="1" s="1"/>
  <c r="F2660" i="1"/>
  <c r="J2877" i="1" s="1"/>
  <c r="F2661" i="1"/>
  <c r="J2878" i="1" s="1"/>
  <c r="F2662" i="1"/>
  <c r="J2879" i="1" s="1"/>
  <c r="F2663" i="1"/>
  <c r="J2880" i="1" s="1"/>
  <c r="F2664" i="1"/>
  <c r="J2881" i="1" s="1"/>
  <c r="F2665" i="1"/>
  <c r="J2882" i="1" s="1"/>
  <c r="F2666" i="1"/>
  <c r="J2883" i="1" s="1"/>
  <c r="F2667" i="1"/>
  <c r="J2884" i="1" s="1"/>
  <c r="F2668" i="1"/>
  <c r="J2885" i="1" s="1"/>
  <c r="F2669" i="1"/>
  <c r="J2886" i="1" s="1"/>
  <c r="F2670" i="1"/>
  <c r="J2887" i="1" s="1"/>
  <c r="F2671" i="1"/>
  <c r="J2888" i="1" s="1"/>
  <c r="F2672" i="1"/>
  <c r="J2889" i="1" s="1"/>
  <c r="F2673" i="1"/>
  <c r="J2890" i="1" s="1"/>
  <c r="F2674" i="1"/>
  <c r="J2891" i="1" s="1"/>
  <c r="F2675" i="1"/>
  <c r="J2892" i="1" s="1"/>
  <c r="F2676" i="1"/>
  <c r="J2893" i="1" s="1"/>
  <c r="F2677" i="1"/>
  <c r="J2894" i="1" s="1"/>
  <c r="F2678" i="1"/>
  <c r="J2895" i="1" s="1"/>
  <c r="F2679" i="1"/>
  <c r="J2896" i="1" s="1"/>
  <c r="F2680" i="1"/>
  <c r="J2897" i="1" s="1"/>
  <c r="F2681" i="1"/>
  <c r="J2898" i="1" s="1"/>
  <c r="F2682" i="1"/>
  <c r="J2899" i="1" s="1"/>
  <c r="F2683" i="1"/>
  <c r="J2900" i="1" s="1"/>
  <c r="F2684" i="1"/>
  <c r="J2901" i="1" s="1"/>
  <c r="F2685" i="1"/>
  <c r="J2902" i="1" s="1"/>
  <c r="F2686" i="1"/>
  <c r="J2903" i="1" s="1"/>
  <c r="F2687" i="1"/>
  <c r="J2904" i="1" s="1"/>
  <c r="F2688" i="1"/>
  <c r="J2905" i="1" s="1"/>
  <c r="F2689" i="1"/>
  <c r="J2906" i="1" s="1"/>
  <c r="F2690" i="1"/>
  <c r="J2907" i="1" s="1"/>
  <c r="F2691" i="1"/>
  <c r="J2908" i="1" s="1"/>
  <c r="F2692" i="1"/>
  <c r="J2909" i="1" s="1"/>
  <c r="F2693" i="1"/>
  <c r="J2910" i="1" s="1"/>
  <c r="F2694" i="1"/>
  <c r="J2911" i="1" s="1"/>
  <c r="F2695" i="1"/>
  <c r="J2912" i="1" s="1"/>
  <c r="F2696" i="1"/>
  <c r="J2913" i="1" s="1"/>
  <c r="F2697" i="1"/>
  <c r="J2914" i="1" s="1"/>
  <c r="F2698" i="1"/>
  <c r="J2915" i="1" s="1"/>
  <c r="F2699" i="1"/>
  <c r="J2916" i="1" s="1"/>
  <c r="F2700" i="1"/>
  <c r="J2917" i="1" s="1"/>
  <c r="F2701" i="1"/>
  <c r="J2918" i="1" s="1"/>
  <c r="F2702" i="1"/>
  <c r="J2919" i="1" s="1"/>
  <c r="F2703" i="1"/>
  <c r="J2920" i="1" s="1"/>
  <c r="F2704" i="1"/>
  <c r="J2921" i="1" s="1"/>
  <c r="F2705" i="1"/>
  <c r="J2922" i="1" s="1"/>
  <c r="F2706" i="1"/>
  <c r="J2923" i="1" s="1"/>
  <c r="F2707" i="1"/>
  <c r="J2924" i="1" s="1"/>
  <c r="F2708" i="1"/>
  <c r="J2925" i="1" s="1"/>
  <c r="F2709" i="1"/>
  <c r="J2926" i="1" s="1"/>
  <c r="F2710" i="1"/>
  <c r="J2927" i="1" s="1"/>
  <c r="F2711" i="1"/>
  <c r="J2928" i="1" s="1"/>
  <c r="F2712" i="1"/>
  <c r="J2929" i="1" s="1"/>
  <c r="F2713" i="1"/>
  <c r="J2930" i="1" s="1"/>
  <c r="F2714" i="1"/>
  <c r="J2931" i="1" s="1"/>
  <c r="F2715" i="1"/>
  <c r="J2932" i="1" s="1"/>
  <c r="F2716" i="1"/>
  <c r="J2933" i="1" s="1"/>
  <c r="F2717" i="1"/>
  <c r="J2934" i="1" s="1"/>
  <c r="F2718" i="1"/>
  <c r="J2935" i="1" s="1"/>
  <c r="F2719" i="1"/>
  <c r="J2936" i="1" s="1"/>
  <c r="F2720" i="1"/>
  <c r="J2937" i="1" s="1"/>
  <c r="F2721" i="1"/>
  <c r="J2938" i="1" s="1"/>
  <c r="F2722" i="1"/>
  <c r="J2939" i="1" s="1"/>
  <c r="F2723" i="1"/>
  <c r="J2940" i="1" s="1"/>
  <c r="F2724" i="1"/>
  <c r="J2941" i="1" s="1"/>
  <c r="F2725" i="1"/>
  <c r="J2942" i="1" s="1"/>
  <c r="F2726" i="1"/>
  <c r="F2727" i="1"/>
  <c r="J2944" i="1" s="1"/>
  <c r="F2728" i="1"/>
  <c r="J2945" i="1" s="1"/>
  <c r="F2729" i="1"/>
  <c r="J2946" i="1" s="1"/>
  <c r="F2730" i="1"/>
  <c r="J2947" i="1" s="1"/>
  <c r="F2731" i="1"/>
  <c r="J2948" i="1" s="1"/>
  <c r="F2732" i="1"/>
  <c r="J2949" i="1" s="1"/>
  <c r="F2733" i="1"/>
  <c r="J2950" i="1" s="1"/>
  <c r="F2734" i="1"/>
  <c r="J2951" i="1" s="1"/>
  <c r="F2735" i="1"/>
  <c r="J2952" i="1" s="1"/>
  <c r="F2736" i="1"/>
  <c r="J2953" i="1" s="1"/>
  <c r="F2737" i="1"/>
  <c r="J2954" i="1" s="1"/>
  <c r="F2738" i="1"/>
  <c r="J2955" i="1" s="1"/>
  <c r="F2739" i="1"/>
  <c r="J2956" i="1" s="1"/>
  <c r="F2740" i="1"/>
  <c r="J2957" i="1" s="1"/>
  <c r="F2741" i="1"/>
  <c r="J2958" i="1" s="1"/>
  <c r="F2742" i="1"/>
  <c r="J2959" i="1" s="1"/>
  <c r="F2743" i="1"/>
  <c r="J2960" i="1" s="1"/>
  <c r="F2744" i="1"/>
  <c r="J2961" i="1" s="1"/>
  <c r="F2745" i="1"/>
  <c r="J2962" i="1" s="1"/>
  <c r="F2746" i="1"/>
  <c r="J2963" i="1" s="1"/>
  <c r="F2747" i="1"/>
  <c r="J2964" i="1" s="1"/>
  <c r="F2748" i="1"/>
  <c r="J2965" i="1" s="1"/>
  <c r="F2749" i="1"/>
  <c r="J2966" i="1" s="1"/>
  <c r="F2750" i="1"/>
  <c r="J2967" i="1" s="1"/>
  <c r="F2751" i="1"/>
  <c r="J2968" i="1" s="1"/>
  <c r="F2752" i="1"/>
  <c r="J2969" i="1" s="1"/>
  <c r="F2753" i="1"/>
  <c r="J2970" i="1" s="1"/>
  <c r="F2754" i="1"/>
  <c r="J2971" i="1" s="1"/>
  <c r="F2755" i="1"/>
  <c r="J2972" i="1" s="1"/>
  <c r="F2756" i="1"/>
  <c r="J2973" i="1" s="1"/>
  <c r="F2757" i="1"/>
  <c r="J2974" i="1" s="1"/>
  <c r="F2758" i="1"/>
  <c r="J2975" i="1" s="1"/>
  <c r="F2759" i="1"/>
  <c r="J2976" i="1" s="1"/>
  <c r="F2760" i="1"/>
  <c r="J2977" i="1" s="1"/>
  <c r="F2761" i="1"/>
  <c r="J2978" i="1" s="1"/>
  <c r="F2762" i="1"/>
  <c r="J2979" i="1" s="1"/>
  <c r="F2763" i="1"/>
  <c r="J2980" i="1" s="1"/>
  <c r="F2764" i="1"/>
  <c r="J2981" i="1" s="1"/>
  <c r="F2765" i="1"/>
  <c r="J2982" i="1" s="1"/>
  <c r="F2766" i="1"/>
  <c r="J2983" i="1" s="1"/>
  <c r="F2767" i="1"/>
  <c r="J2984" i="1" s="1"/>
  <c r="F2768" i="1"/>
  <c r="J2985" i="1" s="1"/>
  <c r="F2769" i="1"/>
  <c r="J2986" i="1" s="1"/>
  <c r="F2770" i="1"/>
  <c r="J2987" i="1" s="1"/>
  <c r="F2771" i="1"/>
  <c r="J2988" i="1" s="1"/>
  <c r="F2772" i="1"/>
  <c r="J2989" i="1" s="1"/>
  <c r="F2773" i="1"/>
  <c r="J2990" i="1" s="1"/>
  <c r="F2774" i="1"/>
  <c r="J2991" i="1" s="1"/>
  <c r="F2775" i="1"/>
  <c r="J2992" i="1" s="1"/>
  <c r="F2776" i="1"/>
  <c r="J2993" i="1" s="1"/>
  <c r="F2777" i="1"/>
  <c r="J2994" i="1" s="1"/>
  <c r="F2778" i="1"/>
  <c r="J2995" i="1" s="1"/>
  <c r="F2779" i="1"/>
  <c r="J2996" i="1" s="1"/>
  <c r="F2780" i="1"/>
  <c r="J2997" i="1" s="1"/>
  <c r="F2781" i="1"/>
  <c r="J2998" i="1" s="1"/>
  <c r="F2782" i="1"/>
  <c r="J2999" i="1" s="1"/>
  <c r="F2783" i="1"/>
  <c r="J3000" i="1" s="1"/>
  <c r="F2784" i="1"/>
  <c r="J3001" i="1" s="1"/>
  <c r="F2785" i="1"/>
  <c r="J3002" i="1" s="1"/>
  <c r="F2786" i="1"/>
  <c r="J3003" i="1" s="1"/>
  <c r="F2787" i="1"/>
  <c r="J3004" i="1" s="1"/>
  <c r="F2788" i="1"/>
  <c r="J3005" i="1" s="1"/>
  <c r="F2789" i="1"/>
  <c r="J3006" i="1" s="1"/>
  <c r="F2790" i="1"/>
  <c r="J3007" i="1" s="1"/>
  <c r="F2791" i="1"/>
  <c r="J3008" i="1" s="1"/>
  <c r="F2792" i="1"/>
  <c r="J3009" i="1" s="1"/>
  <c r="F2793" i="1"/>
  <c r="J3010" i="1" s="1"/>
  <c r="F2794" i="1"/>
  <c r="J3011" i="1" s="1"/>
  <c r="F2795" i="1"/>
  <c r="J3012" i="1" s="1"/>
  <c r="F2796" i="1"/>
  <c r="J3013" i="1" s="1"/>
  <c r="F2797" i="1"/>
  <c r="J3014" i="1" s="1"/>
  <c r="F2798" i="1"/>
  <c r="J3015" i="1" s="1"/>
  <c r="F2799" i="1"/>
  <c r="J3016" i="1" s="1"/>
  <c r="F2800" i="1"/>
  <c r="J3017" i="1" s="1"/>
  <c r="F2801" i="1"/>
  <c r="J3018" i="1" s="1"/>
  <c r="F2802" i="1"/>
  <c r="J3019" i="1" s="1"/>
  <c r="F2803" i="1"/>
  <c r="J3020" i="1" s="1"/>
  <c r="F2804" i="1"/>
  <c r="J3021" i="1" s="1"/>
  <c r="F2805" i="1"/>
  <c r="J3022" i="1" s="1"/>
  <c r="F2806" i="1"/>
  <c r="J3023" i="1" s="1"/>
  <c r="F2807" i="1"/>
  <c r="J3024" i="1" s="1"/>
  <c r="F2808" i="1"/>
  <c r="J3025" i="1" s="1"/>
  <c r="F2809" i="1"/>
  <c r="J3026" i="1" s="1"/>
  <c r="F2810" i="1"/>
  <c r="J3027" i="1" s="1"/>
  <c r="F2811" i="1"/>
  <c r="J3028" i="1" s="1"/>
  <c r="F2812" i="1"/>
  <c r="J3029" i="1" s="1"/>
  <c r="F2813" i="1"/>
  <c r="J3030" i="1" s="1"/>
  <c r="F2814" i="1"/>
  <c r="J3031" i="1" s="1"/>
  <c r="F2815" i="1"/>
  <c r="J3032" i="1" s="1"/>
  <c r="F2816" i="1"/>
  <c r="J3033" i="1" s="1"/>
  <c r="F2817" i="1"/>
  <c r="J3034" i="1" s="1"/>
  <c r="F2818" i="1"/>
  <c r="J3035" i="1" s="1"/>
  <c r="F2819" i="1"/>
  <c r="J3036" i="1" s="1"/>
  <c r="F2820" i="1"/>
  <c r="J3037" i="1" s="1"/>
  <c r="F2821" i="1"/>
  <c r="J3038" i="1" s="1"/>
  <c r="F2822" i="1"/>
  <c r="J3039" i="1" s="1"/>
  <c r="F2823" i="1"/>
  <c r="J3040" i="1" s="1"/>
  <c r="F2824" i="1"/>
  <c r="J3041" i="1" s="1"/>
  <c r="F2825" i="1"/>
  <c r="J3042" i="1" s="1"/>
  <c r="F2826" i="1"/>
  <c r="J3043" i="1" s="1"/>
  <c r="F2827" i="1"/>
  <c r="J3044" i="1" s="1"/>
  <c r="F2828" i="1"/>
  <c r="J3045" i="1" s="1"/>
  <c r="F2829" i="1"/>
  <c r="J3046" i="1" s="1"/>
  <c r="F2830" i="1"/>
  <c r="J3047" i="1" s="1"/>
  <c r="F2831" i="1"/>
  <c r="J3048" i="1" s="1"/>
  <c r="F2832" i="1"/>
  <c r="J3049" i="1" s="1"/>
  <c r="F2833" i="1"/>
  <c r="J3050" i="1" s="1"/>
  <c r="F2834" i="1"/>
  <c r="J3051" i="1" s="1"/>
  <c r="F2835" i="1"/>
  <c r="J3052" i="1" s="1"/>
  <c r="F2836" i="1"/>
  <c r="J3053" i="1" s="1"/>
  <c r="F2837" i="1"/>
  <c r="J3054" i="1" s="1"/>
  <c r="F2838" i="1"/>
  <c r="J3055" i="1" s="1"/>
  <c r="F2839" i="1"/>
  <c r="J3056" i="1" s="1"/>
  <c r="F2840" i="1"/>
  <c r="J3057" i="1" s="1"/>
  <c r="F2841" i="1"/>
  <c r="J3058" i="1" s="1"/>
  <c r="F2842" i="1"/>
  <c r="J3059" i="1" s="1"/>
  <c r="F2843" i="1"/>
  <c r="J3060" i="1" s="1"/>
  <c r="F2844" i="1"/>
  <c r="J3061" i="1" s="1"/>
  <c r="F2845" i="1"/>
  <c r="J3062" i="1" s="1"/>
  <c r="F2846" i="1"/>
  <c r="J3063" i="1" s="1"/>
  <c r="F2847" i="1"/>
  <c r="J3064" i="1" s="1"/>
  <c r="F2848" i="1"/>
  <c r="J3065" i="1" s="1"/>
  <c r="F2849" i="1"/>
  <c r="J3066" i="1" s="1"/>
  <c r="F2850" i="1"/>
  <c r="J3067" i="1" s="1"/>
  <c r="F2851" i="1"/>
  <c r="J3068" i="1" s="1"/>
  <c r="F2852" i="1"/>
  <c r="J3069" i="1" s="1"/>
  <c r="F2853" i="1"/>
  <c r="J3070" i="1" s="1"/>
  <c r="F2854" i="1"/>
  <c r="J3071" i="1" s="1"/>
  <c r="F2855" i="1"/>
  <c r="J3072" i="1" s="1"/>
  <c r="F2856" i="1"/>
  <c r="J3073" i="1" s="1"/>
  <c r="F2857" i="1"/>
  <c r="J3074" i="1" s="1"/>
  <c r="F2858" i="1"/>
  <c r="J3075" i="1" s="1"/>
  <c r="F2859" i="1"/>
  <c r="J3076" i="1" s="1"/>
  <c r="F2860" i="1"/>
  <c r="J3077" i="1" s="1"/>
  <c r="F2861" i="1"/>
  <c r="J3078" i="1" s="1"/>
  <c r="F2862" i="1"/>
  <c r="J3079" i="1" s="1"/>
  <c r="F2863" i="1"/>
  <c r="J3080" i="1" s="1"/>
  <c r="F2864" i="1"/>
  <c r="J3081" i="1" s="1"/>
  <c r="F2865" i="1"/>
  <c r="J3082" i="1" s="1"/>
  <c r="F2866" i="1"/>
  <c r="J3083" i="1" s="1"/>
  <c r="F2867" i="1"/>
  <c r="J3084" i="1" s="1"/>
  <c r="F2868" i="1"/>
  <c r="J3085" i="1" s="1"/>
  <c r="F2869" i="1"/>
  <c r="J3086" i="1" s="1"/>
  <c r="F2870" i="1"/>
  <c r="J3087" i="1" s="1"/>
  <c r="F2871" i="1"/>
  <c r="J3088" i="1" s="1"/>
  <c r="F2872" i="1"/>
  <c r="J3089" i="1" s="1"/>
  <c r="F2873" i="1"/>
  <c r="J3090" i="1" s="1"/>
  <c r="F2874" i="1"/>
  <c r="J3091" i="1" s="1"/>
  <c r="F2875" i="1"/>
  <c r="J3092" i="1" s="1"/>
  <c r="F2876" i="1"/>
  <c r="J3093" i="1" s="1"/>
  <c r="F2877" i="1"/>
  <c r="J3094" i="1" s="1"/>
  <c r="F2878" i="1"/>
  <c r="J3095" i="1" s="1"/>
  <c r="F2879" i="1"/>
  <c r="F2880" i="1"/>
  <c r="J3097" i="1" s="1"/>
  <c r="F2881" i="1"/>
  <c r="J3098" i="1" s="1"/>
  <c r="F2882" i="1"/>
  <c r="J3099" i="1" s="1"/>
  <c r="F2883" i="1"/>
  <c r="J3100" i="1" s="1"/>
  <c r="F2884" i="1"/>
  <c r="J3101" i="1" s="1"/>
  <c r="F2885" i="1"/>
  <c r="J3102" i="1" s="1"/>
  <c r="F2886" i="1"/>
  <c r="J3103" i="1" s="1"/>
  <c r="F2887" i="1"/>
  <c r="J3104" i="1" s="1"/>
  <c r="F2888" i="1"/>
  <c r="J3105" i="1" s="1"/>
  <c r="F2889" i="1"/>
  <c r="J3106" i="1" s="1"/>
  <c r="F2890" i="1"/>
  <c r="J3107" i="1" s="1"/>
  <c r="F2891" i="1"/>
  <c r="J3108" i="1" s="1"/>
  <c r="F2892" i="1"/>
  <c r="J3109" i="1" s="1"/>
  <c r="F2893" i="1"/>
  <c r="J3110" i="1" s="1"/>
  <c r="F2894" i="1"/>
  <c r="J3111" i="1" s="1"/>
  <c r="F2895" i="1"/>
  <c r="J3112" i="1" s="1"/>
  <c r="F2896" i="1"/>
  <c r="J3113" i="1" s="1"/>
  <c r="F2897" i="1"/>
  <c r="J3114" i="1" s="1"/>
  <c r="F2898" i="1"/>
  <c r="J3115" i="1" s="1"/>
  <c r="F2899" i="1"/>
  <c r="J3116" i="1" s="1"/>
  <c r="F2900" i="1"/>
  <c r="J3117" i="1" s="1"/>
  <c r="F2901" i="1"/>
  <c r="J3118" i="1" s="1"/>
  <c r="F2902" i="1"/>
  <c r="J3119" i="1" s="1"/>
  <c r="F2903" i="1"/>
  <c r="J3120" i="1" s="1"/>
  <c r="F2904" i="1"/>
  <c r="J3121" i="1" s="1"/>
  <c r="F2905" i="1"/>
  <c r="J3122" i="1" s="1"/>
  <c r="F2906" i="1"/>
  <c r="J3123" i="1" s="1"/>
  <c r="F2907" i="1"/>
  <c r="J3124" i="1" s="1"/>
  <c r="F2908" i="1"/>
  <c r="J3125" i="1" s="1"/>
  <c r="F2909" i="1"/>
  <c r="J3126" i="1" s="1"/>
  <c r="F2910" i="1"/>
  <c r="J3127" i="1" s="1"/>
  <c r="F2911" i="1"/>
  <c r="J3128" i="1" s="1"/>
  <c r="F2912" i="1"/>
  <c r="J3129" i="1" s="1"/>
  <c r="F2913" i="1"/>
  <c r="J3130" i="1" s="1"/>
  <c r="F2914" i="1"/>
  <c r="J3131" i="1" s="1"/>
  <c r="F2915" i="1"/>
  <c r="J3132" i="1" s="1"/>
  <c r="F2916" i="1"/>
  <c r="J3133" i="1" s="1"/>
  <c r="F2917" i="1"/>
  <c r="J3134" i="1" s="1"/>
  <c r="F2918" i="1"/>
  <c r="J3135" i="1" s="1"/>
  <c r="F2919" i="1"/>
  <c r="J3136" i="1" s="1"/>
  <c r="F2920" i="1"/>
  <c r="J3137" i="1" s="1"/>
  <c r="F2921" i="1"/>
  <c r="J3138" i="1" s="1"/>
  <c r="F2922" i="1"/>
  <c r="J3139" i="1" s="1"/>
  <c r="F2923" i="1"/>
  <c r="J3140" i="1" s="1"/>
  <c r="F2924" i="1"/>
  <c r="J3141" i="1" s="1"/>
  <c r="F2925" i="1"/>
  <c r="J3142" i="1" s="1"/>
  <c r="F2926" i="1"/>
  <c r="J3143" i="1" s="1"/>
  <c r="F2927" i="1"/>
  <c r="J3144" i="1" s="1"/>
  <c r="F2928" i="1"/>
  <c r="J3145" i="1" s="1"/>
  <c r="F2929" i="1"/>
  <c r="J3146" i="1" s="1"/>
  <c r="F2930" i="1"/>
  <c r="J3147" i="1" s="1"/>
  <c r="F2931" i="1"/>
  <c r="J3148" i="1" s="1"/>
  <c r="F2932" i="1"/>
  <c r="J3149" i="1" s="1"/>
  <c r="F2933" i="1"/>
  <c r="J3150" i="1" s="1"/>
  <c r="F2934" i="1"/>
  <c r="J3151" i="1" s="1"/>
  <c r="F2935" i="1"/>
  <c r="J3152" i="1" s="1"/>
  <c r="F2936" i="1"/>
  <c r="J3153" i="1" s="1"/>
  <c r="F2937" i="1"/>
  <c r="J3154" i="1" s="1"/>
  <c r="F2938" i="1"/>
  <c r="J3155" i="1" s="1"/>
  <c r="F2939" i="1"/>
  <c r="J3156" i="1" s="1"/>
  <c r="F2940" i="1"/>
  <c r="J3157" i="1" s="1"/>
  <c r="F2941" i="1"/>
  <c r="J3158" i="1" s="1"/>
  <c r="F2942" i="1"/>
  <c r="J3159" i="1" s="1"/>
  <c r="F2943" i="1"/>
  <c r="J3160" i="1" s="1"/>
  <c r="F2944" i="1"/>
  <c r="J3161" i="1" s="1"/>
  <c r="F2945" i="1"/>
  <c r="J3162" i="1" s="1"/>
  <c r="F2946" i="1"/>
  <c r="J3163" i="1" s="1"/>
  <c r="F2947" i="1"/>
  <c r="J3164" i="1" s="1"/>
  <c r="F2948" i="1"/>
  <c r="J3165" i="1" s="1"/>
  <c r="F2949" i="1"/>
  <c r="J3166" i="1" s="1"/>
  <c r="F2950" i="1"/>
  <c r="J3167" i="1" s="1"/>
  <c r="F2951" i="1"/>
  <c r="J3168" i="1" s="1"/>
  <c r="F2952" i="1"/>
  <c r="J3169" i="1" s="1"/>
  <c r="F2953" i="1"/>
  <c r="J3170" i="1" s="1"/>
  <c r="F2954" i="1"/>
  <c r="J3171" i="1" s="1"/>
  <c r="F2955" i="1"/>
  <c r="J3172" i="1" s="1"/>
  <c r="F2956" i="1"/>
  <c r="J3173" i="1" s="1"/>
  <c r="F2957" i="1"/>
  <c r="J3174" i="1" s="1"/>
  <c r="F2958" i="1"/>
  <c r="J3175" i="1" s="1"/>
  <c r="F2959" i="1"/>
  <c r="J3176" i="1" s="1"/>
  <c r="F2960" i="1"/>
  <c r="J3177" i="1" s="1"/>
  <c r="F2961" i="1"/>
  <c r="J3178" i="1" s="1"/>
  <c r="F2962" i="1"/>
  <c r="J3179" i="1" s="1"/>
  <c r="F2963" i="1"/>
  <c r="J3180" i="1" s="1"/>
  <c r="F2964" i="1"/>
  <c r="J3181" i="1" s="1"/>
  <c r="F2965" i="1"/>
  <c r="J3182" i="1" s="1"/>
  <c r="F2966" i="1"/>
  <c r="J3183" i="1" s="1"/>
  <c r="F2967" i="1"/>
  <c r="J3184" i="1" s="1"/>
  <c r="F2968" i="1"/>
  <c r="J3185" i="1" s="1"/>
  <c r="F2969" i="1"/>
  <c r="J3186" i="1" s="1"/>
  <c r="F2970" i="1"/>
  <c r="J3187" i="1" s="1"/>
  <c r="F2971" i="1"/>
  <c r="J3188" i="1" s="1"/>
  <c r="F2972" i="1"/>
  <c r="J3189" i="1" s="1"/>
  <c r="F2973" i="1"/>
  <c r="J3190" i="1" s="1"/>
  <c r="F2974" i="1"/>
  <c r="J3191" i="1" s="1"/>
  <c r="F2975" i="1"/>
  <c r="J3192" i="1" s="1"/>
  <c r="F2976" i="1"/>
  <c r="J3193" i="1" s="1"/>
  <c r="F2977" i="1"/>
  <c r="J3194" i="1" s="1"/>
  <c r="F2978" i="1"/>
  <c r="J3195" i="1" s="1"/>
  <c r="F2979" i="1"/>
  <c r="J3196" i="1" s="1"/>
  <c r="F2980" i="1"/>
  <c r="J3197" i="1" s="1"/>
  <c r="F2981" i="1"/>
  <c r="J3198" i="1" s="1"/>
  <c r="F2982" i="1"/>
  <c r="J3199" i="1" s="1"/>
  <c r="F2983" i="1"/>
  <c r="J3200" i="1" s="1"/>
  <c r="F2984" i="1"/>
  <c r="J3201" i="1" s="1"/>
  <c r="F2985" i="1"/>
  <c r="J3202" i="1" s="1"/>
  <c r="F2986" i="1"/>
  <c r="J3203" i="1" s="1"/>
  <c r="F2987" i="1"/>
  <c r="J3204" i="1" s="1"/>
  <c r="F2988" i="1"/>
  <c r="J3205" i="1" s="1"/>
  <c r="F2989" i="1"/>
  <c r="J3206" i="1" s="1"/>
  <c r="F2990" i="1"/>
  <c r="J3207" i="1" s="1"/>
  <c r="F2991" i="1"/>
  <c r="J3208" i="1" s="1"/>
  <c r="F2992" i="1"/>
  <c r="J3209" i="1" s="1"/>
  <c r="F2993" i="1"/>
  <c r="J3210" i="1" s="1"/>
  <c r="F2994" i="1"/>
  <c r="J3211" i="1" s="1"/>
  <c r="F2995" i="1"/>
  <c r="J3212" i="1" s="1"/>
  <c r="F2996" i="1"/>
  <c r="J3213" i="1" s="1"/>
  <c r="F2997" i="1"/>
  <c r="J3214" i="1" s="1"/>
  <c r="F2998" i="1"/>
  <c r="J3215" i="1" s="1"/>
  <c r="F2999" i="1"/>
  <c r="J3216" i="1" s="1"/>
  <c r="F3000" i="1"/>
  <c r="J3217" i="1" s="1"/>
  <c r="F3001" i="1"/>
  <c r="J3218" i="1" s="1"/>
  <c r="F3002" i="1"/>
  <c r="J3219" i="1" s="1"/>
  <c r="F3003" i="1"/>
  <c r="J3220" i="1" s="1"/>
  <c r="F3004" i="1"/>
  <c r="J3221" i="1" s="1"/>
  <c r="F3005" i="1"/>
  <c r="J3222" i="1" s="1"/>
  <c r="F3006" i="1"/>
  <c r="J3223" i="1" s="1"/>
  <c r="F3007" i="1"/>
  <c r="J3224" i="1" s="1"/>
  <c r="F3008" i="1"/>
  <c r="J3225" i="1" s="1"/>
  <c r="F3009" i="1"/>
  <c r="J3226" i="1" s="1"/>
  <c r="F3010" i="1"/>
  <c r="J3227" i="1" s="1"/>
  <c r="F3011" i="1"/>
  <c r="J3228" i="1" s="1"/>
  <c r="F3012" i="1"/>
  <c r="J3229" i="1" s="1"/>
  <c r="F3013" i="1"/>
  <c r="J3230" i="1" s="1"/>
  <c r="F3014" i="1"/>
  <c r="J3231" i="1" s="1"/>
  <c r="F3015" i="1"/>
  <c r="J3232" i="1" s="1"/>
  <c r="F3016" i="1"/>
  <c r="J3233" i="1" s="1"/>
  <c r="F3017" i="1"/>
  <c r="J3234" i="1" s="1"/>
  <c r="F3018" i="1"/>
  <c r="J3235" i="1" s="1"/>
  <c r="F3019" i="1"/>
  <c r="J3236" i="1" s="1"/>
  <c r="F3020" i="1"/>
  <c r="J3237" i="1" s="1"/>
  <c r="F3021" i="1"/>
  <c r="J3238" i="1" s="1"/>
  <c r="F3022" i="1"/>
  <c r="J3239" i="1" s="1"/>
  <c r="F3023" i="1"/>
  <c r="J3240" i="1" s="1"/>
  <c r="F3024" i="1"/>
  <c r="J3241" i="1" s="1"/>
  <c r="F3025" i="1"/>
  <c r="J3242" i="1" s="1"/>
  <c r="F3026" i="1"/>
  <c r="J3243" i="1" s="1"/>
  <c r="F3027" i="1"/>
  <c r="J3244" i="1" s="1"/>
  <c r="F3028" i="1"/>
  <c r="J3245" i="1" s="1"/>
  <c r="F3029" i="1"/>
  <c r="J3246" i="1" s="1"/>
  <c r="F3030" i="1"/>
  <c r="J3247" i="1" s="1"/>
  <c r="F3031" i="1"/>
  <c r="J3248" i="1" s="1"/>
  <c r="F3032" i="1"/>
  <c r="J3249" i="1" s="1"/>
  <c r="F3033" i="1"/>
  <c r="J3250" i="1" s="1"/>
  <c r="F3034" i="1"/>
  <c r="J3251" i="1" s="1"/>
  <c r="F3035" i="1"/>
  <c r="J3252" i="1" s="1"/>
  <c r="F3036" i="1"/>
  <c r="J3253" i="1" s="1"/>
  <c r="F3037" i="1"/>
  <c r="J3254" i="1" s="1"/>
  <c r="F3038" i="1"/>
  <c r="J3255" i="1" s="1"/>
  <c r="F3039" i="1"/>
  <c r="J3256" i="1" s="1"/>
  <c r="F3040" i="1"/>
  <c r="J3257" i="1" s="1"/>
  <c r="F3041" i="1"/>
  <c r="J3258" i="1" s="1"/>
  <c r="F3042" i="1"/>
  <c r="J3259" i="1" s="1"/>
  <c r="F3043" i="1"/>
  <c r="J3260" i="1" s="1"/>
  <c r="F3044" i="1"/>
  <c r="J3261" i="1" s="1"/>
  <c r="F3045" i="1"/>
  <c r="J3262" i="1" s="1"/>
  <c r="F3046" i="1"/>
  <c r="J3263" i="1" s="1"/>
  <c r="F3047" i="1"/>
  <c r="J3264" i="1" s="1"/>
  <c r="F3048" i="1"/>
  <c r="J3265" i="1" s="1"/>
  <c r="F3049" i="1"/>
  <c r="J3266" i="1" s="1"/>
  <c r="F3050" i="1"/>
  <c r="J3267" i="1" s="1"/>
  <c r="F3051" i="1"/>
  <c r="J3268" i="1" s="1"/>
  <c r="F3052" i="1"/>
  <c r="J3269" i="1" s="1"/>
  <c r="F3053" i="1"/>
  <c r="J3270" i="1" s="1"/>
  <c r="F3054" i="1"/>
  <c r="J3271" i="1" s="1"/>
  <c r="F3055" i="1"/>
  <c r="J3272" i="1" s="1"/>
  <c r="F3056" i="1"/>
  <c r="J3273" i="1" s="1"/>
  <c r="F3057" i="1"/>
  <c r="J3274" i="1" s="1"/>
  <c r="F3058" i="1"/>
  <c r="J3275" i="1" s="1"/>
  <c r="F3059" i="1"/>
  <c r="J3276" i="1" s="1"/>
  <c r="F3060" i="1"/>
  <c r="J3277" i="1" s="1"/>
  <c r="F3061" i="1"/>
  <c r="J3278" i="1" s="1"/>
  <c r="F3062" i="1"/>
  <c r="J3279" i="1" s="1"/>
  <c r="F3063" i="1"/>
  <c r="J3280" i="1" s="1"/>
  <c r="F3064" i="1"/>
  <c r="J3281" i="1" s="1"/>
  <c r="F3065" i="1"/>
  <c r="J3282" i="1" s="1"/>
  <c r="F3066" i="1"/>
  <c r="J3283" i="1" s="1"/>
  <c r="F3067" i="1"/>
  <c r="J3284" i="1" s="1"/>
  <c r="F3068" i="1"/>
  <c r="J3285" i="1" s="1"/>
  <c r="F3069" i="1"/>
  <c r="J3286" i="1" s="1"/>
  <c r="F3070" i="1"/>
  <c r="J3287" i="1" s="1"/>
  <c r="F3071" i="1"/>
  <c r="J3288" i="1" s="1"/>
  <c r="F3072" i="1"/>
  <c r="J3289" i="1" s="1"/>
  <c r="F3073" i="1"/>
  <c r="J3290" i="1" s="1"/>
  <c r="F3074" i="1"/>
  <c r="J3291" i="1" s="1"/>
  <c r="F3075" i="1"/>
  <c r="J3292" i="1" s="1"/>
  <c r="F3076" i="1"/>
  <c r="J3293" i="1" s="1"/>
  <c r="F3077" i="1"/>
  <c r="J3294" i="1" s="1"/>
  <c r="F3078" i="1"/>
  <c r="J3295" i="1" s="1"/>
  <c r="F3079" i="1"/>
  <c r="J3296" i="1" s="1"/>
  <c r="F3080" i="1"/>
  <c r="J3297" i="1" s="1"/>
  <c r="F3081" i="1"/>
  <c r="J3298" i="1" s="1"/>
  <c r="F3082" i="1"/>
  <c r="J3299" i="1" s="1"/>
  <c r="F3083" i="1"/>
  <c r="J3300" i="1" s="1"/>
  <c r="F3084" i="1"/>
  <c r="J3301" i="1" s="1"/>
  <c r="F3085" i="1"/>
  <c r="J3302" i="1" s="1"/>
  <c r="F3086" i="1"/>
  <c r="J3303" i="1" s="1"/>
  <c r="F3087" i="1"/>
  <c r="J3304" i="1" s="1"/>
  <c r="F3088" i="1"/>
  <c r="J3305" i="1" s="1"/>
  <c r="F3089" i="1"/>
  <c r="J3306" i="1" s="1"/>
  <c r="F3090" i="1"/>
  <c r="J3307" i="1" s="1"/>
  <c r="F3091" i="1"/>
  <c r="J3308" i="1" s="1"/>
  <c r="F3092" i="1"/>
  <c r="J3309" i="1" s="1"/>
  <c r="F3093" i="1"/>
  <c r="J3310" i="1" s="1"/>
  <c r="F3094" i="1"/>
  <c r="J3311" i="1" s="1"/>
  <c r="F3095" i="1"/>
  <c r="J3312" i="1" s="1"/>
  <c r="F3096" i="1"/>
  <c r="J3313" i="1" s="1"/>
  <c r="F3097" i="1"/>
  <c r="J3314" i="1" s="1"/>
  <c r="F3098" i="1"/>
  <c r="J3315" i="1" s="1"/>
  <c r="F3099" i="1"/>
  <c r="J3316" i="1" s="1"/>
  <c r="F3100" i="1"/>
  <c r="J3317" i="1" s="1"/>
  <c r="F3101" i="1"/>
  <c r="J3318" i="1" s="1"/>
  <c r="F3102" i="1"/>
  <c r="J3319" i="1" s="1"/>
  <c r="F3103" i="1"/>
  <c r="J3320" i="1" s="1"/>
  <c r="F3104" i="1"/>
  <c r="J3321" i="1" s="1"/>
  <c r="F3105" i="1"/>
  <c r="J3322" i="1" s="1"/>
  <c r="F3106" i="1"/>
  <c r="J3323" i="1" s="1"/>
  <c r="F3107" i="1"/>
  <c r="J3324" i="1" s="1"/>
  <c r="F3108" i="1"/>
  <c r="J3325" i="1" s="1"/>
  <c r="F3109" i="1"/>
  <c r="J3326" i="1" s="1"/>
  <c r="F3110" i="1"/>
  <c r="J3327" i="1" s="1"/>
  <c r="F3111" i="1"/>
  <c r="J3328" i="1" s="1"/>
  <c r="F3112" i="1"/>
  <c r="J3329" i="1" s="1"/>
  <c r="F3113" i="1"/>
  <c r="J3330" i="1" s="1"/>
  <c r="F3114" i="1"/>
  <c r="J3331" i="1" s="1"/>
  <c r="F3115" i="1"/>
  <c r="J3332" i="1" s="1"/>
  <c r="F3116" i="1"/>
  <c r="J3333" i="1" s="1"/>
  <c r="F3117" i="1"/>
  <c r="J3334" i="1" s="1"/>
  <c r="F3118" i="1"/>
  <c r="J3335" i="1" s="1"/>
  <c r="F3119" i="1"/>
  <c r="J3336" i="1" s="1"/>
  <c r="F3120" i="1"/>
  <c r="J3337" i="1" s="1"/>
  <c r="F3121" i="1"/>
  <c r="J3338" i="1" s="1"/>
  <c r="F3122" i="1"/>
  <c r="J3339" i="1" s="1"/>
  <c r="F3123" i="1"/>
  <c r="J3340" i="1" s="1"/>
  <c r="F3124" i="1"/>
  <c r="J3341" i="1" s="1"/>
  <c r="F3125" i="1"/>
  <c r="J3342" i="1" s="1"/>
  <c r="F3126" i="1"/>
  <c r="J3343" i="1" s="1"/>
  <c r="F3127" i="1"/>
  <c r="J3344" i="1" s="1"/>
  <c r="F3128" i="1"/>
  <c r="J3345" i="1" s="1"/>
  <c r="F3129" i="1"/>
  <c r="J3346" i="1" s="1"/>
  <c r="F3130" i="1"/>
  <c r="J3347" i="1" s="1"/>
  <c r="F3131" i="1"/>
  <c r="J3348" i="1" s="1"/>
  <c r="F3132" i="1"/>
  <c r="J3349" i="1" s="1"/>
  <c r="F3133" i="1"/>
  <c r="J3350" i="1" s="1"/>
  <c r="F3134" i="1"/>
  <c r="J3351" i="1" s="1"/>
  <c r="F3135" i="1"/>
  <c r="J3352" i="1" s="1"/>
  <c r="F3136" i="1"/>
  <c r="J3353" i="1" s="1"/>
  <c r="F3137" i="1"/>
  <c r="J3354" i="1" s="1"/>
  <c r="F3138" i="1"/>
  <c r="J3355" i="1" s="1"/>
  <c r="F3139" i="1"/>
  <c r="J3356" i="1" s="1"/>
  <c r="F3140" i="1"/>
  <c r="J3357" i="1" s="1"/>
  <c r="F3141" i="1"/>
  <c r="J3358" i="1" s="1"/>
  <c r="F3142" i="1"/>
  <c r="J3359" i="1" s="1"/>
  <c r="F3143" i="1"/>
  <c r="J3360" i="1" s="1"/>
  <c r="F3144" i="1"/>
  <c r="J3361" i="1" s="1"/>
  <c r="F3145" i="1"/>
  <c r="J3362" i="1" s="1"/>
  <c r="F3146" i="1"/>
  <c r="J3363" i="1" s="1"/>
  <c r="F3147" i="1"/>
  <c r="J3364" i="1" s="1"/>
  <c r="F3148" i="1"/>
  <c r="J3365" i="1" s="1"/>
  <c r="F3149" i="1"/>
  <c r="J3366" i="1" s="1"/>
  <c r="F3150" i="1"/>
  <c r="J3367" i="1" s="1"/>
  <c r="F3151" i="1"/>
  <c r="J3368" i="1" s="1"/>
  <c r="F3152" i="1"/>
  <c r="J3369" i="1" s="1"/>
  <c r="F3153" i="1"/>
  <c r="J3370" i="1" s="1"/>
  <c r="F3154" i="1"/>
  <c r="J3371" i="1" s="1"/>
  <c r="F3155" i="1"/>
  <c r="J3372" i="1" s="1"/>
  <c r="F3156" i="1"/>
  <c r="J3373" i="1" s="1"/>
  <c r="F3157" i="1"/>
  <c r="J3374" i="1" s="1"/>
  <c r="F3158" i="1"/>
  <c r="J3375" i="1" s="1"/>
  <c r="F3159" i="1"/>
  <c r="J3376" i="1" s="1"/>
  <c r="F3160" i="1"/>
  <c r="J3377" i="1" s="1"/>
  <c r="F3161" i="1"/>
  <c r="J3378" i="1" s="1"/>
  <c r="F3162" i="1"/>
  <c r="J3379" i="1" s="1"/>
  <c r="F3163" i="1"/>
  <c r="J3380" i="1" s="1"/>
  <c r="F3164" i="1"/>
  <c r="J3381" i="1" s="1"/>
  <c r="F3165" i="1"/>
  <c r="J3382" i="1" s="1"/>
  <c r="F3166" i="1"/>
  <c r="J3383" i="1" s="1"/>
  <c r="F3167" i="1"/>
  <c r="J3384" i="1" s="1"/>
  <c r="F3168" i="1"/>
  <c r="J3385" i="1" s="1"/>
  <c r="F3169" i="1"/>
  <c r="J3386" i="1" s="1"/>
  <c r="F3170" i="1"/>
  <c r="J3387" i="1" s="1"/>
  <c r="F3171" i="1"/>
  <c r="J3388" i="1" s="1"/>
  <c r="F3172" i="1"/>
  <c r="J3389" i="1" s="1"/>
  <c r="F3173" i="1"/>
  <c r="J3390" i="1" s="1"/>
  <c r="F3174" i="1"/>
  <c r="J3391" i="1" s="1"/>
  <c r="F3175" i="1"/>
  <c r="J3392" i="1" s="1"/>
  <c r="F3176" i="1"/>
  <c r="J3393" i="1" s="1"/>
  <c r="F3177" i="1"/>
  <c r="J3394" i="1" s="1"/>
  <c r="F3178" i="1"/>
  <c r="J3395" i="1" s="1"/>
  <c r="F3179" i="1"/>
  <c r="J3396" i="1" s="1"/>
  <c r="F3180" i="1"/>
  <c r="J3397" i="1" s="1"/>
  <c r="F3181" i="1"/>
  <c r="J3398" i="1" s="1"/>
  <c r="F3182" i="1"/>
  <c r="J3399" i="1" s="1"/>
  <c r="F3183" i="1"/>
  <c r="J3400" i="1" s="1"/>
  <c r="F3184" i="1"/>
  <c r="J3401" i="1" s="1"/>
  <c r="F3185" i="1"/>
  <c r="J3402" i="1" s="1"/>
  <c r="F3186" i="1"/>
  <c r="J3403" i="1" s="1"/>
  <c r="F3187" i="1"/>
  <c r="J3404" i="1" s="1"/>
  <c r="F3188" i="1"/>
  <c r="J3405" i="1" s="1"/>
  <c r="F3189" i="1"/>
  <c r="J3406" i="1" s="1"/>
  <c r="F3190" i="1"/>
  <c r="J3407" i="1" s="1"/>
  <c r="F3191" i="1"/>
  <c r="J3408" i="1" s="1"/>
  <c r="F3192" i="1"/>
  <c r="J3409" i="1" s="1"/>
  <c r="F3193" i="1"/>
  <c r="J3410" i="1" s="1"/>
  <c r="F3194" i="1"/>
  <c r="J3411" i="1" s="1"/>
  <c r="F3195" i="1"/>
  <c r="J3412" i="1" s="1"/>
  <c r="F3196" i="1"/>
  <c r="J3413" i="1" s="1"/>
  <c r="F3197" i="1"/>
  <c r="J3414" i="1" s="1"/>
  <c r="F3198" i="1"/>
  <c r="J3415" i="1" s="1"/>
  <c r="F3199" i="1"/>
  <c r="J3416" i="1" s="1"/>
  <c r="F3200" i="1"/>
  <c r="J3417" i="1" s="1"/>
  <c r="F3201" i="1"/>
  <c r="J3418" i="1" s="1"/>
  <c r="F3202" i="1"/>
  <c r="J3419" i="1" s="1"/>
  <c r="F3203" i="1"/>
  <c r="J3420" i="1" s="1"/>
  <c r="F3204" i="1"/>
  <c r="J3421" i="1" s="1"/>
  <c r="F3205" i="1"/>
  <c r="J3422" i="1" s="1"/>
  <c r="F3206" i="1"/>
  <c r="J3423" i="1" s="1"/>
  <c r="F3207" i="1"/>
  <c r="J3424" i="1" s="1"/>
  <c r="F3208" i="1"/>
  <c r="J3425" i="1" s="1"/>
  <c r="F3209" i="1"/>
  <c r="J3426" i="1" s="1"/>
  <c r="F3210" i="1"/>
  <c r="J3427" i="1" s="1"/>
  <c r="F3211" i="1"/>
  <c r="J3428" i="1" s="1"/>
  <c r="F3212" i="1"/>
  <c r="J3429" i="1" s="1"/>
  <c r="F3213" i="1"/>
  <c r="J3430" i="1" s="1"/>
  <c r="F3214" i="1"/>
  <c r="J3431" i="1" s="1"/>
  <c r="F3215" i="1"/>
  <c r="J3432" i="1" s="1"/>
  <c r="F3216" i="1"/>
  <c r="J3433" i="1" s="1"/>
  <c r="F3217" i="1"/>
  <c r="J3434" i="1" s="1"/>
  <c r="F3218" i="1"/>
  <c r="J3435" i="1" s="1"/>
  <c r="F3219" i="1"/>
  <c r="J3436" i="1" s="1"/>
  <c r="F3220" i="1"/>
  <c r="J3437" i="1" s="1"/>
  <c r="F3221" i="1"/>
  <c r="J3438" i="1" s="1"/>
  <c r="F3222" i="1"/>
  <c r="J3439" i="1" s="1"/>
  <c r="F3223" i="1"/>
  <c r="J3440" i="1" s="1"/>
  <c r="F3224" i="1"/>
  <c r="J3441" i="1" s="1"/>
  <c r="F3225" i="1"/>
  <c r="J3442" i="1" s="1"/>
  <c r="F3226" i="1"/>
  <c r="J3443" i="1" s="1"/>
  <c r="F3227" i="1"/>
  <c r="J3444" i="1" s="1"/>
  <c r="F3228" i="1"/>
  <c r="J3445" i="1" s="1"/>
  <c r="F3229" i="1"/>
  <c r="J3446" i="1" s="1"/>
  <c r="F3230" i="1"/>
  <c r="J3447" i="1" s="1"/>
  <c r="F3231" i="1"/>
  <c r="J3448" i="1" s="1"/>
  <c r="F3232" i="1"/>
  <c r="J3449" i="1" s="1"/>
  <c r="F3233" i="1"/>
  <c r="J3450" i="1" s="1"/>
  <c r="F3234" i="1"/>
  <c r="J3451" i="1" s="1"/>
  <c r="F3235" i="1"/>
  <c r="J3452" i="1" s="1"/>
  <c r="F3236" i="1"/>
  <c r="J3453" i="1" s="1"/>
  <c r="F3237" i="1"/>
  <c r="J3454" i="1" s="1"/>
  <c r="F3238" i="1"/>
  <c r="J3455" i="1" s="1"/>
  <c r="F3239" i="1"/>
  <c r="J3456" i="1" s="1"/>
  <c r="F3240" i="1"/>
  <c r="J3457" i="1" s="1"/>
  <c r="F3241" i="1"/>
  <c r="J3458" i="1" s="1"/>
  <c r="F3242" i="1"/>
  <c r="J3459" i="1" s="1"/>
  <c r="F3243" i="1"/>
  <c r="J3460" i="1" s="1"/>
  <c r="F3244" i="1"/>
  <c r="J3461" i="1" s="1"/>
  <c r="F3245" i="1"/>
  <c r="J3462" i="1" s="1"/>
  <c r="F3246" i="1"/>
  <c r="J3463" i="1" s="1"/>
  <c r="F3247" i="1"/>
  <c r="J3464" i="1" s="1"/>
  <c r="F3248" i="1"/>
  <c r="J3465" i="1" s="1"/>
  <c r="F3249" i="1"/>
  <c r="J3466" i="1" s="1"/>
  <c r="F3250" i="1"/>
  <c r="J3467" i="1" s="1"/>
  <c r="F3251" i="1"/>
  <c r="J3468" i="1" s="1"/>
  <c r="F3252" i="1"/>
  <c r="J3469" i="1" s="1"/>
  <c r="F3253" i="1"/>
  <c r="J3470" i="1" s="1"/>
  <c r="F3254" i="1"/>
  <c r="J3471" i="1" s="1"/>
  <c r="F3255" i="1"/>
  <c r="J3472" i="1" s="1"/>
  <c r="F3256" i="1"/>
  <c r="J3473" i="1" s="1"/>
  <c r="F3257" i="1"/>
  <c r="J3474" i="1" s="1"/>
  <c r="F3258" i="1"/>
  <c r="J3475" i="1" s="1"/>
  <c r="F3259" i="1"/>
  <c r="J3476" i="1" s="1"/>
  <c r="F3260" i="1"/>
  <c r="J3477" i="1" s="1"/>
  <c r="F3261" i="1"/>
  <c r="J3478" i="1" s="1"/>
  <c r="F3262" i="1"/>
  <c r="J3479" i="1" s="1"/>
  <c r="F3263" i="1"/>
  <c r="J3480" i="1" s="1"/>
  <c r="F3264" i="1"/>
  <c r="J3481" i="1" s="1"/>
  <c r="F3265" i="1"/>
  <c r="J3482" i="1" s="1"/>
  <c r="F3266" i="1"/>
  <c r="J3483" i="1" s="1"/>
  <c r="F3267" i="1"/>
  <c r="J3484" i="1" s="1"/>
  <c r="F3268" i="1"/>
  <c r="J3485" i="1" s="1"/>
  <c r="F3269" i="1"/>
  <c r="J3486" i="1" s="1"/>
  <c r="F3270" i="1"/>
  <c r="J3487" i="1" s="1"/>
  <c r="F3271" i="1"/>
  <c r="J3488" i="1" s="1"/>
  <c r="F3272" i="1"/>
  <c r="J3489" i="1" s="1"/>
  <c r="F3273" i="1"/>
  <c r="J3490" i="1" s="1"/>
  <c r="F3274" i="1"/>
  <c r="J3491" i="1" s="1"/>
  <c r="F3275" i="1"/>
  <c r="J3492" i="1" s="1"/>
  <c r="F3276" i="1"/>
  <c r="J3493" i="1" s="1"/>
  <c r="F3277" i="1"/>
  <c r="J3494" i="1" s="1"/>
  <c r="F3278" i="1"/>
  <c r="J3495" i="1" s="1"/>
  <c r="F3279" i="1"/>
  <c r="J3496" i="1" s="1"/>
  <c r="F3280" i="1"/>
  <c r="J3497" i="1" s="1"/>
  <c r="F3281" i="1"/>
  <c r="J3498" i="1" s="1"/>
  <c r="F3282" i="1"/>
  <c r="J3499" i="1" s="1"/>
  <c r="F3283" i="1"/>
  <c r="J3500" i="1" s="1"/>
  <c r="F3284" i="1"/>
  <c r="J3501" i="1" s="1"/>
  <c r="F3285" i="1"/>
  <c r="J3502" i="1" s="1"/>
  <c r="F3286" i="1"/>
  <c r="J3503" i="1" s="1"/>
  <c r="F3287" i="1"/>
  <c r="J3504" i="1" s="1"/>
  <c r="F3288" i="1"/>
  <c r="J3505" i="1" s="1"/>
  <c r="F3289" i="1"/>
  <c r="J3506" i="1" s="1"/>
  <c r="F3290" i="1"/>
  <c r="J3507" i="1" s="1"/>
  <c r="F3291" i="1"/>
  <c r="J3508" i="1" s="1"/>
  <c r="F3292" i="1"/>
  <c r="J3509" i="1" s="1"/>
  <c r="F3293" i="1"/>
  <c r="J3510" i="1" s="1"/>
  <c r="F3294" i="1"/>
  <c r="J3511" i="1" s="1"/>
  <c r="F3295" i="1"/>
  <c r="J3512" i="1" s="1"/>
  <c r="F3296" i="1"/>
  <c r="J3513" i="1" s="1"/>
  <c r="F3297" i="1"/>
  <c r="J3514" i="1" s="1"/>
  <c r="F3298" i="1"/>
  <c r="J3515" i="1" s="1"/>
  <c r="F3299" i="1"/>
  <c r="J3516" i="1" s="1"/>
  <c r="F3300" i="1"/>
  <c r="J3517" i="1" s="1"/>
  <c r="F3301" i="1"/>
  <c r="J3518" i="1" s="1"/>
  <c r="F3302" i="1"/>
  <c r="J3519" i="1" s="1"/>
  <c r="F3303" i="1"/>
  <c r="J3520" i="1" s="1"/>
  <c r="F3304" i="1"/>
  <c r="J3521" i="1" s="1"/>
  <c r="F3305" i="1"/>
  <c r="J3522" i="1" s="1"/>
  <c r="F3306" i="1"/>
  <c r="J3523" i="1" s="1"/>
  <c r="F3307" i="1"/>
  <c r="J3524" i="1" s="1"/>
  <c r="F3308" i="1"/>
  <c r="J3525" i="1" s="1"/>
  <c r="F3309" i="1"/>
  <c r="J3526" i="1" s="1"/>
  <c r="F3310" i="1"/>
  <c r="J3527" i="1" s="1"/>
  <c r="F3311" i="1"/>
  <c r="J3528" i="1" s="1"/>
  <c r="F3312" i="1"/>
  <c r="J3529" i="1" s="1"/>
  <c r="F3313" i="1"/>
  <c r="J3530" i="1" s="1"/>
  <c r="F3314" i="1"/>
  <c r="J3531" i="1" s="1"/>
  <c r="F3315" i="1"/>
  <c r="J3532" i="1" s="1"/>
  <c r="F3316" i="1"/>
  <c r="J3533" i="1" s="1"/>
  <c r="F3317" i="1"/>
  <c r="J3534" i="1" s="1"/>
  <c r="F3318" i="1"/>
  <c r="J3535" i="1" s="1"/>
  <c r="F3319" i="1"/>
  <c r="J3536" i="1" s="1"/>
  <c r="F3320" i="1"/>
  <c r="J3537" i="1" s="1"/>
  <c r="F3321" i="1"/>
  <c r="J3538" i="1" s="1"/>
  <c r="F3322" i="1"/>
  <c r="J3539" i="1" s="1"/>
  <c r="F3323" i="1"/>
  <c r="J3540" i="1" s="1"/>
  <c r="F3324" i="1"/>
  <c r="J3541" i="1" s="1"/>
  <c r="F3325" i="1"/>
  <c r="J3542" i="1" s="1"/>
  <c r="F3326" i="1"/>
  <c r="J3543" i="1" s="1"/>
  <c r="F3327" i="1"/>
  <c r="J3544" i="1" s="1"/>
  <c r="F3328" i="1"/>
  <c r="J3545" i="1" s="1"/>
  <c r="F3329" i="1"/>
  <c r="J3546" i="1" s="1"/>
  <c r="F3330" i="1"/>
  <c r="J3547" i="1" s="1"/>
  <c r="F3331" i="1"/>
  <c r="J3548" i="1" s="1"/>
  <c r="F3332" i="1"/>
  <c r="J3549" i="1" s="1"/>
  <c r="F3333" i="1"/>
  <c r="J3550" i="1" s="1"/>
  <c r="F3334" i="1"/>
  <c r="J3551" i="1" s="1"/>
  <c r="F3335" i="1"/>
  <c r="J3552" i="1" s="1"/>
  <c r="F3336" i="1"/>
  <c r="J3553" i="1" s="1"/>
  <c r="F3337" i="1"/>
  <c r="J3554" i="1" s="1"/>
  <c r="F3338" i="1"/>
  <c r="J3555" i="1" s="1"/>
  <c r="F3339" i="1"/>
  <c r="J3556" i="1" s="1"/>
  <c r="F3340" i="1"/>
  <c r="J3557" i="1" s="1"/>
  <c r="F3341" i="1"/>
  <c r="J3558" i="1" s="1"/>
  <c r="F3342" i="1"/>
  <c r="J3559" i="1" s="1"/>
  <c r="F3343" i="1"/>
  <c r="J3560" i="1" s="1"/>
  <c r="F3344" i="1"/>
  <c r="J3561" i="1" s="1"/>
  <c r="F3345" i="1"/>
  <c r="J3562" i="1" s="1"/>
  <c r="F3346" i="1"/>
  <c r="J3563" i="1" s="1"/>
  <c r="F3347" i="1"/>
  <c r="J3564" i="1" s="1"/>
  <c r="F3348" i="1"/>
  <c r="J3565" i="1" s="1"/>
  <c r="F3349" i="1"/>
  <c r="J3566" i="1" s="1"/>
  <c r="F3350" i="1"/>
  <c r="J3567" i="1" s="1"/>
  <c r="F3351" i="1"/>
  <c r="J3568" i="1" s="1"/>
  <c r="F3352" i="1"/>
  <c r="J3569" i="1" s="1"/>
  <c r="F3353" i="1"/>
  <c r="J3570" i="1" s="1"/>
  <c r="F3354" i="1"/>
  <c r="J3571" i="1" s="1"/>
  <c r="F3355" i="1"/>
  <c r="J3572" i="1" s="1"/>
  <c r="F3356" i="1"/>
  <c r="J3573" i="1" s="1"/>
  <c r="F3357" i="1"/>
  <c r="J3574" i="1" s="1"/>
  <c r="F3358" i="1"/>
  <c r="J3575" i="1" s="1"/>
  <c r="F3359" i="1"/>
  <c r="J3576" i="1" s="1"/>
  <c r="F3360" i="1"/>
  <c r="J3577" i="1" s="1"/>
  <c r="F3361" i="1"/>
  <c r="J3578" i="1" s="1"/>
  <c r="F3362" i="1"/>
  <c r="J3579" i="1" s="1"/>
  <c r="F3363" i="1"/>
  <c r="J3580" i="1" s="1"/>
  <c r="F3364" i="1"/>
  <c r="J3581" i="1" s="1"/>
  <c r="F3365" i="1"/>
  <c r="J3582" i="1" s="1"/>
  <c r="F3366" i="1"/>
  <c r="J3583" i="1" s="1"/>
  <c r="F3367" i="1"/>
  <c r="J3584" i="1" s="1"/>
  <c r="F3368" i="1"/>
  <c r="J3585" i="1" s="1"/>
  <c r="F3369" i="1"/>
  <c r="J3586" i="1" s="1"/>
  <c r="F3370" i="1"/>
  <c r="J3587" i="1" s="1"/>
  <c r="F3371" i="1"/>
  <c r="J3588" i="1" s="1"/>
  <c r="F3372" i="1"/>
  <c r="J3589" i="1" s="1"/>
  <c r="F3373" i="1"/>
  <c r="J3590" i="1" s="1"/>
  <c r="F3374" i="1"/>
  <c r="J3591" i="1" s="1"/>
  <c r="F3375" i="1"/>
  <c r="J3592" i="1" s="1"/>
  <c r="F3376" i="1"/>
  <c r="J3593" i="1" s="1"/>
  <c r="F3377" i="1"/>
  <c r="J3594" i="1" s="1"/>
  <c r="F3378" i="1"/>
  <c r="J3595" i="1" s="1"/>
  <c r="F3379" i="1"/>
  <c r="J3596" i="1" s="1"/>
  <c r="F3380" i="1"/>
  <c r="J3597" i="1" s="1"/>
  <c r="F3381" i="1"/>
  <c r="J3598" i="1" s="1"/>
  <c r="F3382" i="1"/>
  <c r="J3599" i="1" s="1"/>
  <c r="F3383" i="1"/>
  <c r="J3600" i="1" s="1"/>
  <c r="F3384" i="1"/>
  <c r="J3601" i="1" s="1"/>
  <c r="F3385" i="1"/>
  <c r="J3602" i="1" s="1"/>
  <c r="F3386" i="1"/>
  <c r="J3603" i="1" s="1"/>
  <c r="F3387" i="1"/>
  <c r="J3604" i="1" s="1"/>
  <c r="F3388" i="1"/>
  <c r="J3605" i="1" s="1"/>
  <c r="F3389" i="1"/>
  <c r="J3606" i="1" s="1"/>
  <c r="F3390" i="1"/>
  <c r="J3607" i="1" s="1"/>
  <c r="F3391" i="1"/>
  <c r="J3608" i="1" s="1"/>
  <c r="F3392" i="1"/>
  <c r="J3609" i="1" s="1"/>
  <c r="F3393" i="1"/>
  <c r="J3610" i="1" s="1"/>
  <c r="F3394" i="1"/>
  <c r="J3611" i="1" s="1"/>
  <c r="F3395" i="1"/>
  <c r="J3612" i="1" s="1"/>
  <c r="F3396" i="1"/>
  <c r="J3613" i="1" s="1"/>
  <c r="F3397" i="1"/>
  <c r="J3614" i="1" s="1"/>
  <c r="F3398" i="1"/>
  <c r="F3399" i="1"/>
  <c r="J3616" i="1" s="1"/>
  <c r="F3400" i="1"/>
  <c r="J3617" i="1" s="1"/>
  <c r="F3401" i="1"/>
  <c r="J3618" i="1" s="1"/>
  <c r="F3402" i="1"/>
  <c r="J3619" i="1" s="1"/>
  <c r="F3403" i="1"/>
  <c r="J3620" i="1" s="1"/>
  <c r="F3404" i="1"/>
  <c r="J3621" i="1" s="1"/>
  <c r="F3405" i="1"/>
  <c r="J3622" i="1" s="1"/>
  <c r="F3406" i="1"/>
  <c r="J3623" i="1" s="1"/>
  <c r="F3407" i="1"/>
  <c r="J3624" i="1" s="1"/>
  <c r="F3408" i="1"/>
  <c r="J3625" i="1" s="1"/>
  <c r="F3409" i="1"/>
  <c r="J3626" i="1" s="1"/>
  <c r="F3410" i="1"/>
  <c r="J3627" i="1" s="1"/>
  <c r="F3411" i="1"/>
  <c r="J3628" i="1" s="1"/>
  <c r="F3412" i="1"/>
  <c r="J3629" i="1" s="1"/>
  <c r="F3413" i="1"/>
  <c r="J3630" i="1" s="1"/>
  <c r="F3414" i="1"/>
  <c r="J3631" i="1" s="1"/>
  <c r="F3415" i="1"/>
  <c r="J3632" i="1" s="1"/>
  <c r="F3416" i="1"/>
  <c r="J3633" i="1" s="1"/>
  <c r="F3417" i="1"/>
  <c r="J3634" i="1" s="1"/>
  <c r="F3418" i="1"/>
  <c r="J3635" i="1" s="1"/>
  <c r="F3419" i="1"/>
  <c r="J3636" i="1" s="1"/>
  <c r="F3420" i="1"/>
  <c r="J3637" i="1" s="1"/>
  <c r="F3421" i="1"/>
  <c r="J3638" i="1" s="1"/>
  <c r="F3422" i="1"/>
  <c r="J3639" i="1" s="1"/>
  <c r="F3423" i="1"/>
  <c r="J3640" i="1" s="1"/>
  <c r="F3424" i="1"/>
  <c r="J3641" i="1" s="1"/>
  <c r="F3425" i="1"/>
  <c r="J3642" i="1" s="1"/>
  <c r="F3426" i="1"/>
  <c r="J3643" i="1" s="1"/>
  <c r="F3427" i="1"/>
  <c r="J3644" i="1" s="1"/>
  <c r="F3428" i="1"/>
  <c r="J3645" i="1" s="1"/>
  <c r="F3429" i="1"/>
  <c r="J3646" i="1" s="1"/>
  <c r="F3430" i="1"/>
  <c r="J3647" i="1" s="1"/>
  <c r="F3431" i="1"/>
  <c r="J3648" i="1" s="1"/>
  <c r="F3432" i="1"/>
  <c r="J3649" i="1" s="1"/>
  <c r="F3433" i="1"/>
  <c r="J3650" i="1" s="1"/>
  <c r="F3434" i="1"/>
  <c r="J3651" i="1" s="1"/>
  <c r="F3435" i="1"/>
  <c r="J3652" i="1" s="1"/>
  <c r="F3436" i="1"/>
  <c r="J3653" i="1" s="1"/>
  <c r="F3437" i="1"/>
  <c r="J3654" i="1" s="1"/>
  <c r="F3438" i="1"/>
  <c r="J3655" i="1" s="1"/>
  <c r="F3439" i="1"/>
  <c r="J3656" i="1" s="1"/>
  <c r="F3440" i="1"/>
  <c r="J3657" i="1" s="1"/>
  <c r="F3441" i="1"/>
  <c r="J3658" i="1" s="1"/>
  <c r="F3442" i="1"/>
  <c r="J3659" i="1" s="1"/>
  <c r="F3443" i="1"/>
  <c r="J3660" i="1" s="1"/>
  <c r="F3444" i="1"/>
  <c r="J3661" i="1" s="1"/>
  <c r="F3445" i="1"/>
  <c r="J3662" i="1" s="1"/>
  <c r="F3446" i="1"/>
  <c r="J3663" i="1" s="1"/>
  <c r="F3447" i="1"/>
  <c r="J3664" i="1" s="1"/>
  <c r="F3448" i="1"/>
  <c r="J3665" i="1" s="1"/>
  <c r="F3449" i="1"/>
  <c r="J3666" i="1" s="1"/>
  <c r="F3450" i="1"/>
  <c r="J3667" i="1" s="1"/>
  <c r="F3451" i="1"/>
  <c r="J3668" i="1" s="1"/>
  <c r="F3452" i="1"/>
  <c r="J3669" i="1" s="1"/>
  <c r="F3453" i="1"/>
  <c r="J3670" i="1" s="1"/>
  <c r="F3454" i="1"/>
  <c r="J3671" i="1" s="1"/>
  <c r="F3455" i="1"/>
  <c r="J3672" i="1" s="1"/>
  <c r="F3456" i="1"/>
  <c r="J3673" i="1" s="1"/>
  <c r="F3457" i="1"/>
  <c r="J3674" i="1" s="1"/>
  <c r="F3458" i="1"/>
  <c r="J3675" i="1" s="1"/>
  <c r="F3459" i="1"/>
  <c r="J3676" i="1" s="1"/>
  <c r="F3460" i="1"/>
  <c r="J3677" i="1" s="1"/>
  <c r="F3461" i="1"/>
  <c r="J3678" i="1" s="1"/>
  <c r="F3462" i="1"/>
  <c r="J3679" i="1" s="1"/>
  <c r="F3463" i="1"/>
  <c r="J3680" i="1" s="1"/>
  <c r="F3464" i="1"/>
  <c r="J3681" i="1" s="1"/>
  <c r="F3465" i="1"/>
  <c r="J3682" i="1" s="1"/>
  <c r="F3466" i="1"/>
  <c r="J3683" i="1" s="1"/>
  <c r="F3467" i="1"/>
  <c r="J3684" i="1" s="1"/>
  <c r="F3468" i="1"/>
  <c r="J3685" i="1" s="1"/>
  <c r="F3469" i="1"/>
  <c r="J3686" i="1" s="1"/>
  <c r="F3470" i="1"/>
  <c r="J3687" i="1" s="1"/>
  <c r="F3471" i="1"/>
  <c r="J3688" i="1" s="1"/>
  <c r="F3472" i="1"/>
  <c r="J3689" i="1" s="1"/>
  <c r="F3473" i="1"/>
  <c r="J3690" i="1" s="1"/>
  <c r="F3474" i="1"/>
  <c r="J3691" i="1" s="1"/>
  <c r="F3475" i="1"/>
  <c r="J3692" i="1" s="1"/>
  <c r="F3476" i="1"/>
  <c r="J3693" i="1" s="1"/>
  <c r="F3477" i="1"/>
  <c r="J3694" i="1" s="1"/>
  <c r="F3478" i="1"/>
  <c r="J3695" i="1" s="1"/>
  <c r="F3479" i="1"/>
  <c r="J3696" i="1" s="1"/>
  <c r="F3480" i="1"/>
  <c r="J3697" i="1" s="1"/>
  <c r="F3481" i="1"/>
  <c r="J3698" i="1" s="1"/>
  <c r="F3482" i="1"/>
  <c r="J3699" i="1" s="1"/>
  <c r="F3483" i="1"/>
  <c r="J3700" i="1" s="1"/>
  <c r="F3484" i="1"/>
  <c r="J3701" i="1" s="1"/>
  <c r="F3485" i="1"/>
  <c r="J3702" i="1" s="1"/>
  <c r="F3486" i="1"/>
  <c r="J3703" i="1" s="1"/>
  <c r="F3487" i="1"/>
  <c r="J3704" i="1" s="1"/>
  <c r="F3488" i="1"/>
  <c r="J3705" i="1" s="1"/>
  <c r="F3489" i="1"/>
  <c r="J3706" i="1" s="1"/>
  <c r="F3490" i="1"/>
  <c r="J3707" i="1" s="1"/>
  <c r="F3491" i="1"/>
  <c r="J3708" i="1" s="1"/>
  <c r="F3492" i="1"/>
  <c r="J3709" i="1" s="1"/>
  <c r="F3493" i="1"/>
  <c r="J3710" i="1" s="1"/>
  <c r="F3494" i="1"/>
  <c r="J3711" i="1" s="1"/>
  <c r="F3495" i="1"/>
  <c r="J3712" i="1" s="1"/>
  <c r="F3496" i="1"/>
  <c r="J3713" i="1" s="1"/>
  <c r="F3497" i="1"/>
  <c r="J3714" i="1" s="1"/>
  <c r="F3498" i="1"/>
  <c r="J3715" i="1" s="1"/>
  <c r="F3499" i="1"/>
  <c r="J3716" i="1" s="1"/>
  <c r="F3500" i="1"/>
  <c r="J3717" i="1" s="1"/>
  <c r="F3501" i="1"/>
  <c r="J3718" i="1" s="1"/>
  <c r="F3502" i="1"/>
  <c r="J3719" i="1" s="1"/>
  <c r="F3503" i="1"/>
  <c r="J3720" i="1" s="1"/>
  <c r="F3504" i="1"/>
  <c r="J3721" i="1" s="1"/>
  <c r="F3505" i="1"/>
  <c r="J3722" i="1" s="1"/>
  <c r="F3506" i="1"/>
  <c r="J3723" i="1" s="1"/>
  <c r="F3507" i="1"/>
  <c r="J3724" i="1" s="1"/>
  <c r="F3508" i="1"/>
  <c r="J3725" i="1" s="1"/>
  <c r="F3509" i="1"/>
  <c r="J3726" i="1" s="1"/>
  <c r="F3510" i="1"/>
  <c r="J3727" i="1" s="1"/>
  <c r="F3511" i="1"/>
  <c r="J3728" i="1" s="1"/>
  <c r="F3512" i="1"/>
  <c r="J3729" i="1" s="1"/>
  <c r="F3513" i="1"/>
  <c r="J3730" i="1" s="1"/>
  <c r="F3514" i="1"/>
  <c r="J3731" i="1" s="1"/>
  <c r="F3515" i="1"/>
  <c r="J3732" i="1" s="1"/>
  <c r="F3516" i="1"/>
  <c r="J3733" i="1" s="1"/>
  <c r="F3517" i="1"/>
  <c r="J3734" i="1" s="1"/>
  <c r="F3518" i="1"/>
  <c r="J3735" i="1" s="1"/>
  <c r="F3519" i="1"/>
  <c r="J3736" i="1" s="1"/>
  <c r="F3520" i="1"/>
  <c r="J3737" i="1" s="1"/>
  <c r="F3521" i="1"/>
  <c r="J3738" i="1" s="1"/>
  <c r="F3522" i="1"/>
  <c r="J3739" i="1" s="1"/>
  <c r="F3523" i="1"/>
  <c r="J3740" i="1" s="1"/>
  <c r="F3524" i="1"/>
  <c r="J3741" i="1" s="1"/>
  <c r="F3525" i="1"/>
  <c r="J3742" i="1" s="1"/>
  <c r="F3526" i="1"/>
  <c r="J3743" i="1" s="1"/>
  <c r="F3527" i="1"/>
  <c r="J3744" i="1" s="1"/>
  <c r="F3528" i="1"/>
  <c r="J3745" i="1" s="1"/>
  <c r="F3529" i="1"/>
  <c r="J3746" i="1" s="1"/>
  <c r="F3530" i="1"/>
  <c r="J3747" i="1" s="1"/>
  <c r="F3531" i="1"/>
  <c r="J3748" i="1" s="1"/>
  <c r="F3532" i="1"/>
  <c r="J3749" i="1" s="1"/>
  <c r="F3533" i="1"/>
  <c r="J3750" i="1" s="1"/>
  <c r="F3534" i="1"/>
  <c r="J3751" i="1" s="1"/>
  <c r="F3535" i="1"/>
  <c r="J3752" i="1" s="1"/>
  <c r="F3536" i="1"/>
  <c r="J3753" i="1" s="1"/>
  <c r="F3537" i="1"/>
  <c r="J3754" i="1" s="1"/>
  <c r="F3538" i="1"/>
  <c r="J3755" i="1" s="1"/>
  <c r="F3539" i="1"/>
  <c r="J3756" i="1" s="1"/>
  <c r="F3540" i="1"/>
  <c r="J3757" i="1" s="1"/>
  <c r="F3541" i="1"/>
  <c r="J3758" i="1" s="1"/>
  <c r="F3542" i="1"/>
  <c r="J3759" i="1" s="1"/>
  <c r="F3543" i="1"/>
  <c r="J3760" i="1" s="1"/>
  <c r="F3544" i="1"/>
  <c r="J3761" i="1" s="1"/>
  <c r="F3545" i="1"/>
  <c r="J3762" i="1" s="1"/>
  <c r="F3546" i="1"/>
  <c r="J3763" i="1" s="1"/>
  <c r="F3547" i="1"/>
  <c r="J3764" i="1" s="1"/>
  <c r="F3548" i="1"/>
  <c r="J3765" i="1" s="1"/>
  <c r="F3549" i="1"/>
  <c r="J3766" i="1" s="1"/>
  <c r="F3550" i="1"/>
  <c r="J3767" i="1" s="1"/>
  <c r="F3551" i="1"/>
  <c r="J3768" i="1" s="1"/>
  <c r="F3552" i="1"/>
  <c r="J3769" i="1" s="1"/>
  <c r="F3553" i="1"/>
  <c r="J3770" i="1" s="1"/>
  <c r="F3554" i="1"/>
  <c r="J3771" i="1" s="1"/>
  <c r="F3555" i="1"/>
  <c r="J3772" i="1" s="1"/>
  <c r="F3556" i="1"/>
  <c r="J3773" i="1" s="1"/>
  <c r="F3557" i="1"/>
  <c r="J3774" i="1" s="1"/>
  <c r="F3558" i="1"/>
  <c r="J3775" i="1" s="1"/>
  <c r="F3559" i="1"/>
  <c r="J3776" i="1" s="1"/>
  <c r="F3560" i="1"/>
  <c r="J3777" i="1" s="1"/>
  <c r="F3561" i="1"/>
  <c r="J3778" i="1" s="1"/>
  <c r="F3562" i="1"/>
  <c r="J3779" i="1" s="1"/>
  <c r="F3563" i="1"/>
  <c r="J3780" i="1" s="1"/>
  <c r="F3564" i="1"/>
  <c r="J3781" i="1" s="1"/>
  <c r="F3565" i="1"/>
  <c r="J3782" i="1" s="1"/>
  <c r="F3566" i="1"/>
  <c r="J3783" i="1" s="1"/>
  <c r="F3567" i="1"/>
  <c r="J3784" i="1" s="1"/>
  <c r="F3568" i="1"/>
  <c r="J3785" i="1" s="1"/>
  <c r="F3569" i="1"/>
  <c r="J3786" i="1" s="1"/>
  <c r="F3570" i="1"/>
  <c r="J3787" i="1" s="1"/>
  <c r="F3571" i="1"/>
  <c r="J3788" i="1" s="1"/>
  <c r="F3572" i="1"/>
  <c r="J3789" i="1" s="1"/>
  <c r="F3573" i="1"/>
  <c r="J3790" i="1" s="1"/>
  <c r="F3574" i="1"/>
  <c r="J3791" i="1" s="1"/>
  <c r="F3575" i="1"/>
  <c r="J3792" i="1" s="1"/>
  <c r="F3576" i="1"/>
  <c r="J3793" i="1" s="1"/>
  <c r="F3577" i="1"/>
  <c r="J3794" i="1" s="1"/>
  <c r="F3578" i="1"/>
  <c r="J3795" i="1" s="1"/>
  <c r="F3579" i="1"/>
  <c r="J3796" i="1" s="1"/>
  <c r="F3580" i="1"/>
  <c r="J3797" i="1" s="1"/>
  <c r="F3581" i="1"/>
  <c r="J3798" i="1" s="1"/>
  <c r="F3582" i="1"/>
  <c r="J3799" i="1" s="1"/>
  <c r="F3583" i="1"/>
  <c r="J3800" i="1" s="1"/>
  <c r="F3584" i="1"/>
  <c r="J3801" i="1" s="1"/>
  <c r="F3585" i="1"/>
  <c r="J3802" i="1" s="1"/>
  <c r="F3586" i="1"/>
  <c r="J3803" i="1" s="1"/>
  <c r="F3587" i="1"/>
  <c r="J3804" i="1" s="1"/>
  <c r="F3588" i="1"/>
  <c r="J3805" i="1" s="1"/>
  <c r="F3589" i="1"/>
  <c r="J3806" i="1" s="1"/>
  <c r="F3590" i="1"/>
  <c r="J3807" i="1" s="1"/>
  <c r="F3591" i="1"/>
  <c r="J3808" i="1" s="1"/>
  <c r="F3592" i="1"/>
  <c r="J3809" i="1" s="1"/>
  <c r="F3593" i="1"/>
  <c r="J3810" i="1" s="1"/>
  <c r="F3594" i="1"/>
  <c r="J3811" i="1" s="1"/>
  <c r="F3595" i="1"/>
  <c r="J3812" i="1" s="1"/>
  <c r="F3596" i="1"/>
  <c r="J3813" i="1" s="1"/>
  <c r="F3597" i="1"/>
  <c r="J3814" i="1" s="1"/>
  <c r="F3598" i="1"/>
  <c r="J3815" i="1" s="1"/>
  <c r="F3599" i="1"/>
  <c r="J3816" i="1" s="1"/>
  <c r="F3600" i="1"/>
  <c r="J3817" i="1" s="1"/>
  <c r="F3601" i="1"/>
  <c r="J3818" i="1" s="1"/>
  <c r="F3602" i="1"/>
  <c r="J3819" i="1" s="1"/>
  <c r="F3603" i="1"/>
  <c r="J3820" i="1" s="1"/>
  <c r="F3604" i="1"/>
  <c r="J3821" i="1" s="1"/>
  <c r="F3605" i="1"/>
  <c r="J3822" i="1" s="1"/>
  <c r="F3606" i="1"/>
  <c r="J3823" i="1" s="1"/>
  <c r="F3607" i="1"/>
  <c r="J3824" i="1" s="1"/>
  <c r="F3608" i="1"/>
  <c r="J3825" i="1" s="1"/>
  <c r="F3609" i="1"/>
  <c r="J3826" i="1" s="1"/>
  <c r="F3610" i="1"/>
  <c r="J3827" i="1" s="1"/>
  <c r="F3611" i="1"/>
  <c r="J3828" i="1" s="1"/>
  <c r="F3612" i="1"/>
  <c r="J3829" i="1" s="1"/>
  <c r="F3613" i="1"/>
  <c r="J3830" i="1" s="1"/>
  <c r="F3614" i="1"/>
  <c r="J3831" i="1" s="1"/>
  <c r="F3615" i="1"/>
  <c r="J3832" i="1" s="1"/>
  <c r="F3616" i="1"/>
  <c r="J3833" i="1" s="1"/>
  <c r="F3617" i="1"/>
  <c r="J3834" i="1" s="1"/>
  <c r="F3618" i="1"/>
  <c r="J3835" i="1" s="1"/>
  <c r="F3619" i="1"/>
  <c r="J3836" i="1" s="1"/>
  <c r="F3620" i="1"/>
  <c r="J3837" i="1" s="1"/>
  <c r="F3621" i="1"/>
  <c r="J3838" i="1" s="1"/>
  <c r="F3622" i="1"/>
  <c r="J3839" i="1" s="1"/>
  <c r="F3623" i="1"/>
  <c r="J3840" i="1" s="1"/>
  <c r="F3624" i="1"/>
  <c r="J3841" i="1" s="1"/>
  <c r="F3625" i="1"/>
  <c r="J3842" i="1" s="1"/>
  <c r="F3626" i="1"/>
  <c r="J3843" i="1" s="1"/>
  <c r="F3627" i="1"/>
  <c r="J3844" i="1" s="1"/>
  <c r="F3628" i="1"/>
  <c r="J3845" i="1" s="1"/>
  <c r="F3629" i="1"/>
  <c r="J3846" i="1" s="1"/>
  <c r="F3630" i="1"/>
  <c r="J3847" i="1" s="1"/>
  <c r="F3631" i="1"/>
  <c r="J3848" i="1" s="1"/>
  <c r="F3632" i="1"/>
  <c r="J3849" i="1" s="1"/>
  <c r="F3633" i="1"/>
  <c r="J3850" i="1" s="1"/>
  <c r="F3634" i="1"/>
  <c r="J3851" i="1" s="1"/>
  <c r="F3635" i="1"/>
  <c r="J3852" i="1" s="1"/>
  <c r="F3636" i="1"/>
  <c r="J3853" i="1" s="1"/>
  <c r="F3637" i="1"/>
  <c r="J3854" i="1" s="1"/>
  <c r="F3638" i="1"/>
  <c r="J3855" i="1" s="1"/>
  <c r="F3639" i="1"/>
  <c r="J3856" i="1" s="1"/>
  <c r="F3640" i="1"/>
  <c r="J3857" i="1" s="1"/>
  <c r="F3641" i="1"/>
  <c r="J3858" i="1" s="1"/>
  <c r="F3642" i="1"/>
  <c r="J3859" i="1" s="1"/>
  <c r="F3643" i="1"/>
  <c r="J3860" i="1" s="1"/>
  <c r="F3644" i="1"/>
  <c r="J3861" i="1" s="1"/>
  <c r="F3645" i="1"/>
  <c r="J3862" i="1" s="1"/>
  <c r="F3646" i="1"/>
  <c r="J3863" i="1" s="1"/>
  <c r="F3647" i="1"/>
  <c r="J3864" i="1" s="1"/>
  <c r="F3648" i="1"/>
  <c r="J3865" i="1" s="1"/>
  <c r="F3649" i="1"/>
  <c r="J3866" i="1" s="1"/>
  <c r="F3650" i="1"/>
  <c r="J3867" i="1" s="1"/>
  <c r="F3651" i="1"/>
  <c r="J3868" i="1" s="1"/>
  <c r="F3652" i="1"/>
  <c r="J3869" i="1" s="1"/>
  <c r="F3653" i="1"/>
  <c r="J3870" i="1" s="1"/>
  <c r="F3654" i="1"/>
  <c r="J3871" i="1" s="1"/>
  <c r="F3655" i="1"/>
  <c r="J3872" i="1" s="1"/>
  <c r="F3656" i="1"/>
  <c r="J3873" i="1" s="1"/>
  <c r="F3657" i="1"/>
  <c r="J3874" i="1" s="1"/>
  <c r="F3658" i="1"/>
  <c r="J3875" i="1" s="1"/>
  <c r="F3659" i="1"/>
  <c r="J3876" i="1" s="1"/>
  <c r="F3660" i="1"/>
  <c r="J3877" i="1" s="1"/>
  <c r="F3661" i="1"/>
  <c r="J3878" i="1" s="1"/>
  <c r="F3662" i="1"/>
  <c r="J3879" i="1" s="1"/>
  <c r="F3663" i="1"/>
  <c r="J3880" i="1" s="1"/>
  <c r="F3664" i="1"/>
  <c r="J3881" i="1" s="1"/>
  <c r="F3665" i="1"/>
  <c r="J3882" i="1" s="1"/>
  <c r="F3666" i="1"/>
  <c r="J3883" i="1" s="1"/>
  <c r="F3667" i="1"/>
  <c r="J3884" i="1" s="1"/>
  <c r="F3668" i="1"/>
  <c r="J3885" i="1" s="1"/>
  <c r="F3669" i="1"/>
  <c r="J3886" i="1" s="1"/>
  <c r="F3670" i="1"/>
  <c r="J3887" i="1" s="1"/>
  <c r="F3671" i="1"/>
  <c r="J3888" i="1" s="1"/>
  <c r="F3672" i="1"/>
  <c r="J3889" i="1" s="1"/>
  <c r="F3673" i="1"/>
  <c r="J3890" i="1" s="1"/>
  <c r="F3674" i="1"/>
  <c r="J3891" i="1" s="1"/>
  <c r="F3675" i="1"/>
  <c r="J3892" i="1" s="1"/>
  <c r="F3676" i="1"/>
  <c r="J3893" i="1" s="1"/>
  <c r="F3677" i="1"/>
  <c r="J3894" i="1" s="1"/>
  <c r="F3678" i="1"/>
  <c r="J3895" i="1" s="1"/>
  <c r="F3679" i="1"/>
  <c r="J3896" i="1" s="1"/>
  <c r="F3680" i="1"/>
  <c r="J3897" i="1" s="1"/>
  <c r="F3681" i="1"/>
  <c r="J3898" i="1" s="1"/>
  <c r="F3682" i="1"/>
  <c r="J3899" i="1" s="1"/>
  <c r="F3683" i="1"/>
  <c r="J3900" i="1" s="1"/>
  <c r="F3684" i="1"/>
  <c r="J3901" i="1" s="1"/>
  <c r="F3685" i="1"/>
  <c r="J3902" i="1" s="1"/>
  <c r="F3686" i="1"/>
  <c r="J3903" i="1" s="1"/>
  <c r="F3687" i="1"/>
  <c r="J3904" i="1" s="1"/>
  <c r="F3688" i="1"/>
  <c r="J3905" i="1" s="1"/>
  <c r="F3689" i="1"/>
  <c r="J3906" i="1" s="1"/>
  <c r="F3690" i="1"/>
  <c r="J3907" i="1" s="1"/>
  <c r="F3691" i="1"/>
  <c r="J3908" i="1" s="1"/>
  <c r="F3692" i="1"/>
  <c r="J3909" i="1" s="1"/>
  <c r="F3693" i="1"/>
  <c r="J3910" i="1" s="1"/>
  <c r="F3694" i="1"/>
  <c r="J3911" i="1" s="1"/>
  <c r="F3695" i="1"/>
  <c r="J3912" i="1" s="1"/>
  <c r="F3696" i="1"/>
  <c r="J3913" i="1" s="1"/>
  <c r="F3697" i="1"/>
  <c r="J3914" i="1" s="1"/>
  <c r="F3698" i="1"/>
  <c r="J3915" i="1" s="1"/>
  <c r="F3699" i="1"/>
  <c r="J3916" i="1" s="1"/>
  <c r="F3700" i="1"/>
  <c r="J3917" i="1" s="1"/>
  <c r="F3701" i="1"/>
  <c r="J3918" i="1" s="1"/>
  <c r="F3702" i="1"/>
  <c r="J3919" i="1" s="1"/>
  <c r="F3703" i="1"/>
  <c r="J3920" i="1" s="1"/>
  <c r="F3704" i="1"/>
  <c r="J3921" i="1" s="1"/>
  <c r="F3705" i="1"/>
  <c r="J3922" i="1" s="1"/>
  <c r="F3706" i="1"/>
  <c r="J3923" i="1" s="1"/>
  <c r="F3707" i="1"/>
  <c r="J3924" i="1" s="1"/>
  <c r="F3708" i="1"/>
  <c r="J3925" i="1" s="1"/>
  <c r="F3709" i="1"/>
  <c r="J3926" i="1" s="1"/>
  <c r="F3710" i="1"/>
  <c r="J3927" i="1" s="1"/>
  <c r="F3711" i="1"/>
  <c r="J3928" i="1" s="1"/>
  <c r="F3712" i="1"/>
  <c r="J3929" i="1" s="1"/>
  <c r="F3713" i="1"/>
  <c r="J3930" i="1" s="1"/>
  <c r="F3714" i="1"/>
  <c r="J3931" i="1" s="1"/>
  <c r="F3715" i="1"/>
  <c r="J3932" i="1" s="1"/>
  <c r="F3716" i="1"/>
  <c r="J3933" i="1" s="1"/>
  <c r="F3717" i="1"/>
  <c r="J3934" i="1" s="1"/>
  <c r="F3718" i="1"/>
  <c r="J3935" i="1" s="1"/>
  <c r="F3719" i="1"/>
  <c r="J3936" i="1" s="1"/>
  <c r="F3720" i="1"/>
  <c r="F3721" i="1"/>
  <c r="J3938" i="1" s="1"/>
  <c r="F3722" i="1"/>
  <c r="J3939" i="1" s="1"/>
  <c r="F3723" i="1"/>
  <c r="J3940" i="1" s="1"/>
  <c r="F3724" i="1"/>
  <c r="J3941" i="1" s="1"/>
  <c r="F3725" i="1"/>
  <c r="J3942" i="1" s="1"/>
  <c r="F3726" i="1"/>
  <c r="J3943" i="1" s="1"/>
  <c r="F3727" i="1"/>
  <c r="J3944" i="1" s="1"/>
  <c r="F3728" i="1"/>
  <c r="J3945" i="1" s="1"/>
  <c r="F3729" i="1"/>
  <c r="J3946" i="1" s="1"/>
  <c r="F3730" i="1"/>
  <c r="J3947" i="1" s="1"/>
  <c r="F3731" i="1"/>
  <c r="J3948" i="1" s="1"/>
  <c r="F3732" i="1"/>
  <c r="J3949" i="1" s="1"/>
  <c r="F3733" i="1"/>
  <c r="J3950" i="1" s="1"/>
  <c r="F3734" i="1"/>
  <c r="J3951" i="1" s="1"/>
  <c r="F3735" i="1"/>
  <c r="J3952" i="1" s="1"/>
  <c r="F3736" i="1"/>
  <c r="J3953" i="1" s="1"/>
  <c r="F3737" i="1"/>
  <c r="J3954" i="1" s="1"/>
  <c r="F3738" i="1"/>
  <c r="J3955" i="1" s="1"/>
  <c r="F3739" i="1"/>
  <c r="J3956" i="1" s="1"/>
  <c r="F3740" i="1"/>
  <c r="J3957" i="1" s="1"/>
  <c r="F3741" i="1"/>
  <c r="J3958" i="1" s="1"/>
  <c r="F3742" i="1"/>
  <c r="J3959" i="1" s="1"/>
  <c r="F3743" i="1"/>
  <c r="J3960" i="1" s="1"/>
  <c r="F3744" i="1"/>
  <c r="J3961" i="1" s="1"/>
  <c r="F3745" i="1"/>
  <c r="J3962" i="1" s="1"/>
  <c r="F3746" i="1"/>
  <c r="J3963" i="1" s="1"/>
  <c r="F3747" i="1"/>
  <c r="J3964" i="1" s="1"/>
  <c r="F3748" i="1"/>
  <c r="J3965" i="1" s="1"/>
  <c r="F3749" i="1"/>
  <c r="J3966" i="1" s="1"/>
  <c r="F3750" i="1"/>
  <c r="J3967" i="1" s="1"/>
  <c r="F3751" i="1"/>
  <c r="J3968" i="1" s="1"/>
  <c r="F3752" i="1"/>
  <c r="J3969" i="1" s="1"/>
  <c r="F3753" i="1"/>
  <c r="J3970" i="1" s="1"/>
  <c r="F3754" i="1"/>
  <c r="J3971" i="1" s="1"/>
  <c r="F3755" i="1"/>
  <c r="J3972" i="1" s="1"/>
  <c r="F3756" i="1"/>
  <c r="J3973" i="1" s="1"/>
  <c r="F3757" i="1"/>
  <c r="J3974" i="1" s="1"/>
  <c r="F3758" i="1"/>
  <c r="J3975" i="1" s="1"/>
  <c r="F3759" i="1"/>
  <c r="J3976" i="1" s="1"/>
  <c r="F3760" i="1"/>
  <c r="J3977" i="1" s="1"/>
  <c r="F3761" i="1"/>
  <c r="J3978" i="1" s="1"/>
  <c r="F3762" i="1"/>
  <c r="J3979" i="1" s="1"/>
  <c r="F3763" i="1"/>
  <c r="J3980" i="1" s="1"/>
  <c r="F3764" i="1"/>
  <c r="J3981" i="1" s="1"/>
  <c r="F3765" i="1"/>
  <c r="J3982" i="1" s="1"/>
  <c r="F3766" i="1"/>
  <c r="J3983" i="1" s="1"/>
  <c r="F3767" i="1"/>
  <c r="J3984" i="1" s="1"/>
  <c r="F3768" i="1"/>
  <c r="J3985" i="1" s="1"/>
  <c r="F3769" i="1"/>
  <c r="J3986" i="1" s="1"/>
  <c r="F3770" i="1"/>
  <c r="J3987" i="1" s="1"/>
  <c r="F3771" i="1"/>
  <c r="J3988" i="1" s="1"/>
  <c r="F3772" i="1"/>
  <c r="J3989" i="1" s="1"/>
  <c r="F3773" i="1"/>
  <c r="J3990" i="1" s="1"/>
  <c r="F3774" i="1"/>
  <c r="J3991" i="1" s="1"/>
  <c r="F3775" i="1"/>
  <c r="J3992" i="1" s="1"/>
  <c r="F3776" i="1"/>
  <c r="J3993" i="1" s="1"/>
  <c r="F3777" i="1"/>
  <c r="J3994" i="1" s="1"/>
  <c r="F3778" i="1"/>
  <c r="J3995" i="1" s="1"/>
  <c r="F3779" i="1"/>
  <c r="J3996" i="1" s="1"/>
  <c r="F3780" i="1"/>
  <c r="J3997" i="1" s="1"/>
  <c r="F3781" i="1"/>
  <c r="J3998" i="1" s="1"/>
  <c r="F3782" i="1"/>
  <c r="J3999" i="1" s="1"/>
  <c r="F3783" i="1"/>
  <c r="J4000" i="1" s="1"/>
  <c r="F3784" i="1"/>
  <c r="J4001" i="1" s="1"/>
  <c r="F3785" i="1"/>
  <c r="J4002" i="1" s="1"/>
  <c r="F3786" i="1"/>
  <c r="J4003" i="1" s="1"/>
  <c r="F3787" i="1"/>
  <c r="J4004" i="1" s="1"/>
  <c r="F3788" i="1"/>
  <c r="J4005" i="1" s="1"/>
  <c r="F3789" i="1"/>
  <c r="J4006" i="1" s="1"/>
  <c r="F3790" i="1"/>
  <c r="J4007" i="1" s="1"/>
  <c r="F3791" i="1"/>
  <c r="J4008" i="1" s="1"/>
  <c r="F3792" i="1"/>
  <c r="J4009" i="1" s="1"/>
  <c r="F3793" i="1"/>
  <c r="J4010" i="1" s="1"/>
  <c r="F3794" i="1"/>
  <c r="J4011" i="1" s="1"/>
  <c r="F3795" i="1"/>
  <c r="J4012" i="1" s="1"/>
  <c r="F3796" i="1"/>
  <c r="J4013" i="1" s="1"/>
  <c r="F3797" i="1"/>
  <c r="J4014" i="1" s="1"/>
  <c r="F3798" i="1"/>
  <c r="J4015" i="1" s="1"/>
  <c r="F3799" i="1"/>
  <c r="J4016" i="1" s="1"/>
  <c r="F3800" i="1"/>
  <c r="J4017" i="1" s="1"/>
  <c r="F3801" i="1"/>
  <c r="J4018" i="1" s="1"/>
  <c r="F3802" i="1"/>
  <c r="J4019" i="1" s="1"/>
  <c r="F3803" i="1"/>
  <c r="J4020" i="1" s="1"/>
  <c r="F3804" i="1"/>
  <c r="J4021" i="1" s="1"/>
  <c r="F3805" i="1"/>
  <c r="J4022" i="1" s="1"/>
  <c r="F3806" i="1"/>
  <c r="J4023" i="1" s="1"/>
  <c r="F3807" i="1"/>
  <c r="J4024" i="1" s="1"/>
  <c r="F3808" i="1"/>
  <c r="J4025" i="1" s="1"/>
  <c r="F3809" i="1"/>
  <c r="J4026" i="1" s="1"/>
  <c r="F3810" i="1"/>
  <c r="J4027" i="1" s="1"/>
  <c r="F3811" i="1"/>
  <c r="J4028" i="1" s="1"/>
  <c r="F3812" i="1"/>
  <c r="J4029" i="1" s="1"/>
  <c r="F3813" i="1"/>
  <c r="J4030" i="1" s="1"/>
  <c r="F3814" i="1"/>
  <c r="J4031" i="1" s="1"/>
  <c r="F3815" i="1"/>
  <c r="J4032" i="1" s="1"/>
  <c r="F3816" i="1"/>
  <c r="J4033" i="1" s="1"/>
  <c r="F3817" i="1"/>
  <c r="J4034" i="1" s="1"/>
  <c r="F3818" i="1"/>
  <c r="J4035" i="1" s="1"/>
  <c r="F3819" i="1"/>
  <c r="J4036" i="1" s="1"/>
  <c r="F3820" i="1"/>
  <c r="J4037" i="1" s="1"/>
  <c r="F3821" i="1"/>
  <c r="J4038" i="1" s="1"/>
  <c r="F3822" i="1"/>
  <c r="J4039" i="1" s="1"/>
  <c r="F3823" i="1"/>
  <c r="J4040" i="1" s="1"/>
  <c r="F3824" i="1"/>
  <c r="J4041" i="1" s="1"/>
  <c r="F3825" i="1"/>
  <c r="J4042" i="1" s="1"/>
  <c r="F3826" i="1"/>
  <c r="J4043" i="1" s="1"/>
  <c r="F3827" i="1"/>
  <c r="J4044" i="1" s="1"/>
  <c r="F3828" i="1"/>
  <c r="J4045" i="1" s="1"/>
  <c r="F3829" i="1"/>
  <c r="J4046" i="1" s="1"/>
  <c r="F3830" i="1"/>
  <c r="J4047" i="1" s="1"/>
  <c r="F3831" i="1"/>
  <c r="J4048" i="1" s="1"/>
  <c r="F3832" i="1"/>
  <c r="J4049" i="1" s="1"/>
  <c r="F3833" i="1"/>
  <c r="J4050" i="1" s="1"/>
  <c r="F3834" i="1"/>
  <c r="J4051" i="1" s="1"/>
  <c r="F3835" i="1"/>
  <c r="J4052" i="1" s="1"/>
  <c r="F3836" i="1"/>
  <c r="J4053" i="1" s="1"/>
  <c r="F3837" i="1"/>
  <c r="J4054" i="1" s="1"/>
  <c r="F3838" i="1"/>
  <c r="J4055" i="1" s="1"/>
  <c r="F3839" i="1"/>
  <c r="J4056" i="1" s="1"/>
  <c r="F3840" i="1"/>
  <c r="J4057" i="1" s="1"/>
  <c r="F3841" i="1"/>
  <c r="J4058" i="1" s="1"/>
  <c r="F3842" i="1"/>
  <c r="J4059" i="1" s="1"/>
  <c r="F3843" i="1"/>
  <c r="J4060" i="1" s="1"/>
  <c r="F3844" i="1"/>
  <c r="J4061" i="1" s="1"/>
  <c r="F3845" i="1"/>
  <c r="J4062" i="1" s="1"/>
  <c r="F3846" i="1"/>
  <c r="J4063" i="1" s="1"/>
  <c r="F3847" i="1"/>
  <c r="J4064" i="1" s="1"/>
  <c r="F3848" i="1"/>
  <c r="J4065" i="1" s="1"/>
  <c r="F3849" i="1"/>
  <c r="J4066" i="1" s="1"/>
  <c r="F3850" i="1"/>
  <c r="J4067" i="1" s="1"/>
  <c r="F3851" i="1"/>
  <c r="J4068" i="1" s="1"/>
  <c r="F3852" i="1"/>
  <c r="J4069" i="1" s="1"/>
  <c r="F3853" i="1"/>
  <c r="J4070" i="1" s="1"/>
  <c r="F3854" i="1"/>
  <c r="J4071" i="1" s="1"/>
  <c r="F3855" i="1"/>
  <c r="J4072" i="1" s="1"/>
  <c r="F3856" i="1"/>
  <c r="J4073" i="1" s="1"/>
  <c r="F3857" i="1"/>
  <c r="J4074" i="1" s="1"/>
  <c r="F3858" i="1"/>
  <c r="J4075" i="1" s="1"/>
  <c r="F3859" i="1"/>
  <c r="J4076" i="1" s="1"/>
  <c r="F3860" i="1"/>
  <c r="J4077" i="1" s="1"/>
  <c r="F3861" i="1"/>
  <c r="J4078" i="1" s="1"/>
  <c r="F3862" i="1"/>
  <c r="J4079" i="1" s="1"/>
  <c r="F3863" i="1"/>
  <c r="J4080" i="1" s="1"/>
  <c r="F3864" i="1"/>
  <c r="J4081" i="1" s="1"/>
  <c r="F3865" i="1"/>
  <c r="J4082" i="1" s="1"/>
  <c r="F3866" i="1"/>
  <c r="J4083" i="1" s="1"/>
  <c r="F3867" i="1"/>
  <c r="J4084" i="1" s="1"/>
  <c r="F3868" i="1"/>
  <c r="J4085" i="1" s="1"/>
  <c r="F3869" i="1"/>
  <c r="J4086" i="1" s="1"/>
  <c r="F3870" i="1"/>
  <c r="J4087" i="1" s="1"/>
  <c r="F3871" i="1"/>
  <c r="J4088" i="1" s="1"/>
  <c r="F3872" i="1"/>
  <c r="J4089" i="1" s="1"/>
  <c r="F3873" i="1"/>
  <c r="J4090" i="1" s="1"/>
  <c r="F3874" i="1"/>
  <c r="J4091" i="1" s="1"/>
  <c r="F3875" i="1"/>
  <c r="J4092" i="1" s="1"/>
  <c r="F3876" i="1"/>
  <c r="J4093" i="1" s="1"/>
  <c r="F3877" i="1"/>
  <c r="J4094" i="1" s="1"/>
  <c r="F3878" i="1"/>
  <c r="J4095" i="1" s="1"/>
  <c r="F3879" i="1"/>
  <c r="J4096" i="1" s="1"/>
  <c r="F3880" i="1"/>
  <c r="J4097" i="1" s="1"/>
  <c r="F3881" i="1"/>
  <c r="J4098" i="1" s="1"/>
  <c r="F3882" i="1"/>
  <c r="J4099" i="1" s="1"/>
  <c r="F3883" i="1"/>
  <c r="J4100" i="1" s="1"/>
  <c r="F3884" i="1"/>
  <c r="J4101" i="1" s="1"/>
  <c r="F3885" i="1"/>
  <c r="J4102" i="1" s="1"/>
  <c r="F3886" i="1"/>
  <c r="J4103" i="1" s="1"/>
  <c r="F3887" i="1"/>
  <c r="J4104" i="1" s="1"/>
  <c r="F3888" i="1"/>
  <c r="J4105" i="1" s="1"/>
  <c r="F3889" i="1"/>
  <c r="J4106" i="1" s="1"/>
  <c r="F3890" i="1"/>
  <c r="J4107" i="1" s="1"/>
  <c r="F3891" i="1"/>
  <c r="J4108" i="1" s="1"/>
  <c r="F3892" i="1"/>
  <c r="J4109" i="1" s="1"/>
  <c r="F3893" i="1"/>
  <c r="J4110" i="1" s="1"/>
  <c r="F3894" i="1"/>
  <c r="J4111" i="1" s="1"/>
  <c r="F3895" i="1"/>
  <c r="J4112" i="1" s="1"/>
  <c r="F3896" i="1"/>
  <c r="J4113" i="1" s="1"/>
  <c r="F3897" i="1"/>
  <c r="J4114" i="1" s="1"/>
  <c r="F3898" i="1"/>
  <c r="J4115" i="1" s="1"/>
  <c r="F3899" i="1"/>
  <c r="J4116" i="1" s="1"/>
  <c r="F3900" i="1"/>
  <c r="J4117" i="1" s="1"/>
  <c r="F3901" i="1"/>
  <c r="J4118" i="1" s="1"/>
  <c r="F3902" i="1"/>
  <c r="J4119" i="1" s="1"/>
  <c r="F3903" i="1"/>
  <c r="J4120" i="1" s="1"/>
  <c r="F3904" i="1"/>
  <c r="J4121" i="1" s="1"/>
  <c r="F3905" i="1"/>
  <c r="J4122" i="1" s="1"/>
  <c r="F3906" i="1"/>
  <c r="J4123" i="1" s="1"/>
  <c r="F3907" i="1"/>
  <c r="J4124" i="1" s="1"/>
  <c r="F3908" i="1"/>
  <c r="J4125" i="1" s="1"/>
  <c r="F3909" i="1"/>
  <c r="J4126" i="1" s="1"/>
  <c r="F3910" i="1"/>
  <c r="J4127" i="1" s="1"/>
  <c r="F3911" i="1"/>
  <c r="J4128" i="1" s="1"/>
  <c r="F3912" i="1"/>
  <c r="J4129" i="1" s="1"/>
  <c r="F3913" i="1"/>
  <c r="J4130" i="1" s="1"/>
  <c r="F3914" i="1"/>
  <c r="J4131" i="1" s="1"/>
  <c r="F3915" i="1"/>
  <c r="J4132" i="1" s="1"/>
  <c r="F3916" i="1"/>
  <c r="J4133" i="1" s="1"/>
  <c r="F3917" i="1"/>
  <c r="J4134" i="1" s="1"/>
  <c r="F3918" i="1"/>
  <c r="J4135" i="1" s="1"/>
  <c r="F3919" i="1"/>
  <c r="J4136" i="1" s="1"/>
  <c r="F3920" i="1"/>
  <c r="J4137" i="1" s="1"/>
  <c r="F3921" i="1"/>
  <c r="J4138" i="1" s="1"/>
  <c r="F3922" i="1"/>
  <c r="J4139" i="1" s="1"/>
  <c r="F3923" i="1"/>
  <c r="J4140" i="1" s="1"/>
  <c r="F3924" i="1"/>
  <c r="J4141" i="1" s="1"/>
  <c r="F3925" i="1"/>
  <c r="J4142" i="1" s="1"/>
  <c r="F3926" i="1"/>
  <c r="J4143" i="1" s="1"/>
  <c r="F3927" i="1"/>
  <c r="J4144" i="1" s="1"/>
  <c r="F3928" i="1"/>
  <c r="J4145" i="1" s="1"/>
  <c r="F3929" i="1"/>
  <c r="J4146" i="1" s="1"/>
  <c r="F3930" i="1"/>
  <c r="J4147" i="1" s="1"/>
  <c r="F3931" i="1"/>
  <c r="J4148" i="1" s="1"/>
  <c r="F3932" i="1"/>
  <c r="J4149" i="1" s="1"/>
  <c r="F3933" i="1"/>
  <c r="J4150" i="1" s="1"/>
  <c r="F3934" i="1"/>
  <c r="J4151" i="1" s="1"/>
  <c r="F3935" i="1"/>
  <c r="J4152" i="1" s="1"/>
  <c r="F3936" i="1"/>
  <c r="J4153" i="1" s="1"/>
  <c r="F3937" i="1"/>
  <c r="J4154" i="1" s="1"/>
  <c r="F3938" i="1"/>
  <c r="J4155" i="1" s="1"/>
  <c r="F3939" i="1"/>
  <c r="J4156" i="1" s="1"/>
  <c r="F3940" i="1"/>
  <c r="J4157" i="1" s="1"/>
  <c r="F3941" i="1"/>
  <c r="J4158" i="1" s="1"/>
  <c r="F3942" i="1"/>
  <c r="J4159" i="1" s="1"/>
  <c r="F3943" i="1"/>
  <c r="J4160" i="1" s="1"/>
  <c r="F3944" i="1"/>
  <c r="J4161" i="1" s="1"/>
  <c r="F3945" i="1"/>
  <c r="J4162" i="1" s="1"/>
  <c r="F3946" i="1"/>
  <c r="J4163" i="1" s="1"/>
  <c r="F3947" i="1"/>
  <c r="J4164" i="1" s="1"/>
  <c r="F3948" i="1"/>
  <c r="J4165" i="1" s="1"/>
  <c r="F3949" i="1"/>
  <c r="J4166" i="1" s="1"/>
  <c r="F3950" i="1"/>
  <c r="J4167" i="1" s="1"/>
  <c r="F3951" i="1"/>
  <c r="J4168" i="1" s="1"/>
  <c r="F3952" i="1"/>
  <c r="J4169" i="1" s="1"/>
  <c r="F3953" i="1"/>
  <c r="J4170" i="1" s="1"/>
  <c r="F3954" i="1"/>
  <c r="J4171" i="1" s="1"/>
  <c r="F3955" i="1"/>
  <c r="J4172" i="1" s="1"/>
  <c r="F3956" i="1"/>
  <c r="J4173" i="1" s="1"/>
  <c r="F3957" i="1"/>
  <c r="J4174" i="1" s="1"/>
  <c r="F3958" i="1"/>
  <c r="J4175" i="1" s="1"/>
  <c r="F3959" i="1"/>
  <c r="J4176" i="1" s="1"/>
  <c r="F3960" i="1"/>
  <c r="J4177" i="1" s="1"/>
  <c r="F3961" i="1"/>
  <c r="J4178" i="1" s="1"/>
  <c r="F3962" i="1"/>
  <c r="J4179" i="1" s="1"/>
  <c r="F3963" i="1"/>
  <c r="J4180" i="1" s="1"/>
  <c r="F3964" i="1"/>
  <c r="J4181" i="1" s="1"/>
  <c r="F3965" i="1"/>
  <c r="J4182" i="1" s="1"/>
  <c r="F3966" i="1"/>
  <c r="J4183" i="1" s="1"/>
  <c r="F3967" i="1"/>
  <c r="J4184" i="1" s="1"/>
  <c r="F3968" i="1"/>
  <c r="J4185" i="1" s="1"/>
  <c r="F3969" i="1"/>
  <c r="J4186" i="1" s="1"/>
  <c r="F3970" i="1"/>
  <c r="J4187" i="1" s="1"/>
  <c r="F3971" i="1"/>
  <c r="J4188" i="1" s="1"/>
  <c r="F3972" i="1"/>
  <c r="J4189" i="1" s="1"/>
  <c r="F3973" i="1"/>
  <c r="J4190" i="1" s="1"/>
  <c r="F3974" i="1"/>
  <c r="J4191" i="1" s="1"/>
  <c r="F3975" i="1"/>
  <c r="J4192" i="1" s="1"/>
  <c r="F3976" i="1"/>
  <c r="J4193" i="1" s="1"/>
  <c r="F3977" i="1"/>
  <c r="J4194" i="1" s="1"/>
  <c r="F3978" i="1"/>
  <c r="J4195" i="1" s="1"/>
  <c r="F3979" i="1"/>
  <c r="J4196" i="1" s="1"/>
  <c r="F3980" i="1"/>
  <c r="J4197" i="1" s="1"/>
  <c r="F3981" i="1"/>
  <c r="J4198" i="1" s="1"/>
  <c r="F3982" i="1"/>
  <c r="J4199" i="1" s="1"/>
  <c r="F3983" i="1"/>
  <c r="J4200" i="1" s="1"/>
  <c r="F3984" i="1"/>
  <c r="J4201" i="1" s="1"/>
  <c r="F3985" i="1"/>
  <c r="J4202" i="1" s="1"/>
  <c r="F3986" i="1"/>
  <c r="J4203" i="1" s="1"/>
  <c r="F3987" i="1"/>
  <c r="J4204" i="1" s="1"/>
  <c r="F3988" i="1"/>
  <c r="J4205" i="1" s="1"/>
  <c r="F3989" i="1"/>
  <c r="J4206" i="1" s="1"/>
  <c r="F3990" i="1"/>
  <c r="J4207" i="1" s="1"/>
  <c r="F3991" i="1"/>
  <c r="J4208" i="1" s="1"/>
  <c r="F3992" i="1"/>
  <c r="J4209" i="1" s="1"/>
  <c r="F3993" i="1"/>
  <c r="J4210" i="1" s="1"/>
  <c r="F3994" i="1"/>
  <c r="J4211" i="1" s="1"/>
  <c r="F3995" i="1"/>
  <c r="J4212" i="1" s="1"/>
  <c r="F3996" i="1"/>
  <c r="J4213" i="1" s="1"/>
  <c r="F3997" i="1"/>
  <c r="J4214" i="1" s="1"/>
  <c r="F3998" i="1"/>
  <c r="J4215" i="1" s="1"/>
  <c r="F3999" i="1"/>
  <c r="J4216" i="1" s="1"/>
  <c r="F4000" i="1"/>
  <c r="J4217" i="1" s="1"/>
  <c r="F4001" i="1"/>
  <c r="J4218" i="1" s="1"/>
  <c r="F4002" i="1"/>
  <c r="J4219" i="1" s="1"/>
  <c r="F4003" i="1"/>
  <c r="J4220" i="1" s="1"/>
  <c r="F4004" i="1"/>
  <c r="J4221" i="1" s="1"/>
  <c r="F4005" i="1"/>
  <c r="J4222" i="1" s="1"/>
  <c r="F4006" i="1"/>
  <c r="J4223" i="1" s="1"/>
  <c r="F4007" i="1"/>
  <c r="J4224" i="1" s="1"/>
  <c r="F4008" i="1"/>
  <c r="J4225" i="1" s="1"/>
  <c r="F4009" i="1"/>
  <c r="J4226" i="1" s="1"/>
  <c r="F4010" i="1"/>
  <c r="J4227" i="1" s="1"/>
  <c r="F4011" i="1"/>
  <c r="J4228" i="1" s="1"/>
  <c r="F4012" i="1"/>
  <c r="J4229" i="1" s="1"/>
  <c r="F4013" i="1"/>
  <c r="J4230" i="1" s="1"/>
  <c r="F4014" i="1"/>
  <c r="J4231" i="1" s="1"/>
  <c r="F4015" i="1"/>
  <c r="J4232" i="1" s="1"/>
  <c r="F4016" i="1"/>
  <c r="J4233" i="1" s="1"/>
  <c r="F4017" i="1"/>
  <c r="J4234" i="1" s="1"/>
  <c r="F4018" i="1"/>
  <c r="J4235" i="1" s="1"/>
  <c r="F4019" i="1"/>
  <c r="J4236" i="1" s="1"/>
  <c r="F4020" i="1"/>
  <c r="J4237" i="1" s="1"/>
  <c r="F4021" i="1"/>
  <c r="J4238" i="1" s="1"/>
  <c r="F4022" i="1"/>
  <c r="J4239" i="1" s="1"/>
  <c r="F4023" i="1"/>
  <c r="J4240" i="1" s="1"/>
  <c r="F4024" i="1"/>
  <c r="J4241" i="1" s="1"/>
  <c r="F4025" i="1"/>
  <c r="J4242" i="1" s="1"/>
  <c r="F4026" i="1"/>
  <c r="J4243" i="1" s="1"/>
  <c r="F4027" i="1"/>
  <c r="J4244" i="1" s="1"/>
  <c r="F4028" i="1"/>
  <c r="J4245" i="1" s="1"/>
  <c r="F4029" i="1"/>
  <c r="J4246" i="1" s="1"/>
  <c r="F4030" i="1"/>
  <c r="J4247" i="1" s="1"/>
  <c r="F4031" i="1"/>
  <c r="J4248" i="1" s="1"/>
  <c r="F4032" i="1"/>
  <c r="J4249" i="1" s="1"/>
  <c r="F4033" i="1"/>
  <c r="J4250" i="1" s="1"/>
  <c r="F4034" i="1"/>
  <c r="J4251" i="1" s="1"/>
  <c r="F4035" i="1"/>
  <c r="J4252" i="1" s="1"/>
  <c r="F4036" i="1"/>
  <c r="J4253" i="1" s="1"/>
  <c r="F4037" i="1"/>
  <c r="J4254" i="1" s="1"/>
  <c r="F4038" i="1"/>
  <c r="J4255" i="1" s="1"/>
  <c r="F4039" i="1"/>
  <c r="J4256" i="1" s="1"/>
  <c r="F4040" i="1"/>
  <c r="J4257" i="1" s="1"/>
  <c r="F4041" i="1"/>
  <c r="J4258" i="1" s="1"/>
  <c r="F4042" i="1"/>
  <c r="J4259" i="1" s="1"/>
  <c r="F4043" i="1"/>
  <c r="J4260" i="1" s="1"/>
  <c r="F4044" i="1"/>
  <c r="J4261" i="1" s="1"/>
  <c r="F4045" i="1"/>
  <c r="J4262" i="1" s="1"/>
  <c r="F4046" i="1"/>
  <c r="J4263" i="1" s="1"/>
  <c r="F4047" i="1"/>
  <c r="J4264" i="1" s="1"/>
  <c r="F4048" i="1"/>
  <c r="J4265" i="1" s="1"/>
  <c r="F4049" i="1"/>
  <c r="J4266" i="1" s="1"/>
  <c r="F4050" i="1"/>
  <c r="J4267" i="1" s="1"/>
  <c r="F4051" i="1"/>
  <c r="J4268" i="1" s="1"/>
  <c r="F4052" i="1"/>
  <c r="J4269" i="1" s="1"/>
  <c r="F4053" i="1"/>
  <c r="F4054" i="1"/>
  <c r="J4271" i="1" s="1"/>
  <c r="F4055" i="1"/>
  <c r="J4272" i="1" s="1"/>
  <c r="F4056" i="1"/>
  <c r="J4273" i="1" s="1"/>
  <c r="F4057" i="1"/>
  <c r="J4274" i="1" s="1"/>
  <c r="F4058" i="1"/>
  <c r="J4275" i="1" s="1"/>
  <c r="F4059" i="1"/>
  <c r="J4276" i="1" s="1"/>
  <c r="F4060" i="1"/>
  <c r="J4277" i="1" s="1"/>
  <c r="F4061" i="1"/>
  <c r="J4278" i="1" s="1"/>
  <c r="F4062" i="1"/>
  <c r="J4279" i="1" s="1"/>
  <c r="F4063" i="1"/>
  <c r="J4280" i="1" s="1"/>
  <c r="F4064" i="1"/>
  <c r="J4281" i="1" s="1"/>
  <c r="F4065" i="1"/>
  <c r="J4282" i="1" s="1"/>
  <c r="F4066" i="1"/>
  <c r="J4283" i="1" s="1"/>
  <c r="F4067" i="1"/>
  <c r="J4284" i="1" s="1"/>
  <c r="F4068" i="1"/>
  <c r="J4285" i="1" s="1"/>
  <c r="F4069" i="1"/>
  <c r="J4286" i="1" s="1"/>
  <c r="F4070" i="1"/>
  <c r="J4287" i="1" s="1"/>
  <c r="F4071" i="1"/>
  <c r="J4288" i="1" s="1"/>
  <c r="F4072" i="1"/>
  <c r="J4289" i="1" s="1"/>
  <c r="F4073" i="1"/>
  <c r="J4290" i="1" s="1"/>
  <c r="F4074" i="1"/>
  <c r="J4291" i="1" s="1"/>
  <c r="F4075" i="1"/>
  <c r="J4292" i="1" s="1"/>
  <c r="F4076" i="1"/>
  <c r="J4293" i="1" s="1"/>
  <c r="F4077" i="1"/>
  <c r="J4294" i="1" s="1"/>
  <c r="F4078" i="1"/>
  <c r="J4295" i="1" s="1"/>
  <c r="F4079" i="1"/>
  <c r="J4296" i="1" s="1"/>
  <c r="F4080" i="1"/>
  <c r="J4297" i="1" s="1"/>
  <c r="F4081" i="1"/>
  <c r="J4298" i="1" s="1"/>
  <c r="F4082" i="1"/>
  <c r="J4299" i="1" s="1"/>
  <c r="F4083" i="1"/>
  <c r="J4300" i="1" s="1"/>
  <c r="F4084" i="1"/>
  <c r="J4301" i="1" s="1"/>
  <c r="F4085" i="1"/>
  <c r="J4302" i="1" s="1"/>
  <c r="F4086" i="1"/>
  <c r="J4303" i="1" s="1"/>
  <c r="F4087" i="1"/>
  <c r="J4304" i="1" s="1"/>
  <c r="F4088" i="1"/>
  <c r="J4305" i="1" s="1"/>
  <c r="F4089" i="1"/>
  <c r="J4306" i="1" s="1"/>
  <c r="F4090" i="1"/>
  <c r="J4307" i="1" s="1"/>
  <c r="F4091" i="1"/>
  <c r="J4308" i="1" s="1"/>
  <c r="F4092" i="1"/>
  <c r="J4309" i="1" s="1"/>
  <c r="F4093" i="1"/>
  <c r="J4310" i="1" s="1"/>
  <c r="F4094" i="1"/>
  <c r="J4311" i="1" s="1"/>
  <c r="F4095" i="1"/>
  <c r="J4312" i="1" s="1"/>
  <c r="F4096" i="1"/>
  <c r="J4313" i="1" s="1"/>
  <c r="F4097" i="1"/>
  <c r="J4314" i="1" s="1"/>
  <c r="F4098" i="1"/>
  <c r="J4315" i="1" s="1"/>
  <c r="F4099" i="1"/>
  <c r="J4316" i="1" s="1"/>
  <c r="F4100" i="1"/>
  <c r="J4317" i="1" s="1"/>
  <c r="F4101" i="1"/>
  <c r="J4318" i="1" s="1"/>
  <c r="F4102" i="1"/>
  <c r="J4319" i="1" s="1"/>
  <c r="F4103" i="1"/>
  <c r="J4320" i="1" s="1"/>
  <c r="F4104" i="1"/>
  <c r="J4321" i="1" s="1"/>
  <c r="F4105" i="1"/>
  <c r="J4322" i="1" s="1"/>
  <c r="F4106" i="1"/>
  <c r="J4323" i="1" s="1"/>
  <c r="F4107" i="1"/>
  <c r="J4324" i="1" s="1"/>
  <c r="F4108" i="1"/>
  <c r="J4325" i="1" s="1"/>
  <c r="F4109" i="1"/>
  <c r="J4326" i="1" s="1"/>
  <c r="F4110" i="1"/>
  <c r="J4327" i="1" s="1"/>
  <c r="F4111" i="1"/>
  <c r="J4328" i="1" s="1"/>
  <c r="F4112" i="1"/>
  <c r="J4329" i="1" s="1"/>
  <c r="F4113" i="1"/>
  <c r="J4330" i="1" s="1"/>
  <c r="F4114" i="1"/>
  <c r="J4331" i="1" s="1"/>
  <c r="F4115" i="1"/>
  <c r="J4332" i="1" s="1"/>
  <c r="F4116" i="1"/>
  <c r="J4333" i="1" s="1"/>
  <c r="F4117" i="1"/>
  <c r="J4334" i="1" s="1"/>
  <c r="F4118" i="1"/>
  <c r="J4335" i="1" s="1"/>
  <c r="F4119" i="1"/>
  <c r="J4336" i="1" s="1"/>
  <c r="F4120" i="1"/>
  <c r="J4337" i="1" s="1"/>
  <c r="F4121" i="1"/>
  <c r="J4338" i="1" s="1"/>
  <c r="F4122" i="1"/>
  <c r="J4339" i="1" s="1"/>
  <c r="F4123" i="1"/>
  <c r="J4340" i="1" s="1"/>
  <c r="F4124" i="1"/>
  <c r="J4341" i="1" s="1"/>
  <c r="F4125" i="1"/>
  <c r="J4342" i="1" s="1"/>
  <c r="F4126" i="1"/>
  <c r="J4343" i="1" s="1"/>
  <c r="F4127" i="1"/>
  <c r="J4344" i="1" s="1"/>
  <c r="F4128" i="1"/>
  <c r="J4345" i="1" s="1"/>
  <c r="F4129" i="1"/>
  <c r="J4346" i="1" s="1"/>
  <c r="F4130" i="1"/>
  <c r="J4347" i="1" s="1"/>
  <c r="F4131" i="1"/>
  <c r="J4348" i="1" s="1"/>
  <c r="F4132" i="1"/>
  <c r="J4349" i="1" s="1"/>
  <c r="F4133" i="1"/>
  <c r="J4350" i="1" s="1"/>
  <c r="F4134" i="1"/>
  <c r="J4351" i="1" s="1"/>
  <c r="F4135" i="1"/>
  <c r="J4352" i="1" s="1"/>
  <c r="F4136" i="1"/>
  <c r="J4353" i="1" s="1"/>
  <c r="F4137" i="1"/>
  <c r="J4354" i="1" s="1"/>
  <c r="F4138" i="1"/>
  <c r="J4355" i="1" s="1"/>
  <c r="F4139" i="1"/>
  <c r="J4356" i="1" s="1"/>
  <c r="F4140" i="1"/>
  <c r="J4357" i="1" s="1"/>
  <c r="F4141" i="1"/>
  <c r="J4358" i="1" s="1"/>
  <c r="F4142" i="1"/>
  <c r="J4359" i="1" s="1"/>
  <c r="F4143" i="1"/>
  <c r="J4360" i="1" s="1"/>
  <c r="F4144" i="1"/>
  <c r="J4361" i="1" s="1"/>
  <c r="F4145" i="1"/>
  <c r="J4362" i="1" s="1"/>
  <c r="F4146" i="1"/>
  <c r="J4363" i="1" s="1"/>
  <c r="F4147" i="1"/>
  <c r="J4364" i="1" s="1"/>
  <c r="F4148" i="1"/>
  <c r="J4365" i="1" s="1"/>
  <c r="F4149" i="1"/>
  <c r="J4366" i="1" s="1"/>
  <c r="F4150" i="1"/>
  <c r="J4367" i="1" s="1"/>
  <c r="F4151" i="1"/>
  <c r="J4368" i="1" s="1"/>
  <c r="F4152" i="1"/>
  <c r="J4369" i="1" s="1"/>
  <c r="F4153" i="1"/>
  <c r="J4370" i="1" s="1"/>
  <c r="F4154" i="1"/>
  <c r="J4371" i="1" s="1"/>
  <c r="F4155" i="1"/>
  <c r="J4372" i="1" s="1"/>
  <c r="F4156" i="1"/>
  <c r="J4373" i="1" s="1"/>
  <c r="F4157" i="1"/>
  <c r="J4374" i="1" s="1"/>
  <c r="F4158" i="1"/>
  <c r="J4375" i="1" s="1"/>
  <c r="F4159" i="1"/>
  <c r="J4376" i="1" s="1"/>
  <c r="F4160" i="1"/>
  <c r="J4377" i="1" s="1"/>
  <c r="F4161" i="1"/>
  <c r="J4378" i="1" s="1"/>
  <c r="F4162" i="1"/>
  <c r="J4379" i="1" s="1"/>
  <c r="F4163" i="1"/>
  <c r="J4380" i="1" s="1"/>
  <c r="F4164" i="1"/>
  <c r="J4381" i="1" s="1"/>
  <c r="F4165" i="1"/>
  <c r="J4382" i="1" s="1"/>
  <c r="F4166" i="1"/>
  <c r="J4383" i="1" s="1"/>
  <c r="F4167" i="1"/>
  <c r="J4384" i="1" s="1"/>
  <c r="F4168" i="1"/>
  <c r="J4385" i="1" s="1"/>
  <c r="F4169" i="1"/>
  <c r="J4386" i="1" s="1"/>
  <c r="F4170" i="1"/>
  <c r="J4387" i="1" s="1"/>
  <c r="F4171" i="1"/>
  <c r="J4388" i="1" s="1"/>
  <c r="F4172" i="1"/>
  <c r="J4389" i="1" s="1"/>
  <c r="F4173" i="1"/>
  <c r="J4390" i="1" s="1"/>
  <c r="F4174" i="1"/>
  <c r="J4391" i="1" s="1"/>
  <c r="F4175" i="1"/>
  <c r="J4392" i="1" s="1"/>
  <c r="F4176" i="1"/>
  <c r="J4393" i="1" s="1"/>
  <c r="F4177" i="1"/>
  <c r="J4394" i="1" s="1"/>
  <c r="F4178" i="1"/>
  <c r="J4395" i="1" s="1"/>
  <c r="F4179" i="1"/>
  <c r="J4396" i="1" s="1"/>
  <c r="F4180" i="1"/>
  <c r="J4397" i="1" s="1"/>
  <c r="F4181" i="1"/>
  <c r="J4398" i="1" s="1"/>
  <c r="F4182" i="1"/>
  <c r="J4399" i="1" s="1"/>
  <c r="F4183" i="1"/>
  <c r="J4400" i="1" s="1"/>
  <c r="F4184" i="1"/>
  <c r="J4401" i="1" s="1"/>
  <c r="F4185" i="1"/>
  <c r="J4402" i="1" s="1"/>
  <c r="F4186" i="1"/>
  <c r="J4403" i="1" s="1"/>
  <c r="F4187" i="1"/>
  <c r="J4404" i="1" s="1"/>
  <c r="F4188" i="1"/>
  <c r="J4405" i="1" s="1"/>
  <c r="F4189" i="1"/>
  <c r="J4406" i="1" s="1"/>
  <c r="F4190" i="1"/>
  <c r="J4407" i="1" s="1"/>
  <c r="F4191" i="1"/>
  <c r="J4408" i="1" s="1"/>
  <c r="F4192" i="1"/>
  <c r="J4409" i="1" s="1"/>
  <c r="F4193" i="1"/>
  <c r="J4410" i="1" s="1"/>
  <c r="F4194" i="1"/>
  <c r="J4411" i="1" s="1"/>
  <c r="F4195" i="1"/>
  <c r="J4412" i="1" s="1"/>
  <c r="F4196" i="1"/>
  <c r="J4413" i="1" s="1"/>
  <c r="F4197" i="1"/>
  <c r="J4414" i="1" s="1"/>
  <c r="F4198" i="1"/>
  <c r="J4415" i="1" s="1"/>
  <c r="F4199" i="1"/>
  <c r="J4416" i="1" s="1"/>
  <c r="F4200" i="1"/>
  <c r="J4417" i="1" s="1"/>
  <c r="F4201" i="1"/>
  <c r="J4418" i="1" s="1"/>
  <c r="F4202" i="1"/>
  <c r="J4419" i="1" s="1"/>
  <c r="F4203" i="1"/>
  <c r="J4420" i="1" s="1"/>
  <c r="F4204" i="1"/>
  <c r="J4421" i="1" s="1"/>
  <c r="F4205" i="1"/>
  <c r="J4422" i="1" s="1"/>
  <c r="F4206" i="1"/>
  <c r="J4423" i="1" s="1"/>
  <c r="F4207" i="1"/>
  <c r="J4424" i="1" s="1"/>
  <c r="F4208" i="1"/>
  <c r="J4425" i="1" s="1"/>
  <c r="F4209" i="1"/>
  <c r="J4426" i="1" s="1"/>
  <c r="F4210" i="1"/>
  <c r="J4427" i="1" s="1"/>
  <c r="F4211" i="1"/>
  <c r="J4428" i="1" s="1"/>
  <c r="F4212" i="1"/>
  <c r="J4429" i="1" s="1"/>
  <c r="F4213" i="1"/>
  <c r="J4430" i="1" s="1"/>
  <c r="F4214" i="1"/>
  <c r="J4431" i="1" s="1"/>
  <c r="F4215" i="1"/>
  <c r="J4432" i="1" s="1"/>
  <c r="F4216" i="1"/>
  <c r="J4433" i="1" s="1"/>
  <c r="F4217" i="1"/>
  <c r="J4434" i="1" s="1"/>
  <c r="F4218" i="1"/>
  <c r="J4435" i="1" s="1"/>
  <c r="F4219" i="1"/>
  <c r="J4436" i="1" s="1"/>
  <c r="F4220" i="1"/>
  <c r="J4437" i="1" s="1"/>
  <c r="F4221" i="1"/>
  <c r="J4438" i="1" s="1"/>
  <c r="F4222" i="1"/>
  <c r="J4439" i="1" s="1"/>
  <c r="F4223" i="1"/>
  <c r="J4440" i="1" s="1"/>
  <c r="F4224" i="1"/>
  <c r="J4441" i="1" s="1"/>
  <c r="F4225" i="1"/>
  <c r="J4442" i="1" s="1"/>
  <c r="F4226" i="1"/>
  <c r="J4443" i="1" s="1"/>
  <c r="F4227" i="1"/>
  <c r="J4444" i="1" s="1"/>
  <c r="F4228" i="1"/>
  <c r="J4445" i="1" s="1"/>
  <c r="F4229" i="1"/>
  <c r="J4446" i="1" s="1"/>
  <c r="F4230" i="1"/>
  <c r="J4447" i="1" s="1"/>
  <c r="F4231" i="1"/>
  <c r="J4448" i="1" s="1"/>
  <c r="F4232" i="1"/>
  <c r="J4449" i="1" s="1"/>
  <c r="F4233" i="1"/>
  <c r="J4450" i="1" s="1"/>
  <c r="F4234" i="1"/>
  <c r="J4451" i="1" s="1"/>
  <c r="F4235" i="1"/>
  <c r="J4452" i="1" s="1"/>
  <c r="F4236" i="1"/>
  <c r="J4453" i="1" s="1"/>
  <c r="F4237" i="1"/>
  <c r="J4454" i="1" s="1"/>
  <c r="F4238" i="1"/>
  <c r="J4455" i="1" s="1"/>
  <c r="F4239" i="1"/>
  <c r="J4456" i="1" s="1"/>
  <c r="F4240" i="1"/>
  <c r="J4457" i="1" s="1"/>
  <c r="F4241" i="1"/>
  <c r="J4458" i="1" s="1"/>
  <c r="F4242" i="1"/>
  <c r="J4459" i="1" s="1"/>
  <c r="F4243" i="1"/>
  <c r="J4460" i="1" s="1"/>
  <c r="F4244" i="1"/>
  <c r="J4461" i="1" s="1"/>
  <c r="F4245" i="1"/>
  <c r="J4462" i="1" s="1"/>
  <c r="F4246" i="1"/>
  <c r="J4463" i="1" s="1"/>
  <c r="F4247" i="1"/>
  <c r="J4464" i="1" s="1"/>
  <c r="F4248" i="1"/>
  <c r="J4465" i="1" s="1"/>
  <c r="F4249" i="1"/>
  <c r="J4466" i="1" s="1"/>
  <c r="F4250" i="1"/>
  <c r="J4467" i="1" s="1"/>
  <c r="F4251" i="1"/>
  <c r="J4468" i="1" s="1"/>
  <c r="F4252" i="1"/>
  <c r="J4469" i="1" s="1"/>
  <c r="F4253" i="1"/>
  <c r="J4470" i="1" s="1"/>
  <c r="F4254" i="1"/>
  <c r="J4471" i="1" s="1"/>
  <c r="F4255" i="1"/>
  <c r="J4472" i="1" s="1"/>
  <c r="F4256" i="1"/>
  <c r="J4473" i="1" s="1"/>
  <c r="F4257" i="1"/>
  <c r="J4474" i="1" s="1"/>
  <c r="F4258" i="1"/>
  <c r="J4475" i="1" s="1"/>
  <c r="F4259" i="1"/>
  <c r="J4476" i="1" s="1"/>
  <c r="F4260" i="1"/>
  <c r="J4477" i="1" s="1"/>
  <c r="F4261" i="1"/>
  <c r="J4478" i="1" s="1"/>
  <c r="F4262" i="1"/>
  <c r="J4479" i="1" s="1"/>
  <c r="F4263" i="1"/>
  <c r="J4480" i="1" s="1"/>
  <c r="F4264" i="1"/>
  <c r="J4481" i="1" s="1"/>
  <c r="F4265" i="1"/>
  <c r="J4482" i="1" s="1"/>
  <c r="F4266" i="1"/>
  <c r="J4483" i="1" s="1"/>
  <c r="F4267" i="1"/>
  <c r="J4484" i="1" s="1"/>
  <c r="F4268" i="1"/>
  <c r="J4485" i="1" s="1"/>
  <c r="F4269" i="1"/>
  <c r="J4486" i="1" s="1"/>
  <c r="F4270" i="1"/>
  <c r="J4487" i="1" s="1"/>
  <c r="F4271" i="1"/>
  <c r="J4488" i="1" s="1"/>
  <c r="F4272" i="1"/>
  <c r="J4489" i="1" s="1"/>
  <c r="F4273" i="1"/>
  <c r="J4490" i="1" s="1"/>
  <c r="F4274" i="1"/>
  <c r="J4491" i="1" s="1"/>
  <c r="F4275" i="1"/>
  <c r="J4492" i="1" s="1"/>
  <c r="F4276" i="1"/>
  <c r="J4493" i="1" s="1"/>
  <c r="F4277" i="1"/>
  <c r="J4494" i="1" s="1"/>
  <c r="F4278" i="1"/>
  <c r="J4495" i="1" s="1"/>
  <c r="F4279" i="1"/>
  <c r="J4496" i="1" s="1"/>
  <c r="F4280" i="1"/>
  <c r="J4497" i="1" s="1"/>
  <c r="F4281" i="1"/>
  <c r="J4498" i="1" s="1"/>
  <c r="F4282" i="1"/>
  <c r="J4499" i="1" s="1"/>
  <c r="F4283" i="1"/>
  <c r="J4500" i="1" s="1"/>
  <c r="F4284" i="1"/>
  <c r="J4501" i="1" s="1"/>
  <c r="F4285" i="1"/>
  <c r="J4502" i="1" s="1"/>
  <c r="F4286" i="1"/>
  <c r="J4503" i="1" s="1"/>
  <c r="F4287" i="1"/>
  <c r="J4504" i="1" s="1"/>
  <c r="F4288" i="1"/>
  <c r="J4505" i="1" s="1"/>
  <c r="F4289" i="1"/>
  <c r="J4506" i="1" s="1"/>
  <c r="F4290" i="1"/>
  <c r="J4507" i="1" s="1"/>
  <c r="F4291" i="1"/>
  <c r="J4508" i="1" s="1"/>
  <c r="F4292" i="1"/>
  <c r="J4509" i="1" s="1"/>
  <c r="F4293" i="1"/>
  <c r="J4510" i="1" s="1"/>
  <c r="F4294" i="1"/>
  <c r="J4511" i="1" s="1"/>
  <c r="F4295" i="1"/>
  <c r="J4512" i="1" s="1"/>
  <c r="F4296" i="1"/>
  <c r="J4513" i="1" s="1"/>
  <c r="F4297" i="1"/>
  <c r="J4514" i="1" s="1"/>
  <c r="F4298" i="1"/>
  <c r="J4515" i="1" s="1"/>
  <c r="F4299" i="1"/>
  <c r="J4516" i="1" s="1"/>
  <c r="F4300" i="1"/>
  <c r="J4517" i="1" s="1"/>
  <c r="F4301" i="1"/>
  <c r="J4518" i="1" s="1"/>
  <c r="F4302" i="1"/>
  <c r="J4519" i="1" s="1"/>
  <c r="F4303" i="1"/>
  <c r="J4520" i="1" s="1"/>
  <c r="F4304" i="1"/>
  <c r="J4521" i="1" s="1"/>
  <c r="F4305" i="1"/>
  <c r="J4522" i="1" s="1"/>
  <c r="F4306" i="1"/>
  <c r="J4523" i="1" s="1"/>
  <c r="F4307" i="1"/>
  <c r="J4524" i="1" s="1"/>
  <c r="F4308" i="1"/>
  <c r="J4525" i="1" s="1"/>
  <c r="F4309" i="1"/>
  <c r="J4526" i="1" s="1"/>
  <c r="F4310" i="1"/>
  <c r="J4527" i="1" s="1"/>
  <c r="F4311" i="1"/>
  <c r="J4528" i="1" s="1"/>
  <c r="F4312" i="1"/>
  <c r="J4529" i="1" s="1"/>
  <c r="F4313" i="1"/>
  <c r="J4530" i="1" s="1"/>
  <c r="F4314" i="1"/>
  <c r="J4531" i="1" s="1"/>
  <c r="F4315" i="1"/>
  <c r="J4532" i="1" s="1"/>
  <c r="F4316" i="1"/>
  <c r="J4533" i="1" s="1"/>
  <c r="F4317" i="1"/>
  <c r="J4534" i="1" s="1"/>
  <c r="F4318" i="1"/>
  <c r="J4535" i="1" s="1"/>
  <c r="F4319" i="1"/>
  <c r="J4536" i="1" s="1"/>
  <c r="F4320" i="1"/>
  <c r="J4537" i="1" s="1"/>
  <c r="F4321" i="1"/>
  <c r="J4538" i="1" s="1"/>
  <c r="F4322" i="1"/>
  <c r="J4539" i="1" s="1"/>
  <c r="F4323" i="1"/>
  <c r="J4540" i="1" s="1"/>
  <c r="F4324" i="1"/>
  <c r="J4541" i="1" s="1"/>
  <c r="F4325" i="1"/>
  <c r="J4542" i="1" s="1"/>
  <c r="F4326" i="1"/>
  <c r="J4543" i="1" s="1"/>
  <c r="F4327" i="1"/>
  <c r="J4544" i="1" s="1"/>
  <c r="F4328" i="1"/>
  <c r="J4545" i="1" s="1"/>
  <c r="F4329" i="1"/>
  <c r="J4546" i="1" s="1"/>
  <c r="F4330" i="1"/>
  <c r="J4547" i="1" s="1"/>
  <c r="F4331" i="1"/>
  <c r="J4548" i="1" s="1"/>
  <c r="F4332" i="1"/>
  <c r="J4549" i="1" s="1"/>
  <c r="F4333" i="1"/>
  <c r="J4550" i="1" s="1"/>
  <c r="F4334" i="1"/>
  <c r="J4551" i="1" s="1"/>
  <c r="F4335" i="1"/>
  <c r="J4552" i="1" s="1"/>
  <c r="F4336" i="1"/>
  <c r="J4553" i="1" s="1"/>
  <c r="F4337" i="1"/>
  <c r="J4554" i="1" s="1"/>
  <c r="F4338" i="1"/>
  <c r="J4555" i="1" s="1"/>
  <c r="F4339" i="1"/>
  <c r="J4556" i="1" s="1"/>
  <c r="F4340" i="1"/>
  <c r="J4557" i="1" s="1"/>
  <c r="F4341" i="1"/>
  <c r="J4558" i="1" s="1"/>
  <c r="F4342" i="1"/>
  <c r="J4559" i="1" s="1"/>
  <c r="F4343" i="1"/>
  <c r="J4560" i="1" s="1"/>
  <c r="F4344" i="1"/>
  <c r="J4561" i="1" s="1"/>
  <c r="F4345" i="1"/>
  <c r="J4562" i="1" s="1"/>
  <c r="F4346" i="1"/>
  <c r="J4563" i="1" s="1"/>
  <c r="F4347" i="1"/>
  <c r="J4564" i="1" s="1"/>
  <c r="F4348" i="1"/>
  <c r="J4565" i="1" s="1"/>
  <c r="F4349" i="1"/>
  <c r="J4566" i="1" s="1"/>
  <c r="F4350" i="1"/>
  <c r="J4567" i="1" s="1"/>
  <c r="F4351" i="1"/>
  <c r="J4568" i="1" s="1"/>
  <c r="F4352" i="1"/>
  <c r="J4569" i="1" s="1"/>
  <c r="F4353" i="1"/>
  <c r="J4570" i="1" s="1"/>
  <c r="F4354" i="1"/>
  <c r="J4571" i="1" s="1"/>
  <c r="F4355" i="1"/>
  <c r="J4572" i="1" s="1"/>
  <c r="F4356" i="1"/>
  <c r="J4573" i="1" s="1"/>
  <c r="F4357" i="1"/>
  <c r="J4574" i="1" s="1"/>
  <c r="F4358" i="1"/>
  <c r="J4575" i="1" s="1"/>
  <c r="F4359" i="1"/>
  <c r="J4576" i="1" s="1"/>
  <c r="F4360" i="1"/>
  <c r="J4577" i="1" s="1"/>
  <c r="F4361" i="1"/>
  <c r="J4578" i="1" s="1"/>
  <c r="F4362" i="1"/>
  <c r="J4579" i="1" s="1"/>
  <c r="F4363" i="1"/>
  <c r="J4580" i="1" s="1"/>
  <c r="F4364" i="1"/>
  <c r="J4581" i="1" s="1"/>
  <c r="F4365" i="1"/>
  <c r="J4582" i="1" s="1"/>
  <c r="F4366" i="1"/>
  <c r="J4583" i="1" s="1"/>
  <c r="F4367" i="1"/>
  <c r="J4584" i="1" s="1"/>
  <c r="F4368" i="1"/>
  <c r="J4585" i="1" s="1"/>
  <c r="F4369" i="1"/>
  <c r="J4586" i="1" s="1"/>
  <c r="F4370" i="1"/>
  <c r="J4587" i="1" s="1"/>
  <c r="F4371" i="1"/>
  <c r="J4588" i="1" s="1"/>
  <c r="F4372" i="1"/>
  <c r="J4589" i="1" s="1"/>
  <c r="F4373" i="1"/>
  <c r="J4590" i="1" s="1"/>
  <c r="F4374" i="1"/>
  <c r="J4591" i="1" s="1"/>
  <c r="F4375" i="1"/>
  <c r="J4592" i="1" s="1"/>
  <c r="F4376" i="1"/>
  <c r="J4593" i="1" s="1"/>
  <c r="F4377" i="1"/>
  <c r="J4594" i="1" s="1"/>
  <c r="F4378" i="1"/>
  <c r="J4595" i="1" s="1"/>
  <c r="F4379" i="1"/>
  <c r="J4596" i="1" s="1"/>
  <c r="F4380" i="1"/>
  <c r="J4597" i="1" s="1"/>
  <c r="F4381" i="1"/>
  <c r="J4598" i="1" s="1"/>
  <c r="F4382" i="1"/>
  <c r="J4599" i="1" s="1"/>
  <c r="F4383" i="1"/>
  <c r="J4600" i="1" s="1"/>
  <c r="F4384" i="1"/>
  <c r="J4601" i="1" s="1"/>
  <c r="F4385" i="1"/>
  <c r="J4602" i="1" s="1"/>
  <c r="F4386" i="1"/>
  <c r="J4603" i="1" s="1"/>
  <c r="F4387" i="1"/>
  <c r="J4604" i="1" s="1"/>
  <c r="F4388" i="1"/>
  <c r="J4605" i="1" s="1"/>
  <c r="F4389" i="1"/>
  <c r="J4606" i="1" s="1"/>
  <c r="F4390" i="1"/>
  <c r="J4607" i="1" s="1"/>
  <c r="F4391" i="1"/>
  <c r="J4608" i="1" s="1"/>
  <c r="F4392" i="1"/>
  <c r="J4609" i="1" s="1"/>
  <c r="F4393" i="1"/>
  <c r="J4610" i="1" s="1"/>
  <c r="F4394" i="1"/>
  <c r="J4611" i="1" s="1"/>
  <c r="F4395" i="1"/>
  <c r="J4612" i="1" s="1"/>
  <c r="F4396" i="1"/>
  <c r="J4613" i="1" s="1"/>
  <c r="F4397" i="1"/>
  <c r="J4614" i="1" s="1"/>
  <c r="F4398" i="1"/>
  <c r="J4615" i="1" s="1"/>
  <c r="F4399" i="1"/>
  <c r="J4616" i="1" s="1"/>
  <c r="F4400" i="1"/>
  <c r="J4617" i="1" s="1"/>
  <c r="F4401" i="1"/>
  <c r="J4618" i="1" s="1"/>
  <c r="F4402" i="1"/>
  <c r="J4619" i="1" s="1"/>
  <c r="F4403" i="1"/>
  <c r="J4620" i="1" s="1"/>
  <c r="F4404" i="1"/>
  <c r="J4621" i="1" s="1"/>
  <c r="F4405" i="1"/>
  <c r="J4622" i="1" s="1"/>
  <c r="F4406" i="1"/>
  <c r="J4623" i="1" s="1"/>
  <c r="F4407" i="1"/>
  <c r="J4624" i="1" s="1"/>
  <c r="F4408" i="1"/>
  <c r="J4625" i="1" s="1"/>
  <c r="F4409" i="1"/>
  <c r="J4626" i="1" s="1"/>
  <c r="F4410" i="1"/>
  <c r="J4627" i="1" s="1"/>
  <c r="F4411" i="1"/>
  <c r="J4628" i="1" s="1"/>
  <c r="F4412" i="1"/>
  <c r="J4629" i="1" s="1"/>
  <c r="F4413" i="1"/>
  <c r="J4630" i="1" s="1"/>
  <c r="F4414" i="1"/>
  <c r="J4631" i="1" s="1"/>
  <c r="F4415" i="1"/>
  <c r="J4632" i="1" s="1"/>
  <c r="F4416" i="1"/>
  <c r="J4633" i="1" s="1"/>
  <c r="F4417" i="1"/>
  <c r="J4634" i="1" s="1"/>
  <c r="F4418" i="1"/>
  <c r="J4635" i="1" s="1"/>
  <c r="F4419" i="1"/>
  <c r="J4636" i="1" s="1"/>
  <c r="F4420" i="1"/>
  <c r="J4637" i="1" s="1"/>
  <c r="F4421" i="1"/>
  <c r="J4638" i="1" s="1"/>
  <c r="F4422" i="1"/>
  <c r="J4639" i="1" s="1"/>
  <c r="F4423" i="1"/>
  <c r="J4640" i="1" s="1"/>
  <c r="F4424" i="1"/>
  <c r="J4641" i="1" s="1"/>
  <c r="F4425" i="1"/>
  <c r="J4642" i="1" s="1"/>
  <c r="F4426" i="1"/>
  <c r="J4643" i="1" s="1"/>
  <c r="F4427" i="1"/>
  <c r="J4644" i="1" s="1"/>
  <c r="F4428" i="1"/>
  <c r="J4645" i="1" s="1"/>
  <c r="F4429" i="1"/>
  <c r="J4646" i="1" s="1"/>
  <c r="F4430" i="1"/>
  <c r="J4647" i="1" s="1"/>
  <c r="F4431" i="1"/>
  <c r="J4648" i="1" s="1"/>
  <c r="F4432" i="1"/>
  <c r="J4649" i="1" s="1"/>
  <c r="F4433" i="1"/>
  <c r="J4650" i="1" s="1"/>
  <c r="F4434" i="1"/>
  <c r="J4651" i="1" s="1"/>
  <c r="F4435" i="1"/>
  <c r="J4652" i="1" s="1"/>
  <c r="F4436" i="1"/>
  <c r="J4653" i="1" s="1"/>
  <c r="F4437" i="1"/>
  <c r="J4654" i="1" s="1"/>
  <c r="F4438" i="1"/>
  <c r="J4655" i="1" s="1"/>
  <c r="F4439" i="1"/>
  <c r="J4656" i="1" s="1"/>
  <c r="F4440" i="1"/>
  <c r="J4657" i="1" s="1"/>
  <c r="F4441" i="1"/>
  <c r="J4658" i="1" s="1"/>
  <c r="F4442" i="1"/>
  <c r="J4659" i="1" s="1"/>
  <c r="F4443" i="1"/>
  <c r="J4660" i="1" s="1"/>
  <c r="F4444" i="1"/>
  <c r="J4661" i="1" s="1"/>
  <c r="F4445" i="1"/>
  <c r="J4662" i="1" s="1"/>
  <c r="F4446" i="1"/>
  <c r="J4663" i="1" s="1"/>
  <c r="F4447" i="1"/>
  <c r="J4664" i="1" s="1"/>
  <c r="F4448" i="1"/>
  <c r="J4665" i="1" s="1"/>
  <c r="F4449" i="1"/>
  <c r="J4666" i="1" s="1"/>
  <c r="F4450" i="1"/>
  <c r="J4667" i="1" s="1"/>
  <c r="F4451" i="1"/>
  <c r="J4668" i="1" s="1"/>
  <c r="F4452" i="1"/>
  <c r="J4669" i="1" s="1"/>
  <c r="F4453" i="1"/>
  <c r="J4670" i="1" s="1"/>
  <c r="F4454" i="1"/>
  <c r="J4671" i="1" s="1"/>
  <c r="F4455" i="1"/>
  <c r="J4672" i="1" s="1"/>
  <c r="F4456" i="1"/>
  <c r="J4673" i="1" s="1"/>
  <c r="F4457" i="1"/>
  <c r="J4674" i="1" s="1"/>
  <c r="F4458" i="1"/>
  <c r="J4675" i="1" s="1"/>
  <c r="F4459" i="1"/>
  <c r="J4676" i="1" s="1"/>
  <c r="F4460" i="1"/>
  <c r="J4677" i="1" s="1"/>
  <c r="F4461" i="1"/>
  <c r="J4678" i="1" s="1"/>
  <c r="F4462" i="1"/>
  <c r="J4679" i="1" s="1"/>
  <c r="F4463" i="1"/>
  <c r="J4680" i="1" s="1"/>
  <c r="F4464" i="1"/>
  <c r="J4681" i="1" s="1"/>
  <c r="F4465" i="1"/>
  <c r="J4682" i="1" s="1"/>
  <c r="F4466" i="1"/>
  <c r="J4683" i="1" s="1"/>
  <c r="F4467" i="1"/>
  <c r="J4684" i="1" s="1"/>
  <c r="F4468" i="1"/>
  <c r="J4685" i="1" s="1"/>
  <c r="F4469" i="1"/>
  <c r="J4686" i="1" s="1"/>
  <c r="F4470" i="1"/>
  <c r="J4687" i="1" s="1"/>
  <c r="F4471" i="1"/>
  <c r="J4688" i="1" s="1"/>
  <c r="F4472" i="1"/>
  <c r="J4689" i="1" s="1"/>
  <c r="F4473" i="1"/>
  <c r="J4690" i="1" s="1"/>
  <c r="F4474" i="1"/>
  <c r="J4691" i="1" s="1"/>
  <c r="F4475" i="1"/>
  <c r="J4692" i="1" s="1"/>
  <c r="F4476" i="1"/>
  <c r="J4693" i="1" s="1"/>
  <c r="F4477" i="1"/>
  <c r="J4694" i="1" s="1"/>
  <c r="F4478" i="1"/>
  <c r="J4695" i="1" s="1"/>
  <c r="F4479" i="1"/>
  <c r="J4696" i="1" s="1"/>
  <c r="F4480" i="1"/>
  <c r="J4697" i="1" s="1"/>
  <c r="F4481" i="1"/>
  <c r="J4698" i="1" s="1"/>
  <c r="F4482" i="1"/>
  <c r="J4699" i="1" s="1"/>
  <c r="F4483" i="1"/>
  <c r="J4700" i="1" s="1"/>
  <c r="F4484" i="1"/>
  <c r="J4701" i="1" s="1"/>
  <c r="F4485" i="1"/>
  <c r="J4702" i="1" s="1"/>
  <c r="F4486" i="1"/>
  <c r="J4703" i="1" s="1"/>
  <c r="F4487" i="1"/>
  <c r="J4704" i="1" s="1"/>
  <c r="F4488" i="1"/>
  <c r="J4705" i="1" s="1"/>
  <c r="F4489" i="1"/>
  <c r="J4706" i="1" s="1"/>
  <c r="F4490" i="1"/>
  <c r="J4707" i="1" s="1"/>
  <c r="F4491" i="1"/>
  <c r="J4708" i="1" s="1"/>
  <c r="F4492" i="1"/>
  <c r="J4709" i="1" s="1"/>
  <c r="F4493" i="1"/>
  <c r="J4710" i="1" s="1"/>
  <c r="F4494" i="1"/>
  <c r="J4711" i="1" s="1"/>
  <c r="F4495" i="1"/>
  <c r="J4712" i="1" s="1"/>
  <c r="F4496" i="1"/>
  <c r="J4713" i="1" s="1"/>
  <c r="F4497" i="1"/>
  <c r="J4714" i="1" s="1"/>
  <c r="F4498" i="1"/>
  <c r="J4715" i="1" s="1"/>
  <c r="F4499" i="1"/>
  <c r="J4716" i="1" s="1"/>
  <c r="F4500" i="1"/>
  <c r="J4717" i="1" s="1"/>
  <c r="F4501" i="1"/>
  <c r="J4718" i="1" s="1"/>
  <c r="F4502" i="1"/>
  <c r="J4719" i="1" s="1"/>
  <c r="F4503" i="1"/>
  <c r="J4720" i="1" s="1"/>
  <c r="F4504" i="1"/>
  <c r="J4721" i="1" s="1"/>
  <c r="F4505" i="1"/>
  <c r="J4722" i="1" s="1"/>
  <c r="F4506" i="1"/>
  <c r="J4723" i="1" s="1"/>
  <c r="F4507" i="1"/>
  <c r="J4724" i="1" s="1"/>
  <c r="F4508" i="1"/>
  <c r="J4725" i="1" s="1"/>
  <c r="F4509" i="1"/>
  <c r="J4726" i="1" s="1"/>
  <c r="F4510" i="1"/>
  <c r="J4727" i="1" s="1"/>
  <c r="F4511" i="1"/>
  <c r="J4728" i="1" s="1"/>
  <c r="F4512" i="1"/>
  <c r="J4729" i="1" s="1"/>
  <c r="F4513" i="1"/>
  <c r="J4730" i="1" s="1"/>
  <c r="F4514" i="1"/>
  <c r="J4731" i="1" s="1"/>
  <c r="F4515" i="1"/>
  <c r="J4732" i="1" s="1"/>
  <c r="F4516" i="1"/>
  <c r="J4733" i="1" s="1"/>
  <c r="F4517" i="1"/>
  <c r="J4734" i="1" s="1"/>
  <c r="F4518" i="1"/>
  <c r="J4735" i="1" s="1"/>
  <c r="F4519" i="1"/>
  <c r="J4736" i="1" s="1"/>
  <c r="F4520" i="1"/>
  <c r="J4737" i="1" s="1"/>
  <c r="F4521" i="1"/>
  <c r="J4738" i="1" s="1"/>
  <c r="F4522" i="1"/>
  <c r="J4739" i="1" s="1"/>
  <c r="F4523" i="1"/>
  <c r="J4740" i="1" s="1"/>
  <c r="F4524" i="1"/>
  <c r="J4741" i="1" s="1"/>
  <c r="F4525" i="1"/>
  <c r="J4742" i="1" s="1"/>
  <c r="F4526" i="1"/>
  <c r="J4743" i="1" s="1"/>
  <c r="F4527" i="1"/>
  <c r="J4744" i="1" s="1"/>
  <c r="F4528" i="1"/>
  <c r="J4745" i="1" s="1"/>
  <c r="F4529" i="1"/>
  <c r="J4746" i="1" s="1"/>
  <c r="F4530" i="1"/>
  <c r="J4747" i="1" s="1"/>
  <c r="F4531" i="1"/>
  <c r="J4748" i="1" s="1"/>
  <c r="F4532" i="1"/>
  <c r="J4749" i="1" s="1"/>
  <c r="F4533" i="1"/>
  <c r="J4750" i="1" s="1"/>
  <c r="F4534" i="1"/>
  <c r="J4751" i="1" s="1"/>
  <c r="F4535" i="1"/>
  <c r="J4752" i="1" s="1"/>
  <c r="F4536" i="1"/>
  <c r="J4753" i="1" s="1"/>
  <c r="F4537" i="1"/>
  <c r="J4754" i="1" s="1"/>
  <c r="F4538" i="1"/>
  <c r="J4755" i="1" s="1"/>
  <c r="F4539" i="1"/>
  <c r="J4756" i="1" s="1"/>
  <c r="F4540" i="1"/>
  <c r="J4757" i="1" s="1"/>
  <c r="F4541" i="1"/>
  <c r="J4758" i="1" s="1"/>
  <c r="F4542" i="1"/>
  <c r="J4759" i="1" s="1"/>
  <c r="F4543" i="1"/>
  <c r="J4760" i="1" s="1"/>
  <c r="F4544" i="1"/>
  <c r="J4761" i="1" s="1"/>
  <c r="F4545" i="1"/>
  <c r="J4762" i="1" s="1"/>
  <c r="F4546" i="1"/>
  <c r="J4763" i="1" s="1"/>
  <c r="F4547" i="1"/>
  <c r="J4764" i="1" s="1"/>
  <c r="F4548" i="1"/>
  <c r="J4765" i="1" s="1"/>
  <c r="F4549" i="1"/>
  <c r="J4766" i="1" s="1"/>
  <c r="F4550" i="1"/>
  <c r="J4767" i="1" s="1"/>
  <c r="F4551" i="1"/>
  <c r="J4768" i="1" s="1"/>
  <c r="F4552" i="1"/>
  <c r="J4769" i="1" s="1"/>
  <c r="F4553" i="1"/>
  <c r="J4770" i="1" s="1"/>
  <c r="F4554" i="1"/>
  <c r="J4771" i="1" s="1"/>
  <c r="F4555" i="1"/>
  <c r="J4772" i="1" s="1"/>
  <c r="F4556" i="1"/>
  <c r="J4773" i="1" s="1"/>
  <c r="F4557" i="1"/>
  <c r="J4774" i="1" s="1"/>
  <c r="F4558" i="1"/>
  <c r="J4775" i="1" s="1"/>
  <c r="F4559" i="1"/>
  <c r="J4776" i="1" s="1"/>
  <c r="F4560" i="1"/>
  <c r="J4777" i="1" s="1"/>
  <c r="F4561" i="1"/>
  <c r="J4778" i="1" s="1"/>
  <c r="F4562" i="1"/>
  <c r="J4779" i="1" s="1"/>
  <c r="F4563" i="1"/>
  <c r="J4780" i="1" s="1"/>
  <c r="F4564" i="1"/>
  <c r="J4781" i="1" s="1"/>
  <c r="F4565" i="1"/>
  <c r="J4782" i="1" s="1"/>
  <c r="F4566" i="1"/>
  <c r="J4783" i="1" s="1"/>
  <c r="F4567" i="1"/>
  <c r="J4784" i="1" s="1"/>
  <c r="F4568" i="1"/>
  <c r="J4785" i="1" s="1"/>
  <c r="F4569" i="1"/>
  <c r="J4786" i="1" s="1"/>
  <c r="F4570" i="1"/>
  <c r="J4787" i="1" s="1"/>
  <c r="F4571" i="1"/>
  <c r="J4788" i="1" s="1"/>
  <c r="F4572" i="1"/>
  <c r="J4789" i="1" s="1"/>
  <c r="F4573" i="1"/>
  <c r="J4790" i="1" s="1"/>
  <c r="F4574" i="1"/>
  <c r="J4791" i="1" s="1"/>
  <c r="F4575" i="1"/>
  <c r="J4792" i="1" s="1"/>
  <c r="F4576" i="1"/>
  <c r="J4793" i="1" s="1"/>
  <c r="F4577" i="1"/>
  <c r="J4794" i="1" s="1"/>
  <c r="F4578" i="1"/>
  <c r="J4795" i="1" s="1"/>
  <c r="F4579" i="1"/>
  <c r="J4796" i="1" s="1"/>
  <c r="F4580" i="1"/>
  <c r="J4797" i="1" s="1"/>
  <c r="F4581" i="1"/>
  <c r="J4798" i="1" s="1"/>
  <c r="F4582" i="1"/>
  <c r="J4799" i="1" s="1"/>
  <c r="F4583" i="1"/>
  <c r="J4800" i="1" s="1"/>
  <c r="F4584" i="1"/>
  <c r="J4801" i="1" s="1"/>
  <c r="F4585" i="1"/>
  <c r="J4802" i="1" s="1"/>
  <c r="F4586" i="1"/>
  <c r="J4803" i="1" s="1"/>
  <c r="F4587" i="1"/>
  <c r="J4804" i="1" s="1"/>
  <c r="F4588" i="1"/>
  <c r="J4805" i="1" s="1"/>
  <c r="F4589" i="1"/>
  <c r="J4806" i="1" s="1"/>
  <c r="F4590" i="1"/>
  <c r="J4807" i="1" s="1"/>
  <c r="F4591" i="1"/>
  <c r="J4808" i="1" s="1"/>
  <c r="F4592" i="1"/>
  <c r="J4809" i="1" s="1"/>
  <c r="F4593" i="1"/>
  <c r="J4810" i="1" s="1"/>
  <c r="F4594" i="1"/>
  <c r="J4811" i="1" s="1"/>
  <c r="F4595" i="1"/>
  <c r="J4812" i="1" s="1"/>
  <c r="F4596" i="1"/>
  <c r="J4813" i="1" s="1"/>
  <c r="F4597" i="1"/>
  <c r="J4814" i="1" s="1"/>
  <c r="F4598" i="1"/>
  <c r="J4815" i="1" s="1"/>
  <c r="F4599" i="1"/>
  <c r="J4816" i="1" s="1"/>
  <c r="F4600" i="1"/>
  <c r="J4817" i="1" s="1"/>
  <c r="F4601" i="1"/>
  <c r="J4818" i="1" s="1"/>
  <c r="F4602" i="1"/>
  <c r="J4819" i="1" s="1"/>
  <c r="F4603" i="1"/>
  <c r="J4820" i="1" s="1"/>
  <c r="F4604" i="1"/>
  <c r="J4821" i="1" s="1"/>
  <c r="F4605" i="1"/>
  <c r="J4822" i="1" s="1"/>
  <c r="F4606" i="1"/>
  <c r="J4823" i="1" s="1"/>
  <c r="F4607" i="1"/>
  <c r="J4824" i="1" s="1"/>
  <c r="F4608" i="1"/>
  <c r="J4825" i="1" s="1"/>
  <c r="F4609" i="1"/>
  <c r="J4826" i="1" s="1"/>
  <c r="F4610" i="1"/>
  <c r="J4827" i="1" s="1"/>
  <c r="F4611" i="1"/>
  <c r="J4828" i="1" s="1"/>
  <c r="F4612" i="1"/>
  <c r="J4829" i="1" s="1"/>
  <c r="F4613" i="1"/>
  <c r="J4830" i="1" s="1"/>
  <c r="F4614" i="1"/>
  <c r="J4831" i="1" s="1"/>
  <c r="F4615" i="1"/>
  <c r="J4832" i="1" s="1"/>
  <c r="F4616" i="1"/>
  <c r="J4833" i="1" s="1"/>
  <c r="F4617" i="1"/>
  <c r="J4834" i="1" s="1"/>
  <c r="F4618" i="1"/>
  <c r="J4835" i="1" s="1"/>
  <c r="F4619" i="1"/>
  <c r="J4836" i="1" s="1"/>
  <c r="F4620" i="1"/>
  <c r="J4837" i="1" s="1"/>
  <c r="F4621" i="1"/>
  <c r="J4838" i="1" s="1"/>
  <c r="F4622" i="1"/>
  <c r="J4839" i="1" s="1"/>
  <c r="F4623" i="1"/>
  <c r="J4840" i="1" s="1"/>
  <c r="F4624" i="1"/>
  <c r="J4841" i="1" s="1"/>
  <c r="F4625" i="1"/>
  <c r="J4842" i="1" s="1"/>
  <c r="F4626" i="1"/>
  <c r="J4843" i="1" s="1"/>
  <c r="F4627" i="1"/>
  <c r="J4844" i="1" s="1"/>
  <c r="F4628" i="1"/>
  <c r="J4845" i="1" s="1"/>
  <c r="F4629" i="1"/>
  <c r="J4846" i="1" s="1"/>
  <c r="F4630" i="1"/>
  <c r="J4847" i="1" s="1"/>
  <c r="F4631" i="1"/>
  <c r="J4848" i="1" s="1"/>
  <c r="F4632" i="1"/>
  <c r="J4849" i="1" s="1"/>
  <c r="F4633" i="1"/>
  <c r="J4850" i="1" s="1"/>
  <c r="F4634" i="1"/>
  <c r="J4851" i="1" s="1"/>
  <c r="F4635" i="1"/>
  <c r="J4852" i="1" s="1"/>
  <c r="F4636" i="1"/>
  <c r="J4853" i="1" s="1"/>
  <c r="F4637" i="1"/>
  <c r="J4854" i="1" s="1"/>
  <c r="F4638" i="1"/>
  <c r="J4855" i="1" s="1"/>
  <c r="F4639" i="1"/>
  <c r="J4856" i="1" s="1"/>
  <c r="F4640" i="1"/>
  <c r="J4857" i="1" s="1"/>
  <c r="F4641" i="1"/>
  <c r="J4858" i="1" s="1"/>
  <c r="F4642" i="1"/>
  <c r="J4859" i="1" s="1"/>
  <c r="F4643" i="1"/>
  <c r="J4860" i="1" s="1"/>
  <c r="F4644" i="1"/>
  <c r="J4861" i="1" s="1"/>
  <c r="F4645" i="1"/>
  <c r="J4862" i="1" s="1"/>
  <c r="F4646" i="1"/>
  <c r="J4863" i="1" s="1"/>
  <c r="F4647" i="1"/>
  <c r="J4864" i="1" s="1"/>
  <c r="F4648" i="1"/>
  <c r="J4865" i="1" s="1"/>
  <c r="F4649" i="1"/>
  <c r="J4866" i="1" s="1"/>
  <c r="F4650" i="1"/>
  <c r="J4867" i="1" s="1"/>
  <c r="F4651" i="1"/>
  <c r="J4868" i="1" s="1"/>
  <c r="F4652" i="1"/>
  <c r="J4869" i="1" s="1"/>
  <c r="F4653" i="1"/>
  <c r="J4870" i="1" s="1"/>
  <c r="F4654" i="1"/>
  <c r="J4871" i="1" s="1"/>
  <c r="F4655" i="1"/>
  <c r="J4872" i="1" s="1"/>
  <c r="F4656" i="1"/>
  <c r="J4873" i="1" s="1"/>
  <c r="F4657" i="1"/>
  <c r="J4874" i="1" s="1"/>
  <c r="F4658" i="1"/>
  <c r="J4875" i="1" s="1"/>
  <c r="F4659" i="1"/>
  <c r="J4876" i="1" s="1"/>
  <c r="F4660" i="1"/>
  <c r="J4877" i="1" s="1"/>
  <c r="F4661" i="1"/>
  <c r="J4878" i="1" s="1"/>
  <c r="F4662" i="1"/>
  <c r="J4879" i="1" s="1"/>
  <c r="F4663" i="1"/>
  <c r="J4880" i="1" s="1"/>
  <c r="F4664" i="1"/>
  <c r="J4881" i="1" s="1"/>
  <c r="F4665" i="1"/>
  <c r="J4882" i="1" s="1"/>
  <c r="F4666" i="1"/>
  <c r="J4883" i="1" s="1"/>
  <c r="F4667" i="1"/>
  <c r="J4884" i="1" s="1"/>
  <c r="F4668" i="1"/>
  <c r="J4885" i="1" s="1"/>
  <c r="F4669" i="1"/>
  <c r="J4886" i="1" s="1"/>
  <c r="F4670" i="1"/>
  <c r="J4887" i="1" s="1"/>
  <c r="F4671" i="1"/>
  <c r="J4888" i="1" s="1"/>
  <c r="F4672" i="1"/>
  <c r="J4889" i="1" s="1"/>
  <c r="F4673" i="1"/>
  <c r="J4890" i="1" s="1"/>
  <c r="F4674" i="1"/>
  <c r="J4891" i="1" s="1"/>
  <c r="F4675" i="1"/>
  <c r="J4892" i="1" s="1"/>
  <c r="F4676" i="1"/>
  <c r="J4893" i="1" s="1"/>
  <c r="F4677" i="1"/>
  <c r="J4894" i="1" s="1"/>
  <c r="F4678" i="1"/>
  <c r="J4895" i="1" s="1"/>
  <c r="F4679" i="1"/>
  <c r="J4896" i="1" s="1"/>
  <c r="F4680" i="1"/>
  <c r="J4897" i="1" s="1"/>
  <c r="F4681" i="1"/>
  <c r="J4898" i="1" s="1"/>
  <c r="F4682" i="1"/>
  <c r="J4899" i="1" s="1"/>
  <c r="F4683" i="1"/>
  <c r="J4900" i="1" s="1"/>
  <c r="F4684" i="1"/>
  <c r="J4901" i="1" s="1"/>
  <c r="F4685" i="1"/>
  <c r="J4902" i="1" s="1"/>
  <c r="F4686" i="1"/>
  <c r="J4903" i="1" s="1"/>
  <c r="F4687" i="1"/>
  <c r="J4904" i="1" s="1"/>
  <c r="F4688" i="1"/>
  <c r="J4905" i="1" s="1"/>
  <c r="F4689" i="1"/>
  <c r="J4906" i="1" s="1"/>
  <c r="F4690" i="1"/>
  <c r="J4907" i="1" s="1"/>
  <c r="F4691" i="1"/>
  <c r="J4908" i="1" s="1"/>
  <c r="F4692" i="1"/>
  <c r="J4909" i="1" s="1"/>
  <c r="F4693" i="1"/>
  <c r="J4910" i="1" s="1"/>
  <c r="F4694" i="1"/>
  <c r="J4911" i="1" s="1"/>
  <c r="F4695" i="1"/>
  <c r="J4912" i="1" s="1"/>
  <c r="F4696" i="1"/>
  <c r="J4913" i="1" s="1"/>
  <c r="F4697" i="1"/>
  <c r="J4914" i="1" s="1"/>
  <c r="F4698" i="1"/>
  <c r="J4915" i="1" s="1"/>
  <c r="F4699" i="1"/>
  <c r="J4916" i="1" s="1"/>
  <c r="F4700" i="1"/>
  <c r="J4917" i="1" s="1"/>
  <c r="F4701" i="1"/>
  <c r="J4918" i="1" s="1"/>
  <c r="F4702" i="1"/>
  <c r="J4919" i="1" s="1"/>
  <c r="F4703" i="1"/>
  <c r="J4920" i="1" s="1"/>
  <c r="F4704" i="1"/>
  <c r="J4921" i="1" s="1"/>
  <c r="F4705" i="1"/>
  <c r="J4922" i="1" s="1"/>
  <c r="F4706" i="1"/>
  <c r="J4923" i="1" s="1"/>
  <c r="F4707" i="1"/>
  <c r="J4924" i="1" s="1"/>
  <c r="F4708" i="1"/>
  <c r="J4925" i="1" s="1"/>
  <c r="F4709" i="1"/>
  <c r="J4926" i="1" s="1"/>
  <c r="F4710" i="1"/>
  <c r="J4927" i="1" s="1"/>
  <c r="F4711" i="1"/>
  <c r="J4928" i="1" s="1"/>
  <c r="F4712" i="1"/>
  <c r="J4929" i="1" s="1"/>
  <c r="F4713" i="1"/>
  <c r="J4930" i="1" s="1"/>
  <c r="F4714" i="1"/>
  <c r="J4931" i="1" s="1"/>
  <c r="F4715" i="1"/>
  <c r="J4932" i="1" s="1"/>
  <c r="F4716" i="1"/>
  <c r="J4933" i="1" s="1"/>
  <c r="F4717" i="1"/>
  <c r="J4934" i="1" s="1"/>
  <c r="F4718" i="1"/>
  <c r="J4935" i="1" s="1"/>
  <c r="F4719" i="1"/>
  <c r="J4936" i="1" s="1"/>
  <c r="F4720" i="1"/>
  <c r="J4937" i="1" s="1"/>
  <c r="F4721" i="1"/>
  <c r="J4938" i="1" s="1"/>
  <c r="F4722" i="1"/>
  <c r="J4939" i="1" s="1"/>
  <c r="F4723" i="1"/>
  <c r="J4940" i="1" s="1"/>
  <c r="F4724" i="1"/>
  <c r="J4941" i="1" s="1"/>
  <c r="F4725" i="1"/>
  <c r="J4942" i="1" s="1"/>
  <c r="F4726" i="1"/>
  <c r="J4943" i="1" s="1"/>
  <c r="F4727" i="1"/>
  <c r="J4944" i="1" s="1"/>
  <c r="F4728" i="1"/>
  <c r="J4945" i="1" s="1"/>
  <c r="F4729" i="1"/>
  <c r="J4946" i="1" s="1"/>
  <c r="F4730" i="1"/>
  <c r="J4947" i="1" s="1"/>
  <c r="F4731" i="1"/>
  <c r="J4948" i="1" s="1"/>
  <c r="F4732" i="1"/>
  <c r="J4949" i="1" s="1"/>
  <c r="F4733" i="1"/>
  <c r="J4950" i="1" s="1"/>
  <c r="F4734" i="1"/>
  <c r="J4951" i="1" s="1"/>
  <c r="F4735" i="1"/>
  <c r="J4952" i="1" s="1"/>
  <c r="F4736" i="1"/>
  <c r="J4953" i="1" s="1"/>
  <c r="F4737" i="1"/>
  <c r="J4954" i="1" s="1"/>
  <c r="F4738" i="1"/>
  <c r="J4955" i="1" s="1"/>
  <c r="F4739" i="1"/>
  <c r="J4956" i="1" s="1"/>
  <c r="F4740" i="1"/>
  <c r="J4957" i="1" s="1"/>
  <c r="F4741" i="1"/>
  <c r="J4958" i="1" s="1"/>
  <c r="F4742" i="1"/>
  <c r="J4959" i="1" s="1"/>
  <c r="F4743" i="1"/>
  <c r="J4960" i="1" s="1"/>
  <c r="F4744" i="1"/>
  <c r="J4961" i="1" s="1"/>
  <c r="F4745" i="1"/>
  <c r="J4962" i="1" s="1"/>
  <c r="F4746" i="1"/>
  <c r="J4963" i="1" s="1"/>
  <c r="F4747" i="1"/>
  <c r="J4964" i="1" s="1"/>
  <c r="F4748" i="1"/>
  <c r="J4965" i="1" s="1"/>
  <c r="F4749" i="1"/>
  <c r="J4966" i="1" s="1"/>
  <c r="F4750" i="1"/>
  <c r="J4967" i="1" s="1"/>
  <c r="F4751" i="1"/>
  <c r="J4968" i="1" s="1"/>
  <c r="F4752" i="1"/>
  <c r="J4969" i="1" s="1"/>
  <c r="F4753" i="1"/>
  <c r="J4970" i="1" s="1"/>
  <c r="F4754" i="1"/>
  <c r="J4971" i="1" s="1"/>
  <c r="F4755" i="1"/>
  <c r="J4972" i="1" s="1"/>
  <c r="F4756" i="1"/>
  <c r="J4973" i="1" s="1"/>
  <c r="F4757" i="1"/>
  <c r="J4974" i="1" s="1"/>
  <c r="F4758" i="1"/>
  <c r="J4975" i="1" s="1"/>
  <c r="F4759" i="1"/>
  <c r="J4976" i="1" s="1"/>
  <c r="F4760" i="1"/>
  <c r="J4977" i="1" s="1"/>
  <c r="F4761" i="1"/>
  <c r="J4978" i="1" s="1"/>
  <c r="F4762" i="1"/>
  <c r="J4979" i="1" s="1"/>
  <c r="F4763" i="1"/>
  <c r="J4980" i="1" s="1"/>
  <c r="F4764" i="1"/>
  <c r="J4981" i="1" s="1"/>
  <c r="F4765" i="1"/>
  <c r="J4982" i="1" s="1"/>
  <c r="F4766" i="1"/>
  <c r="J4983" i="1" s="1"/>
  <c r="F4767" i="1"/>
  <c r="J4984" i="1" s="1"/>
  <c r="F4768" i="1"/>
  <c r="J4985" i="1" s="1"/>
  <c r="F4769" i="1"/>
  <c r="J4986" i="1" s="1"/>
  <c r="F4770" i="1"/>
  <c r="J4987" i="1" s="1"/>
  <c r="F4771" i="1"/>
  <c r="J4988" i="1" s="1"/>
  <c r="F4772" i="1"/>
  <c r="J4989" i="1" s="1"/>
  <c r="F4773" i="1"/>
  <c r="J4990" i="1" s="1"/>
  <c r="F4774" i="1"/>
  <c r="J4991" i="1" s="1"/>
  <c r="F4775" i="1"/>
  <c r="J4992" i="1" s="1"/>
  <c r="F4776" i="1"/>
  <c r="J4993" i="1" s="1"/>
  <c r="F4777" i="1"/>
  <c r="J4994" i="1" s="1"/>
  <c r="F4778" i="1"/>
  <c r="J4995" i="1" s="1"/>
  <c r="F4779" i="1"/>
  <c r="J4996" i="1" s="1"/>
  <c r="F4780" i="1"/>
  <c r="J4997" i="1" s="1"/>
  <c r="F4781" i="1"/>
  <c r="J4998" i="1" s="1"/>
  <c r="F4782" i="1"/>
  <c r="J4999" i="1" s="1"/>
  <c r="F4783" i="1"/>
  <c r="J5000" i="1" s="1"/>
  <c r="F4784" i="1"/>
  <c r="J5001" i="1" s="1"/>
  <c r="F4785" i="1"/>
  <c r="J5002" i="1" s="1"/>
  <c r="F4786" i="1"/>
  <c r="J5003" i="1" s="1"/>
  <c r="F4787" i="1"/>
  <c r="J5004" i="1" s="1"/>
  <c r="F4788" i="1"/>
  <c r="J5005" i="1" s="1"/>
  <c r="F4789" i="1"/>
  <c r="J5006" i="1" s="1"/>
  <c r="F4790" i="1"/>
  <c r="J5007" i="1" s="1"/>
  <c r="F4791" i="1"/>
  <c r="J5008" i="1" s="1"/>
  <c r="F4792" i="1"/>
  <c r="J5009" i="1" s="1"/>
  <c r="F4793" i="1"/>
  <c r="J5010" i="1" s="1"/>
  <c r="F4794" i="1"/>
  <c r="J5011" i="1" s="1"/>
  <c r="F4795" i="1"/>
  <c r="J5012" i="1" s="1"/>
  <c r="F4796" i="1"/>
  <c r="J5013" i="1" s="1"/>
  <c r="F4797" i="1"/>
  <c r="J5014" i="1" s="1"/>
  <c r="F4798" i="1"/>
  <c r="J5015" i="1" s="1"/>
  <c r="F4799" i="1"/>
  <c r="J5016" i="1" s="1"/>
  <c r="F4800" i="1"/>
  <c r="J5017" i="1" s="1"/>
  <c r="F4801" i="1"/>
  <c r="J5018" i="1" s="1"/>
  <c r="F4802" i="1"/>
  <c r="J5019" i="1" s="1"/>
  <c r="F4803" i="1"/>
  <c r="J5020" i="1" s="1"/>
  <c r="F4804" i="1"/>
  <c r="J5021" i="1" s="1"/>
  <c r="F4805" i="1"/>
  <c r="J5022" i="1" s="1"/>
  <c r="F4806" i="1"/>
  <c r="J5023" i="1" s="1"/>
  <c r="F4807" i="1"/>
  <c r="J5024" i="1" s="1"/>
  <c r="F4808" i="1"/>
  <c r="J5025" i="1" s="1"/>
  <c r="F4809" i="1"/>
  <c r="J5026" i="1" s="1"/>
  <c r="F4810" i="1"/>
  <c r="J5027" i="1" s="1"/>
  <c r="F4811" i="1"/>
  <c r="J5028" i="1" s="1"/>
  <c r="F4812" i="1"/>
  <c r="J5029" i="1" s="1"/>
  <c r="F4813" i="1"/>
  <c r="J5030" i="1" s="1"/>
  <c r="F4814" i="1"/>
  <c r="J5031" i="1" s="1"/>
  <c r="F4815" i="1"/>
  <c r="J5032" i="1" s="1"/>
  <c r="F4816" i="1"/>
  <c r="J5033" i="1" s="1"/>
  <c r="F4817" i="1"/>
  <c r="J5034" i="1" s="1"/>
  <c r="F4818" i="1"/>
  <c r="J5035" i="1" s="1"/>
  <c r="F4819" i="1"/>
  <c r="J5036" i="1" s="1"/>
  <c r="F4820" i="1"/>
  <c r="J5037" i="1" s="1"/>
  <c r="F4821" i="1"/>
  <c r="J5038" i="1" s="1"/>
  <c r="F4822" i="1"/>
  <c r="J5039" i="1" s="1"/>
  <c r="F4823" i="1"/>
  <c r="J5040" i="1" s="1"/>
  <c r="F4824" i="1"/>
  <c r="J5041" i="1" s="1"/>
  <c r="F4825" i="1"/>
  <c r="J5042" i="1" s="1"/>
  <c r="F4826" i="1"/>
  <c r="J5043" i="1" s="1"/>
  <c r="F4827" i="1"/>
  <c r="J5044" i="1" s="1"/>
  <c r="F4828" i="1"/>
  <c r="J5045" i="1" s="1"/>
  <c r="F4829" i="1"/>
  <c r="J5046" i="1" s="1"/>
  <c r="F4830" i="1"/>
  <c r="J5047" i="1" s="1"/>
  <c r="F4831" i="1"/>
  <c r="J5048" i="1" s="1"/>
  <c r="F4832" i="1"/>
  <c r="J5049" i="1" s="1"/>
  <c r="F4833" i="1"/>
  <c r="J5050" i="1" s="1"/>
  <c r="F4834" i="1"/>
  <c r="J5051" i="1" s="1"/>
  <c r="F4835" i="1"/>
  <c r="J5052" i="1" s="1"/>
  <c r="F4836" i="1"/>
  <c r="J5053" i="1" s="1"/>
  <c r="F4837" i="1"/>
  <c r="J5054" i="1" s="1"/>
  <c r="F4838" i="1"/>
  <c r="J5055" i="1" s="1"/>
  <c r="F4839" i="1"/>
  <c r="J5056" i="1" s="1"/>
  <c r="F4840" i="1"/>
  <c r="J5057" i="1" s="1"/>
  <c r="F4841" i="1"/>
  <c r="J5058" i="1" s="1"/>
  <c r="F4842" i="1"/>
  <c r="J5059" i="1" s="1"/>
  <c r="F4843" i="1"/>
  <c r="J5060" i="1" s="1"/>
  <c r="F4844" i="1"/>
  <c r="J5061" i="1" s="1"/>
  <c r="F4845" i="1"/>
  <c r="J5062" i="1" s="1"/>
  <c r="F4846" i="1"/>
  <c r="J5063" i="1" s="1"/>
  <c r="F4847" i="1"/>
  <c r="J5064" i="1" s="1"/>
  <c r="F4848" i="1"/>
  <c r="J5065" i="1" s="1"/>
  <c r="F4849" i="1"/>
  <c r="J5066" i="1" s="1"/>
  <c r="F4850" i="1"/>
  <c r="J5067" i="1" s="1"/>
  <c r="F4851" i="1"/>
  <c r="J5068" i="1" s="1"/>
  <c r="F4852" i="1"/>
  <c r="J5069" i="1" s="1"/>
  <c r="F4853" i="1"/>
  <c r="J5070" i="1" s="1"/>
  <c r="F4854" i="1"/>
  <c r="J5071" i="1" s="1"/>
  <c r="F4855" i="1"/>
  <c r="J5072" i="1" s="1"/>
  <c r="F4856" i="1"/>
  <c r="J5073" i="1" s="1"/>
  <c r="F4857" i="1"/>
  <c r="J5074" i="1" s="1"/>
  <c r="F4858" i="1"/>
  <c r="J5075" i="1" s="1"/>
  <c r="F4859" i="1"/>
  <c r="J5076" i="1" s="1"/>
  <c r="F4860" i="1"/>
  <c r="J5077" i="1" s="1"/>
  <c r="F4861" i="1"/>
  <c r="J5078" i="1" s="1"/>
  <c r="F4862" i="1"/>
  <c r="J5079" i="1" s="1"/>
  <c r="F4863" i="1"/>
  <c r="J5080" i="1" s="1"/>
  <c r="F4864" i="1"/>
  <c r="J5081" i="1" s="1"/>
  <c r="F4865" i="1"/>
  <c r="J5082" i="1" s="1"/>
  <c r="F4866" i="1"/>
  <c r="J5083" i="1" s="1"/>
  <c r="F4867" i="1"/>
  <c r="J5084" i="1" s="1"/>
  <c r="F4868" i="1"/>
  <c r="J5085" i="1" s="1"/>
  <c r="F4869" i="1"/>
  <c r="J5086" i="1" s="1"/>
  <c r="F4870" i="1"/>
  <c r="J5087" i="1" s="1"/>
  <c r="F4871" i="1"/>
  <c r="J5088" i="1" s="1"/>
  <c r="F4872" i="1"/>
  <c r="J5089" i="1" s="1"/>
  <c r="F4873" i="1"/>
  <c r="J5090" i="1" s="1"/>
  <c r="F4874" i="1"/>
  <c r="J5091" i="1" s="1"/>
  <c r="F4875" i="1"/>
  <c r="J5092" i="1" s="1"/>
  <c r="F4876" i="1"/>
  <c r="J5093" i="1" s="1"/>
  <c r="F4877" i="1"/>
  <c r="J5094" i="1" s="1"/>
  <c r="F4878" i="1"/>
  <c r="J5095" i="1" s="1"/>
  <c r="F4879" i="1"/>
  <c r="J5096" i="1" s="1"/>
  <c r="F4880" i="1"/>
  <c r="J5097" i="1" s="1"/>
  <c r="F4881" i="1"/>
  <c r="J5098" i="1" s="1"/>
  <c r="F4882" i="1"/>
  <c r="J5099" i="1" s="1"/>
  <c r="F4883" i="1"/>
  <c r="J5100" i="1" s="1"/>
  <c r="F4884" i="1"/>
  <c r="J5101" i="1" s="1"/>
  <c r="F4885" i="1"/>
  <c r="J5102" i="1" s="1"/>
  <c r="F4886" i="1"/>
  <c r="J5103" i="1" s="1"/>
  <c r="F4887" i="1"/>
  <c r="J5104" i="1" s="1"/>
  <c r="F4888" i="1"/>
  <c r="J5105" i="1" s="1"/>
  <c r="F4889" i="1"/>
  <c r="J5106" i="1" s="1"/>
  <c r="F4890" i="1"/>
  <c r="J5107" i="1" s="1"/>
  <c r="F4891" i="1"/>
  <c r="J5108" i="1" s="1"/>
  <c r="F4892" i="1"/>
  <c r="J5109" i="1" s="1"/>
  <c r="F4893" i="1"/>
  <c r="J5110" i="1" s="1"/>
  <c r="F4894" i="1"/>
  <c r="J5111" i="1" s="1"/>
  <c r="F4895" i="1"/>
  <c r="J5112" i="1" s="1"/>
  <c r="F4896" i="1"/>
  <c r="J5113" i="1" s="1"/>
  <c r="F4897" i="1"/>
  <c r="J5114" i="1" s="1"/>
  <c r="F4898" i="1"/>
  <c r="J5115" i="1" s="1"/>
  <c r="F4899" i="1"/>
  <c r="J5116" i="1" s="1"/>
  <c r="F4900" i="1"/>
  <c r="J5117" i="1" s="1"/>
  <c r="F4901" i="1"/>
  <c r="J5118" i="1" s="1"/>
  <c r="F4902" i="1"/>
  <c r="J5119" i="1" s="1"/>
  <c r="F4903" i="1"/>
  <c r="J5120" i="1" s="1"/>
  <c r="F4904" i="1"/>
  <c r="J5121" i="1" s="1"/>
  <c r="F4905" i="1"/>
  <c r="J5122" i="1" s="1"/>
  <c r="F4906" i="1"/>
  <c r="J5123" i="1" s="1"/>
  <c r="F4907" i="1"/>
  <c r="J5124" i="1" s="1"/>
  <c r="F4908" i="1"/>
  <c r="J5125" i="1" s="1"/>
  <c r="F4909" i="1"/>
  <c r="J5126" i="1" s="1"/>
  <c r="F4910" i="1"/>
  <c r="J5127" i="1" s="1"/>
  <c r="F4911" i="1"/>
  <c r="J5128" i="1" s="1"/>
  <c r="F4912" i="1"/>
  <c r="J5129" i="1" s="1"/>
  <c r="F4913" i="1"/>
  <c r="J5130" i="1" s="1"/>
  <c r="F4914" i="1"/>
  <c r="J5131" i="1" s="1"/>
  <c r="F4915" i="1"/>
  <c r="J5132" i="1" s="1"/>
  <c r="F4916" i="1"/>
  <c r="J5133" i="1" s="1"/>
  <c r="F4917" i="1"/>
  <c r="J5134" i="1" s="1"/>
  <c r="F4918" i="1"/>
  <c r="J5135" i="1" s="1"/>
  <c r="F4919" i="1"/>
  <c r="J5136" i="1" s="1"/>
  <c r="F4920" i="1"/>
  <c r="J5137" i="1" s="1"/>
  <c r="F4921" i="1"/>
  <c r="J5138" i="1" s="1"/>
  <c r="F4922" i="1"/>
  <c r="J5139" i="1" s="1"/>
  <c r="F4923" i="1"/>
  <c r="J5140" i="1" s="1"/>
  <c r="F4924" i="1"/>
  <c r="J5141" i="1" s="1"/>
  <c r="F4925" i="1"/>
  <c r="J5142" i="1" s="1"/>
  <c r="F4926" i="1"/>
  <c r="J5143" i="1" s="1"/>
  <c r="F4927" i="1"/>
  <c r="J5144" i="1" s="1"/>
  <c r="F4928" i="1"/>
  <c r="J5145" i="1" s="1"/>
  <c r="F4929" i="1"/>
  <c r="J5146" i="1" s="1"/>
  <c r="F4930" i="1"/>
  <c r="J5147" i="1" s="1"/>
  <c r="F4931" i="1"/>
  <c r="J5148" i="1" s="1"/>
  <c r="F4932" i="1"/>
  <c r="J5149" i="1" s="1"/>
  <c r="F4933" i="1"/>
  <c r="J5150" i="1" s="1"/>
  <c r="F4934" i="1"/>
  <c r="J5151" i="1" s="1"/>
  <c r="F4935" i="1"/>
  <c r="J5152" i="1" s="1"/>
  <c r="F4936" i="1"/>
  <c r="J5153" i="1" s="1"/>
  <c r="F4937" i="1"/>
  <c r="J5154" i="1" s="1"/>
  <c r="F4938" i="1"/>
  <c r="J5155" i="1" s="1"/>
  <c r="F4939" i="1"/>
  <c r="J5156" i="1" s="1"/>
  <c r="F4940" i="1"/>
  <c r="J5157" i="1" s="1"/>
  <c r="F4941" i="1"/>
  <c r="J5158" i="1" s="1"/>
  <c r="F4942" i="1"/>
  <c r="J5159" i="1" s="1"/>
  <c r="F4943" i="1"/>
  <c r="J5160" i="1" s="1"/>
  <c r="F4944" i="1"/>
  <c r="J5161" i="1" s="1"/>
  <c r="F4945" i="1"/>
  <c r="J5162" i="1" s="1"/>
  <c r="F4946" i="1"/>
  <c r="J5163" i="1" s="1"/>
  <c r="F4947" i="1"/>
  <c r="J5164" i="1" s="1"/>
  <c r="F4948" i="1"/>
  <c r="J5165" i="1" s="1"/>
  <c r="F4949" i="1"/>
  <c r="J5166" i="1" s="1"/>
  <c r="F4950" i="1"/>
  <c r="J5167" i="1" s="1"/>
  <c r="F4951" i="1"/>
  <c r="J5168" i="1" s="1"/>
  <c r="F4952" i="1"/>
  <c r="J5169" i="1" s="1"/>
  <c r="F4953" i="1"/>
  <c r="J5170" i="1" s="1"/>
  <c r="F4954" i="1"/>
  <c r="J5171" i="1" s="1"/>
  <c r="F4955" i="1"/>
  <c r="J5172" i="1" s="1"/>
  <c r="F4956" i="1"/>
  <c r="J5173" i="1" s="1"/>
  <c r="F4957" i="1"/>
  <c r="J5174" i="1" s="1"/>
  <c r="F4958" i="1"/>
  <c r="J5175" i="1" s="1"/>
  <c r="F4959" i="1"/>
  <c r="J5176" i="1" s="1"/>
  <c r="F4960" i="1"/>
  <c r="J5177" i="1" s="1"/>
  <c r="F4961" i="1"/>
  <c r="J5178" i="1" s="1"/>
  <c r="F4962" i="1"/>
  <c r="J5179" i="1" s="1"/>
  <c r="F4963" i="1"/>
  <c r="J5180" i="1" s="1"/>
  <c r="F4964" i="1"/>
  <c r="J5181" i="1" s="1"/>
  <c r="F4965" i="1"/>
  <c r="J5182" i="1" s="1"/>
  <c r="F4966" i="1"/>
  <c r="J5183" i="1" s="1"/>
  <c r="F4967" i="1"/>
  <c r="J5184" i="1" s="1"/>
  <c r="F4968" i="1"/>
  <c r="J5185" i="1" s="1"/>
  <c r="F4969" i="1"/>
  <c r="J5186" i="1" s="1"/>
  <c r="F4970" i="1"/>
  <c r="J5187" i="1" s="1"/>
  <c r="F4971" i="1"/>
  <c r="J5188" i="1" s="1"/>
  <c r="F4972" i="1"/>
  <c r="J5189" i="1" s="1"/>
  <c r="F4973" i="1"/>
  <c r="J5190" i="1" s="1"/>
  <c r="F4974" i="1"/>
  <c r="J5191" i="1" s="1"/>
  <c r="F4975" i="1"/>
  <c r="J5192" i="1" s="1"/>
  <c r="F4976" i="1"/>
  <c r="J5193" i="1" s="1"/>
  <c r="F4977" i="1"/>
  <c r="J5194" i="1" s="1"/>
  <c r="F4978" i="1"/>
  <c r="J5195" i="1" s="1"/>
  <c r="F4979" i="1"/>
  <c r="J5196" i="1" s="1"/>
  <c r="F4980" i="1"/>
  <c r="J5197" i="1" s="1"/>
  <c r="F4981" i="1"/>
  <c r="J5198" i="1" s="1"/>
  <c r="F4982" i="1"/>
  <c r="J5199" i="1" s="1"/>
  <c r="F4983" i="1"/>
  <c r="J5200" i="1" s="1"/>
  <c r="F4984" i="1"/>
  <c r="J5201" i="1" s="1"/>
  <c r="F4985" i="1"/>
  <c r="J5202" i="1" s="1"/>
  <c r="F4986" i="1"/>
  <c r="J5203" i="1" s="1"/>
  <c r="F4987" i="1"/>
  <c r="J5204" i="1" s="1"/>
  <c r="F4988" i="1"/>
  <c r="J5205" i="1" s="1"/>
  <c r="F4989" i="1"/>
  <c r="J5206" i="1" s="1"/>
  <c r="F4990" i="1"/>
  <c r="J5207" i="1" s="1"/>
  <c r="F4991" i="1"/>
  <c r="J5208" i="1" s="1"/>
  <c r="F4992" i="1"/>
  <c r="J5209" i="1" s="1"/>
  <c r="F4993" i="1"/>
  <c r="J5210" i="1" s="1"/>
  <c r="F4994" i="1"/>
  <c r="J5211" i="1" s="1"/>
  <c r="F4995" i="1"/>
  <c r="J5212" i="1" s="1"/>
  <c r="F4996" i="1"/>
  <c r="J5213" i="1" s="1"/>
  <c r="F4997" i="1"/>
  <c r="J5214" i="1" s="1"/>
  <c r="F4998" i="1"/>
  <c r="J5215" i="1" s="1"/>
  <c r="F4999" i="1"/>
  <c r="J5216" i="1" s="1"/>
  <c r="F5000" i="1"/>
  <c r="J5217" i="1" s="1"/>
  <c r="F5001" i="1"/>
  <c r="J5218" i="1" s="1"/>
  <c r="F5002" i="1"/>
  <c r="J5219" i="1" s="1"/>
  <c r="F5003" i="1"/>
  <c r="J5220" i="1" s="1"/>
  <c r="F5004" i="1"/>
  <c r="J5221" i="1" s="1"/>
  <c r="F5005" i="1"/>
  <c r="J5222" i="1" s="1"/>
  <c r="F5006" i="1"/>
  <c r="J5223" i="1" s="1"/>
  <c r="F5007" i="1"/>
  <c r="J5224" i="1" s="1"/>
  <c r="F5008" i="1"/>
  <c r="J5225" i="1" s="1"/>
  <c r="F5009" i="1"/>
  <c r="J5226" i="1" s="1"/>
  <c r="F5010" i="1"/>
  <c r="J5227" i="1" s="1"/>
  <c r="F5011" i="1"/>
  <c r="J5228" i="1" s="1"/>
  <c r="F5012" i="1"/>
  <c r="J5229" i="1" s="1"/>
  <c r="F5013" i="1"/>
  <c r="J5230" i="1" s="1"/>
  <c r="F5014" i="1"/>
  <c r="J5231" i="1" s="1"/>
  <c r="F5015" i="1"/>
  <c r="J5232" i="1" s="1"/>
  <c r="F5016" i="1"/>
  <c r="J5233" i="1" s="1"/>
  <c r="F5017" i="1"/>
  <c r="J5234" i="1" s="1"/>
  <c r="F5018" i="1"/>
  <c r="J5235" i="1" s="1"/>
  <c r="F5019" i="1"/>
  <c r="J5236" i="1" s="1"/>
  <c r="F5020" i="1"/>
  <c r="J5237" i="1" s="1"/>
  <c r="F5021" i="1"/>
  <c r="J5238" i="1" s="1"/>
  <c r="F5022" i="1"/>
  <c r="J5239" i="1" s="1"/>
  <c r="F5023" i="1"/>
  <c r="J5240" i="1" s="1"/>
  <c r="F5024" i="1"/>
  <c r="J5241" i="1" s="1"/>
  <c r="F5025" i="1"/>
  <c r="J5242" i="1" s="1"/>
  <c r="F5026" i="1"/>
  <c r="J5243" i="1" s="1"/>
  <c r="F5027" i="1"/>
  <c r="J5244" i="1" s="1"/>
  <c r="F5028" i="1"/>
  <c r="J5245" i="1" s="1"/>
  <c r="F5029" i="1"/>
  <c r="J5246" i="1" s="1"/>
  <c r="F5030" i="1"/>
  <c r="J5247" i="1" s="1"/>
  <c r="F5031" i="1"/>
  <c r="J5248" i="1" s="1"/>
  <c r="F5032" i="1"/>
  <c r="J5249" i="1" s="1"/>
  <c r="F5033" i="1"/>
  <c r="J5250" i="1" s="1"/>
  <c r="F5034" i="1"/>
  <c r="J5251" i="1" s="1"/>
  <c r="F5035" i="1"/>
  <c r="J5252" i="1" s="1"/>
  <c r="F5036" i="1"/>
  <c r="J5253" i="1" s="1"/>
  <c r="F5037" i="1"/>
  <c r="J5254" i="1" s="1"/>
  <c r="F5038" i="1"/>
  <c r="J5255" i="1" s="1"/>
  <c r="F5039" i="1"/>
  <c r="J5256" i="1" s="1"/>
  <c r="F5040" i="1"/>
  <c r="J5257" i="1" s="1"/>
  <c r="F5041" i="1"/>
  <c r="J5258" i="1" s="1"/>
  <c r="F5042" i="1"/>
  <c r="J5259" i="1" s="1"/>
  <c r="F5043" i="1"/>
  <c r="J5260" i="1" s="1"/>
  <c r="F5044" i="1"/>
  <c r="J5261" i="1" s="1"/>
  <c r="F5045" i="1"/>
  <c r="J5262" i="1" s="1"/>
  <c r="F5046" i="1"/>
  <c r="J5263" i="1" s="1"/>
  <c r="F5047" i="1"/>
  <c r="J5264" i="1" s="1"/>
  <c r="F5048" i="1"/>
  <c r="J5265" i="1" s="1"/>
  <c r="F5049" i="1"/>
  <c r="J5266" i="1" s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2" i="1"/>
  <c r="J3937" i="1" l="1"/>
  <c r="J3096" i="1"/>
  <c r="J3615" i="1"/>
  <c r="J4270" i="1"/>
  <c r="J2692" i="1"/>
  <c r="J1834" i="1"/>
  <c r="J1265" i="1"/>
  <c r="J2943" i="1"/>
  <c r="I5" i="3" s="1"/>
  <c r="J639" i="1"/>
  <c r="J2542" i="1"/>
  <c r="J1389" i="1"/>
  <c r="J1029" i="1"/>
  <c r="J428" i="1"/>
  <c r="J211" i="1"/>
  <c r="J420" i="1"/>
  <c r="J203" i="1"/>
  <c r="J412" i="1"/>
  <c r="J195" i="1"/>
  <c r="J404" i="1"/>
  <c r="J187" i="1"/>
  <c r="J396" i="1"/>
  <c r="J179" i="1"/>
  <c r="J388" i="1"/>
  <c r="J171" i="1"/>
  <c r="J380" i="1"/>
  <c r="J163" i="1"/>
  <c r="J372" i="1"/>
  <c r="J155" i="1"/>
  <c r="J364" i="1"/>
  <c r="J147" i="1"/>
  <c r="J356" i="1"/>
  <c r="J139" i="1"/>
  <c r="J348" i="1"/>
  <c r="J131" i="1"/>
  <c r="J340" i="1"/>
  <c r="J123" i="1"/>
  <c r="J332" i="1"/>
  <c r="J115" i="1"/>
  <c r="J324" i="1"/>
  <c r="J107" i="1"/>
  <c r="J316" i="1"/>
  <c r="J99" i="1"/>
  <c r="J308" i="1"/>
  <c r="J91" i="1"/>
  <c r="J300" i="1"/>
  <c r="J83" i="1"/>
  <c r="J292" i="1"/>
  <c r="J75" i="1"/>
  <c r="J284" i="1"/>
  <c r="J67" i="1"/>
  <c r="J276" i="1"/>
  <c r="J59" i="1"/>
  <c r="J268" i="1"/>
  <c r="J51" i="1"/>
  <c r="J260" i="1"/>
  <c r="J43" i="1"/>
  <c r="J252" i="1"/>
  <c r="J35" i="1"/>
  <c r="J244" i="1"/>
  <c r="J27" i="1"/>
  <c r="J236" i="1"/>
  <c r="J19" i="1"/>
  <c r="J228" i="1"/>
  <c r="J11" i="1"/>
  <c r="J220" i="1"/>
  <c r="J3" i="1"/>
  <c r="J178" i="1"/>
  <c r="J395" i="1"/>
  <c r="J122" i="1"/>
  <c r="J339" i="1"/>
  <c r="J74" i="1"/>
  <c r="J291" i="1"/>
  <c r="J26" i="1"/>
  <c r="J243" i="1"/>
  <c r="J217" i="1"/>
  <c r="J434" i="1"/>
  <c r="J209" i="1"/>
  <c r="J426" i="1"/>
  <c r="J201" i="1"/>
  <c r="J418" i="1"/>
  <c r="J410" i="1"/>
  <c r="J193" i="1"/>
  <c r="J402" i="1"/>
  <c r="J185" i="1"/>
  <c r="J177" i="1"/>
  <c r="J394" i="1"/>
  <c r="J386" i="1"/>
  <c r="J169" i="1"/>
  <c r="J378" i="1"/>
  <c r="J161" i="1"/>
  <c r="J153" i="1"/>
  <c r="J370" i="1"/>
  <c r="J145" i="1"/>
  <c r="J362" i="1"/>
  <c r="J137" i="1"/>
  <c r="J354" i="1"/>
  <c r="J346" i="1"/>
  <c r="J129" i="1"/>
  <c r="J338" i="1"/>
  <c r="J121" i="1"/>
  <c r="J113" i="1"/>
  <c r="J330" i="1"/>
  <c r="J105" i="1"/>
  <c r="J322" i="1"/>
  <c r="J97" i="1"/>
  <c r="J314" i="1"/>
  <c r="J89" i="1"/>
  <c r="J306" i="1"/>
  <c r="J81" i="1"/>
  <c r="J298" i="1"/>
  <c r="J73" i="1"/>
  <c r="J290" i="1"/>
  <c r="J65" i="1"/>
  <c r="J282" i="1"/>
  <c r="J57" i="1"/>
  <c r="J274" i="1"/>
  <c r="J49" i="1"/>
  <c r="J266" i="1"/>
  <c r="J41" i="1"/>
  <c r="J258" i="1"/>
  <c r="J33" i="1"/>
  <c r="J250" i="1"/>
  <c r="J25" i="1"/>
  <c r="J242" i="1"/>
  <c r="J17" i="1"/>
  <c r="J234" i="1"/>
  <c r="J9" i="1"/>
  <c r="J226" i="1"/>
  <c r="I4" i="3"/>
  <c r="I3" i="3"/>
  <c r="J186" i="1"/>
  <c r="J403" i="1"/>
  <c r="J146" i="1"/>
  <c r="J363" i="1"/>
  <c r="J323" i="1"/>
  <c r="J106" i="1"/>
  <c r="J50" i="1"/>
  <c r="J267" i="1"/>
  <c r="J433" i="1"/>
  <c r="J216" i="1"/>
  <c r="J208" i="1"/>
  <c r="J425" i="1"/>
  <c r="J200" i="1"/>
  <c r="J417" i="1"/>
  <c r="J192" i="1"/>
  <c r="J409" i="1"/>
  <c r="J401" i="1"/>
  <c r="J184" i="1"/>
  <c r="J393" i="1"/>
  <c r="J176" i="1"/>
  <c r="J168" i="1"/>
  <c r="J385" i="1"/>
  <c r="J377" i="1"/>
  <c r="J160" i="1"/>
  <c r="J369" i="1"/>
  <c r="J152" i="1"/>
  <c r="J361" i="1"/>
  <c r="J144" i="1"/>
  <c r="J136" i="1"/>
  <c r="J353" i="1"/>
  <c r="J128" i="1"/>
  <c r="J345" i="1"/>
  <c r="J337" i="1"/>
  <c r="J120" i="1"/>
  <c r="J329" i="1"/>
  <c r="J112" i="1"/>
  <c r="J321" i="1"/>
  <c r="J104" i="1"/>
  <c r="J96" i="1"/>
  <c r="J313" i="1"/>
  <c r="J305" i="1"/>
  <c r="J88" i="1"/>
  <c r="J297" i="1"/>
  <c r="J80" i="1"/>
  <c r="J72" i="1"/>
  <c r="J289" i="1"/>
  <c r="J64" i="1"/>
  <c r="J281" i="1"/>
  <c r="J273" i="1"/>
  <c r="J56" i="1"/>
  <c r="J265" i="1"/>
  <c r="J48" i="1"/>
  <c r="J40" i="1"/>
  <c r="J257" i="1"/>
  <c r="J32" i="1"/>
  <c r="J249" i="1"/>
  <c r="J241" i="1"/>
  <c r="J24" i="1"/>
  <c r="J16" i="1"/>
  <c r="J233" i="1"/>
  <c r="J8" i="1"/>
  <c r="J225" i="1"/>
  <c r="J219" i="1"/>
  <c r="J419" i="1"/>
  <c r="J202" i="1"/>
  <c r="J154" i="1"/>
  <c r="J371" i="1"/>
  <c r="J98" i="1"/>
  <c r="J315" i="1"/>
  <c r="J58" i="1"/>
  <c r="J275" i="1"/>
  <c r="J10" i="1"/>
  <c r="J227" i="1"/>
  <c r="J432" i="1"/>
  <c r="J215" i="1"/>
  <c r="J424" i="1"/>
  <c r="J207" i="1"/>
  <c r="J416" i="1"/>
  <c r="J199" i="1"/>
  <c r="J191" i="1"/>
  <c r="J408" i="1"/>
  <c r="J183" i="1"/>
  <c r="J400" i="1"/>
  <c r="J392" i="1"/>
  <c r="J175" i="1"/>
  <c r="J384" i="1"/>
  <c r="J167" i="1"/>
  <c r="J159" i="1"/>
  <c r="J376" i="1"/>
  <c r="J368" i="1"/>
  <c r="J151" i="1"/>
  <c r="J360" i="1"/>
  <c r="J143" i="1"/>
  <c r="J352" i="1"/>
  <c r="J135" i="1"/>
  <c r="J127" i="1"/>
  <c r="J344" i="1"/>
  <c r="J119" i="1"/>
  <c r="J336" i="1"/>
  <c r="J328" i="1"/>
  <c r="J111" i="1"/>
  <c r="J320" i="1"/>
  <c r="J103" i="1"/>
  <c r="J95" i="1"/>
  <c r="J312" i="1"/>
  <c r="J87" i="1"/>
  <c r="J304" i="1"/>
  <c r="J79" i="1"/>
  <c r="J296" i="1"/>
  <c r="J71" i="1"/>
  <c r="J288" i="1"/>
  <c r="J280" i="1"/>
  <c r="J63" i="1"/>
  <c r="J55" i="1"/>
  <c r="J272" i="1"/>
  <c r="J264" i="1"/>
  <c r="J47" i="1"/>
  <c r="J256" i="1"/>
  <c r="J39" i="1"/>
  <c r="J31" i="1"/>
  <c r="J248" i="1"/>
  <c r="J23" i="1"/>
  <c r="J240" i="1"/>
  <c r="J15" i="1"/>
  <c r="J232" i="1"/>
  <c r="J224" i="1"/>
  <c r="J411" i="1"/>
  <c r="J194" i="1"/>
  <c r="J355" i="1"/>
  <c r="J138" i="1"/>
  <c r="J82" i="1"/>
  <c r="J299" i="1"/>
  <c r="J34" i="1"/>
  <c r="J251" i="1"/>
  <c r="J214" i="1"/>
  <c r="J431" i="1"/>
  <c r="J206" i="1"/>
  <c r="J423" i="1"/>
  <c r="J415" i="1"/>
  <c r="J198" i="1"/>
  <c r="J407" i="1"/>
  <c r="J190" i="1"/>
  <c r="J182" i="1"/>
  <c r="J399" i="1"/>
  <c r="J174" i="1"/>
  <c r="J391" i="1"/>
  <c r="J383" i="1"/>
  <c r="J166" i="1"/>
  <c r="J375" i="1"/>
  <c r="J158" i="1"/>
  <c r="J150" i="1"/>
  <c r="J367" i="1"/>
  <c r="J359" i="1"/>
  <c r="J142" i="1"/>
  <c r="J351" i="1"/>
  <c r="J134" i="1"/>
  <c r="J343" i="1"/>
  <c r="J126" i="1"/>
  <c r="J118" i="1"/>
  <c r="J335" i="1"/>
  <c r="J110" i="1"/>
  <c r="J327" i="1"/>
  <c r="J319" i="1"/>
  <c r="J102" i="1"/>
  <c r="J311" i="1"/>
  <c r="J94" i="1"/>
  <c r="J86" i="1"/>
  <c r="J303" i="1"/>
  <c r="J78" i="1"/>
  <c r="J295" i="1"/>
  <c r="J287" i="1"/>
  <c r="J70" i="1"/>
  <c r="J62" i="1"/>
  <c r="J279" i="1"/>
  <c r="J54" i="1"/>
  <c r="J271" i="1"/>
  <c r="J46" i="1"/>
  <c r="J263" i="1"/>
  <c r="J255" i="1"/>
  <c r="J38" i="1"/>
  <c r="J247" i="1"/>
  <c r="J30" i="1"/>
  <c r="J22" i="1"/>
  <c r="J239" i="1"/>
  <c r="J14" i="1"/>
  <c r="J231" i="1"/>
  <c r="J223" i="1"/>
  <c r="J6" i="1"/>
  <c r="J210" i="1"/>
  <c r="J427" i="1"/>
  <c r="J162" i="1"/>
  <c r="J379" i="1"/>
  <c r="J114" i="1"/>
  <c r="J331" i="1"/>
  <c r="J66" i="1"/>
  <c r="J283" i="1"/>
  <c r="J18" i="1"/>
  <c r="J235" i="1"/>
  <c r="J430" i="1"/>
  <c r="J213" i="1"/>
  <c r="J205" i="1"/>
  <c r="J422" i="1"/>
  <c r="J197" i="1"/>
  <c r="J414" i="1"/>
  <c r="J406" i="1"/>
  <c r="J189" i="1"/>
  <c r="J181" i="1"/>
  <c r="J398" i="1"/>
  <c r="J173" i="1"/>
  <c r="J390" i="1"/>
  <c r="J165" i="1"/>
  <c r="J382" i="1"/>
  <c r="J374" i="1"/>
  <c r="J157" i="1"/>
  <c r="J366" i="1"/>
  <c r="J149" i="1"/>
  <c r="J141" i="1"/>
  <c r="J358" i="1"/>
  <c r="J133" i="1"/>
  <c r="J350" i="1"/>
  <c r="J342" i="1"/>
  <c r="J125" i="1"/>
  <c r="J334" i="1"/>
  <c r="J117" i="1"/>
  <c r="J109" i="1"/>
  <c r="J326" i="1"/>
  <c r="J318" i="1"/>
  <c r="J101" i="1"/>
  <c r="J310" i="1"/>
  <c r="J93" i="1"/>
  <c r="J85" i="1"/>
  <c r="J302" i="1"/>
  <c r="J77" i="1"/>
  <c r="J294" i="1"/>
  <c r="J286" i="1"/>
  <c r="J69" i="1"/>
  <c r="J61" i="1"/>
  <c r="J278" i="1"/>
  <c r="J53" i="1"/>
  <c r="J270" i="1"/>
  <c r="J45" i="1"/>
  <c r="J262" i="1"/>
  <c r="J37" i="1"/>
  <c r="J254" i="1"/>
  <c r="J29" i="1"/>
  <c r="J246" i="1"/>
  <c r="J21" i="1"/>
  <c r="J238" i="1"/>
  <c r="J13" i="1"/>
  <c r="J230" i="1"/>
  <c r="J5" i="1"/>
  <c r="J222" i="1"/>
  <c r="J218" i="1"/>
  <c r="J435" i="1"/>
  <c r="J387" i="1"/>
  <c r="J170" i="1"/>
  <c r="J347" i="1"/>
  <c r="J130" i="1"/>
  <c r="J90" i="1"/>
  <c r="J307" i="1"/>
  <c r="J42" i="1"/>
  <c r="J259" i="1"/>
  <c r="J212" i="1"/>
  <c r="J429" i="1"/>
  <c r="J204" i="1"/>
  <c r="J421" i="1"/>
  <c r="J196" i="1"/>
  <c r="J413" i="1"/>
  <c r="J188" i="1"/>
  <c r="J405" i="1"/>
  <c r="J180" i="1"/>
  <c r="J397" i="1"/>
  <c r="J172" i="1"/>
  <c r="J389" i="1"/>
  <c r="J164" i="1"/>
  <c r="J381" i="1"/>
  <c r="J156" i="1"/>
  <c r="J373" i="1"/>
  <c r="J148" i="1"/>
  <c r="J365" i="1"/>
  <c r="J140" i="1"/>
  <c r="J357" i="1"/>
  <c r="J132" i="1"/>
  <c r="J349" i="1"/>
  <c r="J124" i="1"/>
  <c r="J341" i="1"/>
  <c r="J116" i="1"/>
  <c r="J333" i="1"/>
  <c r="J108" i="1"/>
  <c r="J325" i="1"/>
  <c r="J100" i="1"/>
  <c r="J317" i="1"/>
  <c r="J92" i="1"/>
  <c r="J309" i="1"/>
  <c r="J84" i="1"/>
  <c r="J301" i="1"/>
  <c r="J76" i="1"/>
  <c r="J293" i="1"/>
  <c r="J68" i="1"/>
  <c r="J285" i="1"/>
  <c r="J60" i="1"/>
  <c r="J277" i="1"/>
  <c r="J52" i="1"/>
  <c r="J269" i="1"/>
  <c r="J44" i="1"/>
  <c r="J261" i="1"/>
  <c r="J36" i="1"/>
  <c r="J253" i="1"/>
  <c r="J28" i="1"/>
  <c r="J245" i="1"/>
  <c r="J20" i="1"/>
  <c r="J237" i="1"/>
  <c r="J12" i="1"/>
  <c r="J229" i="1"/>
  <c r="J4" i="1"/>
  <c r="J221" i="1"/>
  <c r="M16" i="2"/>
  <c r="E11" i="2"/>
  <c r="F16" i="2"/>
  <c r="G16" i="2"/>
  <c r="H16" i="2"/>
  <c r="I16" i="2"/>
  <c r="B16" i="2"/>
  <c r="J16" i="2"/>
  <c r="C16" i="2"/>
  <c r="K16" i="2"/>
  <c r="D16" i="2"/>
  <c r="L16" i="2"/>
  <c r="E16" i="2"/>
  <c r="M15" i="2"/>
  <c r="F12" i="2"/>
  <c r="C13" i="2"/>
  <c r="K13" i="2"/>
  <c r="F15" i="2"/>
  <c r="G12" i="2"/>
  <c r="D13" i="2"/>
  <c r="L13" i="2"/>
  <c r="G15" i="2"/>
  <c r="H12" i="2"/>
  <c r="E13" i="2"/>
  <c r="M13" i="2"/>
  <c r="H15" i="2"/>
  <c r="I12" i="2"/>
  <c r="F13" i="2"/>
  <c r="B13" i="2"/>
  <c r="I15" i="2"/>
  <c r="B12" i="2"/>
  <c r="J12" i="2"/>
  <c r="G13" i="2"/>
  <c r="B15" i="2"/>
  <c r="J15" i="2"/>
  <c r="C12" i="2"/>
  <c r="K12" i="2"/>
  <c r="H13" i="2"/>
  <c r="C15" i="2"/>
  <c r="K15" i="2"/>
  <c r="D12" i="2"/>
  <c r="L12" i="2"/>
  <c r="I13" i="2"/>
  <c r="D15" i="2"/>
  <c r="L15" i="2"/>
  <c r="E12" i="2"/>
  <c r="M12" i="2"/>
  <c r="J13" i="2"/>
  <c r="E15" i="2"/>
  <c r="G11" i="2"/>
  <c r="M11" i="2"/>
  <c r="B6" i="2"/>
  <c r="J6" i="2"/>
  <c r="F11" i="2"/>
  <c r="C6" i="2"/>
  <c r="K6" i="2"/>
  <c r="D6" i="2"/>
  <c r="L6" i="2"/>
  <c r="H11" i="2"/>
  <c r="E6" i="2"/>
  <c r="M6" i="2"/>
  <c r="I11" i="2"/>
  <c r="F6" i="2"/>
  <c r="B11" i="2"/>
  <c r="J11" i="2"/>
  <c r="G6" i="2"/>
  <c r="D11" i="2"/>
  <c r="K11" i="2"/>
  <c r="H6" i="2"/>
  <c r="C11" i="2"/>
  <c r="L11" i="2"/>
  <c r="B5" i="2"/>
  <c r="I6" i="2"/>
  <c r="G5" i="2"/>
  <c r="H5" i="2"/>
  <c r="I5" i="2"/>
  <c r="J5" i="2"/>
  <c r="C5" i="2"/>
  <c r="K5" i="2"/>
  <c r="D5" i="2"/>
  <c r="L5" i="2"/>
  <c r="E5" i="2"/>
  <c r="M5" i="2"/>
  <c r="F5" i="2"/>
  <c r="H3" i="3" l="1"/>
  <c r="H4" i="3"/>
  <c r="H5" i="3"/>
  <c r="L7" i="2"/>
  <c r="L8" i="2" s="1"/>
  <c r="B17" i="2"/>
  <c r="K7" i="2"/>
  <c r="K8" i="2" s="1"/>
  <c r="D7" i="2"/>
  <c r="D8" i="2" s="1"/>
  <c r="C7" i="2"/>
  <c r="C8" i="2" s="1"/>
  <c r="M17" i="2"/>
  <c r="E17" i="2"/>
  <c r="K17" i="2"/>
  <c r="D17" i="2"/>
  <c r="G17" i="2"/>
  <c r="H17" i="2"/>
  <c r="J17" i="2"/>
  <c r="L17" i="2"/>
  <c r="C17" i="2"/>
  <c r="I17" i="2"/>
  <c r="F17" i="2"/>
  <c r="N16" i="2"/>
  <c r="I7" i="2"/>
  <c r="N13" i="2"/>
  <c r="N15" i="2"/>
  <c r="N12" i="2"/>
  <c r="G7" i="2"/>
  <c r="J7" i="2"/>
  <c r="E7" i="2"/>
  <c r="B7" i="2"/>
  <c r="F7" i="2"/>
  <c r="N11" i="2"/>
  <c r="M7" i="2"/>
  <c r="H7" i="2"/>
  <c r="N6" i="2"/>
  <c r="N5" i="2"/>
  <c r="L20" i="2" l="1"/>
  <c r="L21" i="2" s="1"/>
  <c r="L22" i="2" s="1"/>
  <c r="K20" i="2"/>
  <c r="K21" i="2" s="1"/>
  <c r="K22" i="2" s="1"/>
  <c r="D20" i="2"/>
  <c r="D21" i="2" s="1"/>
  <c r="D22" i="2" s="1"/>
  <c r="C20" i="2"/>
  <c r="C21" i="2" s="1"/>
  <c r="C22" i="2" s="1"/>
  <c r="J8" i="2"/>
  <c r="J20" i="2"/>
  <c r="G8" i="2"/>
  <c r="G20" i="2"/>
  <c r="H8" i="2"/>
  <c r="H20" i="2"/>
  <c r="M8" i="2"/>
  <c r="M20" i="2"/>
  <c r="B8" i="2"/>
  <c r="B20" i="2"/>
  <c r="F8" i="2"/>
  <c r="F20" i="2"/>
  <c r="I8" i="2"/>
  <c r="I20" i="2"/>
  <c r="E8" i="2"/>
  <c r="E20" i="2"/>
  <c r="N17" i="2"/>
  <c r="N7" i="2"/>
  <c r="K23" i="2" l="1"/>
  <c r="K24" i="2"/>
  <c r="L23" i="2"/>
  <c r="L24" i="2"/>
  <c r="D23" i="2"/>
  <c r="D24" i="2"/>
  <c r="C23" i="2"/>
  <c r="C24" i="2"/>
  <c r="G21" i="2"/>
  <c r="G22" i="2" s="1"/>
  <c r="E21" i="2"/>
  <c r="E22" i="2" s="1"/>
  <c r="B21" i="2"/>
  <c r="B22" i="2" s="1"/>
  <c r="J21" i="2"/>
  <c r="J22" i="2" s="1"/>
  <c r="F21" i="2"/>
  <c r="F22" i="2" s="1"/>
  <c r="N8" i="2"/>
  <c r="N20" i="2"/>
  <c r="M21" i="2"/>
  <c r="M22" i="2" s="1"/>
  <c r="I21" i="2"/>
  <c r="I22" i="2" s="1"/>
  <c r="H21" i="2"/>
  <c r="H22" i="2" s="1"/>
  <c r="G23" i="2" l="1"/>
  <c r="G24" i="2"/>
  <c r="F23" i="2"/>
  <c r="F24" i="2"/>
  <c r="M23" i="2"/>
  <c r="M24" i="2"/>
  <c r="J23" i="2"/>
  <c r="J24" i="2"/>
  <c r="H23" i="2"/>
  <c r="H24" i="2"/>
  <c r="E23" i="2"/>
  <c r="E24" i="2"/>
  <c r="B24" i="2"/>
  <c r="B23" i="2"/>
  <c r="I23" i="2"/>
  <c r="I24" i="2"/>
  <c r="N21" i="2"/>
  <c r="N22" i="2" s="1"/>
  <c r="N23" i="2" l="1"/>
  <c r="N24" i="2"/>
</calcChain>
</file>

<file path=xl/sharedStrings.xml><?xml version="1.0" encoding="utf-8"?>
<sst xmlns="http://schemas.openxmlformats.org/spreadsheetml/2006/main" count="8008" uniqueCount="82">
  <si>
    <t>date</t>
  </si>
  <si>
    <t>description</t>
  </si>
  <si>
    <t>price</t>
  </si>
  <si>
    <t>quantity</t>
  </si>
  <si>
    <t>total</t>
  </si>
  <si>
    <t>amortization</t>
  </si>
  <si>
    <t>NA</t>
  </si>
  <si>
    <t>cogs:product 1</t>
  </si>
  <si>
    <t>cogs:product 2</t>
  </si>
  <si>
    <t>cogs:product 3</t>
  </si>
  <si>
    <t>marketing</t>
  </si>
  <si>
    <t>net sales:product 1</t>
  </si>
  <si>
    <t>net sales:product 2</t>
  </si>
  <si>
    <t>net sales:product 3</t>
  </si>
  <si>
    <t>overhead</t>
  </si>
  <si>
    <t>payroll</t>
  </si>
  <si>
    <t>interest</t>
  </si>
  <si>
    <t>Ecommerce Company</t>
  </si>
  <si>
    <t>Calendar Year:</t>
  </si>
  <si>
    <t>Profit &amp; Loss Statement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</si>
  <si>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</si>
  <si>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</si>
  <si>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</si>
  <si>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</si>
  <si>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</si>
  <si>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</si>
  <si>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</si>
  <si>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</si>
  <si>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</si>
  <si>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</si>
  <si>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</si>
  <si>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</si>
  <si>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</si>
  <si>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REVENUE</t>
  </si>
  <si>
    <t>Net Sales</t>
  </si>
  <si>
    <t>COGS</t>
  </si>
  <si>
    <t>Gross Profit</t>
  </si>
  <si>
    <t>Gross Margin</t>
  </si>
  <si>
    <t>EXPENSES</t>
  </si>
  <si>
    <t>Payroll</t>
  </si>
  <si>
    <t>Overhead</t>
  </si>
  <si>
    <t>Marketing</t>
  </si>
  <si>
    <t>Depreciation</t>
  </si>
  <si>
    <t>Amortization</t>
  </si>
  <si>
    <t>Interest</t>
  </si>
  <si>
    <t>Total Expenses</t>
  </si>
  <si>
    <t>INCOME</t>
  </si>
  <si>
    <t>Earnings Before Tax</t>
  </si>
  <si>
    <t>Taxes</t>
  </si>
  <si>
    <t>Net Earnings</t>
  </si>
  <si>
    <t>EBIT</t>
  </si>
  <si>
    <t>EBITDA</t>
  </si>
  <si>
    <t>category</t>
  </si>
  <si>
    <t>product</t>
  </si>
  <si>
    <t>year</t>
  </si>
  <si>
    <t>Row Labels</t>
  </si>
  <si>
    <t>product 1</t>
  </si>
  <si>
    <t>product 2</t>
  </si>
  <si>
    <t>product 3</t>
  </si>
  <si>
    <t>Grand Total</t>
  </si>
  <si>
    <t>Sum of quantity</t>
  </si>
  <si>
    <t>Product 1</t>
  </si>
  <si>
    <t>Product 2</t>
  </si>
  <si>
    <t>Product 3</t>
  </si>
  <si>
    <t>Units 2024</t>
  </si>
  <si>
    <t>Units 2025</t>
  </si>
  <si>
    <t>Growth</t>
  </si>
  <si>
    <t>Growth %</t>
  </si>
  <si>
    <t xml:space="preserve">All Products </t>
  </si>
  <si>
    <t>Max of quantity</t>
  </si>
  <si>
    <t>Max Units Per Day</t>
  </si>
  <si>
    <t>Max 2024</t>
  </si>
  <si>
    <t>Max 2025</t>
  </si>
  <si>
    <t>Difference</t>
  </si>
  <si>
    <t>profit</t>
  </si>
  <si>
    <t>month</t>
  </si>
  <si>
    <t>AVG 2024</t>
  </si>
  <si>
    <t>AVG 2025</t>
  </si>
  <si>
    <t>Average Daily Profit</t>
  </si>
  <si>
    <t>Column Labels</t>
  </si>
  <si>
    <t>Sum of total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</si>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</sst>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&quot; &quot;d"/>
  </numFmts>
  <fonts count="2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666666"/>
      <name val="Roboto"/>
    </font>
    <font>
      <sz val="11"/>
      <color theme="1"/>
      <name val="Roboto"/>
    </font>
    <font>
      <b/>
      <sz val="11"/>
      <color theme="1"/>
      <name val="Roboto"/>
    </font>
    <font>
      <sz val="10"/>
      <color theme="1"/>
      <name val="Roboto"/>
    </font>
    <font>
      <sz val="10"/>
      <color rgb="FF666666"/>
      <name val="Roboto"/>
    </font>
    <font>
      <b/>
      <sz val="10"/>
      <color rgb="FF666666"/>
      <name val="Roboto"/>
    </font>
    <font>
      <b/>
      <sz val="11"/>
      <color rgb="FF434343"/>
      <name val="Roboto"/>
    </font>
    <font>
      <b/>
      <sz val="10"/>
      <color rgb="FF434343"/>
      <name val="Roboto"/>
    </font>
    <font>
      <i/>
      <sz val="11"/>
      <color rgb="FF434343"/>
      <name val="Roboto"/>
    </font>
    <font>
      <i/>
      <sz val="10"/>
      <color rgb="FF434343"/>
      <name val="Roboto"/>
    </font>
    <font>
      <sz val="12"/>
      <color theme="1"/>
      <name val="Roboto"/>
    </font>
    <font>
      <b/>
      <sz val="12"/>
      <color theme="1"/>
      <name val="Roboto"/>
    </font>
    <font>
      <b/>
      <sz val="18"/>
      <color theme="0"/>
      <name val="Roboto"/>
    </font>
    <font>
      <b/>
      <sz val="12"/>
      <color theme="0"/>
      <name val="Roboto"/>
    </font>
    <font>
      <b/>
      <sz val="11"/>
      <color theme="0"/>
      <name val="Arial"/>
      <family val="2"/>
    </font>
    <font>
      <sz val="10"/>
      <color rgb="FF000000"/>
      <name val="Arial"/>
      <scheme val="minor"/>
    </font>
    <font>
      <sz val="8"/>
      <name val="Arial"/>
      <scheme val="minor"/>
    </font>
    <font>
      <b/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theme="9" tint="-0.249977111117893"/>
        <bgColor rgb="FFC9DAF8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rgb="FFC9DAF8"/>
      </patternFill>
    </fill>
  </fills>
  <borders count="16">
    <border>
      <left/>
      <right/>
      <top/>
      <bottom/>
      <diagonal/>
    </border>
    <border>
      <left/>
      <right/>
      <top style="medium">
        <color rgb="FF434343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53">
    <xf numFmtId="0" fontId="0" fillId="0" borderId="0" xfId="0"/>
    <xf numFmtId="1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44" fontId="9" fillId="3" borderId="1" xfId="0" applyNumberFormat="1" applyFont="1" applyFill="1" applyBorder="1"/>
    <xf numFmtId="44" fontId="9" fillId="3" borderId="2" xfId="0" applyNumberFormat="1" applyFont="1" applyFill="1" applyBorder="1"/>
    <xf numFmtId="44" fontId="11" fillId="0" borderId="3" xfId="0" applyNumberFormat="1" applyFont="1" applyBorder="1" applyAlignment="1">
      <alignment horizontal="right"/>
    </xf>
    <xf numFmtId="0" fontId="0" fillId="0" borderId="0" xfId="0" applyAlignment="1">
      <alignment wrapText="1"/>
    </xf>
    <xf numFmtId="0" fontId="14" fillId="5" borderId="4" xfId="0" applyFont="1" applyFill="1" applyBorder="1"/>
    <xf numFmtId="0" fontId="15" fillId="5" borderId="5" xfId="0" applyFont="1" applyFill="1" applyBorder="1" applyAlignment="1">
      <alignment horizontal="center" vertical="top"/>
    </xf>
    <xf numFmtId="0" fontId="15" fillId="5" borderId="7" xfId="0" applyFont="1" applyFill="1" applyBorder="1"/>
    <xf numFmtId="0" fontId="15" fillId="5" borderId="3" xfId="0" applyFont="1" applyFill="1" applyBorder="1" applyAlignment="1">
      <alignment horizontal="center" vertical="top"/>
    </xf>
    <xf numFmtId="0" fontId="15" fillId="5" borderId="8" xfId="0" applyFont="1" applyFill="1" applyBorder="1" applyAlignment="1">
      <alignment horizontal="center" vertical="top"/>
    </xf>
    <xf numFmtId="0" fontId="2" fillId="6" borderId="7" xfId="0" applyFont="1" applyFill="1" applyBorder="1" applyAlignment="1">
      <alignment wrapText="1"/>
    </xf>
    <xf numFmtId="3" fontId="3" fillId="6" borderId="3" xfId="0" applyNumberFormat="1" applyFont="1" applyFill="1" applyBorder="1"/>
    <xf numFmtId="3" fontId="4" fillId="6" borderId="8" xfId="0" applyNumberFormat="1" applyFont="1" applyFill="1" applyBorder="1"/>
    <xf numFmtId="2" fontId="5" fillId="0" borderId="7" xfId="0" applyNumberFormat="1" applyFont="1" applyBorder="1" applyAlignment="1">
      <alignment horizontal="left" wrapText="1"/>
    </xf>
    <xf numFmtId="44" fontId="6" fillId="0" borderId="3" xfId="0" applyNumberFormat="1" applyFont="1" applyBorder="1" applyAlignment="1">
      <alignment horizontal="right"/>
    </xf>
    <xf numFmtId="44" fontId="7" fillId="0" borderId="8" xfId="0" applyNumberFormat="1" applyFont="1" applyBorder="1" applyAlignment="1">
      <alignment horizontal="right"/>
    </xf>
    <xf numFmtId="2" fontId="5" fillId="2" borderId="7" xfId="0" applyNumberFormat="1" applyFont="1" applyFill="1" applyBorder="1" applyAlignment="1">
      <alignment horizontal="left" wrapText="1"/>
    </xf>
    <xf numFmtId="44" fontId="6" fillId="2" borderId="3" xfId="0" applyNumberFormat="1" applyFont="1" applyFill="1" applyBorder="1" applyAlignment="1">
      <alignment horizontal="right"/>
    </xf>
    <xf numFmtId="44" fontId="7" fillId="2" borderId="8" xfId="0" applyNumberFormat="1" applyFont="1" applyFill="1" applyBorder="1" applyAlignment="1">
      <alignment horizontal="right"/>
    </xf>
    <xf numFmtId="0" fontId="8" fillId="3" borderId="7" xfId="0" applyFont="1" applyFill="1" applyBorder="1" applyAlignment="1">
      <alignment horizontal="left" wrapText="1"/>
    </xf>
    <xf numFmtId="0" fontId="10" fillId="3" borderId="7" xfId="0" applyFont="1" applyFill="1" applyBorder="1" applyAlignment="1">
      <alignment horizontal="left" wrapText="1"/>
    </xf>
    <xf numFmtId="10" fontId="11" fillId="0" borderId="3" xfId="0" applyNumberFormat="1" applyFont="1" applyBorder="1"/>
    <xf numFmtId="10" fontId="11" fillId="0" borderId="8" xfId="0" applyNumberFormat="1" applyFont="1" applyBorder="1"/>
    <xf numFmtId="164" fontId="12" fillId="0" borderId="7" xfId="0" applyNumberFormat="1" applyFont="1" applyBorder="1" applyAlignment="1">
      <alignment vertical="top" wrapText="1"/>
    </xf>
    <xf numFmtId="3" fontId="12" fillId="0" borderId="3" xfId="0" applyNumberFormat="1" applyFont="1" applyBorder="1"/>
    <xf numFmtId="3" fontId="13" fillId="0" borderId="8" xfId="0" applyNumberFormat="1" applyFont="1" applyBorder="1"/>
    <xf numFmtId="0" fontId="5" fillId="2" borderId="7" xfId="0" applyFont="1" applyFill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2" fontId="5" fillId="4" borderId="7" xfId="0" applyNumberFormat="1" applyFont="1" applyFill="1" applyBorder="1" applyAlignment="1">
      <alignment horizontal="left" wrapText="1"/>
    </xf>
    <xf numFmtId="44" fontId="9" fillId="3" borderId="9" xfId="0" applyNumberFormat="1" applyFont="1" applyFill="1" applyBorder="1"/>
    <xf numFmtId="0" fontId="13" fillId="3" borderId="7" xfId="0" applyFont="1" applyFill="1" applyBorder="1" applyAlignment="1">
      <alignment horizontal="left" wrapText="1"/>
    </xf>
    <xf numFmtId="38" fontId="13" fillId="3" borderId="3" xfId="0" applyNumberFormat="1" applyFont="1" applyFill="1" applyBorder="1"/>
    <xf numFmtId="38" fontId="13" fillId="3" borderId="8" xfId="0" applyNumberFormat="1" applyFont="1" applyFill="1" applyBorder="1"/>
    <xf numFmtId="44" fontId="6" fillId="4" borderId="3" xfId="0" applyNumberFormat="1" applyFont="1" applyFill="1" applyBorder="1" applyAlignment="1">
      <alignment horizontal="right"/>
    </xf>
    <xf numFmtId="0" fontId="11" fillId="0" borderId="7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44" fontId="11" fillId="0" borderId="11" xfId="0" applyNumberFormat="1" applyFont="1" applyBorder="1" applyAlignment="1">
      <alignment vertical="center"/>
    </xf>
    <xf numFmtId="14" fontId="16" fillId="7" borderId="0" xfId="0" applyNumberFormat="1" applyFont="1" applyFill="1"/>
    <xf numFmtId="44" fontId="16" fillId="7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2" xfId="0" applyBorder="1"/>
    <xf numFmtId="0" fontId="19" fillId="7" borderId="12" xfId="0" applyFont="1" applyFill="1" applyBorder="1" applyAlignment="1">
      <alignment horizontal="center"/>
    </xf>
    <xf numFmtId="9" fontId="0" fillId="0" borderId="12" xfId="1" applyFont="1" applyBorder="1"/>
    <xf numFmtId="2" fontId="0" fillId="0" borderId="12" xfId="0" applyNumberFormat="1" applyBorder="1"/>
    <xf numFmtId="0" fontId="15" fillId="8" borderId="6" xfId="0" applyFont="1" applyFill="1" applyBorder="1" applyAlignment="1">
      <alignment horizontal="center" vertical="top"/>
    </xf>
    <xf numFmtId="0" fontId="19" fillId="7" borderId="13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19" fillId="7" borderId="1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7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m/d/yy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Products!$B$12:$B$13</c:f>
              <c:strCache>
                <c:ptCount val="2"/>
                <c:pt idx="0">
                  <c:v>Growth</c:v>
                </c:pt>
                <c:pt idx="1">
                  <c:v>Units 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Products!$A$14:$A$17</c15:sqref>
                  </c15:fullRef>
                </c:ext>
              </c:extLst>
              <c:f>Products!$A$14:$A$16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Products!$B$14:$B$17</c15:sqref>
                  </c15:fullRef>
                </c:ext>
              </c:extLst>
              <c:f>Products!$B$14:$B$16</c:f>
              <c:numCache>
                <c:formatCode>General</c:formatCode>
                <c:ptCount val="3"/>
                <c:pt idx="0">
                  <c:v>33816</c:v>
                </c:pt>
                <c:pt idx="1">
                  <c:v>3634</c:v>
                </c:pt>
                <c:pt idx="2">
                  <c:v>80456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8-4E1F-8BC8-75EA513F636D}"/>
            </c:ext>
          </c:extLst>
        </c:ser>
        <c:ser>
          <c:idx val="1"/>
          <c:order val="1"/>
          <c:tx>
            <c:strRef>
              <c:f>Products!$C$12:$C$13</c:f>
              <c:strCache>
                <c:ptCount val="2"/>
                <c:pt idx="0">
                  <c:v>Growth</c:v>
                </c:pt>
                <c:pt idx="1">
                  <c:v>Units 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Products!$A$14:$A$17</c15:sqref>
                  </c15:fullRef>
                </c:ext>
              </c:extLst>
              <c:f>Products!$A$14:$A$16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Products!$C$14:$C$17</c15:sqref>
                  </c15:fullRef>
                </c:ext>
              </c:extLst>
              <c:f>Products!$C$14:$C$16</c:f>
              <c:numCache>
                <c:formatCode>General</c:formatCode>
                <c:ptCount val="3"/>
                <c:pt idx="0">
                  <c:v>37844</c:v>
                </c:pt>
                <c:pt idx="1">
                  <c:v>2798</c:v>
                </c:pt>
                <c:pt idx="2">
                  <c:v>88872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8-4E1F-8BC8-75EA513F6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733888"/>
        <c:axId val="112572764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Products!$D$12:$D$13</c15:sqref>
                        </c15:formulaRef>
                      </c:ext>
                    </c:extLst>
                    <c:strCache>
                      <c:ptCount val="2"/>
                      <c:pt idx="0">
                        <c:v>Growth</c:v>
                      </c:pt>
                      <c:pt idx="1">
                        <c:v>Growth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Products!$A$14:$A$17</c15:sqref>
                        </c15:fullRef>
                        <c15:formulaRef>
                          <c15:sqref>Products!$A$14:$A$16</c15:sqref>
                        </c15:formulaRef>
                      </c:ext>
                    </c:extLst>
                    <c:strCache>
                      <c:ptCount val="3"/>
                      <c:pt idx="0">
                        <c:v>Product 1</c:v>
                      </c:pt>
                      <c:pt idx="1">
                        <c:v>Product 2</c:v>
                      </c:pt>
                      <c:pt idx="2">
                        <c:v>Product 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Products!$D$14:$D$17</c15:sqref>
                        </c15:fullRef>
                        <c15:formulaRef>
                          <c15:sqref>Products!$D$14:$D$16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4028</c:v>
                      </c:pt>
                      <c:pt idx="1">
                        <c:v>-836</c:v>
                      </c:pt>
                      <c:pt idx="2">
                        <c:v>8416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FE8-4E1F-8BC8-75EA513F636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Products!$E$12:$E$13</c15:sqref>
                        </c15:formulaRef>
                      </c:ext>
                    </c:extLst>
                    <c:strCache>
                      <c:ptCount val="2"/>
                      <c:pt idx="0">
                        <c:v>Growth</c:v>
                      </c:pt>
                      <c:pt idx="1">
                        <c:v>Growth %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Products!$A$14:$A$17</c15:sqref>
                        </c15:fullRef>
                        <c15:formulaRef>
                          <c15:sqref>Products!$A$14:$A$16</c15:sqref>
                        </c15:formulaRef>
                      </c:ext>
                    </c:extLst>
                    <c:strCache>
                      <c:ptCount val="3"/>
                      <c:pt idx="0">
                        <c:v>Product 1</c:v>
                      </c:pt>
                      <c:pt idx="1">
                        <c:v>Product 2</c:v>
                      </c:pt>
                      <c:pt idx="2">
                        <c:v>Product 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Products!$E$14:$E$17</c15:sqref>
                        </c15:fullRef>
                        <c15:formulaRef>
                          <c15:sqref>Products!$E$14:$E$16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0.11911521173409037</c:v>
                      </c:pt>
                      <c:pt idx="1">
                        <c:v>-0.23004953219592736</c:v>
                      </c:pt>
                      <c:pt idx="2">
                        <c:v>0.10460375857611613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E8-4E1F-8BC8-75EA513F636D}"/>
                  </c:ext>
                </c:extLst>
              </c15:ser>
            </c15:filteredLineSeries>
          </c:ext>
        </c:extLst>
      </c:lineChart>
      <c:catAx>
        <c:axId val="112573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727648"/>
        <c:crosses val="autoZero"/>
        <c:auto val="1"/>
        <c:lblAlgn val="ctr"/>
        <c:lblOffset val="100"/>
        <c:noMultiLvlLbl val="0"/>
      </c:catAx>
      <c:valAx>
        <c:axId val="11257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733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6">
          <a:lumMod val="75000"/>
          <a:alpha val="6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[analyze-profits-for-ecommerce-company-dataset.xlsx]More Analysis!PivotTable9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Quantity 2024 vs 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'More Analysis'!$B$1:$B$2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'More Analysis'!$A$3:$A$15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'More Analysis'!$B$3:$B$15</c:f>
              <c:numCache>
                <c:formatCode>General</c:formatCode>
                <c:ptCount val="12"/>
                <c:pt idx="0">
                  <c:v>11234</c:v>
                </c:pt>
                <c:pt idx="1">
                  <c:v>8676</c:v>
                </c:pt>
                <c:pt idx="2">
                  <c:v>9106</c:v>
                </c:pt>
                <c:pt idx="3">
                  <c:v>9156</c:v>
                </c:pt>
                <c:pt idx="4">
                  <c:v>9464</c:v>
                </c:pt>
                <c:pt idx="5">
                  <c:v>9788</c:v>
                </c:pt>
                <c:pt idx="6">
                  <c:v>9650</c:v>
                </c:pt>
                <c:pt idx="7">
                  <c:v>10032</c:v>
                </c:pt>
                <c:pt idx="8">
                  <c:v>10726</c:v>
                </c:pt>
                <c:pt idx="9">
                  <c:v>11528</c:v>
                </c:pt>
                <c:pt idx="10">
                  <c:v>7980</c:v>
                </c:pt>
                <c:pt idx="11">
                  <c:v>10566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A-446D-A5B7-C7290130B948}"/>
            </c:ext>
          </c:extLst>
        </c:ser>
        <c:ser>
          <c:idx val="1"/>
          <c:order val="1"/>
          <c:tx>
            <c:strRef>
              <c:f>'More Analysis'!$C$1:$C$2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'More Analysis'!$A$3:$A$15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'More Analysis'!$C$3:$C$15</c:f>
              <c:numCache>
                <c:formatCode>General</c:formatCode>
                <c:ptCount val="12"/>
                <c:pt idx="0">
                  <c:v>10380</c:v>
                </c:pt>
                <c:pt idx="1">
                  <c:v>8356</c:v>
                </c:pt>
                <c:pt idx="2">
                  <c:v>10580</c:v>
                </c:pt>
                <c:pt idx="3">
                  <c:v>11020</c:v>
                </c:pt>
                <c:pt idx="4">
                  <c:v>10608</c:v>
                </c:pt>
                <c:pt idx="5">
                  <c:v>9388</c:v>
                </c:pt>
                <c:pt idx="6">
                  <c:v>12124</c:v>
                </c:pt>
                <c:pt idx="7">
                  <c:v>10446</c:v>
                </c:pt>
                <c:pt idx="8">
                  <c:v>11180</c:v>
                </c:pt>
                <c:pt idx="9">
                  <c:v>12168</c:v>
                </c:pt>
                <c:pt idx="10">
                  <c:v>12172</c:v>
                </c:pt>
                <c:pt idx="11">
                  <c:v>11092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A-446D-A5B7-C7290130B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745408"/>
        <c:axId val="1125750208"/>
      </c:barChart>
      <c:catAx>
        <c:axId val="11257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750208"/>
        <c:crosses val="autoZero"/>
        <c:auto val="1"/>
        <c:lblAlgn val="ctr"/>
        <c:lblOffset val="100"/>
        <c:noMultiLvlLbl val="0"/>
      </c:catAx>
      <c:valAx>
        <c:axId val="11257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7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6">
          <a:lumMod val="75000"/>
          <a:alpha val="6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[analyze-profits-for-ecommerce-company-dataset.xlsx]Analysis!PivotTable12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Sales Trend (2024 vs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Analysis!$A$5:$A$17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Analysis!$B$5:$B$17</c:f>
              <c:numCache>
                <c:formatCode>General</c:formatCode>
                <c:ptCount val="12"/>
                <c:pt idx="0">
                  <c:v>67968.83</c:v>
                </c:pt>
                <c:pt idx="1">
                  <c:v>52966.62000000001</c:v>
                </c:pt>
                <c:pt idx="2">
                  <c:v>55756.970000000016</c:v>
                </c:pt>
                <c:pt idx="3">
                  <c:v>55429.220000000016</c:v>
                </c:pt>
                <c:pt idx="4">
                  <c:v>57305.18</c:v>
                </c:pt>
                <c:pt idx="5">
                  <c:v>59788.56</c:v>
                </c:pt>
                <c:pt idx="6">
                  <c:v>58349.25</c:v>
                </c:pt>
                <c:pt idx="7">
                  <c:v>60709.840000000011</c:v>
                </c:pt>
                <c:pt idx="8">
                  <c:v>65533.869999999995</c:v>
                </c:pt>
                <c:pt idx="9">
                  <c:v>70224.86</c:v>
                </c:pt>
                <c:pt idx="10">
                  <c:v>48235.100000000013</c:v>
                </c:pt>
                <c:pt idx="11">
                  <c:v>64497.169999999984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0-404A-B392-E25FA8D16DA7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Analysis!$A$5:$A$17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Analysis!$C$5:$C$17</c:f>
              <c:numCache>
                <c:formatCode>General</c:formatCode>
                <c:ptCount val="12"/>
                <c:pt idx="0">
                  <c:v>63068.100000000006</c:v>
                </c:pt>
                <c:pt idx="1">
                  <c:v>50910.720000000008</c:v>
                </c:pt>
                <c:pt idx="2">
                  <c:v>63397.099999999977</c:v>
                </c:pt>
                <c:pt idx="3">
                  <c:v>65832.400000000009</c:v>
                </c:pt>
                <c:pt idx="4">
                  <c:v>64291.96</c:v>
                </c:pt>
                <c:pt idx="5">
                  <c:v>56920.560000000005</c:v>
                </c:pt>
                <c:pt idx="6">
                  <c:v>73444.380000000019</c:v>
                </c:pt>
                <c:pt idx="7">
                  <c:v>62057.76999999999</c:v>
                </c:pt>
                <c:pt idx="8">
                  <c:v>66704.10000000002</c:v>
                </c:pt>
                <c:pt idx="9">
                  <c:v>72541.66</c:v>
                </c:pt>
                <c:pt idx="10">
                  <c:v>73094.140000000014</c:v>
                </c:pt>
                <c:pt idx="11">
                  <c:v>66734.539999999994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0-404A-B392-E25FA8D16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692608"/>
        <c:axId val="1125693088"/>
      </c:lineChart>
      <c:catAx>
        <c:axId val="112569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93088"/>
        <c:crosses val="autoZero"/>
        <c:auto val="1"/>
        <c:lblAlgn val="ctr"/>
        <c:lblOffset val="100"/>
        <c:noMultiLvlLbl val="0"/>
      </c:catAx>
      <c:valAx>
        <c:axId val="11256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6">
          <a:lumMod val="75000"/>
          <a:alpha val="6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[analyze-profits-for-ecommerce-company-dataset.xlsx]More Analysis!PivotTable13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Units Sold per Product (2024 vs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'More Analysis'!$B$17:$B$18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'More Analysis'!$A$19:$A$22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'More Analysis'!$B$19:$B$22</c:f>
              <c:numCache>
                <c:formatCode>General</c:formatCode>
                <c:ptCount val="3"/>
                <c:pt idx="0">
                  <c:v>33816</c:v>
                </c:pt>
                <c:pt idx="1">
                  <c:v>3634</c:v>
                </c:pt>
                <c:pt idx="2">
                  <c:v>80456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3-40FD-8ABB-49312776AD60}"/>
            </c:ext>
          </c:extLst>
        </c:ser>
        <c:ser>
          <c:idx val="1"/>
          <c:order val="1"/>
          <c:tx>
            <c:strRef>
              <c:f>'More Analysis'!$C$17:$C$18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'More Analysis'!$A$19:$A$22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'More Analysis'!$C$19:$C$22</c:f>
              <c:numCache>
                <c:formatCode>General</c:formatCode>
                <c:ptCount val="3"/>
                <c:pt idx="0">
                  <c:v>37844</c:v>
                </c:pt>
                <c:pt idx="1">
                  <c:v>2798</c:v>
                </c:pt>
                <c:pt idx="2">
                  <c:v>88872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3-40FD-8ABB-49312776A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4587072"/>
        <c:axId val="304608672"/>
        <c:axId val="0"/>
      </c:bar3DChart>
      <c:catAx>
        <c:axId val="30458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08672"/>
        <c:crosses val="autoZero"/>
        <c:auto val="1"/>
        <c:lblAlgn val="ctr"/>
        <c:lblOffset val="100"/>
        <c:noMultiLvlLbl val="0"/>
      </c:catAx>
      <c:valAx>
        <c:axId val="3046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8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6">
          <a:lumMod val="75000"/>
          <a:alpha val="6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Daily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Products!$H$2</c:f>
              <c:strCache>
                <c:ptCount val="1"/>
                <c:pt idx="0">
                  <c:v>AVG 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Products!$G$3:$G$5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Products!$H$3:$H$5</c:f>
              <c:numCache>
                <c:formatCode>0.00</c:formatCode>
                <c:ptCount val="3"/>
                <c:pt idx="0">
                  <c:v>362.92725409836072</c:v>
                </c:pt>
                <c:pt idx="1">
                  <c:v>63.489180327868844</c:v>
                </c:pt>
                <c:pt idx="2">
                  <c:v>62.904453551912567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4-4ED3-BB21-6A973021DFEF}"/>
            </c:ext>
          </c:extLst>
        </c:ser>
        <c:ser>
          <c:idx val="1"/>
          <c:order val="1"/>
          <c:tx>
            <c:strRef>
              <c:f>Products!$I$2</c:f>
              <c:strCache>
                <c:ptCount val="1"/>
                <c:pt idx="0">
                  <c:v>AVG 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Products!$G$3:$G$5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Products!$I$3:$I$5</c:f>
              <c:numCache>
                <c:formatCode>0.00</c:formatCode>
                <c:ptCount val="3"/>
                <c:pt idx="0">
                  <c:v>422.95264383561653</c:v>
                </c:pt>
                <c:pt idx="1">
                  <c:v>83.365945205479434</c:v>
                </c:pt>
                <c:pt idx="2">
                  <c:v>38.914191780821916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4-4ED3-BB21-6A973021DF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9945119"/>
        <c:axId val="1289949919"/>
      </c:barChart>
      <c:catAx>
        <c:axId val="128994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949919"/>
        <c:crosses val="autoZero"/>
        <c:auto val="1"/>
        <c:lblAlgn val="ctr"/>
        <c:lblOffset val="100"/>
        <c:noMultiLvlLbl val="0"/>
      </c:catAx>
      <c:valAx>
        <c:axId val="128994991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94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6">
          <a:lumMod val="75000"/>
          <a:alpha val="6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[analyze-profits-for-ecommerce-company-dataset.xlsx]Analysis!PivotTable12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Sales Trend (2024 vs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Analysis!$A$5:$A$17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Analysis!$B$5:$B$17</c:f>
              <c:numCache>
                <c:formatCode>General</c:formatCode>
                <c:ptCount val="12"/>
                <c:pt idx="0">
                  <c:v>67968.83</c:v>
                </c:pt>
                <c:pt idx="1">
                  <c:v>52966.62000000001</c:v>
                </c:pt>
                <c:pt idx="2">
                  <c:v>55756.970000000016</c:v>
                </c:pt>
                <c:pt idx="3">
                  <c:v>55429.220000000016</c:v>
                </c:pt>
                <c:pt idx="4">
                  <c:v>57305.18</c:v>
                </c:pt>
                <c:pt idx="5">
                  <c:v>59788.56</c:v>
                </c:pt>
                <c:pt idx="6">
                  <c:v>58349.25</c:v>
                </c:pt>
                <c:pt idx="7">
                  <c:v>60709.840000000011</c:v>
                </c:pt>
                <c:pt idx="8">
                  <c:v>65533.869999999995</c:v>
                </c:pt>
                <c:pt idx="9">
                  <c:v>70224.86</c:v>
                </c:pt>
                <c:pt idx="10">
                  <c:v>48235.100000000013</c:v>
                </c:pt>
                <c:pt idx="11">
                  <c:v>64497.169999999984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6-42BE-B405-5234B4EC7B5F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Analysis!$A$5:$A$17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Analysis!$C$5:$C$17</c:f>
              <c:numCache>
                <c:formatCode>General</c:formatCode>
                <c:ptCount val="12"/>
                <c:pt idx="0">
                  <c:v>63068.100000000006</c:v>
                </c:pt>
                <c:pt idx="1">
                  <c:v>50910.720000000008</c:v>
                </c:pt>
                <c:pt idx="2">
                  <c:v>63397.099999999977</c:v>
                </c:pt>
                <c:pt idx="3">
                  <c:v>65832.400000000009</c:v>
                </c:pt>
                <c:pt idx="4">
                  <c:v>64291.96</c:v>
                </c:pt>
                <c:pt idx="5">
                  <c:v>56920.560000000005</c:v>
                </c:pt>
                <c:pt idx="6">
                  <c:v>73444.380000000019</c:v>
                </c:pt>
                <c:pt idx="7">
                  <c:v>62057.76999999999</c:v>
                </c:pt>
                <c:pt idx="8">
                  <c:v>66704.10000000002</c:v>
                </c:pt>
                <c:pt idx="9">
                  <c:v>72541.66</c:v>
                </c:pt>
                <c:pt idx="10">
                  <c:v>73094.140000000014</c:v>
                </c:pt>
                <c:pt idx="11">
                  <c:v>66734.539999999994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C6-42BE-B405-5234B4EC7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692608"/>
        <c:axId val="1125693088"/>
      </c:lineChart>
      <c:catAx>
        <c:axId val="112569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93088"/>
        <c:crosses val="autoZero"/>
        <c:auto val="1"/>
        <c:lblAlgn val="ctr"/>
        <c:lblOffset val="100"/>
        <c:noMultiLvlLbl val="0"/>
      </c:catAx>
      <c:valAx>
        <c:axId val="11256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[analyze-profits-for-ecommerce-company-dataset.xlsx]More Analysis!PivotTable9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Quantity 2024 vs 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'More Analysis'!$B$1:$B$2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'More Analysis'!$A$3:$A$15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'More Analysis'!$B$3:$B$15</c:f>
              <c:numCache>
                <c:formatCode>General</c:formatCode>
                <c:ptCount val="12"/>
                <c:pt idx="0">
                  <c:v>11234</c:v>
                </c:pt>
                <c:pt idx="1">
                  <c:v>8676</c:v>
                </c:pt>
                <c:pt idx="2">
                  <c:v>9106</c:v>
                </c:pt>
                <c:pt idx="3">
                  <c:v>9156</c:v>
                </c:pt>
                <c:pt idx="4">
                  <c:v>9464</c:v>
                </c:pt>
                <c:pt idx="5">
                  <c:v>9788</c:v>
                </c:pt>
                <c:pt idx="6">
                  <c:v>9650</c:v>
                </c:pt>
                <c:pt idx="7">
                  <c:v>10032</c:v>
                </c:pt>
                <c:pt idx="8">
                  <c:v>10726</c:v>
                </c:pt>
                <c:pt idx="9">
                  <c:v>11528</c:v>
                </c:pt>
                <c:pt idx="10">
                  <c:v>7980</c:v>
                </c:pt>
                <c:pt idx="11">
                  <c:v>10566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6-4CF0-82D0-A25D610DBD8A}"/>
            </c:ext>
          </c:extLst>
        </c:ser>
        <c:ser>
          <c:idx val="1"/>
          <c:order val="1"/>
          <c:tx>
            <c:strRef>
              <c:f>'More Analysis'!$C$1:$C$2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'More Analysis'!$A$3:$A$15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'More Analysis'!$C$3:$C$15</c:f>
              <c:numCache>
                <c:formatCode>General</c:formatCode>
                <c:ptCount val="12"/>
                <c:pt idx="0">
                  <c:v>10380</c:v>
                </c:pt>
                <c:pt idx="1">
                  <c:v>8356</c:v>
                </c:pt>
                <c:pt idx="2">
                  <c:v>10580</c:v>
                </c:pt>
                <c:pt idx="3">
                  <c:v>11020</c:v>
                </c:pt>
                <c:pt idx="4">
                  <c:v>10608</c:v>
                </c:pt>
                <c:pt idx="5">
                  <c:v>9388</c:v>
                </c:pt>
                <c:pt idx="6">
                  <c:v>12124</c:v>
                </c:pt>
                <c:pt idx="7">
                  <c:v>10446</c:v>
                </c:pt>
                <c:pt idx="8">
                  <c:v>11180</c:v>
                </c:pt>
                <c:pt idx="9">
                  <c:v>12168</c:v>
                </c:pt>
                <c:pt idx="10">
                  <c:v>12172</c:v>
                </c:pt>
                <c:pt idx="11">
                  <c:v>11092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B6-4CF0-82D0-A25D610DB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745408"/>
        <c:axId val="1125750208"/>
      </c:barChart>
      <c:catAx>
        <c:axId val="11257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750208"/>
        <c:crosses val="autoZero"/>
        <c:auto val="1"/>
        <c:lblAlgn val="ctr"/>
        <c:lblOffset val="100"/>
        <c:noMultiLvlLbl val="0"/>
      </c:catAx>
      <c:valAx>
        <c:axId val="11257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7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[analyze-profits-for-ecommerce-company-dataset.xlsx]More Analysis!PivotTable13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Units Sold per Product (2024 vs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'More Analysis'!$B$17:$B$18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'More Analysis'!$A$19:$A$22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'More Analysis'!$B$19:$B$22</c:f>
              <c:numCache>
                <c:formatCode>General</c:formatCode>
                <c:ptCount val="3"/>
                <c:pt idx="0">
                  <c:v>33816</c:v>
                </c:pt>
                <c:pt idx="1">
                  <c:v>3634</c:v>
                </c:pt>
                <c:pt idx="2">
                  <c:v>80456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2-4E13-9563-4BF9BFB474F1}"/>
            </c:ext>
          </c:extLst>
        </c:ser>
        <c:ser>
          <c:idx val="1"/>
          <c:order val="1"/>
          <c:tx>
            <c:strRef>
              <c:f>'More Analysis'!$C$17:$C$18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'More Analysis'!$A$19:$A$22</c:f>
              <c:strCache>
                <c:ptCount val="3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</c:strCache>
            </c:strRef>
          </c:cat>
          <c:val>
            <c:numRef>
              <c:f>'More Analysis'!$C$19:$C$22</c:f>
              <c:numCache>
                <c:formatCode>General</c:formatCode>
                <c:ptCount val="3"/>
                <c:pt idx="0">
                  <c:v>37844</c:v>
                </c:pt>
                <c:pt idx="1">
                  <c:v>2798</c:v>
                </c:pt>
                <c:pt idx="2">
                  <c:v>88872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2-4E13-9563-4BF9BFB47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4587072"/>
        <c:axId val="304608672"/>
        <c:axId val="0"/>
      </c:bar3DChart>
      <c:catAx>
        <c:axId val="30458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08672"/>
        <c:crosses val="autoZero"/>
        <c:auto val="1"/>
        <c:lblAlgn val="ctr"/>
        <c:lblOffset val="100"/>
        <c:noMultiLvlLbl val="0"/>
      </c:catAx>
      <c:valAx>
        <c:axId val="3046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8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11012</xdr:colOff>
      <xdr:row>2</xdr:row>
      <xdr:rowOff>77888</xdr:rowOff>
    </xdr:from>
    <xdr:to>
      <xdr:col>8</xdr:col>
      <xdr:colOff>582512</xdr:colOff>
      <xdr:row>19</xdr:row>
      <xdr:rowOff>122338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86373-0595-4D5F-8A4E-4FA0DCAE5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49112</xdr:colOff>
      <xdr:row>2</xdr:row>
      <xdr:rowOff>65590</xdr:rowOff>
    </xdr:from>
    <xdr:to>
      <xdr:col>17</xdr:col>
      <xdr:colOff>609198</xdr:colOff>
      <xdr:row>19</xdr:row>
      <xdr:rowOff>110040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644B70-F416-4387-B991-7B58DE2B8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2064</xdr:colOff>
      <xdr:row>22</xdr:row>
      <xdr:rowOff>62250</xdr:rowOff>
    </xdr:from>
    <xdr:to>
      <xdr:col>8</xdr:col>
      <xdr:colOff>589150</xdr:colOff>
      <xdr:row>40</xdr:row>
      <xdr:rowOff>48684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331959-1BD8-4CB3-A38E-6DA68E156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44117</xdr:colOff>
      <xdr:row>22</xdr:row>
      <xdr:rowOff>31330</xdr:rowOff>
    </xdr:from>
    <xdr:to>
      <xdr:col>18</xdr:col>
      <xdr:colOff>36902</xdr:colOff>
      <xdr:row>40</xdr:row>
      <xdr:rowOff>14889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F8EF89-C578-48E1-B9B3-7DB1E2904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30897</xdr:colOff>
      <xdr:row>8</xdr:row>
      <xdr:rowOff>97508</xdr:rowOff>
    </xdr:from>
    <xdr:to>
      <xdr:col>27</xdr:col>
      <xdr:colOff>23681</xdr:colOff>
      <xdr:row>25</xdr:row>
      <xdr:rowOff>141958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C54DDB-0004-490B-AB2D-0D3DAB7DC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0</xdr:row>
      <xdr:rowOff>133350</xdr:rowOff>
    </xdr:from>
    <xdr:to>
      <xdr:col>11</xdr:col>
      <xdr:colOff>228600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77E26-C0C8-DFEA-A410-A2FEFC0E5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0</xdr:row>
      <xdr:rowOff>44450</xdr:rowOff>
    </xdr:from>
    <xdr:to>
      <xdr:col>11</xdr:col>
      <xdr:colOff>171450</xdr:colOff>
      <xdr:row>14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5B8EF2-44C2-C0F3-492E-E11455DE5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31750</xdr:colOff>
      <xdr:row>16</xdr:row>
      <xdr:rowOff>12700</xdr:rowOff>
    </xdr:from>
    <xdr:to>
      <xdr:col>11</xdr:col>
      <xdr:colOff>171450</xdr:colOff>
      <xdr:row>33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8E1B79-7E30-EEA1-9865-0E15D3ADF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a Alanazi" refreshedDate="45995.070514236111" createdVersion="8" refreshedVersion="8" minRefreshableVersion="3" recordCount="5266" xr:uid="{8DD9705C-84E4-4EA9-A769-5535A485F55A}">
  <cacheSource type="worksheet">
    <worksheetSource ref="A1:I1048576" sheet="Data"/>
  </cacheSource>
  <cacheFields count="12">
    <cacheField name="date" numFmtId="0">
      <sharedItems containsNonDate="0" containsDate="1" containsString="0" containsBlank="1" minDate="2024-01-01T00:00:00" maxDate="2026-01-01T00:00:00" count="732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m/>
      </sharedItems>
      <fieldGroup par="11"/>
    </cacheField>
    <cacheField name="description" numFmtId="0">
      <sharedItems containsBlank="1"/>
    </cacheField>
    <cacheField name="price" numFmtId="0">
      <sharedItems containsBlank="1" containsMixedTypes="1" containsNumber="1" minValue="5.49" maxValue="24.99"/>
    </cacheField>
    <cacheField name="quantity" numFmtId="0">
      <sharedItems containsBlank="1" containsMixedTypes="1" containsNumber="1" containsInteger="1" minValue="0" maxValue="273"/>
    </cacheField>
    <cacheField name="total" numFmtId="0">
      <sharedItems containsString="0" containsBlank="1" containsNumber="1" minValue="0" maxValue="3409.77"/>
    </cacheField>
    <cacheField name="category" numFmtId="0">
      <sharedItems containsBlank="1"/>
    </cacheField>
    <cacheField name="product" numFmtId="0">
      <sharedItems containsBlank="1" count="5">
        <s v="NA"/>
        <s v="product 1"/>
        <s v="product 2"/>
        <s v="product 3"/>
        <m/>
      </sharedItems>
    </cacheField>
    <cacheField name="year" numFmtId="0">
      <sharedItems containsString="0" containsBlank="1" containsNumber="1" containsInteger="1" minValue="2024" maxValue="2025" count="3">
        <n v="2024"/>
        <n v="2025"/>
        <m/>
      </sharedItems>
    </cacheField>
    <cacheField name="Month" numFmtId="0">
      <sharedItems containsString="0" containsBlank="1" containsNumber="1" containsInteger="1" minValue="1" maxValue="12"/>
    </cacheField>
    <cacheField name="Months (date)" numFmtId="0" databaseField="0">
      <fieldGroup base="0">
        <rangePr groupBy="months" startDate="2024-01-01T00:00:00" endDate="2026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Quarters (date)" numFmtId="0" databaseField="0">
      <fieldGroup base="0">
        <rangePr groupBy="quarters" startDate="2024-01-01T00:00:00" endDate="2026-01-01T00:00:00"/>
        <groupItems count="6">
          <s v="&lt;1/1/2024"/>
          <s v="Qtr1"/>
          <s v="Qtr2"/>
          <s v="Qtr3"/>
          <s v="Qtr4"/>
          <s v="&gt;1/1/2026"/>
        </groupItems>
      </fieldGroup>
    </cacheField>
    <cacheField name="Years (date)" numFmtId="0" databaseField="0">
      <fieldGroup base="0">
        <rangePr groupBy="years" startDate="2024-01-01T00:00:00" endDate="2026-01-01T00:00:00"/>
        <groupItems count="5">
          <s v="&lt;1/1/2024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a Alanazi" refreshedDate="45997.108358101854" createdVersion="8" refreshedVersion="8" minRefreshableVersion="3" recordCount="5266" xr:uid="{B2147C63-F064-4A2F-9DD6-35F0C12E7512}">
  <cacheSource type="worksheet">
    <worksheetSource ref="A1:J1048576" sheet="Data"/>
  </cacheSource>
  <cacheFields count="10">
    <cacheField name="date" numFmtId="0">
      <sharedItems containsNonDate="0" containsDate="1" containsString="0" containsBlank="1" minDate="2024-01-01T00:00:00" maxDate="2026-01-01T00:00:00"/>
    </cacheField>
    <cacheField name="description" numFmtId="0">
      <sharedItems containsBlank="1"/>
    </cacheField>
    <cacheField name="price" numFmtId="0">
      <sharedItems containsBlank="1" containsMixedTypes="1" containsNumber="1" minValue="5.49" maxValue="24.99"/>
    </cacheField>
    <cacheField name="quantity" numFmtId="0">
      <sharedItems containsBlank="1" containsMixedTypes="1" containsNumber="1" containsInteger="1" minValue="0" maxValue="273" count="231">
        <s v="NA"/>
        <n v="71"/>
        <n v="3"/>
        <n v="78"/>
        <n v="65"/>
        <n v="226"/>
        <n v="37"/>
        <n v="9"/>
        <n v="222"/>
        <n v="39"/>
        <n v="2"/>
        <n v="180"/>
        <n v="73"/>
        <n v="7"/>
        <n v="95"/>
        <n v="38"/>
        <n v="8"/>
        <n v="103"/>
        <n v="85"/>
        <n v="4"/>
        <n v="249"/>
        <n v="12"/>
        <n v="10"/>
        <n v="0"/>
        <n v="99"/>
        <n v="1"/>
        <n v="21"/>
        <n v="157"/>
        <n v="58"/>
        <n v="5"/>
        <n v="17"/>
        <n v="18"/>
        <n v="112"/>
        <n v="81"/>
        <n v="134"/>
        <n v="19"/>
        <n v="150"/>
        <n v="204"/>
        <n v="66"/>
        <n v="25"/>
        <n v="237"/>
        <n v="92"/>
        <n v="6"/>
        <n v="217"/>
        <n v="32"/>
        <n v="11"/>
        <n v="68"/>
        <n v="246"/>
        <n v="62"/>
        <n v="233"/>
        <n v="90"/>
        <n v="137"/>
        <n v="91"/>
        <n v="147"/>
        <n v="44"/>
        <n v="225"/>
        <n v="87"/>
        <n v="171"/>
        <n v="42"/>
        <n v="59"/>
        <n v="23"/>
        <n v="97"/>
        <n v="70"/>
        <n v="229"/>
        <n v="20"/>
        <n v="164"/>
        <n v="47"/>
        <n v="181"/>
        <n v="142"/>
        <n v="77"/>
        <n v="198"/>
        <n v="83"/>
        <n v="24"/>
        <n v="67"/>
        <n v="55"/>
        <n v="75"/>
        <n v="74"/>
        <n v="126"/>
        <n v="56"/>
        <n v="63"/>
        <n v="43"/>
        <n v="179"/>
        <n v="89"/>
        <n v="46"/>
        <n v="241"/>
        <n v="35"/>
        <n v="28"/>
        <n v="16"/>
        <n v="27"/>
        <n v="113"/>
        <n v="122"/>
        <n v="176"/>
        <n v="53"/>
        <n v="127"/>
        <n v="200"/>
        <n v="60"/>
        <n v="189"/>
        <n v="57"/>
        <n v="45"/>
        <n v="133"/>
        <n v="88"/>
        <n v="79"/>
        <n v="51"/>
        <n v="118"/>
        <n v="69"/>
        <n v="82"/>
        <n v="98"/>
        <n v="33"/>
        <n v="96"/>
        <n v="219"/>
        <n v="61"/>
        <n v="22"/>
        <n v="135"/>
        <n v="31"/>
        <n v="48"/>
        <n v="76"/>
        <n v="177"/>
        <n v="86"/>
        <n v="184"/>
        <n v="49"/>
        <n v="80"/>
        <n v="202"/>
        <n v="26"/>
        <n v="130"/>
        <n v="34"/>
        <n v="165"/>
        <n v="168"/>
        <n v="14"/>
        <n v="41"/>
        <n v="158"/>
        <n v="40"/>
        <n v="94"/>
        <n v="232"/>
        <n v="138"/>
        <n v="64"/>
        <n v="30"/>
        <n v="143"/>
        <n v="50"/>
        <n v="52"/>
        <n v="36"/>
        <n v="29"/>
        <n v="196"/>
        <n v="223"/>
        <n v="155"/>
        <n v="247"/>
        <n v="15"/>
        <n v="144"/>
        <n v="169"/>
        <n v="187"/>
        <n v="152"/>
        <n v="190"/>
        <n v="208"/>
        <n v="194"/>
        <n v="121"/>
        <n v="123"/>
        <n v="161"/>
        <n v="120"/>
        <n v="228"/>
        <n v="72"/>
        <n v="192"/>
        <n v="131"/>
        <n v="166"/>
        <n v="238"/>
        <n v="125"/>
        <n v="108"/>
        <n v="205"/>
        <n v="13"/>
        <n v="248"/>
        <n v="124"/>
        <n v="117"/>
        <n v="163"/>
        <n v="183"/>
        <n v="54"/>
        <n v="245"/>
        <n v="221"/>
        <n v="159"/>
        <n v="146"/>
        <n v="195"/>
        <n v="193"/>
        <n v="220"/>
        <n v="215"/>
        <n v="242"/>
        <n v="206"/>
        <n v="116"/>
        <n v="104"/>
        <n v="197"/>
        <n v="240"/>
        <n v="182"/>
        <n v="230"/>
        <n v="218"/>
        <n v="236"/>
        <n v="162"/>
        <n v="201"/>
        <n v="234"/>
        <n v="178"/>
        <n v="170"/>
        <n v="231"/>
        <n v="151"/>
        <n v="93"/>
        <n v="210"/>
        <n v="136"/>
        <n v="185"/>
        <n v="145"/>
        <n v="191"/>
        <n v="160"/>
        <n v="149"/>
        <n v="119"/>
        <n v="148"/>
        <n v="107"/>
        <n v="212"/>
        <n v="209"/>
        <n v="207"/>
        <n v="114"/>
        <n v="167"/>
        <n v="105"/>
        <n v="115"/>
        <n v="239"/>
        <n v="153"/>
        <n v="211"/>
        <n v="128"/>
        <n v="100"/>
        <n v="132"/>
        <n v="102"/>
        <n v="110"/>
        <n v="109"/>
        <n v="243"/>
        <n v="84"/>
        <n v="273"/>
        <n v="106"/>
        <n v="175"/>
        <m/>
      </sharedItems>
    </cacheField>
    <cacheField name="total" numFmtId="0">
      <sharedItems containsString="0" containsBlank="1" containsNumber="1" minValue="0" maxValue="3409.77"/>
    </cacheField>
    <cacheField name="category" numFmtId="0">
      <sharedItems containsBlank="1" count="8">
        <s v="amortization"/>
        <s v="cogs"/>
        <s v="marketing"/>
        <s v="net sales"/>
        <s v="overhead"/>
        <s v="payroll"/>
        <s v="interest"/>
        <m/>
      </sharedItems>
    </cacheField>
    <cacheField name="product" numFmtId="0">
      <sharedItems containsBlank="1" count="5">
        <s v="NA"/>
        <s v="product 1"/>
        <s v="product 2"/>
        <s v="product 3"/>
        <m/>
      </sharedItems>
    </cacheField>
    <cacheField name="year" numFmtId="0">
      <sharedItems containsString="0" containsBlank="1" containsNumber="1" containsInteger="1" minValue="2024" maxValue="2025" count="3">
        <n v="2024"/>
        <n v="2025"/>
        <m/>
      </sharedItems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profit" numFmtId="0">
      <sharedItems containsString="0" containsBlank="1" containsNumber="1" minValue="-2229.52" maxValue="3110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66">
  <r>
    <x v="0"/>
    <s v="amortization"/>
    <s v="NA"/>
    <s v="NA"/>
    <n v="50"/>
    <s v="amortization"/>
    <x v="0"/>
    <x v="0"/>
    <n v="1"/>
  </r>
  <r>
    <x v="0"/>
    <s v="cogs:product 1"/>
    <n v="5.99"/>
    <n v="71"/>
    <n v="425.29"/>
    <s v="cogs"/>
    <x v="1"/>
    <x v="0"/>
    <n v="1"/>
  </r>
  <r>
    <x v="0"/>
    <s v="cogs:product 2"/>
    <n v="16.989999999999998"/>
    <n v="3"/>
    <n v="50.97"/>
    <s v="cogs"/>
    <x v="2"/>
    <x v="0"/>
    <n v="1"/>
  </r>
  <r>
    <x v="0"/>
    <s v="cogs:product 3"/>
    <n v="8.49"/>
    <n v="78"/>
    <n v="662.22"/>
    <s v="cogs"/>
    <x v="3"/>
    <x v="0"/>
    <n v="1"/>
  </r>
  <r>
    <x v="0"/>
    <s v="marketing"/>
    <s v="NA"/>
    <s v="NA"/>
    <n v="99.990000000000009"/>
    <s v="marketing"/>
    <x v="0"/>
    <x v="0"/>
    <n v="1"/>
  </r>
  <r>
    <x v="0"/>
    <s v="net sales:product 1"/>
    <n v="9.99"/>
    <n v="71"/>
    <n v="709.29"/>
    <s v="net sales"/>
    <x v="1"/>
    <x v="0"/>
    <n v="1"/>
  </r>
  <r>
    <x v="0"/>
    <s v="net sales:product 2"/>
    <n v="24.99"/>
    <n v="3"/>
    <n v="74.97"/>
    <s v="net sales"/>
    <x v="2"/>
    <x v="0"/>
    <n v="1"/>
  </r>
  <r>
    <x v="0"/>
    <s v="net sales:product 3"/>
    <n v="12.49"/>
    <n v="78"/>
    <n v="974.22"/>
    <s v="net sales"/>
    <x v="3"/>
    <x v="0"/>
    <n v="1"/>
  </r>
  <r>
    <x v="0"/>
    <s v="overhead"/>
    <s v="NA"/>
    <s v="NA"/>
    <n v="2000"/>
    <s v="overhead"/>
    <x v="0"/>
    <x v="0"/>
    <n v="1"/>
  </r>
  <r>
    <x v="1"/>
    <s v="cogs:product 1"/>
    <n v="5.99"/>
    <n v="65"/>
    <n v="389.35"/>
    <s v="cogs"/>
    <x v="1"/>
    <x v="0"/>
    <n v="1"/>
  </r>
  <r>
    <x v="1"/>
    <s v="cogs:product 2"/>
    <n v="16.989999999999998"/>
    <n v="3"/>
    <n v="50.97"/>
    <s v="cogs"/>
    <x v="2"/>
    <x v="0"/>
    <n v="1"/>
  </r>
  <r>
    <x v="1"/>
    <s v="cogs:product 3"/>
    <n v="8.49"/>
    <n v="226"/>
    <n v="1918.74"/>
    <s v="cogs"/>
    <x v="3"/>
    <x v="0"/>
    <n v="1"/>
  </r>
  <r>
    <x v="1"/>
    <s v="marketing"/>
    <s v="NA"/>
    <s v="NA"/>
    <n v="99.960000000000008"/>
    <s v="marketing"/>
    <x v="0"/>
    <x v="0"/>
    <n v="1"/>
  </r>
  <r>
    <x v="1"/>
    <s v="net sales:product 1"/>
    <n v="9.99"/>
    <n v="65"/>
    <n v="649.35"/>
    <s v="net sales"/>
    <x v="1"/>
    <x v="0"/>
    <n v="1"/>
  </r>
  <r>
    <x v="1"/>
    <s v="net sales:product 2"/>
    <n v="24.99"/>
    <n v="3"/>
    <n v="74.97"/>
    <s v="net sales"/>
    <x v="2"/>
    <x v="0"/>
    <n v="1"/>
  </r>
  <r>
    <x v="1"/>
    <s v="net sales:product 3"/>
    <n v="12.49"/>
    <n v="226"/>
    <n v="2822.7400000000002"/>
    <s v="net sales"/>
    <x v="3"/>
    <x v="0"/>
    <n v="1"/>
  </r>
  <r>
    <x v="2"/>
    <s v="cogs:product 1"/>
    <n v="5.99"/>
    <n v="37"/>
    <n v="221.63"/>
    <s v="cogs"/>
    <x v="1"/>
    <x v="0"/>
    <n v="1"/>
  </r>
  <r>
    <x v="2"/>
    <s v="cogs:product 2"/>
    <n v="16.989999999999998"/>
    <n v="9"/>
    <n v="152.91"/>
    <s v="cogs"/>
    <x v="2"/>
    <x v="0"/>
    <n v="1"/>
  </r>
  <r>
    <x v="2"/>
    <s v="cogs:product 3"/>
    <n v="8.49"/>
    <n v="222"/>
    <n v="1884.78"/>
    <s v="cogs"/>
    <x v="3"/>
    <x v="0"/>
    <n v="1"/>
  </r>
  <r>
    <x v="2"/>
    <s v="marketing"/>
    <s v="NA"/>
    <s v="NA"/>
    <n v="99.91"/>
    <s v="marketing"/>
    <x v="0"/>
    <x v="0"/>
    <n v="1"/>
  </r>
  <r>
    <x v="2"/>
    <s v="net sales:product 1"/>
    <n v="9.99"/>
    <n v="37"/>
    <n v="369.63"/>
    <s v="net sales"/>
    <x v="1"/>
    <x v="0"/>
    <n v="1"/>
  </r>
  <r>
    <x v="2"/>
    <s v="net sales:product 2"/>
    <n v="24.99"/>
    <n v="9"/>
    <n v="224.91"/>
    <s v="net sales"/>
    <x v="2"/>
    <x v="0"/>
    <n v="1"/>
  </r>
  <r>
    <x v="2"/>
    <s v="net sales:product 3"/>
    <n v="12.49"/>
    <n v="222"/>
    <n v="2772.78"/>
    <s v="net sales"/>
    <x v="3"/>
    <x v="0"/>
    <n v="1"/>
  </r>
  <r>
    <x v="3"/>
    <s v="cogs:product 1"/>
    <n v="5.99"/>
    <n v="39"/>
    <n v="233.61"/>
    <s v="cogs"/>
    <x v="1"/>
    <x v="0"/>
    <n v="1"/>
  </r>
  <r>
    <x v="3"/>
    <s v="cogs:product 2"/>
    <n v="16.989999999999998"/>
    <n v="2"/>
    <n v="33.979999999999997"/>
    <s v="cogs"/>
    <x v="2"/>
    <x v="0"/>
    <n v="1"/>
  </r>
  <r>
    <x v="3"/>
    <s v="cogs:product 3"/>
    <n v="8.49"/>
    <n v="180"/>
    <n v="1528.2"/>
    <s v="cogs"/>
    <x v="3"/>
    <x v="0"/>
    <n v="1"/>
  </r>
  <r>
    <x v="3"/>
    <s v="marketing"/>
    <s v="NA"/>
    <s v="NA"/>
    <n v="99.98"/>
    <s v="marketing"/>
    <x v="0"/>
    <x v="0"/>
    <n v="1"/>
  </r>
  <r>
    <x v="3"/>
    <s v="net sales:product 1"/>
    <n v="9.99"/>
    <n v="39"/>
    <n v="389.61"/>
    <s v="net sales"/>
    <x v="1"/>
    <x v="0"/>
    <n v="1"/>
  </r>
  <r>
    <x v="3"/>
    <s v="net sales:product 2"/>
    <n v="24.99"/>
    <n v="2"/>
    <n v="49.98"/>
    <s v="net sales"/>
    <x v="2"/>
    <x v="0"/>
    <n v="1"/>
  </r>
  <r>
    <x v="3"/>
    <s v="net sales:product 3"/>
    <n v="12.49"/>
    <n v="180"/>
    <n v="2248.1999999999998"/>
    <s v="net sales"/>
    <x v="3"/>
    <x v="0"/>
    <n v="1"/>
  </r>
  <r>
    <x v="4"/>
    <s v="cogs:product 1"/>
    <n v="5.99"/>
    <n v="73"/>
    <n v="437.27000000000004"/>
    <s v="cogs"/>
    <x v="1"/>
    <x v="0"/>
    <n v="1"/>
  </r>
  <r>
    <x v="4"/>
    <s v="cogs:product 2"/>
    <n v="16.989999999999998"/>
    <n v="7"/>
    <n v="118.92999999999999"/>
    <s v="cogs"/>
    <x v="2"/>
    <x v="0"/>
    <n v="1"/>
  </r>
  <r>
    <x v="4"/>
    <s v="cogs:product 3"/>
    <n v="8.49"/>
    <n v="95"/>
    <n v="806.55000000000007"/>
    <s v="cogs"/>
    <x v="3"/>
    <x v="0"/>
    <n v="1"/>
  </r>
  <r>
    <x v="4"/>
    <s v="marketing"/>
    <s v="NA"/>
    <s v="NA"/>
    <n v="100.03"/>
    <s v="marketing"/>
    <x v="0"/>
    <x v="0"/>
    <n v="1"/>
  </r>
  <r>
    <x v="4"/>
    <s v="net sales:product 1"/>
    <n v="9.99"/>
    <n v="73"/>
    <n v="729.27"/>
    <s v="net sales"/>
    <x v="1"/>
    <x v="0"/>
    <n v="1"/>
  </r>
  <r>
    <x v="4"/>
    <s v="net sales:product 2"/>
    <n v="24.99"/>
    <n v="7"/>
    <n v="174.92999999999998"/>
    <s v="net sales"/>
    <x v="2"/>
    <x v="0"/>
    <n v="1"/>
  </r>
  <r>
    <x v="4"/>
    <s v="net sales:product 3"/>
    <n v="12.49"/>
    <n v="95"/>
    <n v="1186.55"/>
    <s v="net sales"/>
    <x v="3"/>
    <x v="0"/>
    <n v="1"/>
  </r>
  <r>
    <x v="4"/>
    <s v="payroll"/>
    <s v="NA"/>
    <s v="NA"/>
    <n v="1200"/>
    <s v="payroll"/>
    <x v="0"/>
    <x v="0"/>
    <n v="1"/>
  </r>
  <r>
    <x v="5"/>
    <s v="cogs:product 1"/>
    <n v="5.99"/>
    <n v="38"/>
    <n v="227.62"/>
    <s v="cogs"/>
    <x v="1"/>
    <x v="0"/>
    <n v="1"/>
  </r>
  <r>
    <x v="5"/>
    <s v="cogs:product 2"/>
    <n v="16.989999999999998"/>
    <n v="8"/>
    <n v="135.91999999999999"/>
    <s v="cogs"/>
    <x v="2"/>
    <x v="0"/>
    <n v="1"/>
  </r>
  <r>
    <x v="5"/>
    <s v="cogs:product 3"/>
    <n v="8.49"/>
    <n v="103"/>
    <n v="874.47"/>
    <s v="cogs"/>
    <x v="3"/>
    <x v="0"/>
    <n v="1"/>
  </r>
  <r>
    <x v="5"/>
    <s v="marketing"/>
    <s v="NA"/>
    <s v="NA"/>
    <n v="100.08"/>
    <s v="marketing"/>
    <x v="0"/>
    <x v="0"/>
    <n v="1"/>
  </r>
  <r>
    <x v="5"/>
    <s v="net sales:product 1"/>
    <n v="9.99"/>
    <n v="38"/>
    <n v="379.62"/>
    <s v="net sales"/>
    <x v="1"/>
    <x v="0"/>
    <n v="1"/>
  </r>
  <r>
    <x v="5"/>
    <s v="net sales:product 2"/>
    <n v="24.99"/>
    <n v="8"/>
    <n v="199.92"/>
    <s v="net sales"/>
    <x v="2"/>
    <x v="0"/>
    <n v="1"/>
  </r>
  <r>
    <x v="5"/>
    <s v="net sales:product 3"/>
    <n v="12.49"/>
    <n v="103"/>
    <n v="1286.47"/>
    <s v="net sales"/>
    <x v="3"/>
    <x v="0"/>
    <n v="1"/>
  </r>
  <r>
    <x v="6"/>
    <s v="cogs:product 1"/>
    <n v="5.99"/>
    <n v="85"/>
    <n v="509.15000000000003"/>
    <s v="cogs"/>
    <x v="1"/>
    <x v="0"/>
    <n v="1"/>
  </r>
  <r>
    <x v="6"/>
    <s v="cogs:product 2"/>
    <n v="16.989999999999998"/>
    <n v="4"/>
    <n v="67.959999999999994"/>
    <s v="cogs"/>
    <x v="2"/>
    <x v="0"/>
    <n v="1"/>
  </r>
  <r>
    <x v="6"/>
    <s v="cogs:product 3"/>
    <n v="8.49"/>
    <n v="73"/>
    <n v="619.77"/>
    <s v="cogs"/>
    <x v="3"/>
    <x v="0"/>
    <n v="1"/>
  </r>
  <r>
    <x v="6"/>
    <s v="marketing"/>
    <s v="NA"/>
    <s v="NA"/>
    <n v="100.01"/>
    <s v="marketing"/>
    <x v="0"/>
    <x v="0"/>
    <n v="1"/>
  </r>
  <r>
    <x v="6"/>
    <s v="net sales:product 1"/>
    <n v="9.99"/>
    <n v="85"/>
    <n v="849.15"/>
    <s v="net sales"/>
    <x v="1"/>
    <x v="0"/>
    <n v="1"/>
  </r>
  <r>
    <x v="6"/>
    <s v="net sales:product 2"/>
    <n v="24.99"/>
    <n v="4"/>
    <n v="99.96"/>
    <s v="net sales"/>
    <x v="2"/>
    <x v="0"/>
    <n v="1"/>
  </r>
  <r>
    <x v="6"/>
    <s v="net sales:product 3"/>
    <n v="12.49"/>
    <n v="73"/>
    <n v="911.77"/>
    <s v="net sales"/>
    <x v="3"/>
    <x v="0"/>
    <n v="1"/>
  </r>
  <r>
    <x v="7"/>
    <s v="cogs:product 1"/>
    <n v="5.99"/>
    <n v="9"/>
    <n v="53.910000000000004"/>
    <s v="cogs"/>
    <x v="1"/>
    <x v="0"/>
    <n v="1"/>
  </r>
  <r>
    <x v="7"/>
    <s v="cogs:product 2"/>
    <n v="16.989999999999998"/>
    <n v="7"/>
    <n v="118.92999999999999"/>
    <s v="cogs"/>
    <x v="2"/>
    <x v="0"/>
    <n v="1"/>
  </r>
  <r>
    <x v="7"/>
    <s v="cogs:product 3"/>
    <n v="8.49"/>
    <n v="249"/>
    <n v="2114.0100000000002"/>
    <s v="cogs"/>
    <x v="3"/>
    <x v="0"/>
    <n v="1"/>
  </r>
  <r>
    <x v="7"/>
    <s v="marketing"/>
    <s v="NA"/>
    <s v="NA"/>
    <n v="99.92"/>
    <s v="marketing"/>
    <x v="0"/>
    <x v="0"/>
    <n v="1"/>
  </r>
  <r>
    <x v="7"/>
    <s v="net sales:product 1"/>
    <n v="9.99"/>
    <n v="9"/>
    <n v="89.91"/>
    <s v="net sales"/>
    <x v="1"/>
    <x v="0"/>
    <n v="1"/>
  </r>
  <r>
    <x v="7"/>
    <s v="net sales:product 2"/>
    <n v="24.99"/>
    <n v="7"/>
    <n v="174.92999999999998"/>
    <s v="net sales"/>
    <x v="2"/>
    <x v="0"/>
    <n v="1"/>
  </r>
  <r>
    <x v="7"/>
    <s v="net sales:product 3"/>
    <n v="12.49"/>
    <n v="249"/>
    <n v="3110.01"/>
    <s v="net sales"/>
    <x v="3"/>
    <x v="0"/>
    <n v="1"/>
  </r>
  <r>
    <x v="8"/>
    <s v="cogs:product 1"/>
    <n v="5.99"/>
    <n v="12"/>
    <n v="71.88"/>
    <s v="cogs"/>
    <x v="1"/>
    <x v="0"/>
    <n v="1"/>
  </r>
  <r>
    <x v="8"/>
    <s v="cogs:product 2"/>
    <n v="16.989999999999998"/>
    <n v="10"/>
    <n v="169.89999999999998"/>
    <s v="cogs"/>
    <x v="2"/>
    <x v="0"/>
    <n v="1"/>
  </r>
  <r>
    <x v="8"/>
    <s v="cogs:product 3"/>
    <n v="8.49"/>
    <n v="0"/>
    <n v="0"/>
    <s v="cogs"/>
    <x v="3"/>
    <x v="0"/>
    <n v="1"/>
  </r>
  <r>
    <x v="8"/>
    <s v="marketing"/>
    <s v="NA"/>
    <s v="NA"/>
    <n v="99.92"/>
    <s v="marketing"/>
    <x v="0"/>
    <x v="0"/>
    <n v="1"/>
  </r>
  <r>
    <x v="8"/>
    <s v="net sales:product 1"/>
    <n v="9.99"/>
    <n v="12"/>
    <n v="119.88"/>
    <s v="net sales"/>
    <x v="1"/>
    <x v="0"/>
    <n v="1"/>
  </r>
  <r>
    <x v="8"/>
    <s v="net sales:product 2"/>
    <n v="24.99"/>
    <n v="10"/>
    <n v="249.89999999999998"/>
    <s v="net sales"/>
    <x v="2"/>
    <x v="0"/>
    <n v="1"/>
  </r>
  <r>
    <x v="8"/>
    <s v="net sales:product 3"/>
    <n v="12.49"/>
    <n v="0"/>
    <n v="0"/>
    <s v="net sales"/>
    <x v="3"/>
    <x v="0"/>
    <n v="1"/>
  </r>
  <r>
    <x v="9"/>
    <s v="cogs:product 1"/>
    <n v="5.99"/>
    <n v="99"/>
    <n v="593.01"/>
    <s v="cogs"/>
    <x v="1"/>
    <x v="0"/>
    <n v="1"/>
  </r>
  <r>
    <x v="9"/>
    <s v="cogs:product 2"/>
    <n v="16.989999999999998"/>
    <n v="1"/>
    <n v="16.989999999999998"/>
    <s v="cogs"/>
    <x v="2"/>
    <x v="0"/>
    <n v="1"/>
  </r>
  <r>
    <x v="9"/>
    <s v="cogs:product 3"/>
    <n v="8.49"/>
    <n v="21"/>
    <n v="178.29"/>
    <s v="cogs"/>
    <x v="3"/>
    <x v="0"/>
    <n v="1"/>
  </r>
  <r>
    <x v="9"/>
    <s v="marketing"/>
    <s v="NA"/>
    <s v="NA"/>
    <n v="100.05"/>
    <s v="marketing"/>
    <x v="0"/>
    <x v="0"/>
    <n v="1"/>
  </r>
  <r>
    <x v="9"/>
    <s v="net sales:product 1"/>
    <n v="9.99"/>
    <n v="99"/>
    <n v="989.01"/>
    <s v="net sales"/>
    <x v="1"/>
    <x v="0"/>
    <n v="1"/>
  </r>
  <r>
    <x v="9"/>
    <s v="net sales:product 2"/>
    <n v="24.99"/>
    <n v="1"/>
    <n v="24.99"/>
    <s v="net sales"/>
    <x v="2"/>
    <x v="0"/>
    <n v="1"/>
  </r>
  <r>
    <x v="9"/>
    <s v="net sales:product 3"/>
    <n v="12.49"/>
    <n v="21"/>
    <n v="262.29000000000002"/>
    <s v="net sales"/>
    <x v="3"/>
    <x v="0"/>
    <n v="1"/>
  </r>
  <r>
    <x v="10"/>
    <s v="cogs:product 1"/>
    <n v="5.99"/>
    <n v="21"/>
    <n v="125.79"/>
    <s v="cogs"/>
    <x v="1"/>
    <x v="0"/>
    <n v="1"/>
  </r>
  <r>
    <x v="10"/>
    <s v="cogs:product 2"/>
    <n v="16.989999999999998"/>
    <n v="2"/>
    <n v="33.979999999999997"/>
    <s v="cogs"/>
    <x v="2"/>
    <x v="0"/>
    <n v="1"/>
  </r>
  <r>
    <x v="10"/>
    <s v="cogs:product 3"/>
    <n v="8.49"/>
    <n v="157"/>
    <n v="1332.93"/>
    <s v="cogs"/>
    <x v="3"/>
    <x v="0"/>
    <n v="1"/>
  </r>
  <r>
    <x v="10"/>
    <s v="marketing"/>
    <s v="NA"/>
    <s v="NA"/>
    <n v="99.94"/>
    <s v="marketing"/>
    <x v="0"/>
    <x v="0"/>
    <n v="1"/>
  </r>
  <r>
    <x v="10"/>
    <s v="net sales:product 1"/>
    <n v="9.99"/>
    <n v="21"/>
    <n v="209.79"/>
    <s v="net sales"/>
    <x v="1"/>
    <x v="0"/>
    <n v="1"/>
  </r>
  <r>
    <x v="10"/>
    <s v="net sales:product 2"/>
    <n v="24.99"/>
    <n v="2"/>
    <n v="49.98"/>
    <s v="net sales"/>
    <x v="2"/>
    <x v="0"/>
    <n v="1"/>
  </r>
  <r>
    <x v="10"/>
    <s v="net sales:product 3"/>
    <n v="12.49"/>
    <n v="157"/>
    <n v="1960.93"/>
    <s v="net sales"/>
    <x v="3"/>
    <x v="0"/>
    <n v="1"/>
  </r>
  <r>
    <x v="11"/>
    <s v="cogs:product 1"/>
    <n v="5.99"/>
    <n v="58"/>
    <n v="347.42"/>
    <s v="cogs"/>
    <x v="1"/>
    <x v="0"/>
    <n v="1"/>
  </r>
  <r>
    <x v="11"/>
    <s v="cogs:product 2"/>
    <n v="16.989999999999998"/>
    <n v="5"/>
    <n v="84.949999999999989"/>
    <s v="cogs"/>
    <x v="2"/>
    <x v="0"/>
    <n v="1"/>
  </r>
  <r>
    <x v="11"/>
    <s v="cogs:product 3"/>
    <n v="8.49"/>
    <n v="17"/>
    <n v="144.33000000000001"/>
    <s v="cogs"/>
    <x v="3"/>
    <x v="0"/>
    <n v="1"/>
  </r>
  <r>
    <x v="11"/>
    <s v="marketing"/>
    <s v="NA"/>
    <s v="NA"/>
    <n v="100.08"/>
    <s v="marketing"/>
    <x v="0"/>
    <x v="0"/>
    <n v="1"/>
  </r>
  <r>
    <x v="11"/>
    <s v="net sales:product 1"/>
    <n v="9.99"/>
    <n v="58"/>
    <n v="579.41999999999996"/>
    <s v="net sales"/>
    <x v="1"/>
    <x v="0"/>
    <n v="1"/>
  </r>
  <r>
    <x v="11"/>
    <s v="net sales:product 2"/>
    <n v="24.99"/>
    <n v="5"/>
    <n v="124.94999999999999"/>
    <s v="net sales"/>
    <x v="2"/>
    <x v="0"/>
    <n v="1"/>
  </r>
  <r>
    <x v="11"/>
    <s v="net sales:product 3"/>
    <n v="12.49"/>
    <n v="17"/>
    <n v="212.33"/>
    <s v="net sales"/>
    <x v="3"/>
    <x v="0"/>
    <n v="1"/>
  </r>
  <r>
    <x v="12"/>
    <s v="cogs:product 1"/>
    <n v="5.99"/>
    <n v="18"/>
    <n v="107.82000000000001"/>
    <s v="cogs"/>
    <x v="1"/>
    <x v="0"/>
    <n v="1"/>
  </r>
  <r>
    <x v="12"/>
    <s v="cogs:product 2"/>
    <n v="16.989999999999998"/>
    <n v="2"/>
    <n v="33.979999999999997"/>
    <s v="cogs"/>
    <x v="2"/>
    <x v="0"/>
    <n v="1"/>
  </r>
  <r>
    <x v="12"/>
    <s v="cogs:product 3"/>
    <n v="8.49"/>
    <n v="112"/>
    <n v="950.88"/>
    <s v="cogs"/>
    <x v="3"/>
    <x v="0"/>
    <n v="1"/>
  </r>
  <r>
    <x v="12"/>
    <s v="marketing"/>
    <s v="NA"/>
    <s v="NA"/>
    <n v="99.98"/>
    <s v="marketing"/>
    <x v="0"/>
    <x v="0"/>
    <n v="1"/>
  </r>
  <r>
    <x v="12"/>
    <s v="net sales:product 1"/>
    <n v="9.99"/>
    <n v="18"/>
    <n v="179.82"/>
    <s v="net sales"/>
    <x v="1"/>
    <x v="0"/>
    <n v="1"/>
  </r>
  <r>
    <x v="12"/>
    <s v="net sales:product 2"/>
    <n v="24.99"/>
    <n v="2"/>
    <n v="49.98"/>
    <s v="net sales"/>
    <x v="2"/>
    <x v="0"/>
    <n v="1"/>
  </r>
  <r>
    <x v="12"/>
    <s v="net sales:product 3"/>
    <n v="12.49"/>
    <n v="112"/>
    <n v="1398.88"/>
    <s v="net sales"/>
    <x v="3"/>
    <x v="0"/>
    <n v="1"/>
  </r>
  <r>
    <x v="13"/>
    <s v="cogs:product 1"/>
    <n v="5.99"/>
    <n v="81"/>
    <n v="485.19"/>
    <s v="cogs"/>
    <x v="1"/>
    <x v="0"/>
    <n v="1"/>
  </r>
  <r>
    <x v="13"/>
    <s v="cogs:product 2"/>
    <n v="16.989999999999998"/>
    <n v="1"/>
    <n v="16.989999999999998"/>
    <s v="cogs"/>
    <x v="2"/>
    <x v="0"/>
    <n v="1"/>
  </r>
  <r>
    <x v="13"/>
    <s v="cogs:product 3"/>
    <n v="8.49"/>
    <n v="134"/>
    <n v="1137.6600000000001"/>
    <s v="cogs"/>
    <x v="3"/>
    <x v="0"/>
    <n v="1"/>
  </r>
  <r>
    <x v="13"/>
    <s v="marketing"/>
    <s v="NA"/>
    <s v="NA"/>
    <n v="99.9"/>
    <s v="marketing"/>
    <x v="0"/>
    <x v="0"/>
    <n v="1"/>
  </r>
  <r>
    <x v="13"/>
    <s v="net sales:product 1"/>
    <n v="9.99"/>
    <n v="81"/>
    <n v="809.19"/>
    <s v="net sales"/>
    <x v="1"/>
    <x v="0"/>
    <n v="1"/>
  </r>
  <r>
    <x v="13"/>
    <s v="net sales:product 2"/>
    <n v="24.99"/>
    <n v="1"/>
    <n v="24.99"/>
    <s v="net sales"/>
    <x v="2"/>
    <x v="0"/>
    <n v="1"/>
  </r>
  <r>
    <x v="13"/>
    <s v="net sales:product 3"/>
    <n v="12.49"/>
    <n v="134"/>
    <n v="1673.66"/>
    <s v="net sales"/>
    <x v="3"/>
    <x v="0"/>
    <n v="1"/>
  </r>
  <r>
    <x v="14"/>
    <s v="cogs:product 1"/>
    <n v="5.99"/>
    <n v="19"/>
    <n v="113.81"/>
    <s v="cogs"/>
    <x v="1"/>
    <x v="0"/>
    <n v="1"/>
  </r>
  <r>
    <x v="14"/>
    <s v="cogs:product 2"/>
    <n v="16.989999999999998"/>
    <n v="5"/>
    <n v="84.949999999999989"/>
    <s v="cogs"/>
    <x v="2"/>
    <x v="0"/>
    <n v="1"/>
  </r>
  <r>
    <x v="14"/>
    <s v="cogs:product 3"/>
    <n v="8.49"/>
    <n v="150"/>
    <n v="1273.5"/>
    <s v="cogs"/>
    <x v="3"/>
    <x v="0"/>
    <n v="1"/>
  </r>
  <r>
    <x v="14"/>
    <s v="interest"/>
    <s v="NA"/>
    <s v="NA"/>
    <n v="1297"/>
    <s v="interest"/>
    <x v="0"/>
    <x v="0"/>
    <n v="1"/>
  </r>
  <r>
    <x v="14"/>
    <s v="marketing"/>
    <s v="NA"/>
    <s v="NA"/>
    <n v="99.91"/>
    <s v="marketing"/>
    <x v="0"/>
    <x v="0"/>
    <n v="1"/>
  </r>
  <r>
    <x v="14"/>
    <s v="net sales:product 1"/>
    <n v="9.99"/>
    <n v="19"/>
    <n v="189.81"/>
    <s v="net sales"/>
    <x v="1"/>
    <x v="0"/>
    <n v="1"/>
  </r>
  <r>
    <x v="14"/>
    <s v="net sales:product 2"/>
    <n v="24.99"/>
    <n v="5"/>
    <n v="124.94999999999999"/>
    <s v="net sales"/>
    <x v="2"/>
    <x v="0"/>
    <n v="1"/>
  </r>
  <r>
    <x v="14"/>
    <s v="net sales:product 3"/>
    <n v="12.49"/>
    <n v="150"/>
    <n v="1873.5"/>
    <s v="net sales"/>
    <x v="3"/>
    <x v="0"/>
    <n v="1"/>
  </r>
  <r>
    <x v="14"/>
    <s v="overhead"/>
    <s v="NA"/>
    <s v="NA"/>
    <n v="324.25"/>
    <s v="overhead"/>
    <x v="0"/>
    <x v="0"/>
    <n v="1"/>
  </r>
  <r>
    <x v="15"/>
    <s v="cogs:product 1"/>
    <n v="5.99"/>
    <n v="8"/>
    <n v="47.92"/>
    <s v="cogs"/>
    <x v="1"/>
    <x v="0"/>
    <n v="1"/>
  </r>
  <r>
    <x v="15"/>
    <s v="cogs:product 2"/>
    <n v="16.989999999999998"/>
    <n v="8"/>
    <n v="135.91999999999999"/>
    <s v="cogs"/>
    <x v="2"/>
    <x v="0"/>
    <n v="1"/>
  </r>
  <r>
    <x v="15"/>
    <s v="cogs:product 3"/>
    <n v="8.49"/>
    <n v="204"/>
    <n v="1731.96"/>
    <s v="cogs"/>
    <x v="3"/>
    <x v="0"/>
    <n v="1"/>
  </r>
  <r>
    <x v="15"/>
    <s v="marketing"/>
    <s v="NA"/>
    <s v="NA"/>
    <n v="99.990000000000009"/>
    <s v="marketing"/>
    <x v="0"/>
    <x v="0"/>
    <n v="1"/>
  </r>
  <r>
    <x v="15"/>
    <s v="net sales:product 1"/>
    <n v="9.99"/>
    <n v="8"/>
    <n v="79.92"/>
    <s v="net sales"/>
    <x v="1"/>
    <x v="0"/>
    <n v="1"/>
  </r>
  <r>
    <x v="15"/>
    <s v="net sales:product 2"/>
    <n v="24.99"/>
    <n v="8"/>
    <n v="199.92"/>
    <s v="net sales"/>
    <x v="2"/>
    <x v="0"/>
    <n v="1"/>
  </r>
  <r>
    <x v="15"/>
    <s v="net sales:product 3"/>
    <n v="12.49"/>
    <n v="204"/>
    <n v="2547.96"/>
    <s v="net sales"/>
    <x v="3"/>
    <x v="0"/>
    <n v="1"/>
  </r>
  <r>
    <x v="16"/>
    <s v="cogs:product 1"/>
    <n v="5.99"/>
    <n v="66"/>
    <n v="395.34000000000003"/>
    <s v="cogs"/>
    <x v="1"/>
    <x v="0"/>
    <n v="1"/>
  </r>
  <r>
    <x v="16"/>
    <s v="cogs:product 2"/>
    <n v="16.989999999999998"/>
    <n v="2"/>
    <n v="33.979999999999997"/>
    <s v="cogs"/>
    <x v="2"/>
    <x v="0"/>
    <n v="1"/>
  </r>
  <r>
    <x v="16"/>
    <s v="cogs:product 3"/>
    <n v="8.49"/>
    <n v="25"/>
    <n v="212.25"/>
    <s v="cogs"/>
    <x v="3"/>
    <x v="0"/>
    <n v="1"/>
  </r>
  <r>
    <x v="16"/>
    <s v="marketing"/>
    <s v="NA"/>
    <s v="NA"/>
    <n v="99.98"/>
    <s v="marketing"/>
    <x v="0"/>
    <x v="0"/>
    <n v="1"/>
  </r>
  <r>
    <x v="16"/>
    <s v="net sales:product 1"/>
    <n v="9.99"/>
    <n v="66"/>
    <n v="659.34"/>
    <s v="net sales"/>
    <x v="1"/>
    <x v="0"/>
    <n v="1"/>
  </r>
  <r>
    <x v="16"/>
    <s v="net sales:product 2"/>
    <n v="24.99"/>
    <n v="2"/>
    <n v="49.98"/>
    <s v="net sales"/>
    <x v="2"/>
    <x v="0"/>
    <n v="1"/>
  </r>
  <r>
    <x v="16"/>
    <s v="net sales:product 3"/>
    <n v="12.49"/>
    <n v="25"/>
    <n v="312.25"/>
    <s v="net sales"/>
    <x v="3"/>
    <x v="0"/>
    <n v="1"/>
  </r>
  <r>
    <x v="17"/>
    <s v="cogs:product 1"/>
    <n v="5.99"/>
    <n v="85"/>
    <n v="509.15000000000003"/>
    <s v="cogs"/>
    <x v="1"/>
    <x v="0"/>
    <n v="1"/>
  </r>
  <r>
    <x v="17"/>
    <s v="cogs:product 2"/>
    <n v="16.989999999999998"/>
    <n v="7"/>
    <n v="118.92999999999999"/>
    <s v="cogs"/>
    <x v="2"/>
    <x v="0"/>
    <n v="1"/>
  </r>
  <r>
    <x v="17"/>
    <s v="cogs:product 3"/>
    <n v="8.49"/>
    <n v="237"/>
    <n v="2012.13"/>
    <s v="cogs"/>
    <x v="3"/>
    <x v="0"/>
    <n v="1"/>
  </r>
  <r>
    <x v="17"/>
    <s v="marketing"/>
    <s v="NA"/>
    <s v="NA"/>
    <n v="100.09"/>
    <s v="marketing"/>
    <x v="0"/>
    <x v="0"/>
    <n v="1"/>
  </r>
  <r>
    <x v="17"/>
    <s v="net sales:product 1"/>
    <n v="9.99"/>
    <n v="85"/>
    <n v="849.15"/>
    <s v="net sales"/>
    <x v="1"/>
    <x v="0"/>
    <n v="1"/>
  </r>
  <r>
    <x v="17"/>
    <s v="net sales:product 2"/>
    <n v="24.99"/>
    <n v="7"/>
    <n v="174.92999999999998"/>
    <s v="net sales"/>
    <x v="2"/>
    <x v="0"/>
    <n v="1"/>
  </r>
  <r>
    <x v="17"/>
    <s v="net sales:product 3"/>
    <n v="12.49"/>
    <n v="237"/>
    <n v="2960.13"/>
    <s v="net sales"/>
    <x v="3"/>
    <x v="0"/>
    <n v="1"/>
  </r>
  <r>
    <x v="18"/>
    <s v="cogs:product 1"/>
    <n v="5.99"/>
    <n v="92"/>
    <n v="551.08000000000004"/>
    <s v="cogs"/>
    <x v="1"/>
    <x v="0"/>
    <n v="1"/>
  </r>
  <r>
    <x v="18"/>
    <s v="cogs:product 2"/>
    <n v="16.989999999999998"/>
    <n v="6"/>
    <n v="101.94"/>
    <s v="cogs"/>
    <x v="2"/>
    <x v="0"/>
    <n v="1"/>
  </r>
  <r>
    <x v="18"/>
    <s v="cogs:product 3"/>
    <n v="8.49"/>
    <n v="217"/>
    <n v="1842.3300000000002"/>
    <s v="cogs"/>
    <x v="3"/>
    <x v="0"/>
    <n v="1"/>
  </r>
  <r>
    <x v="18"/>
    <s v="marketing"/>
    <s v="NA"/>
    <s v="NA"/>
    <n v="99.93"/>
    <s v="marketing"/>
    <x v="0"/>
    <x v="0"/>
    <n v="1"/>
  </r>
  <r>
    <x v="18"/>
    <s v="net sales:product 1"/>
    <n v="9.99"/>
    <n v="92"/>
    <n v="919.08"/>
    <s v="net sales"/>
    <x v="1"/>
    <x v="0"/>
    <n v="1"/>
  </r>
  <r>
    <x v="18"/>
    <s v="net sales:product 2"/>
    <n v="24.99"/>
    <n v="6"/>
    <n v="149.94"/>
    <s v="net sales"/>
    <x v="2"/>
    <x v="0"/>
    <n v="1"/>
  </r>
  <r>
    <x v="18"/>
    <s v="net sales:product 3"/>
    <n v="12.49"/>
    <n v="217"/>
    <n v="2710.33"/>
    <s v="net sales"/>
    <x v="3"/>
    <x v="0"/>
    <n v="1"/>
  </r>
  <r>
    <x v="18"/>
    <s v="payroll"/>
    <s v="NA"/>
    <s v="NA"/>
    <n v="1200"/>
    <s v="payroll"/>
    <x v="0"/>
    <x v="0"/>
    <n v="1"/>
  </r>
  <r>
    <x v="19"/>
    <s v="cogs:product 1"/>
    <n v="5.99"/>
    <n v="32"/>
    <n v="191.68"/>
    <s v="cogs"/>
    <x v="1"/>
    <x v="0"/>
    <n v="1"/>
  </r>
  <r>
    <x v="19"/>
    <s v="cogs:product 2"/>
    <n v="16.989999999999998"/>
    <n v="4"/>
    <n v="67.959999999999994"/>
    <s v="cogs"/>
    <x v="2"/>
    <x v="0"/>
    <n v="1"/>
  </r>
  <r>
    <x v="19"/>
    <s v="cogs:product 3"/>
    <n v="8.49"/>
    <n v="11"/>
    <n v="93.39"/>
    <s v="cogs"/>
    <x v="3"/>
    <x v="0"/>
    <n v="1"/>
  </r>
  <r>
    <x v="19"/>
    <s v="marketing"/>
    <s v="NA"/>
    <s v="NA"/>
    <n v="99.960000000000008"/>
    <s v="marketing"/>
    <x v="0"/>
    <x v="0"/>
    <n v="1"/>
  </r>
  <r>
    <x v="19"/>
    <s v="net sales:product 1"/>
    <n v="9.99"/>
    <n v="32"/>
    <n v="319.68"/>
    <s v="net sales"/>
    <x v="1"/>
    <x v="0"/>
    <n v="1"/>
  </r>
  <r>
    <x v="19"/>
    <s v="net sales:product 2"/>
    <n v="24.99"/>
    <n v="4"/>
    <n v="99.96"/>
    <s v="net sales"/>
    <x v="2"/>
    <x v="0"/>
    <n v="1"/>
  </r>
  <r>
    <x v="19"/>
    <s v="net sales:product 3"/>
    <n v="12.49"/>
    <n v="11"/>
    <n v="137.39000000000001"/>
    <s v="net sales"/>
    <x v="3"/>
    <x v="0"/>
    <n v="1"/>
  </r>
  <r>
    <x v="20"/>
    <s v="cogs:product 1"/>
    <n v="5.99"/>
    <n v="5"/>
    <n v="29.950000000000003"/>
    <s v="cogs"/>
    <x v="1"/>
    <x v="0"/>
    <n v="1"/>
  </r>
  <r>
    <x v="20"/>
    <s v="cogs:product 2"/>
    <n v="16.989999999999998"/>
    <n v="2"/>
    <n v="33.979999999999997"/>
    <s v="cogs"/>
    <x v="2"/>
    <x v="0"/>
    <n v="1"/>
  </r>
  <r>
    <x v="20"/>
    <s v="cogs:product 3"/>
    <n v="8.49"/>
    <n v="10"/>
    <n v="84.9"/>
    <s v="cogs"/>
    <x v="3"/>
    <x v="0"/>
    <n v="1"/>
  </r>
  <r>
    <x v="20"/>
    <s v="marketing"/>
    <s v="NA"/>
    <s v="NA"/>
    <n v="100.03"/>
    <s v="marketing"/>
    <x v="0"/>
    <x v="0"/>
    <n v="1"/>
  </r>
  <r>
    <x v="20"/>
    <s v="net sales:product 1"/>
    <n v="9.99"/>
    <n v="5"/>
    <n v="49.95"/>
    <s v="net sales"/>
    <x v="1"/>
    <x v="0"/>
    <n v="1"/>
  </r>
  <r>
    <x v="20"/>
    <s v="net sales:product 2"/>
    <n v="24.99"/>
    <n v="2"/>
    <n v="49.98"/>
    <s v="net sales"/>
    <x v="2"/>
    <x v="0"/>
    <n v="1"/>
  </r>
  <r>
    <x v="20"/>
    <s v="net sales:product 3"/>
    <n v="12.49"/>
    <n v="10"/>
    <n v="124.9"/>
    <s v="net sales"/>
    <x v="3"/>
    <x v="0"/>
    <n v="1"/>
  </r>
  <r>
    <x v="21"/>
    <s v="cogs:product 1"/>
    <n v="5.99"/>
    <n v="68"/>
    <n v="407.32"/>
    <s v="cogs"/>
    <x v="1"/>
    <x v="0"/>
    <n v="1"/>
  </r>
  <r>
    <x v="21"/>
    <s v="cogs:product 2"/>
    <n v="16.989999999999998"/>
    <n v="6"/>
    <n v="101.94"/>
    <s v="cogs"/>
    <x v="2"/>
    <x v="0"/>
    <n v="1"/>
  </r>
  <r>
    <x v="21"/>
    <s v="cogs:product 3"/>
    <n v="8.49"/>
    <n v="246"/>
    <n v="2088.54"/>
    <s v="cogs"/>
    <x v="3"/>
    <x v="0"/>
    <n v="1"/>
  </r>
  <r>
    <x v="21"/>
    <s v="marketing"/>
    <s v="NA"/>
    <s v="NA"/>
    <n v="99.97"/>
    <s v="marketing"/>
    <x v="0"/>
    <x v="0"/>
    <n v="1"/>
  </r>
  <r>
    <x v="21"/>
    <s v="net sales:product 1"/>
    <n v="9.99"/>
    <n v="68"/>
    <n v="679.32"/>
    <s v="net sales"/>
    <x v="1"/>
    <x v="0"/>
    <n v="1"/>
  </r>
  <r>
    <x v="21"/>
    <s v="net sales:product 2"/>
    <n v="24.99"/>
    <n v="6"/>
    <n v="149.94"/>
    <s v="net sales"/>
    <x v="2"/>
    <x v="0"/>
    <n v="1"/>
  </r>
  <r>
    <x v="21"/>
    <s v="net sales:product 3"/>
    <n v="12.49"/>
    <n v="246"/>
    <n v="3072.54"/>
    <s v="net sales"/>
    <x v="3"/>
    <x v="0"/>
    <n v="1"/>
  </r>
  <r>
    <x v="22"/>
    <s v="cogs:product 1"/>
    <n v="5.99"/>
    <n v="62"/>
    <n v="371.38"/>
    <s v="cogs"/>
    <x v="1"/>
    <x v="0"/>
    <n v="1"/>
  </r>
  <r>
    <x v="22"/>
    <s v="cogs:product 2"/>
    <n v="16.989999999999998"/>
    <n v="3"/>
    <n v="50.97"/>
    <s v="cogs"/>
    <x v="2"/>
    <x v="0"/>
    <n v="1"/>
  </r>
  <r>
    <x v="22"/>
    <s v="cogs:product 3"/>
    <n v="8.49"/>
    <n v="233"/>
    <n v="1978.17"/>
    <s v="cogs"/>
    <x v="3"/>
    <x v="0"/>
    <n v="1"/>
  </r>
  <r>
    <x v="22"/>
    <s v="marketing"/>
    <s v="NA"/>
    <s v="NA"/>
    <n v="99.94"/>
    <s v="marketing"/>
    <x v="0"/>
    <x v="0"/>
    <n v="1"/>
  </r>
  <r>
    <x v="22"/>
    <s v="net sales:product 1"/>
    <n v="9.99"/>
    <n v="62"/>
    <n v="619.38"/>
    <s v="net sales"/>
    <x v="1"/>
    <x v="0"/>
    <n v="1"/>
  </r>
  <r>
    <x v="22"/>
    <s v="net sales:product 2"/>
    <n v="24.99"/>
    <n v="3"/>
    <n v="74.97"/>
    <s v="net sales"/>
    <x v="2"/>
    <x v="0"/>
    <n v="1"/>
  </r>
  <r>
    <x v="22"/>
    <s v="net sales:product 3"/>
    <n v="12.49"/>
    <n v="233"/>
    <n v="2910.17"/>
    <s v="net sales"/>
    <x v="3"/>
    <x v="0"/>
    <n v="1"/>
  </r>
  <r>
    <x v="23"/>
    <s v="cogs:product 1"/>
    <n v="5.99"/>
    <n v="90"/>
    <n v="539.1"/>
    <s v="cogs"/>
    <x v="1"/>
    <x v="0"/>
    <n v="1"/>
  </r>
  <r>
    <x v="23"/>
    <s v="cogs:product 2"/>
    <n v="16.989999999999998"/>
    <n v="4"/>
    <n v="67.959999999999994"/>
    <s v="cogs"/>
    <x v="2"/>
    <x v="0"/>
    <n v="1"/>
  </r>
  <r>
    <x v="23"/>
    <s v="cogs:product 3"/>
    <n v="8.49"/>
    <n v="21"/>
    <n v="178.29"/>
    <s v="cogs"/>
    <x v="3"/>
    <x v="0"/>
    <n v="1"/>
  </r>
  <r>
    <x v="23"/>
    <s v="marketing"/>
    <s v="NA"/>
    <s v="NA"/>
    <n v="99.93"/>
    <s v="marketing"/>
    <x v="0"/>
    <x v="0"/>
    <n v="1"/>
  </r>
  <r>
    <x v="23"/>
    <s v="net sales:product 1"/>
    <n v="9.99"/>
    <n v="90"/>
    <n v="899.1"/>
    <s v="net sales"/>
    <x v="1"/>
    <x v="0"/>
    <n v="1"/>
  </r>
  <r>
    <x v="23"/>
    <s v="net sales:product 2"/>
    <n v="24.99"/>
    <n v="4"/>
    <n v="99.96"/>
    <s v="net sales"/>
    <x v="2"/>
    <x v="0"/>
    <n v="1"/>
  </r>
  <r>
    <x v="23"/>
    <s v="net sales:product 3"/>
    <n v="12.49"/>
    <n v="21"/>
    <n v="262.29000000000002"/>
    <s v="net sales"/>
    <x v="3"/>
    <x v="0"/>
    <n v="1"/>
  </r>
  <r>
    <x v="24"/>
    <s v="cogs:product 1"/>
    <n v="5.99"/>
    <n v="39"/>
    <n v="233.61"/>
    <s v="cogs"/>
    <x v="1"/>
    <x v="0"/>
    <n v="1"/>
  </r>
  <r>
    <x v="24"/>
    <s v="cogs:product 2"/>
    <n v="16.989999999999998"/>
    <n v="3"/>
    <n v="50.97"/>
    <s v="cogs"/>
    <x v="2"/>
    <x v="0"/>
    <n v="1"/>
  </r>
  <r>
    <x v="24"/>
    <s v="cogs:product 3"/>
    <n v="8.49"/>
    <n v="39"/>
    <n v="331.11"/>
    <s v="cogs"/>
    <x v="3"/>
    <x v="0"/>
    <n v="1"/>
  </r>
  <r>
    <x v="24"/>
    <s v="marketing"/>
    <s v="NA"/>
    <s v="NA"/>
    <n v="99.92"/>
    <s v="marketing"/>
    <x v="0"/>
    <x v="0"/>
    <n v="1"/>
  </r>
  <r>
    <x v="24"/>
    <s v="net sales:product 1"/>
    <n v="9.99"/>
    <n v="39"/>
    <n v="389.61"/>
    <s v="net sales"/>
    <x v="1"/>
    <x v="0"/>
    <n v="1"/>
  </r>
  <r>
    <x v="24"/>
    <s v="net sales:product 2"/>
    <n v="24.99"/>
    <n v="3"/>
    <n v="74.97"/>
    <s v="net sales"/>
    <x v="2"/>
    <x v="0"/>
    <n v="1"/>
  </r>
  <r>
    <x v="24"/>
    <s v="net sales:product 3"/>
    <n v="12.49"/>
    <n v="39"/>
    <n v="487.11"/>
    <s v="net sales"/>
    <x v="3"/>
    <x v="0"/>
    <n v="1"/>
  </r>
  <r>
    <x v="25"/>
    <s v="cogs:product 1"/>
    <n v="5.99"/>
    <n v="21"/>
    <n v="125.79"/>
    <s v="cogs"/>
    <x v="1"/>
    <x v="0"/>
    <n v="1"/>
  </r>
  <r>
    <x v="25"/>
    <s v="cogs:product 2"/>
    <n v="16.989999999999998"/>
    <n v="0"/>
    <n v="0"/>
    <s v="cogs"/>
    <x v="2"/>
    <x v="0"/>
    <n v="1"/>
  </r>
  <r>
    <x v="25"/>
    <s v="cogs:product 3"/>
    <n v="8.49"/>
    <n v="137"/>
    <n v="1163.1300000000001"/>
    <s v="cogs"/>
    <x v="3"/>
    <x v="0"/>
    <n v="1"/>
  </r>
  <r>
    <x v="25"/>
    <s v="marketing"/>
    <s v="NA"/>
    <s v="NA"/>
    <n v="99.95"/>
    <s v="marketing"/>
    <x v="0"/>
    <x v="0"/>
    <n v="1"/>
  </r>
  <r>
    <x v="25"/>
    <s v="net sales:product 1"/>
    <n v="9.99"/>
    <n v="21"/>
    <n v="209.79"/>
    <s v="net sales"/>
    <x v="1"/>
    <x v="0"/>
    <n v="1"/>
  </r>
  <r>
    <x v="25"/>
    <s v="net sales:product 2"/>
    <n v="24.99"/>
    <n v="0"/>
    <n v="0"/>
    <s v="net sales"/>
    <x v="2"/>
    <x v="0"/>
    <n v="1"/>
  </r>
  <r>
    <x v="25"/>
    <s v="net sales:product 3"/>
    <n v="12.49"/>
    <n v="137"/>
    <n v="1711.13"/>
    <s v="net sales"/>
    <x v="3"/>
    <x v="0"/>
    <n v="1"/>
  </r>
  <r>
    <x v="26"/>
    <s v="cogs:product 1"/>
    <n v="5.99"/>
    <n v="91"/>
    <n v="545.09"/>
    <s v="cogs"/>
    <x v="1"/>
    <x v="0"/>
    <n v="1"/>
  </r>
  <r>
    <x v="26"/>
    <s v="cogs:product 2"/>
    <n v="16.989999999999998"/>
    <n v="7"/>
    <n v="118.92999999999999"/>
    <s v="cogs"/>
    <x v="2"/>
    <x v="0"/>
    <n v="1"/>
  </r>
  <r>
    <x v="26"/>
    <s v="cogs:product 3"/>
    <n v="8.49"/>
    <n v="147"/>
    <n v="1248.03"/>
    <s v="cogs"/>
    <x v="3"/>
    <x v="0"/>
    <n v="1"/>
  </r>
  <r>
    <x v="26"/>
    <s v="marketing"/>
    <s v="NA"/>
    <s v="NA"/>
    <n v="100"/>
    <s v="marketing"/>
    <x v="0"/>
    <x v="0"/>
    <n v="1"/>
  </r>
  <r>
    <x v="26"/>
    <s v="net sales:product 1"/>
    <n v="9.99"/>
    <n v="91"/>
    <n v="909.09"/>
    <s v="net sales"/>
    <x v="1"/>
    <x v="0"/>
    <n v="1"/>
  </r>
  <r>
    <x v="26"/>
    <s v="net sales:product 2"/>
    <n v="24.99"/>
    <n v="7"/>
    <n v="174.92999999999998"/>
    <s v="net sales"/>
    <x v="2"/>
    <x v="0"/>
    <n v="1"/>
  </r>
  <r>
    <x v="26"/>
    <s v="net sales:product 3"/>
    <n v="12.49"/>
    <n v="147"/>
    <n v="1836.03"/>
    <s v="net sales"/>
    <x v="3"/>
    <x v="0"/>
    <n v="1"/>
  </r>
  <r>
    <x v="27"/>
    <s v="cogs:product 1"/>
    <n v="5.99"/>
    <n v="44"/>
    <n v="263.56"/>
    <s v="cogs"/>
    <x v="1"/>
    <x v="0"/>
    <n v="1"/>
  </r>
  <r>
    <x v="27"/>
    <s v="cogs:product 2"/>
    <n v="16.989999999999998"/>
    <n v="6"/>
    <n v="101.94"/>
    <s v="cogs"/>
    <x v="2"/>
    <x v="0"/>
    <n v="1"/>
  </r>
  <r>
    <x v="27"/>
    <s v="cogs:product 3"/>
    <n v="8.49"/>
    <n v="225"/>
    <n v="1910.25"/>
    <s v="cogs"/>
    <x v="3"/>
    <x v="0"/>
    <n v="1"/>
  </r>
  <r>
    <x v="27"/>
    <s v="marketing"/>
    <s v="NA"/>
    <s v="NA"/>
    <n v="100.06"/>
    <s v="marketing"/>
    <x v="0"/>
    <x v="0"/>
    <n v="1"/>
  </r>
  <r>
    <x v="27"/>
    <s v="net sales:product 1"/>
    <n v="9.99"/>
    <n v="44"/>
    <n v="439.56"/>
    <s v="net sales"/>
    <x v="1"/>
    <x v="0"/>
    <n v="1"/>
  </r>
  <r>
    <x v="27"/>
    <s v="net sales:product 2"/>
    <n v="24.99"/>
    <n v="6"/>
    <n v="149.94"/>
    <s v="net sales"/>
    <x v="2"/>
    <x v="0"/>
    <n v="1"/>
  </r>
  <r>
    <x v="27"/>
    <s v="net sales:product 3"/>
    <n v="12.49"/>
    <n v="225"/>
    <n v="2810.25"/>
    <s v="net sales"/>
    <x v="3"/>
    <x v="0"/>
    <n v="1"/>
  </r>
  <r>
    <x v="28"/>
    <s v="cogs:product 1"/>
    <n v="5.99"/>
    <n v="87"/>
    <n v="521.13"/>
    <s v="cogs"/>
    <x v="1"/>
    <x v="0"/>
    <n v="1"/>
  </r>
  <r>
    <x v="28"/>
    <s v="cogs:product 2"/>
    <n v="16.989999999999998"/>
    <n v="1"/>
    <n v="16.989999999999998"/>
    <s v="cogs"/>
    <x v="2"/>
    <x v="0"/>
    <n v="1"/>
  </r>
  <r>
    <x v="28"/>
    <s v="cogs:product 3"/>
    <n v="8.49"/>
    <n v="171"/>
    <n v="1451.79"/>
    <s v="cogs"/>
    <x v="3"/>
    <x v="0"/>
    <n v="1"/>
  </r>
  <r>
    <x v="28"/>
    <s v="marketing"/>
    <s v="NA"/>
    <s v="NA"/>
    <n v="100.01"/>
    <s v="marketing"/>
    <x v="0"/>
    <x v="0"/>
    <n v="1"/>
  </r>
  <r>
    <x v="28"/>
    <s v="net sales:product 1"/>
    <n v="9.99"/>
    <n v="87"/>
    <n v="869.13"/>
    <s v="net sales"/>
    <x v="1"/>
    <x v="0"/>
    <n v="1"/>
  </r>
  <r>
    <x v="28"/>
    <s v="net sales:product 2"/>
    <n v="24.99"/>
    <n v="1"/>
    <n v="24.99"/>
    <s v="net sales"/>
    <x v="2"/>
    <x v="0"/>
    <n v="1"/>
  </r>
  <r>
    <x v="28"/>
    <s v="net sales:product 3"/>
    <n v="12.49"/>
    <n v="171"/>
    <n v="2135.79"/>
    <s v="net sales"/>
    <x v="3"/>
    <x v="0"/>
    <n v="1"/>
  </r>
  <r>
    <x v="29"/>
    <s v="cogs:product 1"/>
    <n v="5.99"/>
    <n v="42"/>
    <n v="251.58"/>
    <s v="cogs"/>
    <x v="1"/>
    <x v="0"/>
    <n v="1"/>
  </r>
  <r>
    <x v="29"/>
    <s v="cogs:product 2"/>
    <n v="16.989999999999998"/>
    <n v="10"/>
    <n v="169.89999999999998"/>
    <s v="cogs"/>
    <x v="2"/>
    <x v="0"/>
    <n v="1"/>
  </r>
  <r>
    <x v="29"/>
    <s v="cogs:product 3"/>
    <n v="8.49"/>
    <n v="59"/>
    <n v="500.91"/>
    <s v="cogs"/>
    <x v="3"/>
    <x v="0"/>
    <n v="1"/>
  </r>
  <r>
    <x v="29"/>
    <s v="marketing"/>
    <s v="NA"/>
    <s v="NA"/>
    <n v="99.94"/>
    <s v="marketing"/>
    <x v="0"/>
    <x v="0"/>
    <n v="1"/>
  </r>
  <r>
    <x v="29"/>
    <s v="net sales:product 1"/>
    <n v="9.99"/>
    <n v="42"/>
    <n v="419.58"/>
    <s v="net sales"/>
    <x v="1"/>
    <x v="0"/>
    <n v="1"/>
  </r>
  <r>
    <x v="29"/>
    <s v="net sales:product 2"/>
    <n v="24.99"/>
    <n v="10"/>
    <n v="249.89999999999998"/>
    <s v="net sales"/>
    <x v="2"/>
    <x v="0"/>
    <n v="1"/>
  </r>
  <r>
    <x v="29"/>
    <s v="net sales:product 3"/>
    <n v="12.49"/>
    <n v="59"/>
    <n v="736.91"/>
    <s v="net sales"/>
    <x v="3"/>
    <x v="0"/>
    <n v="1"/>
  </r>
  <r>
    <x v="30"/>
    <s v="cogs:product 1"/>
    <n v="5.99"/>
    <n v="23"/>
    <n v="137.77000000000001"/>
    <s v="cogs"/>
    <x v="1"/>
    <x v="0"/>
    <n v="1"/>
  </r>
  <r>
    <x v="30"/>
    <s v="cogs:product 2"/>
    <n v="16.989999999999998"/>
    <n v="3"/>
    <n v="50.97"/>
    <s v="cogs"/>
    <x v="2"/>
    <x v="0"/>
    <n v="1"/>
  </r>
  <r>
    <x v="30"/>
    <s v="cogs:product 3"/>
    <n v="8.49"/>
    <n v="97"/>
    <n v="823.53"/>
    <s v="cogs"/>
    <x v="3"/>
    <x v="0"/>
    <n v="1"/>
  </r>
  <r>
    <x v="30"/>
    <s v="marketing"/>
    <s v="NA"/>
    <s v="NA"/>
    <n v="99.98"/>
    <s v="marketing"/>
    <x v="0"/>
    <x v="0"/>
    <n v="1"/>
  </r>
  <r>
    <x v="30"/>
    <s v="net sales:product 1"/>
    <n v="9.99"/>
    <n v="23"/>
    <n v="229.77"/>
    <s v="net sales"/>
    <x v="1"/>
    <x v="0"/>
    <n v="1"/>
  </r>
  <r>
    <x v="30"/>
    <s v="net sales:product 2"/>
    <n v="24.99"/>
    <n v="3"/>
    <n v="74.97"/>
    <s v="net sales"/>
    <x v="2"/>
    <x v="0"/>
    <n v="1"/>
  </r>
  <r>
    <x v="30"/>
    <s v="net sales:product 3"/>
    <n v="12.49"/>
    <n v="97"/>
    <n v="1211.53"/>
    <s v="net sales"/>
    <x v="3"/>
    <x v="0"/>
    <n v="1"/>
  </r>
  <r>
    <x v="31"/>
    <s v="amortization"/>
    <s v="NA"/>
    <s v="NA"/>
    <n v="50"/>
    <s v="amortization"/>
    <x v="0"/>
    <x v="0"/>
    <n v="2"/>
  </r>
  <r>
    <x v="31"/>
    <s v="cogs:product 1"/>
    <n v="5.99"/>
    <n v="70"/>
    <n v="419.3"/>
    <s v="cogs"/>
    <x v="1"/>
    <x v="0"/>
    <n v="2"/>
  </r>
  <r>
    <x v="31"/>
    <s v="cogs:product 2"/>
    <n v="16.989999999999998"/>
    <n v="2"/>
    <n v="33.979999999999997"/>
    <s v="cogs"/>
    <x v="2"/>
    <x v="0"/>
    <n v="2"/>
  </r>
  <r>
    <x v="31"/>
    <s v="cogs:product 3"/>
    <n v="8.49"/>
    <n v="150"/>
    <n v="1273.5"/>
    <s v="cogs"/>
    <x v="3"/>
    <x v="0"/>
    <n v="2"/>
  </r>
  <r>
    <x v="31"/>
    <s v="marketing"/>
    <s v="NA"/>
    <s v="NA"/>
    <n v="100.03"/>
    <s v="marketing"/>
    <x v="0"/>
    <x v="0"/>
    <n v="2"/>
  </r>
  <r>
    <x v="31"/>
    <s v="net sales:product 1"/>
    <n v="9.99"/>
    <n v="70"/>
    <n v="699.30000000000007"/>
    <s v="net sales"/>
    <x v="1"/>
    <x v="0"/>
    <n v="2"/>
  </r>
  <r>
    <x v="31"/>
    <s v="net sales:product 2"/>
    <n v="24.99"/>
    <n v="2"/>
    <n v="49.98"/>
    <s v="net sales"/>
    <x v="2"/>
    <x v="0"/>
    <n v="2"/>
  </r>
  <r>
    <x v="31"/>
    <s v="net sales:product 3"/>
    <n v="12.49"/>
    <n v="150"/>
    <n v="1873.5"/>
    <s v="net sales"/>
    <x v="3"/>
    <x v="0"/>
    <n v="2"/>
  </r>
  <r>
    <x v="31"/>
    <s v="overhead"/>
    <s v="NA"/>
    <s v="NA"/>
    <n v="2000"/>
    <s v="overhead"/>
    <x v="0"/>
    <x v="0"/>
    <n v="2"/>
  </r>
  <r>
    <x v="32"/>
    <s v="cogs:product 1"/>
    <n v="5.99"/>
    <n v="85"/>
    <n v="509.15000000000003"/>
    <s v="cogs"/>
    <x v="1"/>
    <x v="0"/>
    <n v="2"/>
  </r>
  <r>
    <x v="32"/>
    <s v="cogs:product 2"/>
    <n v="16.989999999999998"/>
    <n v="7"/>
    <n v="118.92999999999999"/>
    <s v="cogs"/>
    <x v="2"/>
    <x v="0"/>
    <n v="2"/>
  </r>
  <r>
    <x v="32"/>
    <s v="cogs:product 3"/>
    <n v="8.49"/>
    <n v="229"/>
    <n v="1944.21"/>
    <s v="cogs"/>
    <x v="3"/>
    <x v="0"/>
    <n v="2"/>
  </r>
  <r>
    <x v="32"/>
    <s v="marketing"/>
    <s v="NA"/>
    <s v="NA"/>
    <n v="99.97"/>
    <s v="marketing"/>
    <x v="0"/>
    <x v="0"/>
    <n v="2"/>
  </r>
  <r>
    <x v="32"/>
    <s v="net sales:product 1"/>
    <n v="9.99"/>
    <n v="85"/>
    <n v="849.15"/>
    <s v="net sales"/>
    <x v="1"/>
    <x v="0"/>
    <n v="2"/>
  </r>
  <r>
    <x v="32"/>
    <s v="net sales:product 2"/>
    <n v="24.99"/>
    <n v="7"/>
    <n v="174.92999999999998"/>
    <s v="net sales"/>
    <x v="2"/>
    <x v="0"/>
    <n v="2"/>
  </r>
  <r>
    <x v="32"/>
    <s v="net sales:product 3"/>
    <n v="12.49"/>
    <n v="229"/>
    <n v="2860.21"/>
    <s v="net sales"/>
    <x v="3"/>
    <x v="0"/>
    <n v="2"/>
  </r>
  <r>
    <x v="32"/>
    <s v="payroll"/>
    <s v="NA"/>
    <s v="NA"/>
    <n v="1200"/>
    <s v="payroll"/>
    <x v="0"/>
    <x v="0"/>
    <n v="2"/>
  </r>
  <r>
    <x v="33"/>
    <s v="cogs:product 1"/>
    <n v="5.99"/>
    <n v="20"/>
    <n v="119.80000000000001"/>
    <s v="cogs"/>
    <x v="1"/>
    <x v="0"/>
    <n v="2"/>
  </r>
  <r>
    <x v="33"/>
    <s v="cogs:product 2"/>
    <n v="16.989999999999998"/>
    <n v="2"/>
    <n v="33.979999999999997"/>
    <s v="cogs"/>
    <x v="2"/>
    <x v="0"/>
    <n v="2"/>
  </r>
  <r>
    <x v="33"/>
    <s v="cogs:product 3"/>
    <n v="8.49"/>
    <n v="164"/>
    <n v="1392.3600000000001"/>
    <s v="cogs"/>
    <x v="3"/>
    <x v="0"/>
    <n v="2"/>
  </r>
  <r>
    <x v="33"/>
    <s v="marketing"/>
    <s v="NA"/>
    <s v="NA"/>
    <n v="99.93"/>
    <s v="marketing"/>
    <x v="0"/>
    <x v="0"/>
    <n v="2"/>
  </r>
  <r>
    <x v="33"/>
    <s v="net sales:product 1"/>
    <n v="9.99"/>
    <n v="20"/>
    <n v="199.8"/>
    <s v="net sales"/>
    <x v="1"/>
    <x v="0"/>
    <n v="2"/>
  </r>
  <r>
    <x v="33"/>
    <s v="net sales:product 2"/>
    <n v="24.99"/>
    <n v="2"/>
    <n v="49.98"/>
    <s v="net sales"/>
    <x v="2"/>
    <x v="0"/>
    <n v="2"/>
  </r>
  <r>
    <x v="33"/>
    <s v="net sales:product 3"/>
    <n v="12.49"/>
    <n v="164"/>
    <n v="2048.36"/>
    <s v="net sales"/>
    <x v="3"/>
    <x v="0"/>
    <n v="2"/>
  </r>
  <r>
    <x v="34"/>
    <s v="cogs:product 1"/>
    <n v="5.99"/>
    <n v="47"/>
    <n v="281.53000000000003"/>
    <s v="cogs"/>
    <x v="1"/>
    <x v="0"/>
    <n v="2"/>
  </r>
  <r>
    <x v="34"/>
    <s v="cogs:product 2"/>
    <n v="16.989999999999998"/>
    <n v="0"/>
    <n v="0"/>
    <s v="cogs"/>
    <x v="2"/>
    <x v="0"/>
    <n v="2"/>
  </r>
  <r>
    <x v="34"/>
    <s v="cogs:product 3"/>
    <n v="8.49"/>
    <n v="181"/>
    <n v="1536.69"/>
    <s v="cogs"/>
    <x v="3"/>
    <x v="0"/>
    <n v="2"/>
  </r>
  <r>
    <x v="34"/>
    <s v="marketing"/>
    <s v="NA"/>
    <s v="NA"/>
    <n v="99.95"/>
    <s v="marketing"/>
    <x v="0"/>
    <x v="0"/>
    <n v="2"/>
  </r>
  <r>
    <x v="34"/>
    <s v="net sales:product 1"/>
    <n v="9.99"/>
    <n v="47"/>
    <n v="469.53000000000003"/>
    <s v="net sales"/>
    <x v="1"/>
    <x v="0"/>
    <n v="2"/>
  </r>
  <r>
    <x v="34"/>
    <s v="net sales:product 2"/>
    <n v="24.99"/>
    <n v="0"/>
    <n v="0"/>
    <s v="net sales"/>
    <x v="2"/>
    <x v="0"/>
    <n v="2"/>
  </r>
  <r>
    <x v="34"/>
    <s v="net sales:product 3"/>
    <n v="12.49"/>
    <n v="181"/>
    <n v="2260.69"/>
    <s v="net sales"/>
    <x v="3"/>
    <x v="0"/>
    <n v="2"/>
  </r>
  <r>
    <x v="35"/>
    <s v="cogs:product 1"/>
    <n v="5.99"/>
    <n v="19"/>
    <n v="113.81"/>
    <s v="cogs"/>
    <x v="1"/>
    <x v="0"/>
    <n v="2"/>
  </r>
  <r>
    <x v="35"/>
    <s v="cogs:product 2"/>
    <n v="16.989999999999998"/>
    <n v="4"/>
    <n v="67.959999999999994"/>
    <s v="cogs"/>
    <x v="2"/>
    <x v="0"/>
    <n v="2"/>
  </r>
  <r>
    <x v="35"/>
    <s v="cogs:product 3"/>
    <n v="8.49"/>
    <n v="142"/>
    <n v="1205.58"/>
    <s v="cogs"/>
    <x v="3"/>
    <x v="0"/>
    <n v="2"/>
  </r>
  <r>
    <x v="35"/>
    <s v="marketing"/>
    <s v="NA"/>
    <s v="NA"/>
    <n v="100.04"/>
    <s v="marketing"/>
    <x v="0"/>
    <x v="0"/>
    <n v="2"/>
  </r>
  <r>
    <x v="35"/>
    <s v="net sales:product 1"/>
    <n v="9.99"/>
    <n v="19"/>
    <n v="189.81"/>
    <s v="net sales"/>
    <x v="1"/>
    <x v="0"/>
    <n v="2"/>
  </r>
  <r>
    <x v="35"/>
    <s v="net sales:product 2"/>
    <n v="24.99"/>
    <n v="4"/>
    <n v="99.96"/>
    <s v="net sales"/>
    <x v="2"/>
    <x v="0"/>
    <n v="2"/>
  </r>
  <r>
    <x v="35"/>
    <s v="net sales:product 3"/>
    <n v="12.49"/>
    <n v="142"/>
    <n v="1773.58"/>
    <s v="net sales"/>
    <x v="3"/>
    <x v="0"/>
    <n v="2"/>
  </r>
  <r>
    <x v="36"/>
    <s v="cogs:product 1"/>
    <n v="5.99"/>
    <n v="77"/>
    <n v="461.23"/>
    <s v="cogs"/>
    <x v="1"/>
    <x v="0"/>
    <n v="2"/>
  </r>
  <r>
    <x v="36"/>
    <s v="cogs:product 2"/>
    <n v="16.989999999999998"/>
    <n v="2"/>
    <n v="33.979999999999997"/>
    <s v="cogs"/>
    <x v="2"/>
    <x v="0"/>
    <n v="2"/>
  </r>
  <r>
    <x v="36"/>
    <s v="cogs:product 3"/>
    <n v="8.49"/>
    <n v="198"/>
    <n v="1681.02"/>
    <s v="cogs"/>
    <x v="3"/>
    <x v="0"/>
    <n v="2"/>
  </r>
  <r>
    <x v="36"/>
    <s v="marketing"/>
    <s v="NA"/>
    <s v="NA"/>
    <n v="99.990000000000009"/>
    <s v="marketing"/>
    <x v="0"/>
    <x v="0"/>
    <n v="2"/>
  </r>
  <r>
    <x v="36"/>
    <s v="net sales:product 1"/>
    <n v="9.99"/>
    <n v="77"/>
    <n v="769.23"/>
    <s v="net sales"/>
    <x v="1"/>
    <x v="0"/>
    <n v="2"/>
  </r>
  <r>
    <x v="36"/>
    <s v="net sales:product 2"/>
    <n v="24.99"/>
    <n v="2"/>
    <n v="49.98"/>
    <s v="net sales"/>
    <x v="2"/>
    <x v="0"/>
    <n v="2"/>
  </r>
  <r>
    <x v="36"/>
    <s v="net sales:product 3"/>
    <n v="12.49"/>
    <n v="198"/>
    <n v="2473.02"/>
    <s v="net sales"/>
    <x v="3"/>
    <x v="0"/>
    <n v="2"/>
  </r>
  <r>
    <x v="37"/>
    <s v="cogs:product 1"/>
    <n v="5.99"/>
    <n v="19"/>
    <n v="113.81"/>
    <s v="cogs"/>
    <x v="1"/>
    <x v="0"/>
    <n v="2"/>
  </r>
  <r>
    <x v="37"/>
    <s v="cogs:product 2"/>
    <n v="16.989999999999998"/>
    <n v="4"/>
    <n v="67.959999999999994"/>
    <s v="cogs"/>
    <x v="2"/>
    <x v="0"/>
    <n v="2"/>
  </r>
  <r>
    <x v="37"/>
    <s v="cogs:product 3"/>
    <n v="8.49"/>
    <n v="83"/>
    <n v="704.67000000000007"/>
    <s v="cogs"/>
    <x v="3"/>
    <x v="0"/>
    <n v="2"/>
  </r>
  <r>
    <x v="37"/>
    <s v="marketing"/>
    <s v="NA"/>
    <s v="NA"/>
    <n v="100.06"/>
    <s v="marketing"/>
    <x v="0"/>
    <x v="0"/>
    <n v="2"/>
  </r>
  <r>
    <x v="37"/>
    <s v="net sales:product 1"/>
    <n v="9.99"/>
    <n v="19"/>
    <n v="189.81"/>
    <s v="net sales"/>
    <x v="1"/>
    <x v="0"/>
    <n v="2"/>
  </r>
  <r>
    <x v="37"/>
    <s v="net sales:product 2"/>
    <n v="24.99"/>
    <n v="4"/>
    <n v="99.96"/>
    <s v="net sales"/>
    <x v="2"/>
    <x v="0"/>
    <n v="2"/>
  </r>
  <r>
    <x v="37"/>
    <s v="net sales:product 3"/>
    <n v="12.49"/>
    <n v="83"/>
    <n v="1036.67"/>
    <s v="net sales"/>
    <x v="3"/>
    <x v="0"/>
    <n v="2"/>
  </r>
  <r>
    <x v="38"/>
    <s v="cogs:product 1"/>
    <n v="5.99"/>
    <n v="24"/>
    <n v="143.76"/>
    <s v="cogs"/>
    <x v="1"/>
    <x v="0"/>
    <n v="2"/>
  </r>
  <r>
    <x v="38"/>
    <s v="cogs:product 2"/>
    <n v="16.989999999999998"/>
    <n v="9"/>
    <n v="152.91"/>
    <s v="cogs"/>
    <x v="2"/>
    <x v="0"/>
    <n v="2"/>
  </r>
  <r>
    <x v="38"/>
    <s v="cogs:product 3"/>
    <n v="8.49"/>
    <n v="67"/>
    <n v="568.83000000000004"/>
    <s v="cogs"/>
    <x v="3"/>
    <x v="0"/>
    <n v="2"/>
  </r>
  <r>
    <x v="38"/>
    <s v="marketing"/>
    <s v="NA"/>
    <s v="NA"/>
    <n v="100.06"/>
    <s v="marketing"/>
    <x v="0"/>
    <x v="0"/>
    <n v="2"/>
  </r>
  <r>
    <x v="38"/>
    <s v="net sales:product 1"/>
    <n v="9.99"/>
    <n v="24"/>
    <n v="239.76"/>
    <s v="net sales"/>
    <x v="1"/>
    <x v="0"/>
    <n v="2"/>
  </r>
  <r>
    <x v="38"/>
    <s v="net sales:product 2"/>
    <n v="24.99"/>
    <n v="9"/>
    <n v="224.91"/>
    <s v="net sales"/>
    <x v="2"/>
    <x v="0"/>
    <n v="2"/>
  </r>
  <r>
    <x v="38"/>
    <s v="net sales:product 3"/>
    <n v="12.49"/>
    <n v="67"/>
    <n v="836.83"/>
    <s v="net sales"/>
    <x v="3"/>
    <x v="0"/>
    <n v="2"/>
  </r>
  <r>
    <x v="39"/>
    <s v="cogs:product 1"/>
    <n v="5.99"/>
    <n v="8"/>
    <n v="47.92"/>
    <s v="cogs"/>
    <x v="1"/>
    <x v="0"/>
    <n v="2"/>
  </r>
  <r>
    <x v="39"/>
    <s v="cogs:product 2"/>
    <n v="16.989999999999998"/>
    <n v="8"/>
    <n v="135.91999999999999"/>
    <s v="cogs"/>
    <x v="2"/>
    <x v="0"/>
    <n v="2"/>
  </r>
  <r>
    <x v="39"/>
    <s v="cogs:product 3"/>
    <n v="8.49"/>
    <n v="150"/>
    <n v="1273.5"/>
    <s v="cogs"/>
    <x v="3"/>
    <x v="0"/>
    <n v="2"/>
  </r>
  <r>
    <x v="39"/>
    <s v="marketing"/>
    <s v="NA"/>
    <s v="NA"/>
    <n v="99.990000000000009"/>
    <s v="marketing"/>
    <x v="0"/>
    <x v="0"/>
    <n v="2"/>
  </r>
  <r>
    <x v="39"/>
    <s v="net sales:product 1"/>
    <n v="9.99"/>
    <n v="8"/>
    <n v="79.92"/>
    <s v="net sales"/>
    <x v="1"/>
    <x v="0"/>
    <n v="2"/>
  </r>
  <r>
    <x v="39"/>
    <s v="net sales:product 2"/>
    <n v="24.99"/>
    <n v="8"/>
    <n v="199.92"/>
    <s v="net sales"/>
    <x v="2"/>
    <x v="0"/>
    <n v="2"/>
  </r>
  <r>
    <x v="39"/>
    <s v="net sales:product 3"/>
    <n v="12.49"/>
    <n v="150"/>
    <n v="1873.5"/>
    <s v="net sales"/>
    <x v="3"/>
    <x v="0"/>
    <n v="2"/>
  </r>
  <r>
    <x v="40"/>
    <s v="cogs:product 1"/>
    <n v="5.99"/>
    <n v="62"/>
    <n v="371.38"/>
    <s v="cogs"/>
    <x v="1"/>
    <x v="0"/>
    <n v="2"/>
  </r>
  <r>
    <x v="40"/>
    <s v="cogs:product 2"/>
    <n v="16.989999999999998"/>
    <n v="5"/>
    <n v="84.949999999999989"/>
    <s v="cogs"/>
    <x v="2"/>
    <x v="0"/>
    <n v="2"/>
  </r>
  <r>
    <x v="40"/>
    <s v="cogs:product 3"/>
    <n v="8.49"/>
    <n v="55"/>
    <n v="466.95"/>
    <s v="cogs"/>
    <x v="3"/>
    <x v="0"/>
    <n v="2"/>
  </r>
  <r>
    <x v="40"/>
    <s v="marketing"/>
    <s v="NA"/>
    <s v="NA"/>
    <n v="100.03"/>
    <s v="marketing"/>
    <x v="0"/>
    <x v="0"/>
    <n v="2"/>
  </r>
  <r>
    <x v="40"/>
    <s v="net sales:product 1"/>
    <n v="9.99"/>
    <n v="62"/>
    <n v="619.38"/>
    <s v="net sales"/>
    <x v="1"/>
    <x v="0"/>
    <n v="2"/>
  </r>
  <r>
    <x v="40"/>
    <s v="net sales:product 2"/>
    <n v="24.99"/>
    <n v="5"/>
    <n v="124.94999999999999"/>
    <s v="net sales"/>
    <x v="2"/>
    <x v="0"/>
    <n v="2"/>
  </r>
  <r>
    <x v="40"/>
    <s v="net sales:product 3"/>
    <n v="12.49"/>
    <n v="55"/>
    <n v="686.95"/>
    <s v="net sales"/>
    <x v="3"/>
    <x v="0"/>
    <n v="2"/>
  </r>
  <r>
    <x v="41"/>
    <s v="cogs:product 1"/>
    <n v="5.99"/>
    <n v="75"/>
    <n v="449.25"/>
    <s v="cogs"/>
    <x v="1"/>
    <x v="0"/>
    <n v="2"/>
  </r>
  <r>
    <x v="41"/>
    <s v="cogs:product 2"/>
    <n v="16.989999999999998"/>
    <n v="0"/>
    <n v="0"/>
    <s v="cogs"/>
    <x v="2"/>
    <x v="0"/>
    <n v="2"/>
  </r>
  <r>
    <x v="41"/>
    <s v="cogs:product 3"/>
    <n v="8.49"/>
    <n v="237"/>
    <n v="2012.13"/>
    <s v="cogs"/>
    <x v="3"/>
    <x v="0"/>
    <n v="2"/>
  </r>
  <r>
    <x v="41"/>
    <s v="marketing"/>
    <s v="NA"/>
    <s v="NA"/>
    <n v="100.03"/>
    <s v="marketing"/>
    <x v="0"/>
    <x v="0"/>
    <n v="2"/>
  </r>
  <r>
    <x v="41"/>
    <s v="net sales:product 1"/>
    <n v="9.99"/>
    <n v="75"/>
    <n v="749.25"/>
    <s v="net sales"/>
    <x v="1"/>
    <x v="0"/>
    <n v="2"/>
  </r>
  <r>
    <x v="41"/>
    <s v="net sales:product 2"/>
    <n v="24.99"/>
    <n v="0"/>
    <n v="0"/>
    <s v="net sales"/>
    <x v="2"/>
    <x v="0"/>
    <n v="2"/>
  </r>
  <r>
    <x v="41"/>
    <s v="net sales:product 3"/>
    <n v="12.49"/>
    <n v="237"/>
    <n v="2960.13"/>
    <s v="net sales"/>
    <x v="3"/>
    <x v="0"/>
    <n v="2"/>
  </r>
  <r>
    <x v="42"/>
    <s v="cogs:product 1"/>
    <n v="5.99"/>
    <n v="74"/>
    <n v="443.26"/>
    <s v="cogs"/>
    <x v="1"/>
    <x v="0"/>
    <n v="2"/>
  </r>
  <r>
    <x v="42"/>
    <s v="cogs:product 2"/>
    <n v="16.989999999999998"/>
    <n v="1"/>
    <n v="16.989999999999998"/>
    <s v="cogs"/>
    <x v="2"/>
    <x v="0"/>
    <n v="2"/>
  </r>
  <r>
    <x v="42"/>
    <s v="cogs:product 3"/>
    <n v="8.49"/>
    <n v="18"/>
    <n v="152.82"/>
    <s v="cogs"/>
    <x v="3"/>
    <x v="0"/>
    <n v="2"/>
  </r>
  <r>
    <x v="42"/>
    <s v="marketing"/>
    <s v="NA"/>
    <s v="NA"/>
    <n v="99.91"/>
    <s v="marketing"/>
    <x v="0"/>
    <x v="0"/>
    <n v="2"/>
  </r>
  <r>
    <x v="42"/>
    <s v="net sales:product 1"/>
    <n v="9.99"/>
    <n v="74"/>
    <n v="739.26"/>
    <s v="net sales"/>
    <x v="1"/>
    <x v="0"/>
    <n v="2"/>
  </r>
  <r>
    <x v="42"/>
    <s v="net sales:product 2"/>
    <n v="24.99"/>
    <n v="1"/>
    <n v="24.99"/>
    <s v="net sales"/>
    <x v="2"/>
    <x v="0"/>
    <n v="2"/>
  </r>
  <r>
    <x v="42"/>
    <s v="net sales:product 3"/>
    <n v="12.49"/>
    <n v="18"/>
    <n v="224.82"/>
    <s v="net sales"/>
    <x v="3"/>
    <x v="0"/>
    <n v="2"/>
  </r>
  <r>
    <x v="43"/>
    <s v="cogs:product 1"/>
    <n v="5.99"/>
    <n v="7"/>
    <n v="41.93"/>
    <s v="cogs"/>
    <x v="1"/>
    <x v="0"/>
    <n v="2"/>
  </r>
  <r>
    <x v="43"/>
    <s v="cogs:product 2"/>
    <n v="16.989999999999998"/>
    <n v="1"/>
    <n v="16.989999999999998"/>
    <s v="cogs"/>
    <x v="2"/>
    <x v="0"/>
    <n v="2"/>
  </r>
  <r>
    <x v="43"/>
    <s v="cogs:product 3"/>
    <n v="8.49"/>
    <n v="126"/>
    <n v="1069.74"/>
    <s v="cogs"/>
    <x v="3"/>
    <x v="0"/>
    <n v="2"/>
  </r>
  <r>
    <x v="43"/>
    <s v="marketing"/>
    <s v="NA"/>
    <s v="NA"/>
    <n v="100.04"/>
    <s v="marketing"/>
    <x v="0"/>
    <x v="0"/>
    <n v="2"/>
  </r>
  <r>
    <x v="43"/>
    <s v="net sales:product 1"/>
    <n v="9.99"/>
    <n v="7"/>
    <n v="69.930000000000007"/>
    <s v="net sales"/>
    <x v="1"/>
    <x v="0"/>
    <n v="2"/>
  </r>
  <r>
    <x v="43"/>
    <s v="net sales:product 2"/>
    <n v="24.99"/>
    <n v="1"/>
    <n v="24.99"/>
    <s v="net sales"/>
    <x v="2"/>
    <x v="0"/>
    <n v="2"/>
  </r>
  <r>
    <x v="43"/>
    <s v="net sales:product 3"/>
    <n v="12.49"/>
    <n v="126"/>
    <n v="1573.74"/>
    <s v="net sales"/>
    <x v="3"/>
    <x v="0"/>
    <n v="2"/>
  </r>
  <r>
    <x v="44"/>
    <s v="cogs:product 1"/>
    <n v="5.99"/>
    <n v="56"/>
    <n v="335.44"/>
    <s v="cogs"/>
    <x v="1"/>
    <x v="0"/>
    <n v="2"/>
  </r>
  <r>
    <x v="44"/>
    <s v="cogs:product 2"/>
    <n v="16.989999999999998"/>
    <n v="7"/>
    <n v="118.92999999999999"/>
    <s v="cogs"/>
    <x v="2"/>
    <x v="0"/>
    <n v="2"/>
  </r>
  <r>
    <x v="44"/>
    <s v="cogs:product 3"/>
    <n v="8.49"/>
    <n v="225"/>
    <n v="1910.25"/>
    <s v="cogs"/>
    <x v="3"/>
    <x v="0"/>
    <n v="2"/>
  </r>
  <r>
    <x v="44"/>
    <s v="marketing"/>
    <s v="NA"/>
    <s v="NA"/>
    <n v="99.92"/>
    <s v="marketing"/>
    <x v="0"/>
    <x v="0"/>
    <n v="2"/>
  </r>
  <r>
    <x v="44"/>
    <s v="net sales:product 1"/>
    <n v="9.99"/>
    <n v="56"/>
    <n v="559.44000000000005"/>
    <s v="net sales"/>
    <x v="1"/>
    <x v="0"/>
    <n v="2"/>
  </r>
  <r>
    <x v="44"/>
    <s v="net sales:product 2"/>
    <n v="24.99"/>
    <n v="7"/>
    <n v="174.92999999999998"/>
    <s v="net sales"/>
    <x v="2"/>
    <x v="0"/>
    <n v="2"/>
  </r>
  <r>
    <x v="44"/>
    <s v="net sales:product 3"/>
    <n v="12.49"/>
    <n v="225"/>
    <n v="2810.25"/>
    <s v="net sales"/>
    <x v="3"/>
    <x v="0"/>
    <n v="2"/>
  </r>
  <r>
    <x v="45"/>
    <s v="cogs:product 1"/>
    <n v="5.99"/>
    <n v="63"/>
    <n v="377.37"/>
    <s v="cogs"/>
    <x v="1"/>
    <x v="0"/>
    <n v="2"/>
  </r>
  <r>
    <x v="45"/>
    <s v="cogs:product 2"/>
    <n v="16.989999999999998"/>
    <n v="2"/>
    <n v="33.979999999999997"/>
    <s v="cogs"/>
    <x v="2"/>
    <x v="0"/>
    <n v="2"/>
  </r>
  <r>
    <x v="45"/>
    <s v="cogs:product 3"/>
    <n v="8.49"/>
    <n v="43"/>
    <n v="365.07"/>
    <s v="cogs"/>
    <x v="3"/>
    <x v="0"/>
    <n v="2"/>
  </r>
  <r>
    <x v="45"/>
    <s v="interest"/>
    <s v="NA"/>
    <s v="NA"/>
    <n v="1242.56"/>
    <s v="interest"/>
    <x v="0"/>
    <x v="0"/>
    <n v="2"/>
  </r>
  <r>
    <x v="45"/>
    <s v="marketing"/>
    <s v="NA"/>
    <s v="NA"/>
    <n v="99.91"/>
    <s v="marketing"/>
    <x v="0"/>
    <x v="0"/>
    <n v="2"/>
  </r>
  <r>
    <x v="45"/>
    <s v="net sales:product 1"/>
    <n v="9.99"/>
    <n v="63"/>
    <n v="629.37"/>
    <s v="net sales"/>
    <x v="1"/>
    <x v="0"/>
    <n v="2"/>
  </r>
  <r>
    <x v="45"/>
    <s v="net sales:product 2"/>
    <n v="24.99"/>
    <n v="2"/>
    <n v="49.98"/>
    <s v="net sales"/>
    <x v="2"/>
    <x v="0"/>
    <n v="2"/>
  </r>
  <r>
    <x v="45"/>
    <s v="net sales:product 3"/>
    <n v="12.49"/>
    <n v="43"/>
    <n v="537.07000000000005"/>
    <s v="net sales"/>
    <x v="3"/>
    <x v="0"/>
    <n v="2"/>
  </r>
  <r>
    <x v="45"/>
    <s v="overhead"/>
    <s v="NA"/>
    <s v="NA"/>
    <n v="305.56"/>
    <s v="overhead"/>
    <x v="0"/>
    <x v="0"/>
    <n v="2"/>
  </r>
  <r>
    <x v="46"/>
    <s v="cogs:product 1"/>
    <n v="5.99"/>
    <n v="23"/>
    <n v="137.77000000000001"/>
    <s v="cogs"/>
    <x v="1"/>
    <x v="0"/>
    <n v="2"/>
  </r>
  <r>
    <x v="46"/>
    <s v="cogs:product 2"/>
    <n v="16.989999999999998"/>
    <n v="5"/>
    <n v="84.949999999999989"/>
    <s v="cogs"/>
    <x v="2"/>
    <x v="0"/>
    <n v="2"/>
  </r>
  <r>
    <x v="46"/>
    <s v="cogs:product 3"/>
    <n v="8.49"/>
    <n v="4"/>
    <n v="33.96"/>
    <s v="cogs"/>
    <x v="3"/>
    <x v="0"/>
    <n v="2"/>
  </r>
  <r>
    <x v="46"/>
    <s v="marketing"/>
    <s v="NA"/>
    <s v="NA"/>
    <n v="100.05"/>
    <s v="marketing"/>
    <x v="0"/>
    <x v="0"/>
    <n v="2"/>
  </r>
  <r>
    <x v="46"/>
    <s v="net sales:product 1"/>
    <n v="9.99"/>
    <n v="23"/>
    <n v="229.77"/>
    <s v="net sales"/>
    <x v="1"/>
    <x v="0"/>
    <n v="2"/>
  </r>
  <r>
    <x v="46"/>
    <s v="net sales:product 2"/>
    <n v="24.99"/>
    <n v="5"/>
    <n v="124.94999999999999"/>
    <s v="net sales"/>
    <x v="2"/>
    <x v="0"/>
    <n v="2"/>
  </r>
  <r>
    <x v="46"/>
    <s v="net sales:product 3"/>
    <n v="12.49"/>
    <n v="4"/>
    <n v="49.96"/>
    <s v="net sales"/>
    <x v="3"/>
    <x v="0"/>
    <n v="2"/>
  </r>
  <r>
    <x v="46"/>
    <s v="payroll"/>
    <s v="NA"/>
    <s v="NA"/>
    <n v="1200"/>
    <s v="payroll"/>
    <x v="0"/>
    <x v="0"/>
    <n v="2"/>
  </r>
  <r>
    <x v="47"/>
    <s v="cogs:product 1"/>
    <n v="5.99"/>
    <n v="42"/>
    <n v="251.58"/>
    <s v="cogs"/>
    <x v="1"/>
    <x v="0"/>
    <n v="2"/>
  </r>
  <r>
    <x v="47"/>
    <s v="cogs:product 2"/>
    <n v="16.989999999999998"/>
    <n v="6"/>
    <n v="101.94"/>
    <s v="cogs"/>
    <x v="2"/>
    <x v="0"/>
    <n v="2"/>
  </r>
  <r>
    <x v="47"/>
    <s v="cogs:product 3"/>
    <n v="8.49"/>
    <n v="179"/>
    <n v="1519.71"/>
    <s v="cogs"/>
    <x v="3"/>
    <x v="0"/>
    <n v="2"/>
  </r>
  <r>
    <x v="47"/>
    <s v="marketing"/>
    <s v="NA"/>
    <s v="NA"/>
    <n v="100.04"/>
    <s v="marketing"/>
    <x v="0"/>
    <x v="0"/>
    <n v="2"/>
  </r>
  <r>
    <x v="47"/>
    <s v="net sales:product 1"/>
    <n v="9.99"/>
    <n v="42"/>
    <n v="419.58"/>
    <s v="net sales"/>
    <x v="1"/>
    <x v="0"/>
    <n v="2"/>
  </r>
  <r>
    <x v="47"/>
    <s v="net sales:product 2"/>
    <n v="24.99"/>
    <n v="6"/>
    <n v="149.94"/>
    <s v="net sales"/>
    <x v="2"/>
    <x v="0"/>
    <n v="2"/>
  </r>
  <r>
    <x v="47"/>
    <s v="net sales:product 3"/>
    <n v="12.49"/>
    <n v="179"/>
    <n v="2235.71"/>
    <s v="net sales"/>
    <x v="3"/>
    <x v="0"/>
    <n v="2"/>
  </r>
  <r>
    <x v="48"/>
    <s v="cogs:product 1"/>
    <n v="5.99"/>
    <n v="8"/>
    <n v="47.92"/>
    <s v="cogs"/>
    <x v="1"/>
    <x v="0"/>
    <n v="2"/>
  </r>
  <r>
    <x v="48"/>
    <s v="cogs:product 2"/>
    <n v="16.989999999999998"/>
    <n v="3"/>
    <n v="50.97"/>
    <s v="cogs"/>
    <x v="2"/>
    <x v="0"/>
    <n v="2"/>
  </r>
  <r>
    <x v="48"/>
    <s v="cogs:product 3"/>
    <n v="8.49"/>
    <n v="89"/>
    <n v="755.61"/>
    <s v="cogs"/>
    <x v="3"/>
    <x v="0"/>
    <n v="2"/>
  </r>
  <r>
    <x v="48"/>
    <s v="marketing"/>
    <s v="NA"/>
    <s v="NA"/>
    <n v="100.04"/>
    <s v="marketing"/>
    <x v="0"/>
    <x v="0"/>
    <n v="2"/>
  </r>
  <r>
    <x v="48"/>
    <s v="net sales:product 1"/>
    <n v="9.99"/>
    <n v="8"/>
    <n v="79.92"/>
    <s v="net sales"/>
    <x v="1"/>
    <x v="0"/>
    <n v="2"/>
  </r>
  <r>
    <x v="48"/>
    <s v="net sales:product 2"/>
    <n v="24.99"/>
    <n v="3"/>
    <n v="74.97"/>
    <s v="net sales"/>
    <x v="2"/>
    <x v="0"/>
    <n v="2"/>
  </r>
  <r>
    <x v="48"/>
    <s v="net sales:product 3"/>
    <n v="12.49"/>
    <n v="89"/>
    <n v="1111.6100000000001"/>
    <s v="net sales"/>
    <x v="3"/>
    <x v="0"/>
    <n v="2"/>
  </r>
  <r>
    <x v="49"/>
    <s v="cogs:product 1"/>
    <n v="5.99"/>
    <n v="8"/>
    <n v="47.92"/>
    <s v="cogs"/>
    <x v="1"/>
    <x v="0"/>
    <n v="2"/>
  </r>
  <r>
    <x v="49"/>
    <s v="cogs:product 2"/>
    <n v="16.989999999999998"/>
    <n v="8"/>
    <n v="135.91999999999999"/>
    <s v="cogs"/>
    <x v="2"/>
    <x v="0"/>
    <n v="2"/>
  </r>
  <r>
    <x v="49"/>
    <s v="cogs:product 3"/>
    <n v="8.49"/>
    <n v="0"/>
    <n v="0"/>
    <s v="cogs"/>
    <x v="3"/>
    <x v="0"/>
    <n v="2"/>
  </r>
  <r>
    <x v="49"/>
    <s v="marketing"/>
    <s v="NA"/>
    <s v="NA"/>
    <n v="100.08"/>
    <s v="marketing"/>
    <x v="0"/>
    <x v="0"/>
    <n v="2"/>
  </r>
  <r>
    <x v="49"/>
    <s v="net sales:product 1"/>
    <n v="9.99"/>
    <n v="8"/>
    <n v="79.92"/>
    <s v="net sales"/>
    <x v="1"/>
    <x v="0"/>
    <n v="2"/>
  </r>
  <r>
    <x v="49"/>
    <s v="net sales:product 2"/>
    <n v="24.99"/>
    <n v="8"/>
    <n v="199.92"/>
    <s v="net sales"/>
    <x v="2"/>
    <x v="0"/>
    <n v="2"/>
  </r>
  <r>
    <x v="49"/>
    <s v="net sales:product 3"/>
    <n v="12.49"/>
    <n v="0"/>
    <n v="0"/>
    <s v="net sales"/>
    <x v="3"/>
    <x v="0"/>
    <n v="2"/>
  </r>
  <r>
    <x v="50"/>
    <s v="cogs:product 1"/>
    <n v="5.99"/>
    <n v="46"/>
    <n v="275.54000000000002"/>
    <s v="cogs"/>
    <x v="1"/>
    <x v="0"/>
    <n v="2"/>
  </r>
  <r>
    <x v="50"/>
    <s v="cogs:product 2"/>
    <n v="16.989999999999998"/>
    <n v="1"/>
    <n v="16.989999999999998"/>
    <s v="cogs"/>
    <x v="2"/>
    <x v="0"/>
    <n v="2"/>
  </r>
  <r>
    <x v="50"/>
    <s v="cogs:product 3"/>
    <n v="8.49"/>
    <n v="43"/>
    <n v="365.07"/>
    <s v="cogs"/>
    <x v="3"/>
    <x v="0"/>
    <n v="2"/>
  </r>
  <r>
    <x v="50"/>
    <s v="marketing"/>
    <s v="NA"/>
    <s v="NA"/>
    <n v="100"/>
    <s v="marketing"/>
    <x v="0"/>
    <x v="0"/>
    <n v="2"/>
  </r>
  <r>
    <x v="50"/>
    <s v="net sales:product 1"/>
    <n v="9.99"/>
    <n v="46"/>
    <n v="459.54"/>
    <s v="net sales"/>
    <x v="1"/>
    <x v="0"/>
    <n v="2"/>
  </r>
  <r>
    <x v="50"/>
    <s v="net sales:product 2"/>
    <n v="24.99"/>
    <n v="1"/>
    <n v="24.99"/>
    <s v="net sales"/>
    <x v="2"/>
    <x v="0"/>
    <n v="2"/>
  </r>
  <r>
    <x v="50"/>
    <s v="net sales:product 3"/>
    <n v="12.49"/>
    <n v="43"/>
    <n v="537.07000000000005"/>
    <s v="net sales"/>
    <x v="3"/>
    <x v="0"/>
    <n v="2"/>
  </r>
  <r>
    <x v="51"/>
    <s v="cogs:product 1"/>
    <n v="5.99"/>
    <n v="37"/>
    <n v="221.63"/>
    <s v="cogs"/>
    <x v="1"/>
    <x v="0"/>
    <n v="2"/>
  </r>
  <r>
    <x v="51"/>
    <s v="cogs:product 2"/>
    <n v="16.989999999999998"/>
    <n v="9"/>
    <n v="152.91"/>
    <s v="cogs"/>
    <x v="2"/>
    <x v="0"/>
    <n v="2"/>
  </r>
  <r>
    <x v="51"/>
    <s v="cogs:product 3"/>
    <n v="8.49"/>
    <n v="65"/>
    <n v="551.85"/>
    <s v="cogs"/>
    <x v="3"/>
    <x v="0"/>
    <n v="2"/>
  </r>
  <r>
    <x v="51"/>
    <s v="marketing"/>
    <s v="NA"/>
    <s v="NA"/>
    <n v="99.92"/>
    <s v="marketing"/>
    <x v="0"/>
    <x v="0"/>
    <n v="2"/>
  </r>
  <r>
    <x v="51"/>
    <s v="net sales:product 1"/>
    <n v="9.99"/>
    <n v="37"/>
    <n v="369.63"/>
    <s v="net sales"/>
    <x v="1"/>
    <x v="0"/>
    <n v="2"/>
  </r>
  <r>
    <x v="51"/>
    <s v="net sales:product 2"/>
    <n v="24.99"/>
    <n v="9"/>
    <n v="224.91"/>
    <s v="net sales"/>
    <x v="2"/>
    <x v="0"/>
    <n v="2"/>
  </r>
  <r>
    <x v="51"/>
    <s v="net sales:product 3"/>
    <n v="12.49"/>
    <n v="65"/>
    <n v="811.85"/>
    <s v="net sales"/>
    <x v="3"/>
    <x v="0"/>
    <n v="2"/>
  </r>
  <r>
    <x v="52"/>
    <s v="cogs:product 1"/>
    <n v="5.99"/>
    <n v="74"/>
    <n v="443.26"/>
    <s v="cogs"/>
    <x v="1"/>
    <x v="0"/>
    <n v="2"/>
  </r>
  <r>
    <x v="52"/>
    <s v="cogs:product 2"/>
    <n v="16.989999999999998"/>
    <n v="0"/>
    <n v="0"/>
    <s v="cogs"/>
    <x v="2"/>
    <x v="0"/>
    <n v="2"/>
  </r>
  <r>
    <x v="52"/>
    <s v="cogs:product 3"/>
    <n v="8.49"/>
    <n v="20"/>
    <n v="169.8"/>
    <s v="cogs"/>
    <x v="3"/>
    <x v="0"/>
    <n v="2"/>
  </r>
  <r>
    <x v="52"/>
    <s v="marketing"/>
    <s v="NA"/>
    <s v="NA"/>
    <n v="100.05"/>
    <s v="marketing"/>
    <x v="0"/>
    <x v="0"/>
    <n v="2"/>
  </r>
  <r>
    <x v="52"/>
    <s v="net sales:product 1"/>
    <n v="9.99"/>
    <n v="74"/>
    <n v="739.26"/>
    <s v="net sales"/>
    <x v="1"/>
    <x v="0"/>
    <n v="2"/>
  </r>
  <r>
    <x v="52"/>
    <s v="net sales:product 2"/>
    <n v="24.99"/>
    <n v="0"/>
    <n v="0"/>
    <s v="net sales"/>
    <x v="2"/>
    <x v="0"/>
    <n v="2"/>
  </r>
  <r>
    <x v="52"/>
    <s v="net sales:product 3"/>
    <n v="12.49"/>
    <n v="20"/>
    <n v="249.8"/>
    <s v="net sales"/>
    <x v="3"/>
    <x v="0"/>
    <n v="2"/>
  </r>
  <r>
    <x v="53"/>
    <s v="cogs:product 1"/>
    <n v="5.99"/>
    <n v="9"/>
    <n v="53.910000000000004"/>
    <s v="cogs"/>
    <x v="1"/>
    <x v="0"/>
    <n v="2"/>
  </r>
  <r>
    <x v="53"/>
    <s v="cogs:product 2"/>
    <n v="16.989999999999998"/>
    <n v="6"/>
    <n v="101.94"/>
    <s v="cogs"/>
    <x v="2"/>
    <x v="0"/>
    <n v="2"/>
  </r>
  <r>
    <x v="53"/>
    <s v="cogs:product 3"/>
    <n v="8.49"/>
    <n v="241"/>
    <n v="2046.0900000000001"/>
    <s v="cogs"/>
    <x v="3"/>
    <x v="0"/>
    <n v="2"/>
  </r>
  <r>
    <x v="53"/>
    <s v="marketing"/>
    <s v="NA"/>
    <s v="NA"/>
    <n v="99.93"/>
    <s v="marketing"/>
    <x v="0"/>
    <x v="0"/>
    <n v="2"/>
  </r>
  <r>
    <x v="53"/>
    <s v="net sales:product 1"/>
    <n v="9.99"/>
    <n v="9"/>
    <n v="89.91"/>
    <s v="net sales"/>
    <x v="1"/>
    <x v="0"/>
    <n v="2"/>
  </r>
  <r>
    <x v="53"/>
    <s v="net sales:product 2"/>
    <n v="24.99"/>
    <n v="6"/>
    <n v="149.94"/>
    <s v="net sales"/>
    <x v="2"/>
    <x v="0"/>
    <n v="2"/>
  </r>
  <r>
    <x v="53"/>
    <s v="net sales:product 3"/>
    <n v="12.49"/>
    <n v="241"/>
    <n v="3010.09"/>
    <s v="net sales"/>
    <x v="3"/>
    <x v="0"/>
    <n v="2"/>
  </r>
  <r>
    <x v="54"/>
    <s v="cogs:product 1"/>
    <n v="5.99"/>
    <n v="35"/>
    <n v="209.65"/>
    <s v="cogs"/>
    <x v="1"/>
    <x v="0"/>
    <n v="2"/>
  </r>
  <r>
    <x v="54"/>
    <s v="cogs:product 2"/>
    <n v="16.989999999999998"/>
    <n v="7"/>
    <n v="118.92999999999999"/>
    <s v="cogs"/>
    <x v="2"/>
    <x v="0"/>
    <n v="2"/>
  </r>
  <r>
    <x v="54"/>
    <s v="cogs:product 3"/>
    <n v="8.49"/>
    <n v="90"/>
    <n v="764.1"/>
    <s v="cogs"/>
    <x v="3"/>
    <x v="0"/>
    <n v="2"/>
  </r>
  <r>
    <x v="54"/>
    <s v="marketing"/>
    <s v="NA"/>
    <s v="NA"/>
    <n v="99.97"/>
    <s v="marketing"/>
    <x v="0"/>
    <x v="0"/>
    <n v="2"/>
  </r>
  <r>
    <x v="54"/>
    <s v="net sales:product 1"/>
    <n v="9.99"/>
    <n v="35"/>
    <n v="349.65000000000003"/>
    <s v="net sales"/>
    <x v="1"/>
    <x v="0"/>
    <n v="2"/>
  </r>
  <r>
    <x v="54"/>
    <s v="net sales:product 2"/>
    <n v="24.99"/>
    <n v="7"/>
    <n v="174.92999999999998"/>
    <s v="net sales"/>
    <x v="2"/>
    <x v="0"/>
    <n v="2"/>
  </r>
  <r>
    <x v="54"/>
    <s v="net sales:product 3"/>
    <n v="12.49"/>
    <n v="90"/>
    <n v="1124.0999999999999"/>
    <s v="net sales"/>
    <x v="3"/>
    <x v="0"/>
    <n v="2"/>
  </r>
  <r>
    <x v="55"/>
    <s v="cogs:product 1"/>
    <n v="5.99"/>
    <n v="28"/>
    <n v="167.72"/>
    <s v="cogs"/>
    <x v="1"/>
    <x v="0"/>
    <n v="2"/>
  </r>
  <r>
    <x v="55"/>
    <s v="cogs:product 2"/>
    <n v="16.989999999999998"/>
    <n v="8"/>
    <n v="135.91999999999999"/>
    <s v="cogs"/>
    <x v="2"/>
    <x v="0"/>
    <n v="2"/>
  </r>
  <r>
    <x v="55"/>
    <s v="cogs:product 3"/>
    <n v="8.49"/>
    <n v="83"/>
    <n v="704.67000000000007"/>
    <s v="cogs"/>
    <x v="3"/>
    <x v="0"/>
    <n v="2"/>
  </r>
  <r>
    <x v="55"/>
    <s v="marketing"/>
    <s v="NA"/>
    <s v="NA"/>
    <n v="99.92"/>
    <s v="marketing"/>
    <x v="0"/>
    <x v="0"/>
    <n v="2"/>
  </r>
  <r>
    <x v="55"/>
    <s v="net sales:product 1"/>
    <n v="9.99"/>
    <n v="28"/>
    <n v="279.72000000000003"/>
    <s v="net sales"/>
    <x v="1"/>
    <x v="0"/>
    <n v="2"/>
  </r>
  <r>
    <x v="55"/>
    <s v="net sales:product 2"/>
    <n v="24.99"/>
    <n v="8"/>
    <n v="199.92"/>
    <s v="net sales"/>
    <x v="2"/>
    <x v="0"/>
    <n v="2"/>
  </r>
  <r>
    <x v="55"/>
    <s v="net sales:product 3"/>
    <n v="12.49"/>
    <n v="83"/>
    <n v="1036.67"/>
    <s v="net sales"/>
    <x v="3"/>
    <x v="0"/>
    <n v="2"/>
  </r>
  <r>
    <x v="56"/>
    <s v="cogs:product 1"/>
    <n v="5.99"/>
    <n v="37"/>
    <n v="221.63"/>
    <s v="cogs"/>
    <x v="1"/>
    <x v="0"/>
    <n v="2"/>
  </r>
  <r>
    <x v="56"/>
    <s v="cogs:product 2"/>
    <n v="16.989999999999998"/>
    <n v="10"/>
    <n v="169.89999999999998"/>
    <s v="cogs"/>
    <x v="2"/>
    <x v="0"/>
    <n v="2"/>
  </r>
  <r>
    <x v="56"/>
    <s v="cogs:product 3"/>
    <n v="8.49"/>
    <n v="7"/>
    <n v="59.43"/>
    <s v="cogs"/>
    <x v="3"/>
    <x v="0"/>
    <n v="2"/>
  </r>
  <r>
    <x v="56"/>
    <s v="marketing"/>
    <s v="NA"/>
    <s v="NA"/>
    <n v="99.95"/>
    <s v="marketing"/>
    <x v="0"/>
    <x v="0"/>
    <n v="2"/>
  </r>
  <r>
    <x v="56"/>
    <s v="net sales:product 1"/>
    <n v="9.99"/>
    <n v="37"/>
    <n v="369.63"/>
    <s v="net sales"/>
    <x v="1"/>
    <x v="0"/>
    <n v="2"/>
  </r>
  <r>
    <x v="56"/>
    <s v="net sales:product 2"/>
    <n v="24.99"/>
    <n v="10"/>
    <n v="249.89999999999998"/>
    <s v="net sales"/>
    <x v="2"/>
    <x v="0"/>
    <n v="2"/>
  </r>
  <r>
    <x v="56"/>
    <s v="net sales:product 3"/>
    <n v="12.49"/>
    <n v="7"/>
    <n v="87.43"/>
    <s v="net sales"/>
    <x v="3"/>
    <x v="0"/>
    <n v="2"/>
  </r>
  <r>
    <x v="57"/>
    <s v="cogs:product 1"/>
    <n v="5.99"/>
    <n v="6"/>
    <n v="35.94"/>
    <s v="cogs"/>
    <x v="1"/>
    <x v="0"/>
    <n v="2"/>
  </r>
  <r>
    <x v="57"/>
    <s v="cogs:product 2"/>
    <n v="16.989999999999998"/>
    <n v="5"/>
    <n v="84.949999999999989"/>
    <s v="cogs"/>
    <x v="2"/>
    <x v="0"/>
    <n v="2"/>
  </r>
  <r>
    <x v="57"/>
    <s v="cogs:product 3"/>
    <n v="8.49"/>
    <n v="16"/>
    <n v="135.84"/>
    <s v="cogs"/>
    <x v="3"/>
    <x v="0"/>
    <n v="2"/>
  </r>
  <r>
    <x v="57"/>
    <s v="marketing"/>
    <s v="NA"/>
    <s v="NA"/>
    <n v="100.09"/>
    <s v="marketing"/>
    <x v="0"/>
    <x v="0"/>
    <n v="2"/>
  </r>
  <r>
    <x v="57"/>
    <s v="net sales:product 1"/>
    <n v="9.99"/>
    <n v="6"/>
    <n v="59.94"/>
    <s v="net sales"/>
    <x v="1"/>
    <x v="0"/>
    <n v="2"/>
  </r>
  <r>
    <x v="57"/>
    <s v="net sales:product 2"/>
    <n v="24.99"/>
    <n v="5"/>
    <n v="124.94999999999999"/>
    <s v="net sales"/>
    <x v="2"/>
    <x v="0"/>
    <n v="2"/>
  </r>
  <r>
    <x v="57"/>
    <s v="net sales:product 3"/>
    <n v="12.49"/>
    <n v="16"/>
    <n v="199.84"/>
    <s v="net sales"/>
    <x v="3"/>
    <x v="0"/>
    <n v="2"/>
  </r>
  <r>
    <x v="58"/>
    <s v="cogs:product 1"/>
    <n v="5.99"/>
    <n v="27"/>
    <n v="161.73000000000002"/>
    <s v="cogs"/>
    <x v="1"/>
    <x v="0"/>
    <n v="2"/>
  </r>
  <r>
    <x v="58"/>
    <s v="cogs:product 2"/>
    <n v="16.989999999999998"/>
    <n v="10"/>
    <n v="169.89999999999998"/>
    <s v="cogs"/>
    <x v="2"/>
    <x v="0"/>
    <n v="2"/>
  </r>
  <r>
    <x v="58"/>
    <s v="cogs:product 3"/>
    <n v="8.49"/>
    <n v="0"/>
    <n v="0"/>
    <s v="cogs"/>
    <x v="3"/>
    <x v="0"/>
    <n v="2"/>
  </r>
  <r>
    <x v="58"/>
    <s v="marketing"/>
    <s v="NA"/>
    <s v="NA"/>
    <n v="99.960000000000008"/>
    <s v="marketing"/>
    <x v="0"/>
    <x v="0"/>
    <n v="2"/>
  </r>
  <r>
    <x v="58"/>
    <s v="net sales:product 1"/>
    <n v="9.99"/>
    <n v="27"/>
    <n v="269.73"/>
    <s v="net sales"/>
    <x v="1"/>
    <x v="0"/>
    <n v="2"/>
  </r>
  <r>
    <x v="58"/>
    <s v="net sales:product 2"/>
    <n v="24.99"/>
    <n v="10"/>
    <n v="249.89999999999998"/>
    <s v="net sales"/>
    <x v="2"/>
    <x v="0"/>
    <n v="2"/>
  </r>
  <r>
    <x v="58"/>
    <s v="net sales:product 3"/>
    <n v="12.49"/>
    <n v="0"/>
    <n v="0"/>
    <s v="net sales"/>
    <x v="3"/>
    <x v="0"/>
    <n v="2"/>
  </r>
  <r>
    <x v="59"/>
    <s v="cogs:product 1"/>
    <n v="5.99"/>
    <n v="95"/>
    <n v="569.05000000000007"/>
    <s v="cogs"/>
    <x v="1"/>
    <x v="0"/>
    <n v="2"/>
  </r>
  <r>
    <x v="59"/>
    <s v="cogs:product 2"/>
    <n v="16.989999999999998"/>
    <n v="7"/>
    <n v="118.92999999999999"/>
    <s v="cogs"/>
    <x v="2"/>
    <x v="0"/>
    <n v="2"/>
  </r>
  <r>
    <x v="59"/>
    <s v="cogs:product 3"/>
    <n v="8.49"/>
    <n v="113"/>
    <n v="959.37"/>
    <s v="cogs"/>
    <x v="3"/>
    <x v="0"/>
    <n v="2"/>
  </r>
  <r>
    <x v="59"/>
    <s v="marketing"/>
    <s v="NA"/>
    <s v="NA"/>
    <n v="100.04"/>
    <s v="marketing"/>
    <x v="0"/>
    <x v="0"/>
    <n v="2"/>
  </r>
  <r>
    <x v="59"/>
    <s v="net sales:product 1"/>
    <n v="9.99"/>
    <n v="95"/>
    <n v="949.05000000000007"/>
    <s v="net sales"/>
    <x v="1"/>
    <x v="0"/>
    <n v="2"/>
  </r>
  <r>
    <x v="59"/>
    <s v="net sales:product 2"/>
    <n v="24.99"/>
    <n v="7"/>
    <n v="174.92999999999998"/>
    <s v="net sales"/>
    <x v="2"/>
    <x v="0"/>
    <n v="2"/>
  </r>
  <r>
    <x v="59"/>
    <s v="net sales:product 3"/>
    <n v="12.49"/>
    <n v="113"/>
    <n v="1411.3700000000001"/>
    <s v="net sales"/>
    <x v="3"/>
    <x v="0"/>
    <n v="2"/>
  </r>
  <r>
    <x v="60"/>
    <s v="amortization"/>
    <s v="NA"/>
    <s v="NA"/>
    <n v="50"/>
    <s v="amortization"/>
    <x v="0"/>
    <x v="0"/>
    <n v="3"/>
  </r>
  <r>
    <x v="60"/>
    <s v="cogs:product 1"/>
    <n v="5.99"/>
    <n v="5"/>
    <n v="29.950000000000003"/>
    <s v="cogs"/>
    <x v="1"/>
    <x v="0"/>
    <n v="3"/>
  </r>
  <r>
    <x v="60"/>
    <s v="cogs:product 2"/>
    <n v="16.989999999999998"/>
    <n v="9"/>
    <n v="152.91"/>
    <s v="cogs"/>
    <x v="2"/>
    <x v="0"/>
    <n v="3"/>
  </r>
  <r>
    <x v="60"/>
    <s v="cogs:product 3"/>
    <n v="8.49"/>
    <n v="44"/>
    <n v="373.56"/>
    <s v="cogs"/>
    <x v="3"/>
    <x v="0"/>
    <n v="3"/>
  </r>
  <r>
    <x v="60"/>
    <s v="marketing"/>
    <s v="NA"/>
    <s v="NA"/>
    <n v="99.95"/>
    <s v="marketing"/>
    <x v="0"/>
    <x v="0"/>
    <n v="3"/>
  </r>
  <r>
    <x v="60"/>
    <s v="net sales:product 1"/>
    <n v="9.99"/>
    <n v="5"/>
    <n v="49.95"/>
    <s v="net sales"/>
    <x v="1"/>
    <x v="0"/>
    <n v="3"/>
  </r>
  <r>
    <x v="60"/>
    <s v="net sales:product 2"/>
    <n v="24.99"/>
    <n v="9"/>
    <n v="224.91"/>
    <s v="net sales"/>
    <x v="2"/>
    <x v="0"/>
    <n v="3"/>
  </r>
  <r>
    <x v="60"/>
    <s v="net sales:product 3"/>
    <n v="12.49"/>
    <n v="44"/>
    <n v="549.56000000000006"/>
    <s v="net sales"/>
    <x v="3"/>
    <x v="0"/>
    <n v="3"/>
  </r>
  <r>
    <x v="60"/>
    <s v="overhead"/>
    <s v="NA"/>
    <s v="NA"/>
    <n v="2000"/>
    <s v="overhead"/>
    <x v="0"/>
    <x v="0"/>
    <n v="3"/>
  </r>
  <r>
    <x v="60"/>
    <s v="payroll"/>
    <s v="NA"/>
    <s v="NA"/>
    <n v="1200"/>
    <s v="payroll"/>
    <x v="0"/>
    <x v="0"/>
    <n v="3"/>
  </r>
  <r>
    <x v="61"/>
    <s v="cogs:product 1"/>
    <n v="5.99"/>
    <n v="4"/>
    <n v="23.96"/>
    <s v="cogs"/>
    <x v="1"/>
    <x v="0"/>
    <n v="3"/>
  </r>
  <r>
    <x v="61"/>
    <s v="cogs:product 2"/>
    <n v="16.989999999999998"/>
    <n v="5"/>
    <n v="84.949999999999989"/>
    <s v="cogs"/>
    <x v="2"/>
    <x v="0"/>
    <n v="3"/>
  </r>
  <r>
    <x v="61"/>
    <s v="cogs:product 3"/>
    <n v="8.49"/>
    <n v="95"/>
    <n v="806.55000000000007"/>
    <s v="cogs"/>
    <x v="3"/>
    <x v="0"/>
    <n v="3"/>
  </r>
  <r>
    <x v="61"/>
    <s v="marketing"/>
    <s v="NA"/>
    <s v="NA"/>
    <n v="100.04"/>
    <s v="marketing"/>
    <x v="0"/>
    <x v="0"/>
    <n v="3"/>
  </r>
  <r>
    <x v="61"/>
    <s v="net sales:product 1"/>
    <n v="9.99"/>
    <n v="4"/>
    <n v="39.96"/>
    <s v="net sales"/>
    <x v="1"/>
    <x v="0"/>
    <n v="3"/>
  </r>
  <r>
    <x v="61"/>
    <s v="net sales:product 2"/>
    <n v="24.99"/>
    <n v="5"/>
    <n v="124.94999999999999"/>
    <s v="net sales"/>
    <x v="2"/>
    <x v="0"/>
    <n v="3"/>
  </r>
  <r>
    <x v="61"/>
    <s v="net sales:product 3"/>
    <n v="12.49"/>
    <n v="95"/>
    <n v="1186.55"/>
    <s v="net sales"/>
    <x v="3"/>
    <x v="0"/>
    <n v="3"/>
  </r>
  <r>
    <x v="62"/>
    <s v="cogs:product 1"/>
    <n v="5.99"/>
    <n v="1"/>
    <n v="5.99"/>
    <s v="cogs"/>
    <x v="1"/>
    <x v="0"/>
    <n v="3"/>
  </r>
  <r>
    <x v="62"/>
    <s v="cogs:product 2"/>
    <n v="16.989999999999998"/>
    <n v="2"/>
    <n v="33.979999999999997"/>
    <s v="cogs"/>
    <x v="2"/>
    <x v="0"/>
    <n v="3"/>
  </r>
  <r>
    <x v="62"/>
    <s v="cogs:product 3"/>
    <n v="8.49"/>
    <n v="122"/>
    <n v="1035.78"/>
    <s v="cogs"/>
    <x v="3"/>
    <x v="0"/>
    <n v="3"/>
  </r>
  <r>
    <x v="62"/>
    <s v="marketing"/>
    <s v="NA"/>
    <s v="NA"/>
    <n v="100"/>
    <s v="marketing"/>
    <x v="0"/>
    <x v="0"/>
    <n v="3"/>
  </r>
  <r>
    <x v="62"/>
    <s v="net sales:product 1"/>
    <n v="9.99"/>
    <n v="1"/>
    <n v="9.99"/>
    <s v="net sales"/>
    <x v="1"/>
    <x v="0"/>
    <n v="3"/>
  </r>
  <r>
    <x v="62"/>
    <s v="net sales:product 2"/>
    <n v="24.99"/>
    <n v="2"/>
    <n v="49.98"/>
    <s v="net sales"/>
    <x v="2"/>
    <x v="0"/>
    <n v="3"/>
  </r>
  <r>
    <x v="62"/>
    <s v="net sales:product 3"/>
    <n v="12.49"/>
    <n v="122"/>
    <n v="1523.78"/>
    <s v="net sales"/>
    <x v="3"/>
    <x v="0"/>
    <n v="3"/>
  </r>
  <r>
    <x v="63"/>
    <s v="cogs:product 1"/>
    <n v="5.99"/>
    <n v="2"/>
    <n v="11.98"/>
    <s v="cogs"/>
    <x v="1"/>
    <x v="0"/>
    <n v="3"/>
  </r>
  <r>
    <x v="63"/>
    <s v="cogs:product 2"/>
    <n v="16.989999999999998"/>
    <n v="7"/>
    <n v="118.92999999999999"/>
    <s v="cogs"/>
    <x v="2"/>
    <x v="0"/>
    <n v="3"/>
  </r>
  <r>
    <x v="63"/>
    <s v="cogs:product 3"/>
    <n v="8.49"/>
    <n v="176"/>
    <n v="1494.24"/>
    <s v="cogs"/>
    <x v="3"/>
    <x v="0"/>
    <n v="3"/>
  </r>
  <r>
    <x v="63"/>
    <s v="marketing"/>
    <s v="NA"/>
    <s v="NA"/>
    <n v="100.01"/>
    <s v="marketing"/>
    <x v="0"/>
    <x v="0"/>
    <n v="3"/>
  </r>
  <r>
    <x v="63"/>
    <s v="net sales:product 1"/>
    <n v="9.99"/>
    <n v="2"/>
    <n v="19.98"/>
    <s v="net sales"/>
    <x v="1"/>
    <x v="0"/>
    <n v="3"/>
  </r>
  <r>
    <x v="63"/>
    <s v="net sales:product 2"/>
    <n v="24.99"/>
    <n v="7"/>
    <n v="174.92999999999998"/>
    <s v="net sales"/>
    <x v="2"/>
    <x v="0"/>
    <n v="3"/>
  </r>
  <r>
    <x v="63"/>
    <s v="net sales:product 3"/>
    <n v="12.49"/>
    <n v="176"/>
    <n v="2198.2400000000002"/>
    <s v="net sales"/>
    <x v="3"/>
    <x v="0"/>
    <n v="3"/>
  </r>
  <r>
    <x v="64"/>
    <s v="cogs:product 1"/>
    <n v="5.99"/>
    <n v="53"/>
    <n v="317.47000000000003"/>
    <s v="cogs"/>
    <x v="1"/>
    <x v="0"/>
    <n v="3"/>
  </r>
  <r>
    <x v="64"/>
    <s v="cogs:product 2"/>
    <n v="16.989999999999998"/>
    <n v="5"/>
    <n v="84.949999999999989"/>
    <s v="cogs"/>
    <x v="2"/>
    <x v="0"/>
    <n v="3"/>
  </r>
  <r>
    <x v="64"/>
    <s v="cogs:product 3"/>
    <n v="8.49"/>
    <n v="127"/>
    <n v="1078.23"/>
    <s v="cogs"/>
    <x v="3"/>
    <x v="0"/>
    <n v="3"/>
  </r>
  <r>
    <x v="64"/>
    <s v="marketing"/>
    <s v="NA"/>
    <s v="NA"/>
    <n v="100.07000000000001"/>
    <s v="marketing"/>
    <x v="0"/>
    <x v="0"/>
    <n v="3"/>
  </r>
  <r>
    <x v="64"/>
    <s v="net sales:product 1"/>
    <n v="9.99"/>
    <n v="53"/>
    <n v="529.47"/>
    <s v="net sales"/>
    <x v="1"/>
    <x v="0"/>
    <n v="3"/>
  </r>
  <r>
    <x v="64"/>
    <s v="net sales:product 2"/>
    <n v="24.99"/>
    <n v="5"/>
    <n v="124.94999999999999"/>
    <s v="net sales"/>
    <x v="2"/>
    <x v="0"/>
    <n v="3"/>
  </r>
  <r>
    <x v="64"/>
    <s v="net sales:product 3"/>
    <n v="12.49"/>
    <n v="127"/>
    <n v="1586.23"/>
    <s v="net sales"/>
    <x v="3"/>
    <x v="0"/>
    <n v="3"/>
  </r>
  <r>
    <x v="65"/>
    <s v="cogs:product 1"/>
    <n v="5.99"/>
    <n v="3"/>
    <n v="17.97"/>
    <s v="cogs"/>
    <x v="1"/>
    <x v="0"/>
    <n v="3"/>
  </r>
  <r>
    <x v="65"/>
    <s v="cogs:product 2"/>
    <n v="16.989999999999998"/>
    <n v="3"/>
    <n v="50.97"/>
    <s v="cogs"/>
    <x v="2"/>
    <x v="0"/>
    <n v="3"/>
  </r>
  <r>
    <x v="65"/>
    <s v="cogs:product 3"/>
    <n v="8.49"/>
    <n v="200"/>
    <n v="1698"/>
    <s v="cogs"/>
    <x v="3"/>
    <x v="0"/>
    <n v="3"/>
  </r>
  <r>
    <x v="65"/>
    <s v="marketing"/>
    <s v="NA"/>
    <s v="NA"/>
    <n v="100.01"/>
    <s v="marketing"/>
    <x v="0"/>
    <x v="0"/>
    <n v="3"/>
  </r>
  <r>
    <x v="65"/>
    <s v="net sales:product 1"/>
    <n v="9.99"/>
    <n v="3"/>
    <n v="29.97"/>
    <s v="net sales"/>
    <x v="1"/>
    <x v="0"/>
    <n v="3"/>
  </r>
  <r>
    <x v="65"/>
    <s v="net sales:product 2"/>
    <n v="24.99"/>
    <n v="3"/>
    <n v="74.97"/>
    <s v="net sales"/>
    <x v="2"/>
    <x v="0"/>
    <n v="3"/>
  </r>
  <r>
    <x v="65"/>
    <s v="net sales:product 3"/>
    <n v="12.49"/>
    <n v="200"/>
    <n v="2498"/>
    <s v="net sales"/>
    <x v="3"/>
    <x v="0"/>
    <n v="3"/>
  </r>
  <r>
    <x v="66"/>
    <s v="cogs:product 1"/>
    <n v="5.99"/>
    <n v="60"/>
    <n v="359.40000000000003"/>
    <s v="cogs"/>
    <x v="1"/>
    <x v="0"/>
    <n v="3"/>
  </r>
  <r>
    <x v="66"/>
    <s v="cogs:product 2"/>
    <n v="16.989999999999998"/>
    <n v="10"/>
    <n v="169.89999999999998"/>
    <s v="cogs"/>
    <x v="2"/>
    <x v="0"/>
    <n v="3"/>
  </r>
  <r>
    <x v="66"/>
    <s v="cogs:product 3"/>
    <n v="8.49"/>
    <n v="189"/>
    <n v="1604.6100000000001"/>
    <s v="cogs"/>
    <x v="3"/>
    <x v="0"/>
    <n v="3"/>
  </r>
  <r>
    <x v="66"/>
    <s v="marketing"/>
    <s v="NA"/>
    <s v="NA"/>
    <n v="100.03"/>
    <s v="marketing"/>
    <x v="0"/>
    <x v="0"/>
    <n v="3"/>
  </r>
  <r>
    <x v="66"/>
    <s v="net sales:product 1"/>
    <n v="9.99"/>
    <n v="60"/>
    <n v="599.4"/>
    <s v="net sales"/>
    <x v="1"/>
    <x v="0"/>
    <n v="3"/>
  </r>
  <r>
    <x v="66"/>
    <s v="net sales:product 2"/>
    <n v="24.99"/>
    <n v="10"/>
    <n v="249.89999999999998"/>
    <s v="net sales"/>
    <x v="2"/>
    <x v="0"/>
    <n v="3"/>
  </r>
  <r>
    <x v="66"/>
    <s v="net sales:product 3"/>
    <n v="12.49"/>
    <n v="189"/>
    <n v="2360.61"/>
    <s v="net sales"/>
    <x v="3"/>
    <x v="0"/>
    <n v="3"/>
  </r>
  <r>
    <x v="67"/>
    <s v="cogs:product 1"/>
    <n v="5.99"/>
    <n v="1"/>
    <n v="5.99"/>
    <s v="cogs"/>
    <x v="1"/>
    <x v="0"/>
    <n v="3"/>
  </r>
  <r>
    <x v="67"/>
    <s v="cogs:product 2"/>
    <n v="16.989999999999998"/>
    <n v="6"/>
    <n v="101.94"/>
    <s v="cogs"/>
    <x v="2"/>
    <x v="0"/>
    <n v="3"/>
  </r>
  <r>
    <x v="67"/>
    <s v="cogs:product 3"/>
    <n v="8.49"/>
    <n v="57"/>
    <n v="483.93"/>
    <s v="cogs"/>
    <x v="3"/>
    <x v="0"/>
    <n v="3"/>
  </r>
  <r>
    <x v="67"/>
    <s v="marketing"/>
    <s v="NA"/>
    <s v="NA"/>
    <n v="99.9"/>
    <s v="marketing"/>
    <x v="0"/>
    <x v="0"/>
    <n v="3"/>
  </r>
  <r>
    <x v="67"/>
    <s v="net sales:product 1"/>
    <n v="9.99"/>
    <n v="1"/>
    <n v="9.99"/>
    <s v="net sales"/>
    <x v="1"/>
    <x v="0"/>
    <n v="3"/>
  </r>
  <r>
    <x v="67"/>
    <s v="net sales:product 2"/>
    <n v="24.99"/>
    <n v="6"/>
    <n v="149.94"/>
    <s v="net sales"/>
    <x v="2"/>
    <x v="0"/>
    <n v="3"/>
  </r>
  <r>
    <x v="67"/>
    <s v="net sales:product 3"/>
    <n v="12.49"/>
    <n v="57"/>
    <n v="711.93000000000006"/>
    <s v="net sales"/>
    <x v="3"/>
    <x v="0"/>
    <n v="3"/>
  </r>
  <r>
    <x v="68"/>
    <s v="cogs:product 1"/>
    <n v="5.99"/>
    <n v="45"/>
    <n v="269.55"/>
    <s v="cogs"/>
    <x v="1"/>
    <x v="0"/>
    <n v="3"/>
  </r>
  <r>
    <x v="68"/>
    <s v="cogs:product 2"/>
    <n v="16.989999999999998"/>
    <n v="5"/>
    <n v="84.949999999999989"/>
    <s v="cogs"/>
    <x v="2"/>
    <x v="0"/>
    <n v="3"/>
  </r>
  <r>
    <x v="68"/>
    <s v="cogs:product 3"/>
    <n v="8.49"/>
    <n v="133"/>
    <n v="1129.17"/>
    <s v="cogs"/>
    <x v="3"/>
    <x v="0"/>
    <n v="3"/>
  </r>
  <r>
    <x v="68"/>
    <s v="marketing"/>
    <s v="NA"/>
    <s v="NA"/>
    <n v="99.92"/>
    <s v="marketing"/>
    <x v="0"/>
    <x v="0"/>
    <n v="3"/>
  </r>
  <r>
    <x v="68"/>
    <s v="net sales:product 1"/>
    <n v="9.99"/>
    <n v="45"/>
    <n v="449.55"/>
    <s v="net sales"/>
    <x v="1"/>
    <x v="0"/>
    <n v="3"/>
  </r>
  <r>
    <x v="68"/>
    <s v="net sales:product 2"/>
    <n v="24.99"/>
    <n v="5"/>
    <n v="124.94999999999999"/>
    <s v="net sales"/>
    <x v="2"/>
    <x v="0"/>
    <n v="3"/>
  </r>
  <r>
    <x v="68"/>
    <s v="net sales:product 3"/>
    <n v="12.49"/>
    <n v="133"/>
    <n v="1661.17"/>
    <s v="net sales"/>
    <x v="3"/>
    <x v="0"/>
    <n v="3"/>
  </r>
  <r>
    <x v="69"/>
    <s v="cogs:product 1"/>
    <n v="5.99"/>
    <n v="88"/>
    <n v="527.12"/>
    <s v="cogs"/>
    <x v="1"/>
    <x v="0"/>
    <n v="3"/>
  </r>
  <r>
    <x v="69"/>
    <s v="cogs:product 2"/>
    <n v="16.989999999999998"/>
    <n v="5"/>
    <n v="84.949999999999989"/>
    <s v="cogs"/>
    <x v="2"/>
    <x v="0"/>
    <n v="3"/>
  </r>
  <r>
    <x v="69"/>
    <s v="cogs:product 3"/>
    <n v="8.49"/>
    <n v="42"/>
    <n v="356.58"/>
    <s v="cogs"/>
    <x v="3"/>
    <x v="0"/>
    <n v="3"/>
  </r>
  <r>
    <x v="69"/>
    <s v="marketing"/>
    <s v="NA"/>
    <s v="NA"/>
    <n v="100.09"/>
    <s v="marketing"/>
    <x v="0"/>
    <x v="0"/>
    <n v="3"/>
  </r>
  <r>
    <x v="69"/>
    <s v="net sales:product 1"/>
    <n v="9.99"/>
    <n v="88"/>
    <n v="879.12"/>
    <s v="net sales"/>
    <x v="1"/>
    <x v="0"/>
    <n v="3"/>
  </r>
  <r>
    <x v="69"/>
    <s v="net sales:product 2"/>
    <n v="24.99"/>
    <n v="5"/>
    <n v="124.94999999999999"/>
    <s v="net sales"/>
    <x v="2"/>
    <x v="0"/>
    <n v="3"/>
  </r>
  <r>
    <x v="69"/>
    <s v="net sales:product 3"/>
    <n v="12.49"/>
    <n v="42"/>
    <n v="524.58000000000004"/>
    <s v="net sales"/>
    <x v="3"/>
    <x v="0"/>
    <n v="3"/>
  </r>
  <r>
    <x v="70"/>
    <s v="cogs:product 1"/>
    <n v="5.99"/>
    <n v="46"/>
    <n v="275.54000000000002"/>
    <s v="cogs"/>
    <x v="1"/>
    <x v="0"/>
    <n v="3"/>
  </r>
  <r>
    <x v="70"/>
    <s v="cogs:product 2"/>
    <n v="16.989999999999998"/>
    <n v="9"/>
    <n v="152.91"/>
    <s v="cogs"/>
    <x v="2"/>
    <x v="0"/>
    <n v="3"/>
  </r>
  <r>
    <x v="70"/>
    <s v="cogs:product 3"/>
    <n v="8.49"/>
    <n v="79"/>
    <n v="670.71"/>
    <s v="cogs"/>
    <x v="3"/>
    <x v="0"/>
    <n v="3"/>
  </r>
  <r>
    <x v="70"/>
    <s v="marketing"/>
    <s v="NA"/>
    <s v="NA"/>
    <n v="99.95"/>
    <s v="marketing"/>
    <x v="0"/>
    <x v="0"/>
    <n v="3"/>
  </r>
  <r>
    <x v="70"/>
    <s v="net sales:product 1"/>
    <n v="9.99"/>
    <n v="46"/>
    <n v="459.54"/>
    <s v="net sales"/>
    <x v="1"/>
    <x v="0"/>
    <n v="3"/>
  </r>
  <r>
    <x v="70"/>
    <s v="net sales:product 2"/>
    <n v="24.99"/>
    <n v="9"/>
    <n v="224.91"/>
    <s v="net sales"/>
    <x v="2"/>
    <x v="0"/>
    <n v="3"/>
  </r>
  <r>
    <x v="70"/>
    <s v="net sales:product 3"/>
    <n v="12.49"/>
    <n v="79"/>
    <n v="986.71"/>
    <s v="net sales"/>
    <x v="3"/>
    <x v="0"/>
    <n v="3"/>
  </r>
  <r>
    <x v="71"/>
    <s v="cogs:product 1"/>
    <n v="5.99"/>
    <n v="99"/>
    <n v="593.01"/>
    <s v="cogs"/>
    <x v="1"/>
    <x v="0"/>
    <n v="3"/>
  </r>
  <r>
    <x v="71"/>
    <s v="cogs:product 2"/>
    <n v="16.989999999999998"/>
    <n v="2"/>
    <n v="33.979999999999997"/>
    <s v="cogs"/>
    <x v="2"/>
    <x v="0"/>
    <n v="3"/>
  </r>
  <r>
    <x v="71"/>
    <s v="cogs:product 3"/>
    <n v="8.49"/>
    <n v="126"/>
    <n v="1069.74"/>
    <s v="cogs"/>
    <x v="3"/>
    <x v="0"/>
    <n v="3"/>
  </r>
  <r>
    <x v="71"/>
    <s v="marketing"/>
    <s v="NA"/>
    <s v="NA"/>
    <n v="100.07000000000001"/>
    <s v="marketing"/>
    <x v="0"/>
    <x v="0"/>
    <n v="3"/>
  </r>
  <r>
    <x v="71"/>
    <s v="net sales:product 1"/>
    <n v="9.99"/>
    <n v="99"/>
    <n v="989.01"/>
    <s v="net sales"/>
    <x v="1"/>
    <x v="0"/>
    <n v="3"/>
  </r>
  <r>
    <x v="71"/>
    <s v="net sales:product 2"/>
    <n v="24.99"/>
    <n v="2"/>
    <n v="49.98"/>
    <s v="net sales"/>
    <x v="2"/>
    <x v="0"/>
    <n v="3"/>
  </r>
  <r>
    <x v="71"/>
    <s v="net sales:product 3"/>
    <n v="12.49"/>
    <n v="126"/>
    <n v="1573.74"/>
    <s v="net sales"/>
    <x v="3"/>
    <x v="0"/>
    <n v="3"/>
  </r>
  <r>
    <x v="72"/>
    <s v="cogs:product 1"/>
    <n v="5.99"/>
    <n v="51"/>
    <n v="305.49"/>
    <s v="cogs"/>
    <x v="1"/>
    <x v="0"/>
    <n v="3"/>
  </r>
  <r>
    <x v="72"/>
    <s v="cogs:product 2"/>
    <n v="16.989999999999998"/>
    <n v="8"/>
    <n v="135.91999999999999"/>
    <s v="cogs"/>
    <x v="2"/>
    <x v="0"/>
    <n v="3"/>
  </r>
  <r>
    <x v="72"/>
    <s v="cogs:product 3"/>
    <n v="8.49"/>
    <n v="118"/>
    <n v="1001.82"/>
    <s v="cogs"/>
    <x v="3"/>
    <x v="0"/>
    <n v="3"/>
  </r>
  <r>
    <x v="72"/>
    <s v="marketing"/>
    <s v="NA"/>
    <s v="NA"/>
    <n v="99.92"/>
    <s v="marketing"/>
    <x v="0"/>
    <x v="0"/>
    <n v="3"/>
  </r>
  <r>
    <x v="72"/>
    <s v="net sales:product 1"/>
    <n v="9.99"/>
    <n v="51"/>
    <n v="509.49"/>
    <s v="net sales"/>
    <x v="1"/>
    <x v="0"/>
    <n v="3"/>
  </r>
  <r>
    <x v="72"/>
    <s v="net sales:product 2"/>
    <n v="24.99"/>
    <n v="8"/>
    <n v="199.92"/>
    <s v="net sales"/>
    <x v="2"/>
    <x v="0"/>
    <n v="3"/>
  </r>
  <r>
    <x v="72"/>
    <s v="net sales:product 3"/>
    <n v="12.49"/>
    <n v="118"/>
    <n v="1473.82"/>
    <s v="net sales"/>
    <x v="3"/>
    <x v="0"/>
    <n v="3"/>
  </r>
  <r>
    <x v="73"/>
    <s v="cogs:product 1"/>
    <n v="5.99"/>
    <n v="69"/>
    <n v="413.31"/>
    <s v="cogs"/>
    <x v="1"/>
    <x v="0"/>
    <n v="3"/>
  </r>
  <r>
    <x v="73"/>
    <s v="cogs:product 2"/>
    <n v="16.989999999999998"/>
    <n v="2"/>
    <n v="33.979999999999997"/>
    <s v="cogs"/>
    <x v="2"/>
    <x v="0"/>
    <n v="3"/>
  </r>
  <r>
    <x v="73"/>
    <s v="cogs:product 3"/>
    <n v="8.49"/>
    <n v="82"/>
    <n v="696.18000000000006"/>
    <s v="cogs"/>
    <x v="3"/>
    <x v="0"/>
    <n v="3"/>
  </r>
  <r>
    <x v="73"/>
    <s v="marketing"/>
    <s v="NA"/>
    <s v="NA"/>
    <n v="100.10000000000001"/>
    <s v="marketing"/>
    <x v="0"/>
    <x v="0"/>
    <n v="3"/>
  </r>
  <r>
    <x v="73"/>
    <s v="net sales:product 1"/>
    <n v="9.99"/>
    <n v="69"/>
    <n v="689.31000000000006"/>
    <s v="net sales"/>
    <x v="1"/>
    <x v="0"/>
    <n v="3"/>
  </r>
  <r>
    <x v="73"/>
    <s v="net sales:product 2"/>
    <n v="24.99"/>
    <n v="2"/>
    <n v="49.98"/>
    <s v="net sales"/>
    <x v="2"/>
    <x v="0"/>
    <n v="3"/>
  </r>
  <r>
    <x v="73"/>
    <s v="net sales:product 3"/>
    <n v="12.49"/>
    <n v="82"/>
    <n v="1024.18"/>
    <s v="net sales"/>
    <x v="3"/>
    <x v="0"/>
    <n v="3"/>
  </r>
  <r>
    <x v="74"/>
    <s v="cogs:product 1"/>
    <n v="5.99"/>
    <n v="28"/>
    <n v="167.72"/>
    <s v="cogs"/>
    <x v="1"/>
    <x v="0"/>
    <n v="3"/>
  </r>
  <r>
    <x v="74"/>
    <s v="cogs:product 2"/>
    <n v="16.989999999999998"/>
    <n v="1"/>
    <n v="16.989999999999998"/>
    <s v="cogs"/>
    <x v="2"/>
    <x v="0"/>
    <n v="3"/>
  </r>
  <r>
    <x v="74"/>
    <s v="cogs:product 3"/>
    <n v="8.49"/>
    <n v="237"/>
    <n v="2012.13"/>
    <s v="cogs"/>
    <x v="3"/>
    <x v="0"/>
    <n v="3"/>
  </r>
  <r>
    <x v="74"/>
    <s v="interest"/>
    <s v="NA"/>
    <s v="NA"/>
    <n v="1214.1199999999999"/>
    <s v="interest"/>
    <x v="0"/>
    <x v="0"/>
    <n v="3"/>
  </r>
  <r>
    <x v="74"/>
    <s v="marketing"/>
    <s v="NA"/>
    <s v="NA"/>
    <n v="99.990000000000009"/>
    <s v="marketing"/>
    <x v="0"/>
    <x v="0"/>
    <n v="3"/>
  </r>
  <r>
    <x v="74"/>
    <s v="net sales:product 1"/>
    <n v="9.99"/>
    <n v="28"/>
    <n v="279.72000000000003"/>
    <s v="net sales"/>
    <x v="1"/>
    <x v="0"/>
    <n v="3"/>
  </r>
  <r>
    <x v="74"/>
    <s v="net sales:product 2"/>
    <n v="24.99"/>
    <n v="1"/>
    <n v="24.99"/>
    <s v="net sales"/>
    <x v="2"/>
    <x v="0"/>
    <n v="3"/>
  </r>
  <r>
    <x v="74"/>
    <s v="net sales:product 3"/>
    <n v="12.49"/>
    <n v="237"/>
    <n v="2960.13"/>
    <s v="net sales"/>
    <x v="3"/>
    <x v="0"/>
    <n v="3"/>
  </r>
  <r>
    <x v="74"/>
    <s v="overhead"/>
    <s v="NA"/>
    <s v="NA"/>
    <n v="303.52999999999997"/>
    <s v="overhead"/>
    <x v="0"/>
    <x v="0"/>
    <n v="3"/>
  </r>
  <r>
    <x v="74"/>
    <s v="payroll"/>
    <s v="NA"/>
    <s v="NA"/>
    <n v="1200"/>
    <s v="payroll"/>
    <x v="0"/>
    <x v="0"/>
    <n v="3"/>
  </r>
  <r>
    <x v="75"/>
    <s v="cogs:product 1"/>
    <n v="5.99"/>
    <n v="98"/>
    <n v="587.02"/>
    <s v="cogs"/>
    <x v="1"/>
    <x v="0"/>
    <n v="3"/>
  </r>
  <r>
    <x v="75"/>
    <s v="cogs:product 2"/>
    <n v="16.989999999999998"/>
    <n v="8"/>
    <n v="135.91999999999999"/>
    <s v="cogs"/>
    <x v="2"/>
    <x v="0"/>
    <n v="3"/>
  </r>
  <r>
    <x v="75"/>
    <s v="cogs:product 3"/>
    <n v="8.49"/>
    <n v="82"/>
    <n v="696.18000000000006"/>
    <s v="cogs"/>
    <x v="3"/>
    <x v="0"/>
    <n v="3"/>
  </r>
  <r>
    <x v="75"/>
    <s v="marketing"/>
    <s v="NA"/>
    <s v="NA"/>
    <n v="99.91"/>
    <s v="marketing"/>
    <x v="0"/>
    <x v="0"/>
    <n v="3"/>
  </r>
  <r>
    <x v="75"/>
    <s v="net sales:product 1"/>
    <n v="9.99"/>
    <n v="98"/>
    <n v="979.02"/>
    <s v="net sales"/>
    <x v="1"/>
    <x v="0"/>
    <n v="3"/>
  </r>
  <r>
    <x v="75"/>
    <s v="net sales:product 2"/>
    <n v="24.99"/>
    <n v="8"/>
    <n v="199.92"/>
    <s v="net sales"/>
    <x v="2"/>
    <x v="0"/>
    <n v="3"/>
  </r>
  <r>
    <x v="75"/>
    <s v="net sales:product 3"/>
    <n v="12.49"/>
    <n v="82"/>
    <n v="1024.18"/>
    <s v="net sales"/>
    <x v="3"/>
    <x v="0"/>
    <n v="3"/>
  </r>
  <r>
    <x v="76"/>
    <s v="cogs:product 1"/>
    <n v="5.99"/>
    <n v="47"/>
    <n v="281.53000000000003"/>
    <s v="cogs"/>
    <x v="1"/>
    <x v="0"/>
    <n v="3"/>
  </r>
  <r>
    <x v="76"/>
    <s v="cogs:product 2"/>
    <n v="16.989999999999998"/>
    <n v="3"/>
    <n v="50.97"/>
    <s v="cogs"/>
    <x v="2"/>
    <x v="0"/>
    <n v="3"/>
  </r>
  <r>
    <x v="76"/>
    <s v="cogs:product 3"/>
    <n v="8.49"/>
    <n v="74"/>
    <n v="628.26"/>
    <s v="cogs"/>
    <x v="3"/>
    <x v="0"/>
    <n v="3"/>
  </r>
  <r>
    <x v="76"/>
    <s v="marketing"/>
    <s v="NA"/>
    <s v="NA"/>
    <n v="100.09"/>
    <s v="marketing"/>
    <x v="0"/>
    <x v="0"/>
    <n v="3"/>
  </r>
  <r>
    <x v="76"/>
    <s v="net sales:product 1"/>
    <n v="9.99"/>
    <n v="47"/>
    <n v="469.53000000000003"/>
    <s v="net sales"/>
    <x v="1"/>
    <x v="0"/>
    <n v="3"/>
  </r>
  <r>
    <x v="76"/>
    <s v="net sales:product 2"/>
    <n v="24.99"/>
    <n v="3"/>
    <n v="74.97"/>
    <s v="net sales"/>
    <x v="2"/>
    <x v="0"/>
    <n v="3"/>
  </r>
  <r>
    <x v="76"/>
    <s v="net sales:product 3"/>
    <n v="12.49"/>
    <n v="74"/>
    <n v="924.26"/>
    <s v="net sales"/>
    <x v="3"/>
    <x v="0"/>
    <n v="3"/>
  </r>
  <r>
    <x v="77"/>
    <s v="cogs:product 1"/>
    <n v="5.99"/>
    <n v="44"/>
    <n v="263.56"/>
    <s v="cogs"/>
    <x v="1"/>
    <x v="0"/>
    <n v="3"/>
  </r>
  <r>
    <x v="77"/>
    <s v="cogs:product 2"/>
    <n v="16.989999999999998"/>
    <n v="4"/>
    <n v="67.959999999999994"/>
    <s v="cogs"/>
    <x v="2"/>
    <x v="0"/>
    <n v="3"/>
  </r>
  <r>
    <x v="77"/>
    <s v="cogs:product 3"/>
    <n v="8.49"/>
    <n v="95"/>
    <n v="806.55000000000007"/>
    <s v="cogs"/>
    <x v="3"/>
    <x v="0"/>
    <n v="3"/>
  </r>
  <r>
    <x v="77"/>
    <s v="marketing"/>
    <s v="NA"/>
    <s v="NA"/>
    <n v="99.92"/>
    <s v="marketing"/>
    <x v="0"/>
    <x v="0"/>
    <n v="3"/>
  </r>
  <r>
    <x v="77"/>
    <s v="net sales:product 1"/>
    <n v="9.99"/>
    <n v="44"/>
    <n v="439.56"/>
    <s v="net sales"/>
    <x v="1"/>
    <x v="0"/>
    <n v="3"/>
  </r>
  <r>
    <x v="77"/>
    <s v="net sales:product 2"/>
    <n v="24.99"/>
    <n v="4"/>
    <n v="99.96"/>
    <s v="net sales"/>
    <x v="2"/>
    <x v="0"/>
    <n v="3"/>
  </r>
  <r>
    <x v="77"/>
    <s v="net sales:product 3"/>
    <n v="12.49"/>
    <n v="95"/>
    <n v="1186.55"/>
    <s v="net sales"/>
    <x v="3"/>
    <x v="0"/>
    <n v="3"/>
  </r>
  <r>
    <x v="78"/>
    <s v="cogs:product 1"/>
    <n v="5.99"/>
    <n v="33"/>
    <n v="197.67000000000002"/>
    <s v="cogs"/>
    <x v="1"/>
    <x v="0"/>
    <n v="3"/>
  </r>
  <r>
    <x v="78"/>
    <s v="cogs:product 2"/>
    <n v="16.989999999999998"/>
    <n v="4"/>
    <n v="67.959999999999994"/>
    <s v="cogs"/>
    <x v="2"/>
    <x v="0"/>
    <n v="3"/>
  </r>
  <r>
    <x v="78"/>
    <s v="cogs:product 3"/>
    <n v="8.49"/>
    <n v="51"/>
    <n v="432.99"/>
    <s v="cogs"/>
    <x v="3"/>
    <x v="0"/>
    <n v="3"/>
  </r>
  <r>
    <x v="78"/>
    <s v="marketing"/>
    <s v="NA"/>
    <s v="NA"/>
    <n v="100"/>
    <s v="marketing"/>
    <x v="0"/>
    <x v="0"/>
    <n v="3"/>
  </r>
  <r>
    <x v="78"/>
    <s v="net sales:product 1"/>
    <n v="9.99"/>
    <n v="33"/>
    <n v="329.67"/>
    <s v="net sales"/>
    <x v="1"/>
    <x v="0"/>
    <n v="3"/>
  </r>
  <r>
    <x v="78"/>
    <s v="net sales:product 2"/>
    <n v="24.99"/>
    <n v="4"/>
    <n v="99.96"/>
    <s v="net sales"/>
    <x v="2"/>
    <x v="0"/>
    <n v="3"/>
  </r>
  <r>
    <x v="78"/>
    <s v="net sales:product 3"/>
    <n v="12.49"/>
    <n v="51"/>
    <n v="636.99"/>
    <s v="net sales"/>
    <x v="3"/>
    <x v="0"/>
    <n v="3"/>
  </r>
  <r>
    <x v="79"/>
    <s v="cogs:product 1"/>
    <n v="5.99"/>
    <n v="9"/>
    <n v="53.910000000000004"/>
    <s v="cogs"/>
    <x v="1"/>
    <x v="0"/>
    <n v="3"/>
  </r>
  <r>
    <x v="79"/>
    <s v="cogs:product 2"/>
    <n v="16.989999999999998"/>
    <n v="6"/>
    <n v="101.94"/>
    <s v="cogs"/>
    <x v="2"/>
    <x v="0"/>
    <n v="3"/>
  </r>
  <r>
    <x v="79"/>
    <s v="cogs:product 3"/>
    <n v="8.49"/>
    <n v="0"/>
    <n v="0"/>
    <s v="cogs"/>
    <x v="3"/>
    <x v="0"/>
    <n v="3"/>
  </r>
  <r>
    <x v="79"/>
    <s v="marketing"/>
    <s v="NA"/>
    <s v="NA"/>
    <n v="100.08"/>
    <s v="marketing"/>
    <x v="0"/>
    <x v="0"/>
    <n v="3"/>
  </r>
  <r>
    <x v="79"/>
    <s v="net sales:product 1"/>
    <n v="9.99"/>
    <n v="9"/>
    <n v="89.91"/>
    <s v="net sales"/>
    <x v="1"/>
    <x v="0"/>
    <n v="3"/>
  </r>
  <r>
    <x v="79"/>
    <s v="net sales:product 2"/>
    <n v="24.99"/>
    <n v="6"/>
    <n v="149.94"/>
    <s v="net sales"/>
    <x v="2"/>
    <x v="0"/>
    <n v="3"/>
  </r>
  <r>
    <x v="79"/>
    <s v="net sales:product 3"/>
    <n v="12.49"/>
    <n v="0"/>
    <n v="0"/>
    <s v="net sales"/>
    <x v="3"/>
    <x v="0"/>
    <n v="3"/>
  </r>
  <r>
    <x v="80"/>
    <s v="cogs:product 1"/>
    <n v="5.99"/>
    <n v="43"/>
    <n v="257.57"/>
    <s v="cogs"/>
    <x v="1"/>
    <x v="0"/>
    <n v="3"/>
  </r>
  <r>
    <x v="80"/>
    <s v="cogs:product 2"/>
    <n v="16.989999999999998"/>
    <n v="5"/>
    <n v="84.949999999999989"/>
    <s v="cogs"/>
    <x v="2"/>
    <x v="0"/>
    <n v="3"/>
  </r>
  <r>
    <x v="80"/>
    <s v="cogs:product 3"/>
    <n v="8.49"/>
    <n v="20"/>
    <n v="169.8"/>
    <s v="cogs"/>
    <x v="3"/>
    <x v="0"/>
    <n v="3"/>
  </r>
  <r>
    <x v="80"/>
    <s v="marketing"/>
    <s v="NA"/>
    <s v="NA"/>
    <n v="100.08"/>
    <s v="marketing"/>
    <x v="0"/>
    <x v="0"/>
    <n v="3"/>
  </r>
  <r>
    <x v="80"/>
    <s v="net sales:product 1"/>
    <n v="9.99"/>
    <n v="43"/>
    <n v="429.57"/>
    <s v="net sales"/>
    <x v="1"/>
    <x v="0"/>
    <n v="3"/>
  </r>
  <r>
    <x v="80"/>
    <s v="net sales:product 2"/>
    <n v="24.99"/>
    <n v="5"/>
    <n v="124.94999999999999"/>
    <s v="net sales"/>
    <x v="2"/>
    <x v="0"/>
    <n v="3"/>
  </r>
  <r>
    <x v="80"/>
    <s v="net sales:product 3"/>
    <n v="12.49"/>
    <n v="20"/>
    <n v="249.8"/>
    <s v="net sales"/>
    <x v="3"/>
    <x v="0"/>
    <n v="3"/>
  </r>
  <r>
    <x v="81"/>
    <s v="cogs:product 1"/>
    <n v="5.99"/>
    <n v="1"/>
    <n v="5.99"/>
    <s v="cogs"/>
    <x v="1"/>
    <x v="0"/>
    <n v="3"/>
  </r>
  <r>
    <x v="81"/>
    <s v="cogs:product 2"/>
    <n v="16.989999999999998"/>
    <n v="5"/>
    <n v="84.949999999999989"/>
    <s v="cogs"/>
    <x v="2"/>
    <x v="0"/>
    <n v="3"/>
  </r>
  <r>
    <x v="81"/>
    <s v="cogs:product 3"/>
    <n v="8.49"/>
    <n v="96"/>
    <n v="815.04"/>
    <s v="cogs"/>
    <x v="3"/>
    <x v="0"/>
    <n v="3"/>
  </r>
  <r>
    <x v="81"/>
    <s v="marketing"/>
    <s v="NA"/>
    <s v="NA"/>
    <n v="99.92"/>
    <s v="marketing"/>
    <x v="0"/>
    <x v="0"/>
    <n v="3"/>
  </r>
  <r>
    <x v="81"/>
    <s v="net sales:product 1"/>
    <n v="9.99"/>
    <n v="1"/>
    <n v="9.99"/>
    <s v="net sales"/>
    <x v="1"/>
    <x v="0"/>
    <n v="3"/>
  </r>
  <r>
    <x v="81"/>
    <s v="net sales:product 2"/>
    <n v="24.99"/>
    <n v="5"/>
    <n v="124.94999999999999"/>
    <s v="net sales"/>
    <x v="2"/>
    <x v="0"/>
    <n v="3"/>
  </r>
  <r>
    <x v="81"/>
    <s v="net sales:product 3"/>
    <n v="12.49"/>
    <n v="96"/>
    <n v="1199.04"/>
    <s v="net sales"/>
    <x v="3"/>
    <x v="0"/>
    <n v="3"/>
  </r>
  <r>
    <x v="82"/>
    <s v="cogs:product 1"/>
    <n v="5.99"/>
    <n v="45"/>
    <n v="269.55"/>
    <s v="cogs"/>
    <x v="1"/>
    <x v="0"/>
    <n v="3"/>
  </r>
  <r>
    <x v="82"/>
    <s v="cogs:product 2"/>
    <n v="16.989999999999998"/>
    <n v="1"/>
    <n v="16.989999999999998"/>
    <s v="cogs"/>
    <x v="2"/>
    <x v="0"/>
    <n v="3"/>
  </r>
  <r>
    <x v="82"/>
    <s v="cogs:product 3"/>
    <n v="8.49"/>
    <n v="219"/>
    <n v="1859.31"/>
    <s v="cogs"/>
    <x v="3"/>
    <x v="0"/>
    <n v="3"/>
  </r>
  <r>
    <x v="82"/>
    <s v="marketing"/>
    <s v="NA"/>
    <s v="NA"/>
    <n v="100.02"/>
    <s v="marketing"/>
    <x v="0"/>
    <x v="0"/>
    <n v="3"/>
  </r>
  <r>
    <x v="82"/>
    <s v="net sales:product 1"/>
    <n v="9.99"/>
    <n v="45"/>
    <n v="449.55"/>
    <s v="net sales"/>
    <x v="1"/>
    <x v="0"/>
    <n v="3"/>
  </r>
  <r>
    <x v="82"/>
    <s v="net sales:product 2"/>
    <n v="24.99"/>
    <n v="1"/>
    <n v="24.99"/>
    <s v="net sales"/>
    <x v="2"/>
    <x v="0"/>
    <n v="3"/>
  </r>
  <r>
    <x v="82"/>
    <s v="net sales:product 3"/>
    <n v="12.49"/>
    <n v="219"/>
    <n v="2735.31"/>
    <s v="net sales"/>
    <x v="3"/>
    <x v="0"/>
    <n v="3"/>
  </r>
  <r>
    <x v="83"/>
    <s v="cogs:product 1"/>
    <n v="5.99"/>
    <n v="61"/>
    <n v="365.39"/>
    <s v="cogs"/>
    <x v="1"/>
    <x v="0"/>
    <n v="3"/>
  </r>
  <r>
    <x v="83"/>
    <s v="cogs:product 2"/>
    <n v="16.989999999999998"/>
    <n v="2"/>
    <n v="33.979999999999997"/>
    <s v="cogs"/>
    <x v="2"/>
    <x v="0"/>
    <n v="3"/>
  </r>
  <r>
    <x v="83"/>
    <s v="cogs:product 3"/>
    <n v="8.49"/>
    <n v="95"/>
    <n v="806.55000000000007"/>
    <s v="cogs"/>
    <x v="3"/>
    <x v="0"/>
    <n v="3"/>
  </r>
  <r>
    <x v="83"/>
    <s v="marketing"/>
    <s v="NA"/>
    <s v="NA"/>
    <n v="100.02"/>
    <s v="marketing"/>
    <x v="0"/>
    <x v="0"/>
    <n v="3"/>
  </r>
  <r>
    <x v="83"/>
    <s v="net sales:product 1"/>
    <n v="9.99"/>
    <n v="61"/>
    <n v="609.39"/>
    <s v="net sales"/>
    <x v="1"/>
    <x v="0"/>
    <n v="3"/>
  </r>
  <r>
    <x v="83"/>
    <s v="net sales:product 2"/>
    <n v="24.99"/>
    <n v="2"/>
    <n v="49.98"/>
    <s v="net sales"/>
    <x v="2"/>
    <x v="0"/>
    <n v="3"/>
  </r>
  <r>
    <x v="83"/>
    <s v="net sales:product 3"/>
    <n v="12.49"/>
    <n v="95"/>
    <n v="1186.55"/>
    <s v="net sales"/>
    <x v="3"/>
    <x v="0"/>
    <n v="3"/>
  </r>
  <r>
    <x v="84"/>
    <s v="cogs:product 1"/>
    <n v="5.99"/>
    <n v="22"/>
    <n v="131.78"/>
    <s v="cogs"/>
    <x v="1"/>
    <x v="0"/>
    <n v="3"/>
  </r>
  <r>
    <x v="84"/>
    <s v="cogs:product 2"/>
    <n v="16.989999999999998"/>
    <n v="6"/>
    <n v="101.94"/>
    <s v="cogs"/>
    <x v="2"/>
    <x v="0"/>
    <n v="3"/>
  </r>
  <r>
    <x v="84"/>
    <s v="cogs:product 3"/>
    <n v="8.49"/>
    <n v="135"/>
    <n v="1146.1500000000001"/>
    <s v="cogs"/>
    <x v="3"/>
    <x v="0"/>
    <n v="3"/>
  </r>
  <r>
    <x v="84"/>
    <s v="marketing"/>
    <s v="NA"/>
    <s v="NA"/>
    <n v="100"/>
    <s v="marketing"/>
    <x v="0"/>
    <x v="0"/>
    <n v="3"/>
  </r>
  <r>
    <x v="84"/>
    <s v="net sales:product 1"/>
    <n v="9.99"/>
    <n v="22"/>
    <n v="219.78"/>
    <s v="net sales"/>
    <x v="1"/>
    <x v="0"/>
    <n v="3"/>
  </r>
  <r>
    <x v="84"/>
    <s v="net sales:product 2"/>
    <n v="24.99"/>
    <n v="6"/>
    <n v="149.94"/>
    <s v="net sales"/>
    <x v="2"/>
    <x v="0"/>
    <n v="3"/>
  </r>
  <r>
    <x v="84"/>
    <s v="net sales:product 3"/>
    <n v="12.49"/>
    <n v="135"/>
    <n v="1686.15"/>
    <s v="net sales"/>
    <x v="3"/>
    <x v="0"/>
    <n v="3"/>
  </r>
  <r>
    <x v="85"/>
    <s v="cogs:product 1"/>
    <n v="5.99"/>
    <n v="68"/>
    <n v="407.32"/>
    <s v="cogs"/>
    <x v="1"/>
    <x v="0"/>
    <n v="3"/>
  </r>
  <r>
    <x v="85"/>
    <s v="cogs:product 2"/>
    <n v="16.989999999999998"/>
    <n v="7"/>
    <n v="118.92999999999999"/>
    <s v="cogs"/>
    <x v="2"/>
    <x v="0"/>
    <n v="3"/>
  </r>
  <r>
    <x v="85"/>
    <s v="cogs:product 3"/>
    <n v="8.49"/>
    <n v="97"/>
    <n v="823.53"/>
    <s v="cogs"/>
    <x v="3"/>
    <x v="0"/>
    <n v="3"/>
  </r>
  <r>
    <x v="85"/>
    <s v="marketing"/>
    <s v="NA"/>
    <s v="NA"/>
    <n v="99.9"/>
    <s v="marketing"/>
    <x v="0"/>
    <x v="0"/>
    <n v="3"/>
  </r>
  <r>
    <x v="85"/>
    <s v="net sales:product 1"/>
    <n v="9.99"/>
    <n v="68"/>
    <n v="679.32"/>
    <s v="net sales"/>
    <x v="1"/>
    <x v="0"/>
    <n v="3"/>
  </r>
  <r>
    <x v="85"/>
    <s v="net sales:product 2"/>
    <n v="24.99"/>
    <n v="7"/>
    <n v="174.92999999999998"/>
    <s v="net sales"/>
    <x v="2"/>
    <x v="0"/>
    <n v="3"/>
  </r>
  <r>
    <x v="85"/>
    <s v="net sales:product 3"/>
    <n v="12.49"/>
    <n v="97"/>
    <n v="1211.53"/>
    <s v="net sales"/>
    <x v="3"/>
    <x v="0"/>
    <n v="3"/>
  </r>
  <r>
    <x v="86"/>
    <s v="cogs:product 1"/>
    <n v="5.99"/>
    <n v="11"/>
    <n v="65.89"/>
    <s v="cogs"/>
    <x v="1"/>
    <x v="0"/>
    <n v="3"/>
  </r>
  <r>
    <x v="86"/>
    <s v="cogs:product 2"/>
    <n v="16.989999999999998"/>
    <n v="6"/>
    <n v="101.94"/>
    <s v="cogs"/>
    <x v="2"/>
    <x v="0"/>
    <n v="3"/>
  </r>
  <r>
    <x v="86"/>
    <s v="cogs:product 3"/>
    <n v="8.49"/>
    <n v="176"/>
    <n v="1494.24"/>
    <s v="cogs"/>
    <x v="3"/>
    <x v="0"/>
    <n v="3"/>
  </r>
  <r>
    <x v="86"/>
    <s v="marketing"/>
    <s v="NA"/>
    <s v="NA"/>
    <n v="100.02"/>
    <s v="marketing"/>
    <x v="0"/>
    <x v="0"/>
    <n v="3"/>
  </r>
  <r>
    <x v="86"/>
    <s v="net sales:product 1"/>
    <n v="9.99"/>
    <n v="11"/>
    <n v="109.89"/>
    <s v="net sales"/>
    <x v="1"/>
    <x v="0"/>
    <n v="3"/>
  </r>
  <r>
    <x v="86"/>
    <s v="net sales:product 2"/>
    <n v="24.99"/>
    <n v="6"/>
    <n v="149.94"/>
    <s v="net sales"/>
    <x v="2"/>
    <x v="0"/>
    <n v="3"/>
  </r>
  <r>
    <x v="86"/>
    <s v="net sales:product 3"/>
    <n v="12.49"/>
    <n v="176"/>
    <n v="2198.2400000000002"/>
    <s v="net sales"/>
    <x v="3"/>
    <x v="0"/>
    <n v="3"/>
  </r>
  <r>
    <x v="87"/>
    <s v="cogs:product 1"/>
    <n v="5.99"/>
    <n v="42"/>
    <n v="251.58"/>
    <s v="cogs"/>
    <x v="1"/>
    <x v="0"/>
    <n v="3"/>
  </r>
  <r>
    <x v="87"/>
    <s v="cogs:product 2"/>
    <n v="16.989999999999998"/>
    <n v="3"/>
    <n v="50.97"/>
    <s v="cogs"/>
    <x v="2"/>
    <x v="0"/>
    <n v="3"/>
  </r>
  <r>
    <x v="87"/>
    <s v="cogs:product 3"/>
    <n v="8.49"/>
    <n v="68"/>
    <n v="577.32000000000005"/>
    <s v="cogs"/>
    <x v="3"/>
    <x v="0"/>
    <n v="3"/>
  </r>
  <r>
    <x v="87"/>
    <s v="marketing"/>
    <s v="NA"/>
    <s v="NA"/>
    <n v="100.06"/>
    <s v="marketing"/>
    <x v="0"/>
    <x v="0"/>
    <n v="3"/>
  </r>
  <r>
    <x v="87"/>
    <s v="net sales:product 1"/>
    <n v="9.99"/>
    <n v="42"/>
    <n v="419.58"/>
    <s v="net sales"/>
    <x v="1"/>
    <x v="0"/>
    <n v="3"/>
  </r>
  <r>
    <x v="87"/>
    <s v="net sales:product 2"/>
    <n v="24.99"/>
    <n v="3"/>
    <n v="74.97"/>
    <s v="net sales"/>
    <x v="2"/>
    <x v="0"/>
    <n v="3"/>
  </r>
  <r>
    <x v="87"/>
    <s v="net sales:product 3"/>
    <n v="12.49"/>
    <n v="68"/>
    <n v="849.32"/>
    <s v="net sales"/>
    <x v="3"/>
    <x v="0"/>
    <n v="3"/>
  </r>
  <r>
    <x v="88"/>
    <s v="cogs:product 1"/>
    <n v="5.99"/>
    <n v="31"/>
    <n v="185.69"/>
    <s v="cogs"/>
    <x v="1"/>
    <x v="0"/>
    <n v="3"/>
  </r>
  <r>
    <x v="88"/>
    <s v="cogs:product 2"/>
    <n v="16.989999999999998"/>
    <n v="2"/>
    <n v="33.979999999999997"/>
    <s v="cogs"/>
    <x v="2"/>
    <x v="0"/>
    <n v="3"/>
  </r>
  <r>
    <x v="88"/>
    <s v="cogs:product 3"/>
    <n v="8.49"/>
    <n v="63"/>
    <n v="534.87"/>
    <s v="cogs"/>
    <x v="3"/>
    <x v="0"/>
    <n v="3"/>
  </r>
  <r>
    <x v="88"/>
    <s v="marketing"/>
    <s v="NA"/>
    <s v="NA"/>
    <n v="99.94"/>
    <s v="marketing"/>
    <x v="0"/>
    <x v="0"/>
    <n v="3"/>
  </r>
  <r>
    <x v="88"/>
    <s v="net sales:product 1"/>
    <n v="9.99"/>
    <n v="31"/>
    <n v="309.69"/>
    <s v="net sales"/>
    <x v="1"/>
    <x v="0"/>
    <n v="3"/>
  </r>
  <r>
    <x v="88"/>
    <s v="net sales:product 2"/>
    <n v="24.99"/>
    <n v="2"/>
    <n v="49.98"/>
    <s v="net sales"/>
    <x v="2"/>
    <x v="0"/>
    <n v="3"/>
  </r>
  <r>
    <x v="88"/>
    <s v="net sales:product 3"/>
    <n v="12.49"/>
    <n v="63"/>
    <n v="786.87"/>
    <s v="net sales"/>
    <x v="3"/>
    <x v="0"/>
    <n v="3"/>
  </r>
  <r>
    <x v="88"/>
    <s v="payroll"/>
    <s v="NA"/>
    <s v="NA"/>
    <n v="1200"/>
    <s v="payroll"/>
    <x v="0"/>
    <x v="0"/>
    <n v="3"/>
  </r>
  <r>
    <x v="89"/>
    <s v="cogs:product 1"/>
    <n v="5.99"/>
    <n v="48"/>
    <n v="287.52"/>
    <s v="cogs"/>
    <x v="1"/>
    <x v="0"/>
    <n v="3"/>
  </r>
  <r>
    <x v="89"/>
    <s v="cogs:product 2"/>
    <n v="16.989999999999998"/>
    <n v="3"/>
    <n v="50.97"/>
    <s v="cogs"/>
    <x v="2"/>
    <x v="0"/>
    <n v="3"/>
  </r>
  <r>
    <x v="89"/>
    <s v="cogs:product 3"/>
    <n v="8.49"/>
    <n v="99"/>
    <n v="840.51"/>
    <s v="cogs"/>
    <x v="3"/>
    <x v="0"/>
    <n v="3"/>
  </r>
  <r>
    <x v="89"/>
    <s v="marketing"/>
    <s v="NA"/>
    <s v="NA"/>
    <n v="100.04"/>
    <s v="marketing"/>
    <x v="0"/>
    <x v="0"/>
    <n v="3"/>
  </r>
  <r>
    <x v="89"/>
    <s v="net sales:product 1"/>
    <n v="9.99"/>
    <n v="48"/>
    <n v="479.52"/>
    <s v="net sales"/>
    <x v="1"/>
    <x v="0"/>
    <n v="3"/>
  </r>
  <r>
    <x v="89"/>
    <s v="net sales:product 2"/>
    <n v="24.99"/>
    <n v="3"/>
    <n v="74.97"/>
    <s v="net sales"/>
    <x v="2"/>
    <x v="0"/>
    <n v="3"/>
  </r>
  <r>
    <x v="89"/>
    <s v="net sales:product 3"/>
    <n v="12.49"/>
    <n v="99"/>
    <n v="1236.51"/>
    <s v="net sales"/>
    <x v="3"/>
    <x v="0"/>
    <n v="3"/>
  </r>
  <r>
    <x v="90"/>
    <s v="cogs:product 1"/>
    <n v="5.99"/>
    <n v="46"/>
    <n v="275.54000000000002"/>
    <s v="cogs"/>
    <x v="1"/>
    <x v="0"/>
    <n v="3"/>
  </r>
  <r>
    <x v="90"/>
    <s v="cogs:product 2"/>
    <n v="16.989999999999998"/>
    <n v="8"/>
    <n v="135.91999999999999"/>
    <s v="cogs"/>
    <x v="2"/>
    <x v="0"/>
    <n v="3"/>
  </r>
  <r>
    <x v="90"/>
    <s v="cogs:product 3"/>
    <n v="8.49"/>
    <n v="0"/>
    <n v="0"/>
    <s v="cogs"/>
    <x v="3"/>
    <x v="0"/>
    <n v="3"/>
  </r>
  <r>
    <x v="90"/>
    <s v="marketing"/>
    <s v="NA"/>
    <s v="NA"/>
    <n v="99.91"/>
    <s v="marketing"/>
    <x v="0"/>
    <x v="0"/>
    <n v="3"/>
  </r>
  <r>
    <x v="90"/>
    <s v="net sales:product 1"/>
    <n v="9.99"/>
    <n v="46"/>
    <n v="459.54"/>
    <s v="net sales"/>
    <x v="1"/>
    <x v="0"/>
    <n v="3"/>
  </r>
  <r>
    <x v="90"/>
    <s v="net sales:product 2"/>
    <n v="24.99"/>
    <n v="8"/>
    <n v="199.92"/>
    <s v="net sales"/>
    <x v="2"/>
    <x v="0"/>
    <n v="3"/>
  </r>
  <r>
    <x v="90"/>
    <s v="net sales:product 3"/>
    <n v="12.49"/>
    <n v="0"/>
    <n v="0"/>
    <s v="net sales"/>
    <x v="3"/>
    <x v="0"/>
    <n v="3"/>
  </r>
  <r>
    <x v="91"/>
    <s v="amortization"/>
    <s v="NA"/>
    <s v="NA"/>
    <n v="50"/>
    <s v="amortization"/>
    <x v="0"/>
    <x v="0"/>
    <n v="4"/>
  </r>
  <r>
    <x v="91"/>
    <s v="cogs:product 1"/>
    <n v="5.99"/>
    <n v="98"/>
    <n v="587.02"/>
    <s v="cogs"/>
    <x v="1"/>
    <x v="0"/>
    <n v="4"/>
  </r>
  <r>
    <x v="91"/>
    <s v="cogs:product 2"/>
    <n v="16.989999999999998"/>
    <n v="2"/>
    <n v="33.979999999999997"/>
    <s v="cogs"/>
    <x v="2"/>
    <x v="0"/>
    <n v="4"/>
  </r>
  <r>
    <x v="91"/>
    <s v="cogs:product 3"/>
    <n v="8.49"/>
    <n v="2"/>
    <n v="16.98"/>
    <s v="cogs"/>
    <x v="3"/>
    <x v="0"/>
    <n v="4"/>
  </r>
  <r>
    <x v="91"/>
    <s v="marketing"/>
    <s v="NA"/>
    <s v="NA"/>
    <n v="99.98"/>
    <s v="marketing"/>
    <x v="0"/>
    <x v="0"/>
    <n v="4"/>
  </r>
  <r>
    <x v="91"/>
    <s v="net sales:product 1"/>
    <n v="9.99"/>
    <n v="98"/>
    <n v="979.02"/>
    <s v="net sales"/>
    <x v="1"/>
    <x v="0"/>
    <n v="4"/>
  </r>
  <r>
    <x v="91"/>
    <s v="net sales:product 2"/>
    <n v="24.99"/>
    <n v="2"/>
    <n v="49.98"/>
    <s v="net sales"/>
    <x v="2"/>
    <x v="0"/>
    <n v="4"/>
  </r>
  <r>
    <x v="91"/>
    <s v="net sales:product 3"/>
    <n v="12.49"/>
    <n v="2"/>
    <n v="24.98"/>
    <s v="net sales"/>
    <x v="3"/>
    <x v="0"/>
    <n v="4"/>
  </r>
  <r>
    <x v="91"/>
    <s v="overhead"/>
    <s v="NA"/>
    <s v="NA"/>
    <n v="2000"/>
    <s v="overhead"/>
    <x v="0"/>
    <x v="0"/>
    <n v="4"/>
  </r>
  <r>
    <x v="92"/>
    <s v="cogs:product 1"/>
    <n v="5.99"/>
    <n v="76"/>
    <n v="455.24"/>
    <s v="cogs"/>
    <x v="1"/>
    <x v="0"/>
    <n v="4"/>
  </r>
  <r>
    <x v="92"/>
    <s v="cogs:product 2"/>
    <n v="16.989999999999998"/>
    <n v="8"/>
    <n v="135.91999999999999"/>
    <s v="cogs"/>
    <x v="2"/>
    <x v="0"/>
    <n v="4"/>
  </r>
  <r>
    <x v="92"/>
    <s v="cogs:product 3"/>
    <n v="8.49"/>
    <n v="177"/>
    <n v="1502.73"/>
    <s v="cogs"/>
    <x v="3"/>
    <x v="0"/>
    <n v="4"/>
  </r>
  <r>
    <x v="92"/>
    <s v="marketing"/>
    <s v="NA"/>
    <s v="NA"/>
    <n v="100.03"/>
    <s v="marketing"/>
    <x v="0"/>
    <x v="0"/>
    <n v="4"/>
  </r>
  <r>
    <x v="92"/>
    <s v="net sales:product 1"/>
    <n v="9.99"/>
    <n v="76"/>
    <n v="759.24"/>
    <s v="net sales"/>
    <x v="1"/>
    <x v="0"/>
    <n v="4"/>
  </r>
  <r>
    <x v="92"/>
    <s v="net sales:product 2"/>
    <n v="24.99"/>
    <n v="8"/>
    <n v="199.92"/>
    <s v="net sales"/>
    <x v="2"/>
    <x v="0"/>
    <n v="4"/>
  </r>
  <r>
    <x v="92"/>
    <s v="net sales:product 3"/>
    <n v="12.49"/>
    <n v="177"/>
    <n v="2210.73"/>
    <s v="net sales"/>
    <x v="3"/>
    <x v="0"/>
    <n v="4"/>
  </r>
  <r>
    <x v="93"/>
    <s v="cogs:product 1"/>
    <n v="5.99"/>
    <n v="51"/>
    <n v="305.49"/>
    <s v="cogs"/>
    <x v="1"/>
    <x v="0"/>
    <n v="4"/>
  </r>
  <r>
    <x v="93"/>
    <s v="cogs:product 2"/>
    <n v="16.989999999999998"/>
    <n v="9"/>
    <n v="152.91"/>
    <s v="cogs"/>
    <x v="2"/>
    <x v="0"/>
    <n v="4"/>
  </r>
  <r>
    <x v="93"/>
    <s v="cogs:product 3"/>
    <n v="8.49"/>
    <n v="86"/>
    <n v="730.14"/>
    <s v="cogs"/>
    <x v="3"/>
    <x v="0"/>
    <n v="4"/>
  </r>
  <r>
    <x v="93"/>
    <s v="marketing"/>
    <s v="NA"/>
    <s v="NA"/>
    <n v="100.02"/>
    <s v="marketing"/>
    <x v="0"/>
    <x v="0"/>
    <n v="4"/>
  </r>
  <r>
    <x v="93"/>
    <s v="net sales:product 1"/>
    <n v="9.99"/>
    <n v="51"/>
    <n v="509.49"/>
    <s v="net sales"/>
    <x v="1"/>
    <x v="0"/>
    <n v="4"/>
  </r>
  <r>
    <x v="93"/>
    <s v="net sales:product 2"/>
    <n v="24.99"/>
    <n v="9"/>
    <n v="224.91"/>
    <s v="net sales"/>
    <x v="2"/>
    <x v="0"/>
    <n v="4"/>
  </r>
  <r>
    <x v="93"/>
    <s v="net sales:product 3"/>
    <n v="12.49"/>
    <n v="86"/>
    <n v="1074.1400000000001"/>
    <s v="net sales"/>
    <x v="3"/>
    <x v="0"/>
    <n v="4"/>
  </r>
  <r>
    <x v="94"/>
    <s v="cogs:product 1"/>
    <n v="5.99"/>
    <n v="95"/>
    <n v="569.05000000000007"/>
    <s v="cogs"/>
    <x v="1"/>
    <x v="0"/>
    <n v="4"/>
  </r>
  <r>
    <x v="94"/>
    <s v="cogs:product 2"/>
    <n v="16.989999999999998"/>
    <n v="1"/>
    <n v="16.989999999999998"/>
    <s v="cogs"/>
    <x v="2"/>
    <x v="0"/>
    <n v="4"/>
  </r>
  <r>
    <x v="94"/>
    <s v="cogs:product 3"/>
    <n v="8.49"/>
    <n v="37"/>
    <n v="314.13"/>
    <s v="cogs"/>
    <x v="3"/>
    <x v="0"/>
    <n v="4"/>
  </r>
  <r>
    <x v="94"/>
    <s v="marketing"/>
    <s v="NA"/>
    <s v="NA"/>
    <n v="100.02"/>
    <s v="marketing"/>
    <x v="0"/>
    <x v="0"/>
    <n v="4"/>
  </r>
  <r>
    <x v="94"/>
    <s v="net sales:product 1"/>
    <n v="9.99"/>
    <n v="95"/>
    <n v="949.05000000000007"/>
    <s v="net sales"/>
    <x v="1"/>
    <x v="0"/>
    <n v="4"/>
  </r>
  <r>
    <x v="94"/>
    <s v="net sales:product 2"/>
    <n v="24.99"/>
    <n v="1"/>
    <n v="24.99"/>
    <s v="net sales"/>
    <x v="2"/>
    <x v="0"/>
    <n v="4"/>
  </r>
  <r>
    <x v="94"/>
    <s v="net sales:product 3"/>
    <n v="12.49"/>
    <n v="37"/>
    <n v="462.13"/>
    <s v="net sales"/>
    <x v="3"/>
    <x v="0"/>
    <n v="4"/>
  </r>
  <r>
    <x v="95"/>
    <s v="cogs:product 1"/>
    <n v="5.99"/>
    <n v="22"/>
    <n v="131.78"/>
    <s v="cogs"/>
    <x v="1"/>
    <x v="0"/>
    <n v="4"/>
  </r>
  <r>
    <x v="95"/>
    <s v="cogs:product 2"/>
    <n v="16.989999999999998"/>
    <n v="4"/>
    <n v="67.959999999999994"/>
    <s v="cogs"/>
    <x v="2"/>
    <x v="0"/>
    <n v="4"/>
  </r>
  <r>
    <x v="95"/>
    <s v="cogs:product 3"/>
    <n v="8.49"/>
    <n v="241"/>
    <n v="2046.0900000000001"/>
    <s v="cogs"/>
    <x v="3"/>
    <x v="0"/>
    <n v="4"/>
  </r>
  <r>
    <x v="95"/>
    <s v="marketing"/>
    <s v="NA"/>
    <s v="NA"/>
    <n v="99.98"/>
    <s v="marketing"/>
    <x v="0"/>
    <x v="0"/>
    <n v="4"/>
  </r>
  <r>
    <x v="95"/>
    <s v="net sales:product 1"/>
    <n v="9.99"/>
    <n v="22"/>
    <n v="219.78"/>
    <s v="net sales"/>
    <x v="1"/>
    <x v="0"/>
    <n v="4"/>
  </r>
  <r>
    <x v="95"/>
    <s v="net sales:product 2"/>
    <n v="24.99"/>
    <n v="4"/>
    <n v="99.96"/>
    <s v="net sales"/>
    <x v="2"/>
    <x v="0"/>
    <n v="4"/>
  </r>
  <r>
    <x v="95"/>
    <s v="net sales:product 3"/>
    <n v="12.49"/>
    <n v="241"/>
    <n v="3010.09"/>
    <s v="net sales"/>
    <x v="3"/>
    <x v="0"/>
    <n v="4"/>
  </r>
  <r>
    <x v="96"/>
    <s v="cogs:product 1"/>
    <n v="5.99"/>
    <n v="19"/>
    <n v="113.81"/>
    <s v="cogs"/>
    <x v="1"/>
    <x v="0"/>
    <n v="4"/>
  </r>
  <r>
    <x v="96"/>
    <s v="cogs:product 2"/>
    <n v="16.989999999999998"/>
    <n v="8"/>
    <n v="135.91999999999999"/>
    <s v="cogs"/>
    <x v="2"/>
    <x v="0"/>
    <n v="4"/>
  </r>
  <r>
    <x v="96"/>
    <s v="cogs:product 3"/>
    <n v="8.49"/>
    <n v="66"/>
    <n v="560.34"/>
    <s v="cogs"/>
    <x v="3"/>
    <x v="0"/>
    <n v="4"/>
  </r>
  <r>
    <x v="96"/>
    <s v="marketing"/>
    <s v="NA"/>
    <s v="NA"/>
    <n v="99.990000000000009"/>
    <s v="marketing"/>
    <x v="0"/>
    <x v="0"/>
    <n v="4"/>
  </r>
  <r>
    <x v="96"/>
    <s v="net sales:product 1"/>
    <n v="9.99"/>
    <n v="19"/>
    <n v="189.81"/>
    <s v="net sales"/>
    <x v="1"/>
    <x v="0"/>
    <n v="4"/>
  </r>
  <r>
    <x v="96"/>
    <s v="net sales:product 2"/>
    <n v="24.99"/>
    <n v="8"/>
    <n v="199.92"/>
    <s v="net sales"/>
    <x v="2"/>
    <x v="0"/>
    <n v="4"/>
  </r>
  <r>
    <x v="96"/>
    <s v="net sales:product 3"/>
    <n v="12.49"/>
    <n v="66"/>
    <n v="824.34"/>
    <s v="net sales"/>
    <x v="3"/>
    <x v="0"/>
    <n v="4"/>
  </r>
  <r>
    <x v="97"/>
    <s v="cogs:product 1"/>
    <n v="5.99"/>
    <n v="8"/>
    <n v="47.92"/>
    <s v="cogs"/>
    <x v="1"/>
    <x v="0"/>
    <n v="4"/>
  </r>
  <r>
    <x v="97"/>
    <s v="cogs:product 2"/>
    <n v="16.989999999999998"/>
    <n v="3"/>
    <n v="50.97"/>
    <s v="cogs"/>
    <x v="2"/>
    <x v="0"/>
    <n v="4"/>
  </r>
  <r>
    <x v="97"/>
    <s v="cogs:product 3"/>
    <n v="8.49"/>
    <n v="184"/>
    <n v="1562.16"/>
    <s v="cogs"/>
    <x v="3"/>
    <x v="0"/>
    <n v="4"/>
  </r>
  <r>
    <x v="97"/>
    <s v="marketing"/>
    <s v="NA"/>
    <s v="NA"/>
    <n v="99.97"/>
    <s v="marketing"/>
    <x v="0"/>
    <x v="0"/>
    <n v="4"/>
  </r>
  <r>
    <x v="97"/>
    <s v="net sales:product 1"/>
    <n v="9.99"/>
    <n v="8"/>
    <n v="79.92"/>
    <s v="net sales"/>
    <x v="1"/>
    <x v="0"/>
    <n v="4"/>
  </r>
  <r>
    <x v="97"/>
    <s v="net sales:product 2"/>
    <n v="24.99"/>
    <n v="3"/>
    <n v="74.97"/>
    <s v="net sales"/>
    <x v="2"/>
    <x v="0"/>
    <n v="4"/>
  </r>
  <r>
    <x v="97"/>
    <s v="net sales:product 3"/>
    <n v="12.49"/>
    <n v="184"/>
    <n v="2298.16"/>
    <s v="net sales"/>
    <x v="3"/>
    <x v="0"/>
    <n v="4"/>
  </r>
  <r>
    <x v="98"/>
    <s v="cogs:product 1"/>
    <n v="5.99"/>
    <n v="76"/>
    <n v="455.24"/>
    <s v="cogs"/>
    <x v="1"/>
    <x v="0"/>
    <n v="4"/>
  </r>
  <r>
    <x v="98"/>
    <s v="cogs:product 2"/>
    <n v="16.989999999999998"/>
    <n v="9"/>
    <n v="152.91"/>
    <s v="cogs"/>
    <x v="2"/>
    <x v="0"/>
    <n v="4"/>
  </r>
  <r>
    <x v="98"/>
    <s v="cogs:product 3"/>
    <n v="8.49"/>
    <n v="91"/>
    <n v="772.59"/>
    <s v="cogs"/>
    <x v="3"/>
    <x v="0"/>
    <n v="4"/>
  </r>
  <r>
    <x v="98"/>
    <s v="marketing"/>
    <s v="NA"/>
    <s v="NA"/>
    <n v="100.04"/>
    <s v="marketing"/>
    <x v="0"/>
    <x v="0"/>
    <n v="4"/>
  </r>
  <r>
    <x v="98"/>
    <s v="net sales:product 1"/>
    <n v="9.99"/>
    <n v="76"/>
    <n v="759.24"/>
    <s v="net sales"/>
    <x v="1"/>
    <x v="0"/>
    <n v="4"/>
  </r>
  <r>
    <x v="98"/>
    <s v="net sales:product 2"/>
    <n v="24.99"/>
    <n v="9"/>
    <n v="224.91"/>
    <s v="net sales"/>
    <x v="2"/>
    <x v="0"/>
    <n v="4"/>
  </r>
  <r>
    <x v="98"/>
    <s v="net sales:product 3"/>
    <n v="12.49"/>
    <n v="91"/>
    <n v="1136.5899999999999"/>
    <s v="net sales"/>
    <x v="3"/>
    <x v="0"/>
    <n v="4"/>
  </r>
  <r>
    <x v="99"/>
    <s v="cogs:product 1"/>
    <n v="5.99"/>
    <n v="4"/>
    <n v="23.96"/>
    <s v="cogs"/>
    <x v="1"/>
    <x v="0"/>
    <n v="4"/>
  </r>
  <r>
    <x v="99"/>
    <s v="cogs:product 2"/>
    <n v="16.989999999999998"/>
    <n v="4"/>
    <n v="67.959999999999994"/>
    <s v="cogs"/>
    <x v="2"/>
    <x v="0"/>
    <n v="4"/>
  </r>
  <r>
    <x v="99"/>
    <s v="cogs:product 3"/>
    <n v="8.49"/>
    <n v="229"/>
    <n v="1944.21"/>
    <s v="cogs"/>
    <x v="3"/>
    <x v="0"/>
    <n v="4"/>
  </r>
  <r>
    <x v="99"/>
    <s v="marketing"/>
    <s v="NA"/>
    <s v="NA"/>
    <n v="100.05"/>
    <s v="marketing"/>
    <x v="0"/>
    <x v="0"/>
    <n v="4"/>
  </r>
  <r>
    <x v="99"/>
    <s v="net sales:product 1"/>
    <n v="9.99"/>
    <n v="4"/>
    <n v="39.96"/>
    <s v="net sales"/>
    <x v="1"/>
    <x v="0"/>
    <n v="4"/>
  </r>
  <r>
    <x v="99"/>
    <s v="net sales:product 2"/>
    <n v="24.99"/>
    <n v="4"/>
    <n v="99.96"/>
    <s v="net sales"/>
    <x v="2"/>
    <x v="0"/>
    <n v="4"/>
  </r>
  <r>
    <x v="99"/>
    <s v="net sales:product 3"/>
    <n v="12.49"/>
    <n v="229"/>
    <n v="2860.21"/>
    <s v="net sales"/>
    <x v="3"/>
    <x v="0"/>
    <n v="4"/>
  </r>
  <r>
    <x v="100"/>
    <s v="cogs:product 1"/>
    <n v="5.99"/>
    <n v="44"/>
    <n v="263.56"/>
    <s v="cogs"/>
    <x v="1"/>
    <x v="0"/>
    <n v="4"/>
  </r>
  <r>
    <x v="100"/>
    <s v="cogs:product 2"/>
    <n v="16.989999999999998"/>
    <n v="9"/>
    <n v="152.91"/>
    <s v="cogs"/>
    <x v="2"/>
    <x v="0"/>
    <n v="4"/>
  </r>
  <r>
    <x v="100"/>
    <s v="cogs:product 3"/>
    <n v="8.49"/>
    <n v="49"/>
    <n v="416.01"/>
    <s v="cogs"/>
    <x v="3"/>
    <x v="0"/>
    <n v="4"/>
  </r>
  <r>
    <x v="100"/>
    <s v="marketing"/>
    <s v="NA"/>
    <s v="NA"/>
    <n v="100"/>
    <s v="marketing"/>
    <x v="0"/>
    <x v="0"/>
    <n v="4"/>
  </r>
  <r>
    <x v="100"/>
    <s v="net sales:product 1"/>
    <n v="9.99"/>
    <n v="44"/>
    <n v="439.56"/>
    <s v="net sales"/>
    <x v="1"/>
    <x v="0"/>
    <n v="4"/>
  </r>
  <r>
    <x v="100"/>
    <s v="net sales:product 2"/>
    <n v="24.99"/>
    <n v="9"/>
    <n v="224.91"/>
    <s v="net sales"/>
    <x v="2"/>
    <x v="0"/>
    <n v="4"/>
  </r>
  <r>
    <x v="100"/>
    <s v="net sales:product 3"/>
    <n v="12.49"/>
    <n v="49"/>
    <n v="612.01"/>
    <s v="net sales"/>
    <x v="3"/>
    <x v="0"/>
    <n v="4"/>
  </r>
  <r>
    <x v="101"/>
    <s v="cogs:product 1"/>
    <n v="5.99"/>
    <n v="80"/>
    <n v="479.20000000000005"/>
    <s v="cogs"/>
    <x v="1"/>
    <x v="0"/>
    <n v="4"/>
  </r>
  <r>
    <x v="101"/>
    <s v="cogs:product 2"/>
    <n v="16.989999999999998"/>
    <n v="3"/>
    <n v="50.97"/>
    <s v="cogs"/>
    <x v="2"/>
    <x v="0"/>
    <n v="4"/>
  </r>
  <r>
    <x v="101"/>
    <s v="cogs:product 3"/>
    <n v="8.49"/>
    <n v="202"/>
    <n v="1714.98"/>
    <s v="cogs"/>
    <x v="3"/>
    <x v="0"/>
    <n v="4"/>
  </r>
  <r>
    <x v="101"/>
    <s v="marketing"/>
    <s v="NA"/>
    <s v="NA"/>
    <n v="100.06"/>
    <s v="marketing"/>
    <x v="0"/>
    <x v="0"/>
    <n v="4"/>
  </r>
  <r>
    <x v="101"/>
    <s v="net sales:product 1"/>
    <n v="9.99"/>
    <n v="80"/>
    <n v="799.2"/>
    <s v="net sales"/>
    <x v="1"/>
    <x v="0"/>
    <n v="4"/>
  </r>
  <r>
    <x v="101"/>
    <s v="net sales:product 2"/>
    <n v="24.99"/>
    <n v="3"/>
    <n v="74.97"/>
    <s v="net sales"/>
    <x v="2"/>
    <x v="0"/>
    <n v="4"/>
  </r>
  <r>
    <x v="101"/>
    <s v="net sales:product 3"/>
    <n v="12.49"/>
    <n v="202"/>
    <n v="2522.98"/>
    <s v="net sales"/>
    <x v="3"/>
    <x v="0"/>
    <n v="4"/>
  </r>
  <r>
    <x v="102"/>
    <s v="cogs:product 1"/>
    <n v="5.99"/>
    <n v="46"/>
    <n v="275.54000000000002"/>
    <s v="cogs"/>
    <x v="1"/>
    <x v="0"/>
    <n v="4"/>
  </r>
  <r>
    <x v="102"/>
    <s v="cogs:product 2"/>
    <n v="16.989999999999998"/>
    <n v="9"/>
    <n v="152.91"/>
    <s v="cogs"/>
    <x v="2"/>
    <x v="0"/>
    <n v="4"/>
  </r>
  <r>
    <x v="102"/>
    <s v="cogs:product 3"/>
    <n v="8.49"/>
    <n v="44"/>
    <n v="373.56"/>
    <s v="cogs"/>
    <x v="3"/>
    <x v="0"/>
    <n v="4"/>
  </r>
  <r>
    <x v="102"/>
    <s v="marketing"/>
    <s v="NA"/>
    <s v="NA"/>
    <n v="99.95"/>
    <s v="marketing"/>
    <x v="0"/>
    <x v="0"/>
    <n v="4"/>
  </r>
  <r>
    <x v="102"/>
    <s v="net sales:product 1"/>
    <n v="9.99"/>
    <n v="46"/>
    <n v="459.54"/>
    <s v="net sales"/>
    <x v="1"/>
    <x v="0"/>
    <n v="4"/>
  </r>
  <r>
    <x v="102"/>
    <s v="net sales:product 2"/>
    <n v="24.99"/>
    <n v="9"/>
    <n v="224.91"/>
    <s v="net sales"/>
    <x v="2"/>
    <x v="0"/>
    <n v="4"/>
  </r>
  <r>
    <x v="102"/>
    <s v="net sales:product 3"/>
    <n v="12.49"/>
    <n v="44"/>
    <n v="549.56000000000006"/>
    <s v="net sales"/>
    <x v="3"/>
    <x v="0"/>
    <n v="4"/>
  </r>
  <r>
    <x v="102"/>
    <s v="payroll"/>
    <s v="NA"/>
    <s v="NA"/>
    <n v="1200"/>
    <s v="payroll"/>
    <x v="0"/>
    <x v="0"/>
    <n v="4"/>
  </r>
  <r>
    <x v="103"/>
    <s v="cogs:product 1"/>
    <n v="5.99"/>
    <n v="56"/>
    <n v="335.44"/>
    <s v="cogs"/>
    <x v="1"/>
    <x v="0"/>
    <n v="4"/>
  </r>
  <r>
    <x v="103"/>
    <s v="cogs:product 2"/>
    <n v="16.989999999999998"/>
    <n v="3"/>
    <n v="50.97"/>
    <s v="cogs"/>
    <x v="2"/>
    <x v="0"/>
    <n v="4"/>
  </r>
  <r>
    <x v="103"/>
    <s v="cogs:product 3"/>
    <n v="8.49"/>
    <n v="171"/>
    <n v="1451.79"/>
    <s v="cogs"/>
    <x v="3"/>
    <x v="0"/>
    <n v="4"/>
  </r>
  <r>
    <x v="103"/>
    <s v="marketing"/>
    <s v="NA"/>
    <s v="NA"/>
    <n v="99.9"/>
    <s v="marketing"/>
    <x v="0"/>
    <x v="0"/>
    <n v="4"/>
  </r>
  <r>
    <x v="103"/>
    <s v="net sales:product 1"/>
    <n v="9.99"/>
    <n v="56"/>
    <n v="559.44000000000005"/>
    <s v="net sales"/>
    <x v="1"/>
    <x v="0"/>
    <n v="4"/>
  </r>
  <r>
    <x v="103"/>
    <s v="net sales:product 2"/>
    <n v="24.99"/>
    <n v="3"/>
    <n v="74.97"/>
    <s v="net sales"/>
    <x v="2"/>
    <x v="0"/>
    <n v="4"/>
  </r>
  <r>
    <x v="103"/>
    <s v="net sales:product 3"/>
    <n v="12.49"/>
    <n v="171"/>
    <n v="2135.79"/>
    <s v="net sales"/>
    <x v="3"/>
    <x v="0"/>
    <n v="4"/>
  </r>
  <r>
    <x v="104"/>
    <s v="cogs:product 1"/>
    <n v="5.99"/>
    <n v="26"/>
    <n v="155.74"/>
    <s v="cogs"/>
    <x v="1"/>
    <x v="0"/>
    <n v="4"/>
  </r>
  <r>
    <x v="104"/>
    <s v="cogs:product 2"/>
    <n v="16.989999999999998"/>
    <n v="10"/>
    <n v="169.89999999999998"/>
    <s v="cogs"/>
    <x v="2"/>
    <x v="0"/>
    <n v="4"/>
  </r>
  <r>
    <x v="104"/>
    <s v="cogs:product 3"/>
    <n v="8.49"/>
    <n v="12"/>
    <n v="101.88"/>
    <s v="cogs"/>
    <x v="3"/>
    <x v="0"/>
    <n v="4"/>
  </r>
  <r>
    <x v="104"/>
    <s v="marketing"/>
    <s v="NA"/>
    <s v="NA"/>
    <n v="99.91"/>
    <s v="marketing"/>
    <x v="0"/>
    <x v="0"/>
    <n v="4"/>
  </r>
  <r>
    <x v="104"/>
    <s v="net sales:product 1"/>
    <n v="9.99"/>
    <n v="26"/>
    <n v="259.74"/>
    <s v="net sales"/>
    <x v="1"/>
    <x v="0"/>
    <n v="4"/>
  </r>
  <r>
    <x v="104"/>
    <s v="net sales:product 2"/>
    <n v="24.99"/>
    <n v="10"/>
    <n v="249.89999999999998"/>
    <s v="net sales"/>
    <x v="2"/>
    <x v="0"/>
    <n v="4"/>
  </r>
  <r>
    <x v="104"/>
    <s v="net sales:product 3"/>
    <n v="12.49"/>
    <n v="12"/>
    <n v="149.88"/>
    <s v="net sales"/>
    <x v="3"/>
    <x v="0"/>
    <n v="4"/>
  </r>
  <r>
    <x v="105"/>
    <s v="cogs:product 1"/>
    <n v="5.99"/>
    <n v="55"/>
    <n v="329.45"/>
    <s v="cogs"/>
    <x v="1"/>
    <x v="0"/>
    <n v="4"/>
  </r>
  <r>
    <x v="105"/>
    <s v="cogs:product 2"/>
    <n v="16.989999999999998"/>
    <n v="4"/>
    <n v="67.959999999999994"/>
    <s v="cogs"/>
    <x v="2"/>
    <x v="0"/>
    <n v="4"/>
  </r>
  <r>
    <x v="105"/>
    <s v="cogs:product 3"/>
    <n v="8.49"/>
    <n v="130"/>
    <n v="1103.7"/>
    <s v="cogs"/>
    <x v="3"/>
    <x v="0"/>
    <n v="4"/>
  </r>
  <r>
    <x v="105"/>
    <s v="interest"/>
    <s v="NA"/>
    <s v="NA"/>
    <n v="1290.6400000000001"/>
    <s v="interest"/>
    <x v="0"/>
    <x v="0"/>
    <n v="4"/>
  </r>
  <r>
    <x v="105"/>
    <s v="marketing"/>
    <s v="NA"/>
    <s v="NA"/>
    <n v="99.990000000000009"/>
    <s v="marketing"/>
    <x v="0"/>
    <x v="0"/>
    <n v="4"/>
  </r>
  <r>
    <x v="105"/>
    <s v="net sales:product 1"/>
    <n v="9.99"/>
    <n v="55"/>
    <n v="549.45000000000005"/>
    <s v="net sales"/>
    <x v="1"/>
    <x v="0"/>
    <n v="4"/>
  </r>
  <r>
    <x v="105"/>
    <s v="net sales:product 2"/>
    <n v="24.99"/>
    <n v="4"/>
    <n v="99.96"/>
    <s v="net sales"/>
    <x v="2"/>
    <x v="0"/>
    <n v="4"/>
  </r>
  <r>
    <x v="105"/>
    <s v="net sales:product 3"/>
    <n v="12.49"/>
    <n v="130"/>
    <n v="1623.7"/>
    <s v="net sales"/>
    <x v="3"/>
    <x v="0"/>
    <n v="4"/>
  </r>
  <r>
    <x v="105"/>
    <s v="overhead"/>
    <s v="NA"/>
    <s v="NA"/>
    <n v="293.93"/>
    <s v="overhead"/>
    <x v="0"/>
    <x v="0"/>
    <n v="4"/>
  </r>
  <r>
    <x v="106"/>
    <s v="cogs:product 1"/>
    <n v="5.99"/>
    <n v="5"/>
    <n v="29.950000000000003"/>
    <s v="cogs"/>
    <x v="1"/>
    <x v="0"/>
    <n v="4"/>
  </r>
  <r>
    <x v="106"/>
    <s v="cogs:product 2"/>
    <n v="16.989999999999998"/>
    <n v="5"/>
    <n v="84.949999999999989"/>
    <s v="cogs"/>
    <x v="2"/>
    <x v="0"/>
    <n v="4"/>
  </r>
  <r>
    <x v="106"/>
    <s v="cogs:product 3"/>
    <n v="8.49"/>
    <n v="34"/>
    <n v="288.66000000000003"/>
    <s v="cogs"/>
    <x v="3"/>
    <x v="0"/>
    <n v="4"/>
  </r>
  <r>
    <x v="106"/>
    <s v="marketing"/>
    <s v="NA"/>
    <s v="NA"/>
    <n v="100.05"/>
    <s v="marketing"/>
    <x v="0"/>
    <x v="0"/>
    <n v="4"/>
  </r>
  <r>
    <x v="106"/>
    <s v="net sales:product 1"/>
    <n v="9.99"/>
    <n v="5"/>
    <n v="49.95"/>
    <s v="net sales"/>
    <x v="1"/>
    <x v="0"/>
    <n v="4"/>
  </r>
  <r>
    <x v="106"/>
    <s v="net sales:product 2"/>
    <n v="24.99"/>
    <n v="5"/>
    <n v="124.94999999999999"/>
    <s v="net sales"/>
    <x v="2"/>
    <x v="0"/>
    <n v="4"/>
  </r>
  <r>
    <x v="106"/>
    <s v="net sales:product 3"/>
    <n v="12.49"/>
    <n v="34"/>
    <n v="424.66"/>
    <s v="net sales"/>
    <x v="3"/>
    <x v="0"/>
    <n v="4"/>
  </r>
  <r>
    <x v="107"/>
    <s v="cogs:product 1"/>
    <n v="5.99"/>
    <n v="80"/>
    <n v="479.20000000000005"/>
    <s v="cogs"/>
    <x v="1"/>
    <x v="0"/>
    <n v="4"/>
  </r>
  <r>
    <x v="107"/>
    <s v="cogs:product 2"/>
    <n v="16.989999999999998"/>
    <n v="9"/>
    <n v="152.91"/>
    <s v="cogs"/>
    <x v="2"/>
    <x v="0"/>
    <n v="4"/>
  </r>
  <r>
    <x v="107"/>
    <s v="cogs:product 3"/>
    <n v="8.49"/>
    <n v="0"/>
    <n v="0"/>
    <s v="cogs"/>
    <x v="3"/>
    <x v="0"/>
    <n v="4"/>
  </r>
  <r>
    <x v="107"/>
    <s v="marketing"/>
    <s v="NA"/>
    <s v="NA"/>
    <n v="99.960000000000008"/>
    <s v="marketing"/>
    <x v="0"/>
    <x v="0"/>
    <n v="4"/>
  </r>
  <r>
    <x v="107"/>
    <s v="net sales:product 1"/>
    <n v="9.99"/>
    <n v="80"/>
    <n v="799.2"/>
    <s v="net sales"/>
    <x v="1"/>
    <x v="0"/>
    <n v="4"/>
  </r>
  <r>
    <x v="107"/>
    <s v="net sales:product 2"/>
    <n v="24.99"/>
    <n v="9"/>
    <n v="224.91"/>
    <s v="net sales"/>
    <x v="2"/>
    <x v="0"/>
    <n v="4"/>
  </r>
  <r>
    <x v="107"/>
    <s v="net sales:product 3"/>
    <n v="12.49"/>
    <n v="0"/>
    <n v="0"/>
    <s v="net sales"/>
    <x v="3"/>
    <x v="0"/>
    <n v="4"/>
  </r>
  <r>
    <x v="108"/>
    <s v="cogs:product 1"/>
    <n v="5.99"/>
    <n v="43"/>
    <n v="257.57"/>
    <s v="cogs"/>
    <x v="1"/>
    <x v="0"/>
    <n v="4"/>
  </r>
  <r>
    <x v="108"/>
    <s v="cogs:product 2"/>
    <n v="16.989999999999998"/>
    <n v="4"/>
    <n v="67.959999999999994"/>
    <s v="cogs"/>
    <x v="2"/>
    <x v="0"/>
    <n v="4"/>
  </r>
  <r>
    <x v="108"/>
    <s v="cogs:product 3"/>
    <n v="8.49"/>
    <n v="16"/>
    <n v="135.84"/>
    <s v="cogs"/>
    <x v="3"/>
    <x v="0"/>
    <n v="4"/>
  </r>
  <r>
    <x v="108"/>
    <s v="marketing"/>
    <s v="NA"/>
    <s v="NA"/>
    <n v="100.02"/>
    <s v="marketing"/>
    <x v="0"/>
    <x v="0"/>
    <n v="4"/>
  </r>
  <r>
    <x v="108"/>
    <s v="net sales:product 1"/>
    <n v="9.99"/>
    <n v="43"/>
    <n v="429.57"/>
    <s v="net sales"/>
    <x v="1"/>
    <x v="0"/>
    <n v="4"/>
  </r>
  <r>
    <x v="108"/>
    <s v="net sales:product 2"/>
    <n v="24.99"/>
    <n v="4"/>
    <n v="99.96"/>
    <s v="net sales"/>
    <x v="2"/>
    <x v="0"/>
    <n v="4"/>
  </r>
  <r>
    <x v="108"/>
    <s v="net sales:product 3"/>
    <n v="12.49"/>
    <n v="16"/>
    <n v="199.84"/>
    <s v="net sales"/>
    <x v="3"/>
    <x v="0"/>
    <n v="4"/>
  </r>
  <r>
    <x v="109"/>
    <s v="cogs:product 1"/>
    <n v="5.99"/>
    <n v="83"/>
    <n v="497.17"/>
    <s v="cogs"/>
    <x v="1"/>
    <x v="0"/>
    <n v="4"/>
  </r>
  <r>
    <x v="109"/>
    <s v="cogs:product 2"/>
    <n v="16.989999999999998"/>
    <n v="2"/>
    <n v="33.979999999999997"/>
    <s v="cogs"/>
    <x v="2"/>
    <x v="0"/>
    <n v="4"/>
  </r>
  <r>
    <x v="109"/>
    <s v="cogs:product 3"/>
    <n v="8.49"/>
    <n v="165"/>
    <n v="1400.8500000000001"/>
    <s v="cogs"/>
    <x v="3"/>
    <x v="0"/>
    <n v="4"/>
  </r>
  <r>
    <x v="109"/>
    <s v="marketing"/>
    <s v="NA"/>
    <s v="NA"/>
    <n v="100.06"/>
    <s v="marketing"/>
    <x v="0"/>
    <x v="0"/>
    <n v="4"/>
  </r>
  <r>
    <x v="109"/>
    <s v="net sales:product 1"/>
    <n v="9.99"/>
    <n v="83"/>
    <n v="829.17000000000007"/>
    <s v="net sales"/>
    <x v="1"/>
    <x v="0"/>
    <n v="4"/>
  </r>
  <r>
    <x v="109"/>
    <s v="net sales:product 2"/>
    <n v="24.99"/>
    <n v="2"/>
    <n v="49.98"/>
    <s v="net sales"/>
    <x v="2"/>
    <x v="0"/>
    <n v="4"/>
  </r>
  <r>
    <x v="109"/>
    <s v="net sales:product 3"/>
    <n v="12.49"/>
    <n v="165"/>
    <n v="2060.85"/>
    <s v="net sales"/>
    <x v="3"/>
    <x v="0"/>
    <n v="4"/>
  </r>
  <r>
    <x v="110"/>
    <s v="cogs:product 1"/>
    <n v="5.99"/>
    <n v="33"/>
    <n v="197.67000000000002"/>
    <s v="cogs"/>
    <x v="1"/>
    <x v="0"/>
    <n v="4"/>
  </r>
  <r>
    <x v="110"/>
    <s v="cogs:product 2"/>
    <n v="16.989999999999998"/>
    <n v="3"/>
    <n v="50.97"/>
    <s v="cogs"/>
    <x v="2"/>
    <x v="0"/>
    <n v="4"/>
  </r>
  <r>
    <x v="110"/>
    <s v="cogs:product 3"/>
    <n v="8.49"/>
    <n v="133"/>
    <n v="1129.17"/>
    <s v="cogs"/>
    <x v="3"/>
    <x v="0"/>
    <n v="4"/>
  </r>
  <r>
    <x v="110"/>
    <s v="marketing"/>
    <s v="NA"/>
    <s v="NA"/>
    <n v="99.91"/>
    <s v="marketing"/>
    <x v="0"/>
    <x v="0"/>
    <n v="4"/>
  </r>
  <r>
    <x v="110"/>
    <s v="net sales:product 1"/>
    <n v="9.99"/>
    <n v="33"/>
    <n v="329.67"/>
    <s v="net sales"/>
    <x v="1"/>
    <x v="0"/>
    <n v="4"/>
  </r>
  <r>
    <x v="110"/>
    <s v="net sales:product 2"/>
    <n v="24.99"/>
    <n v="3"/>
    <n v="74.97"/>
    <s v="net sales"/>
    <x v="2"/>
    <x v="0"/>
    <n v="4"/>
  </r>
  <r>
    <x v="110"/>
    <s v="net sales:product 3"/>
    <n v="12.49"/>
    <n v="133"/>
    <n v="1661.17"/>
    <s v="net sales"/>
    <x v="3"/>
    <x v="0"/>
    <n v="4"/>
  </r>
  <r>
    <x v="111"/>
    <s v="cogs:product 1"/>
    <n v="5.99"/>
    <n v="37"/>
    <n v="221.63"/>
    <s v="cogs"/>
    <x v="1"/>
    <x v="0"/>
    <n v="4"/>
  </r>
  <r>
    <x v="111"/>
    <s v="cogs:product 2"/>
    <n v="16.989999999999998"/>
    <n v="2"/>
    <n v="33.979999999999997"/>
    <s v="cogs"/>
    <x v="2"/>
    <x v="0"/>
    <n v="4"/>
  </r>
  <r>
    <x v="111"/>
    <s v="cogs:product 3"/>
    <n v="8.49"/>
    <n v="89"/>
    <n v="755.61"/>
    <s v="cogs"/>
    <x v="3"/>
    <x v="0"/>
    <n v="4"/>
  </r>
  <r>
    <x v="111"/>
    <s v="marketing"/>
    <s v="NA"/>
    <s v="NA"/>
    <n v="100.05"/>
    <s v="marketing"/>
    <x v="0"/>
    <x v="0"/>
    <n v="4"/>
  </r>
  <r>
    <x v="111"/>
    <s v="net sales:product 1"/>
    <n v="9.99"/>
    <n v="37"/>
    <n v="369.63"/>
    <s v="net sales"/>
    <x v="1"/>
    <x v="0"/>
    <n v="4"/>
  </r>
  <r>
    <x v="111"/>
    <s v="net sales:product 2"/>
    <n v="24.99"/>
    <n v="2"/>
    <n v="49.98"/>
    <s v="net sales"/>
    <x v="2"/>
    <x v="0"/>
    <n v="4"/>
  </r>
  <r>
    <x v="111"/>
    <s v="net sales:product 3"/>
    <n v="12.49"/>
    <n v="89"/>
    <n v="1111.6100000000001"/>
    <s v="net sales"/>
    <x v="3"/>
    <x v="0"/>
    <n v="4"/>
  </r>
  <r>
    <x v="112"/>
    <s v="cogs:product 1"/>
    <n v="5.99"/>
    <n v="56"/>
    <n v="335.44"/>
    <s v="cogs"/>
    <x v="1"/>
    <x v="0"/>
    <n v="4"/>
  </r>
  <r>
    <x v="112"/>
    <s v="cogs:product 2"/>
    <n v="16.989999999999998"/>
    <n v="6"/>
    <n v="101.94"/>
    <s v="cogs"/>
    <x v="2"/>
    <x v="0"/>
    <n v="4"/>
  </r>
  <r>
    <x v="112"/>
    <s v="cogs:product 3"/>
    <n v="8.49"/>
    <n v="0"/>
    <n v="0"/>
    <s v="cogs"/>
    <x v="3"/>
    <x v="0"/>
    <n v="4"/>
  </r>
  <r>
    <x v="112"/>
    <s v="marketing"/>
    <s v="NA"/>
    <s v="NA"/>
    <n v="99.98"/>
    <s v="marketing"/>
    <x v="0"/>
    <x v="0"/>
    <n v="4"/>
  </r>
  <r>
    <x v="112"/>
    <s v="net sales:product 1"/>
    <n v="9.99"/>
    <n v="56"/>
    <n v="559.44000000000005"/>
    <s v="net sales"/>
    <x v="1"/>
    <x v="0"/>
    <n v="4"/>
  </r>
  <r>
    <x v="112"/>
    <s v="net sales:product 2"/>
    <n v="24.99"/>
    <n v="6"/>
    <n v="149.94"/>
    <s v="net sales"/>
    <x v="2"/>
    <x v="0"/>
    <n v="4"/>
  </r>
  <r>
    <x v="112"/>
    <s v="net sales:product 3"/>
    <n v="12.49"/>
    <n v="0"/>
    <n v="0"/>
    <s v="net sales"/>
    <x v="3"/>
    <x v="0"/>
    <n v="4"/>
  </r>
  <r>
    <x v="113"/>
    <s v="cogs:product 1"/>
    <n v="5.99"/>
    <n v="27"/>
    <n v="161.73000000000002"/>
    <s v="cogs"/>
    <x v="1"/>
    <x v="0"/>
    <n v="4"/>
  </r>
  <r>
    <x v="113"/>
    <s v="cogs:product 2"/>
    <n v="16.989999999999998"/>
    <n v="7"/>
    <n v="118.92999999999999"/>
    <s v="cogs"/>
    <x v="2"/>
    <x v="0"/>
    <n v="4"/>
  </r>
  <r>
    <x v="113"/>
    <s v="cogs:product 3"/>
    <n v="8.49"/>
    <n v="168"/>
    <n v="1426.32"/>
    <s v="cogs"/>
    <x v="3"/>
    <x v="0"/>
    <n v="4"/>
  </r>
  <r>
    <x v="113"/>
    <s v="marketing"/>
    <s v="NA"/>
    <s v="NA"/>
    <n v="99.92"/>
    <s v="marketing"/>
    <x v="0"/>
    <x v="0"/>
    <n v="4"/>
  </r>
  <r>
    <x v="113"/>
    <s v="net sales:product 1"/>
    <n v="9.99"/>
    <n v="27"/>
    <n v="269.73"/>
    <s v="net sales"/>
    <x v="1"/>
    <x v="0"/>
    <n v="4"/>
  </r>
  <r>
    <x v="113"/>
    <s v="net sales:product 2"/>
    <n v="24.99"/>
    <n v="7"/>
    <n v="174.92999999999998"/>
    <s v="net sales"/>
    <x v="2"/>
    <x v="0"/>
    <n v="4"/>
  </r>
  <r>
    <x v="113"/>
    <s v="net sales:product 3"/>
    <n v="12.49"/>
    <n v="168"/>
    <n v="2098.3200000000002"/>
    <s v="net sales"/>
    <x v="3"/>
    <x v="0"/>
    <n v="4"/>
  </r>
  <r>
    <x v="114"/>
    <s v="cogs:product 1"/>
    <n v="5.99"/>
    <n v="14"/>
    <n v="83.86"/>
    <s v="cogs"/>
    <x v="1"/>
    <x v="0"/>
    <n v="4"/>
  </r>
  <r>
    <x v="114"/>
    <s v="cogs:product 2"/>
    <n v="16.989999999999998"/>
    <n v="6"/>
    <n v="101.94"/>
    <s v="cogs"/>
    <x v="2"/>
    <x v="0"/>
    <n v="4"/>
  </r>
  <r>
    <x v="114"/>
    <s v="cogs:product 3"/>
    <n v="8.49"/>
    <n v="21"/>
    <n v="178.29"/>
    <s v="cogs"/>
    <x v="3"/>
    <x v="0"/>
    <n v="4"/>
  </r>
  <r>
    <x v="114"/>
    <s v="marketing"/>
    <s v="NA"/>
    <s v="NA"/>
    <n v="100.03"/>
    <s v="marketing"/>
    <x v="0"/>
    <x v="0"/>
    <n v="4"/>
  </r>
  <r>
    <x v="114"/>
    <s v="net sales:product 1"/>
    <n v="9.99"/>
    <n v="14"/>
    <n v="139.86000000000001"/>
    <s v="net sales"/>
    <x v="1"/>
    <x v="0"/>
    <n v="4"/>
  </r>
  <r>
    <x v="114"/>
    <s v="net sales:product 2"/>
    <n v="24.99"/>
    <n v="6"/>
    <n v="149.94"/>
    <s v="net sales"/>
    <x v="2"/>
    <x v="0"/>
    <n v="4"/>
  </r>
  <r>
    <x v="114"/>
    <s v="net sales:product 3"/>
    <n v="12.49"/>
    <n v="21"/>
    <n v="262.29000000000002"/>
    <s v="net sales"/>
    <x v="3"/>
    <x v="0"/>
    <n v="4"/>
  </r>
  <r>
    <x v="115"/>
    <s v="cogs:product 1"/>
    <n v="5.99"/>
    <n v="41"/>
    <n v="245.59"/>
    <s v="cogs"/>
    <x v="1"/>
    <x v="0"/>
    <n v="4"/>
  </r>
  <r>
    <x v="115"/>
    <s v="cogs:product 2"/>
    <n v="16.989999999999998"/>
    <n v="0"/>
    <n v="0"/>
    <s v="cogs"/>
    <x v="2"/>
    <x v="0"/>
    <n v="4"/>
  </r>
  <r>
    <x v="115"/>
    <s v="cogs:product 3"/>
    <n v="8.49"/>
    <n v="39"/>
    <n v="331.11"/>
    <s v="cogs"/>
    <x v="3"/>
    <x v="0"/>
    <n v="4"/>
  </r>
  <r>
    <x v="115"/>
    <s v="marketing"/>
    <s v="NA"/>
    <s v="NA"/>
    <n v="99.9"/>
    <s v="marketing"/>
    <x v="0"/>
    <x v="0"/>
    <n v="4"/>
  </r>
  <r>
    <x v="115"/>
    <s v="net sales:product 1"/>
    <n v="9.99"/>
    <n v="41"/>
    <n v="409.59000000000003"/>
    <s v="net sales"/>
    <x v="1"/>
    <x v="0"/>
    <n v="4"/>
  </r>
  <r>
    <x v="115"/>
    <s v="net sales:product 2"/>
    <n v="24.99"/>
    <n v="0"/>
    <n v="0"/>
    <s v="net sales"/>
    <x v="2"/>
    <x v="0"/>
    <n v="4"/>
  </r>
  <r>
    <x v="115"/>
    <s v="net sales:product 3"/>
    <n v="12.49"/>
    <n v="39"/>
    <n v="487.11"/>
    <s v="net sales"/>
    <x v="3"/>
    <x v="0"/>
    <n v="4"/>
  </r>
  <r>
    <x v="116"/>
    <s v="cogs:product 1"/>
    <n v="5.99"/>
    <n v="57"/>
    <n v="341.43"/>
    <s v="cogs"/>
    <x v="1"/>
    <x v="0"/>
    <n v="4"/>
  </r>
  <r>
    <x v="116"/>
    <s v="cogs:product 2"/>
    <n v="16.989999999999998"/>
    <n v="2"/>
    <n v="33.979999999999997"/>
    <s v="cogs"/>
    <x v="2"/>
    <x v="0"/>
    <n v="4"/>
  </r>
  <r>
    <x v="116"/>
    <s v="cogs:product 3"/>
    <n v="8.49"/>
    <n v="28"/>
    <n v="237.72"/>
    <s v="cogs"/>
    <x v="3"/>
    <x v="0"/>
    <n v="4"/>
  </r>
  <r>
    <x v="116"/>
    <s v="marketing"/>
    <s v="NA"/>
    <s v="NA"/>
    <n v="100.07000000000001"/>
    <s v="marketing"/>
    <x v="0"/>
    <x v="0"/>
    <n v="4"/>
  </r>
  <r>
    <x v="116"/>
    <s v="net sales:product 1"/>
    <n v="9.99"/>
    <n v="57"/>
    <n v="569.43000000000006"/>
    <s v="net sales"/>
    <x v="1"/>
    <x v="0"/>
    <n v="4"/>
  </r>
  <r>
    <x v="116"/>
    <s v="net sales:product 2"/>
    <n v="24.99"/>
    <n v="2"/>
    <n v="49.98"/>
    <s v="net sales"/>
    <x v="2"/>
    <x v="0"/>
    <n v="4"/>
  </r>
  <r>
    <x v="116"/>
    <s v="net sales:product 3"/>
    <n v="12.49"/>
    <n v="28"/>
    <n v="349.72"/>
    <s v="net sales"/>
    <x v="3"/>
    <x v="0"/>
    <n v="4"/>
  </r>
  <r>
    <x v="116"/>
    <s v="payroll"/>
    <s v="NA"/>
    <s v="NA"/>
    <n v="1200"/>
    <s v="payroll"/>
    <x v="0"/>
    <x v="0"/>
    <n v="4"/>
  </r>
  <r>
    <x v="117"/>
    <s v="cogs:product 1"/>
    <n v="5.99"/>
    <n v="92"/>
    <n v="551.08000000000004"/>
    <s v="cogs"/>
    <x v="1"/>
    <x v="0"/>
    <n v="4"/>
  </r>
  <r>
    <x v="117"/>
    <s v="cogs:product 2"/>
    <n v="16.989999999999998"/>
    <n v="4"/>
    <n v="67.959999999999994"/>
    <s v="cogs"/>
    <x v="2"/>
    <x v="0"/>
    <n v="4"/>
  </r>
  <r>
    <x v="117"/>
    <s v="cogs:product 3"/>
    <n v="8.49"/>
    <n v="134"/>
    <n v="1137.6600000000001"/>
    <s v="cogs"/>
    <x v="3"/>
    <x v="0"/>
    <n v="4"/>
  </r>
  <r>
    <x v="117"/>
    <s v="marketing"/>
    <s v="NA"/>
    <s v="NA"/>
    <n v="100"/>
    <s v="marketing"/>
    <x v="0"/>
    <x v="0"/>
    <n v="4"/>
  </r>
  <r>
    <x v="117"/>
    <s v="net sales:product 1"/>
    <n v="9.99"/>
    <n v="92"/>
    <n v="919.08"/>
    <s v="net sales"/>
    <x v="1"/>
    <x v="0"/>
    <n v="4"/>
  </r>
  <r>
    <x v="117"/>
    <s v="net sales:product 2"/>
    <n v="24.99"/>
    <n v="4"/>
    <n v="99.96"/>
    <s v="net sales"/>
    <x v="2"/>
    <x v="0"/>
    <n v="4"/>
  </r>
  <r>
    <x v="117"/>
    <s v="net sales:product 3"/>
    <n v="12.49"/>
    <n v="134"/>
    <n v="1673.66"/>
    <s v="net sales"/>
    <x v="3"/>
    <x v="0"/>
    <n v="4"/>
  </r>
  <r>
    <x v="118"/>
    <s v="cogs:product 1"/>
    <n v="5.99"/>
    <n v="82"/>
    <n v="491.18"/>
    <s v="cogs"/>
    <x v="1"/>
    <x v="0"/>
    <n v="4"/>
  </r>
  <r>
    <x v="118"/>
    <s v="cogs:product 2"/>
    <n v="16.989999999999998"/>
    <n v="6"/>
    <n v="101.94"/>
    <s v="cogs"/>
    <x v="2"/>
    <x v="0"/>
    <n v="4"/>
  </r>
  <r>
    <x v="118"/>
    <s v="cogs:product 3"/>
    <n v="8.49"/>
    <n v="181"/>
    <n v="1536.69"/>
    <s v="cogs"/>
    <x v="3"/>
    <x v="0"/>
    <n v="4"/>
  </r>
  <r>
    <x v="118"/>
    <s v="marketing"/>
    <s v="NA"/>
    <s v="NA"/>
    <n v="100.06"/>
    <s v="marketing"/>
    <x v="0"/>
    <x v="0"/>
    <n v="4"/>
  </r>
  <r>
    <x v="118"/>
    <s v="net sales:product 1"/>
    <n v="9.99"/>
    <n v="82"/>
    <n v="819.18000000000006"/>
    <s v="net sales"/>
    <x v="1"/>
    <x v="0"/>
    <n v="4"/>
  </r>
  <r>
    <x v="118"/>
    <s v="net sales:product 2"/>
    <n v="24.99"/>
    <n v="6"/>
    <n v="149.94"/>
    <s v="net sales"/>
    <x v="2"/>
    <x v="0"/>
    <n v="4"/>
  </r>
  <r>
    <x v="118"/>
    <s v="net sales:product 3"/>
    <n v="12.49"/>
    <n v="181"/>
    <n v="2260.69"/>
    <s v="net sales"/>
    <x v="3"/>
    <x v="0"/>
    <n v="4"/>
  </r>
  <r>
    <x v="119"/>
    <s v="cogs:product 1"/>
    <n v="5.99"/>
    <n v="62"/>
    <n v="371.38"/>
    <s v="cogs"/>
    <x v="1"/>
    <x v="0"/>
    <n v="4"/>
  </r>
  <r>
    <x v="119"/>
    <s v="cogs:product 2"/>
    <n v="16.989999999999998"/>
    <n v="8"/>
    <n v="135.91999999999999"/>
    <s v="cogs"/>
    <x v="2"/>
    <x v="0"/>
    <n v="4"/>
  </r>
  <r>
    <x v="119"/>
    <s v="cogs:product 3"/>
    <n v="8.49"/>
    <n v="158"/>
    <n v="1341.42"/>
    <s v="cogs"/>
    <x v="3"/>
    <x v="0"/>
    <n v="4"/>
  </r>
  <r>
    <x v="119"/>
    <s v="marketing"/>
    <s v="NA"/>
    <s v="NA"/>
    <n v="100"/>
    <s v="marketing"/>
    <x v="0"/>
    <x v="0"/>
    <n v="4"/>
  </r>
  <r>
    <x v="119"/>
    <s v="net sales:product 1"/>
    <n v="9.99"/>
    <n v="62"/>
    <n v="619.38"/>
    <s v="net sales"/>
    <x v="1"/>
    <x v="0"/>
    <n v="4"/>
  </r>
  <r>
    <x v="119"/>
    <s v="net sales:product 2"/>
    <n v="24.99"/>
    <n v="8"/>
    <n v="199.92"/>
    <s v="net sales"/>
    <x v="2"/>
    <x v="0"/>
    <n v="4"/>
  </r>
  <r>
    <x v="119"/>
    <s v="net sales:product 3"/>
    <n v="12.49"/>
    <n v="158"/>
    <n v="1973.42"/>
    <s v="net sales"/>
    <x v="3"/>
    <x v="0"/>
    <n v="4"/>
  </r>
  <r>
    <x v="120"/>
    <s v="cogs:product 1"/>
    <n v="5.99"/>
    <n v="22"/>
    <n v="131.78"/>
    <s v="cogs"/>
    <x v="1"/>
    <x v="0"/>
    <n v="4"/>
  </r>
  <r>
    <x v="120"/>
    <s v="cogs:product 2"/>
    <n v="16.989999999999998"/>
    <n v="8"/>
    <n v="135.91999999999999"/>
    <s v="cogs"/>
    <x v="2"/>
    <x v="0"/>
    <n v="4"/>
  </r>
  <r>
    <x v="120"/>
    <s v="cogs:product 3"/>
    <n v="8.49"/>
    <n v="43"/>
    <n v="365.07"/>
    <s v="cogs"/>
    <x v="3"/>
    <x v="0"/>
    <n v="4"/>
  </r>
  <r>
    <x v="120"/>
    <s v="marketing"/>
    <s v="NA"/>
    <s v="NA"/>
    <n v="100.02"/>
    <s v="marketing"/>
    <x v="0"/>
    <x v="0"/>
    <n v="4"/>
  </r>
  <r>
    <x v="120"/>
    <s v="net sales:product 1"/>
    <n v="9.99"/>
    <n v="22"/>
    <n v="219.78"/>
    <s v="net sales"/>
    <x v="1"/>
    <x v="0"/>
    <n v="4"/>
  </r>
  <r>
    <x v="120"/>
    <s v="net sales:product 2"/>
    <n v="24.99"/>
    <n v="8"/>
    <n v="199.92"/>
    <s v="net sales"/>
    <x v="2"/>
    <x v="0"/>
    <n v="4"/>
  </r>
  <r>
    <x v="120"/>
    <s v="net sales:product 3"/>
    <n v="12.49"/>
    <n v="43"/>
    <n v="537.07000000000005"/>
    <s v="net sales"/>
    <x v="3"/>
    <x v="0"/>
    <n v="4"/>
  </r>
  <r>
    <x v="121"/>
    <s v="amortization"/>
    <s v="NA"/>
    <s v="NA"/>
    <n v="50"/>
    <s v="amortization"/>
    <x v="0"/>
    <x v="0"/>
    <n v="5"/>
  </r>
  <r>
    <x v="121"/>
    <s v="cogs:product 1"/>
    <n v="5.99"/>
    <n v="51"/>
    <n v="305.49"/>
    <s v="cogs"/>
    <x v="1"/>
    <x v="0"/>
    <n v="5"/>
  </r>
  <r>
    <x v="121"/>
    <s v="cogs:product 2"/>
    <n v="16.989999999999998"/>
    <n v="0"/>
    <n v="0"/>
    <s v="cogs"/>
    <x v="2"/>
    <x v="0"/>
    <n v="5"/>
  </r>
  <r>
    <x v="121"/>
    <s v="cogs:product 3"/>
    <n v="8.49"/>
    <n v="40"/>
    <n v="339.6"/>
    <s v="cogs"/>
    <x v="3"/>
    <x v="0"/>
    <n v="5"/>
  </r>
  <r>
    <x v="121"/>
    <s v="marketing"/>
    <s v="NA"/>
    <s v="NA"/>
    <n v="99.960000000000008"/>
    <s v="marketing"/>
    <x v="0"/>
    <x v="0"/>
    <n v="5"/>
  </r>
  <r>
    <x v="121"/>
    <s v="net sales:product 1"/>
    <n v="9.99"/>
    <n v="51"/>
    <n v="509.49"/>
    <s v="net sales"/>
    <x v="1"/>
    <x v="0"/>
    <n v="5"/>
  </r>
  <r>
    <x v="121"/>
    <s v="net sales:product 2"/>
    <n v="24.99"/>
    <n v="0"/>
    <n v="0"/>
    <s v="net sales"/>
    <x v="2"/>
    <x v="0"/>
    <n v="5"/>
  </r>
  <r>
    <x v="121"/>
    <s v="net sales:product 3"/>
    <n v="12.49"/>
    <n v="40"/>
    <n v="499.6"/>
    <s v="net sales"/>
    <x v="3"/>
    <x v="0"/>
    <n v="5"/>
  </r>
  <r>
    <x v="121"/>
    <s v="overhead"/>
    <s v="NA"/>
    <s v="NA"/>
    <n v="2000"/>
    <s v="overhead"/>
    <x v="0"/>
    <x v="0"/>
    <n v="5"/>
  </r>
  <r>
    <x v="122"/>
    <s v="cogs:product 1"/>
    <n v="5.99"/>
    <n v="22"/>
    <n v="131.78"/>
    <s v="cogs"/>
    <x v="1"/>
    <x v="0"/>
    <n v="5"/>
  </r>
  <r>
    <x v="122"/>
    <s v="cogs:product 2"/>
    <n v="16.989999999999998"/>
    <n v="3"/>
    <n v="50.97"/>
    <s v="cogs"/>
    <x v="2"/>
    <x v="0"/>
    <n v="5"/>
  </r>
  <r>
    <x v="122"/>
    <s v="cogs:product 3"/>
    <n v="8.49"/>
    <n v="165"/>
    <n v="1400.8500000000001"/>
    <s v="cogs"/>
    <x v="3"/>
    <x v="0"/>
    <n v="5"/>
  </r>
  <r>
    <x v="122"/>
    <s v="marketing"/>
    <s v="NA"/>
    <s v="NA"/>
    <n v="100.06"/>
    <s v="marketing"/>
    <x v="0"/>
    <x v="0"/>
    <n v="5"/>
  </r>
  <r>
    <x v="122"/>
    <s v="net sales:product 1"/>
    <n v="9.99"/>
    <n v="22"/>
    <n v="219.78"/>
    <s v="net sales"/>
    <x v="1"/>
    <x v="0"/>
    <n v="5"/>
  </r>
  <r>
    <x v="122"/>
    <s v="net sales:product 2"/>
    <n v="24.99"/>
    <n v="3"/>
    <n v="74.97"/>
    <s v="net sales"/>
    <x v="2"/>
    <x v="0"/>
    <n v="5"/>
  </r>
  <r>
    <x v="122"/>
    <s v="net sales:product 3"/>
    <n v="12.49"/>
    <n v="165"/>
    <n v="2060.85"/>
    <s v="net sales"/>
    <x v="3"/>
    <x v="0"/>
    <n v="5"/>
  </r>
  <r>
    <x v="123"/>
    <s v="cogs:product 1"/>
    <n v="5.99"/>
    <n v="59"/>
    <n v="353.41"/>
    <s v="cogs"/>
    <x v="1"/>
    <x v="0"/>
    <n v="5"/>
  </r>
  <r>
    <x v="123"/>
    <s v="cogs:product 2"/>
    <n v="16.989999999999998"/>
    <n v="3"/>
    <n v="50.97"/>
    <s v="cogs"/>
    <x v="2"/>
    <x v="0"/>
    <n v="5"/>
  </r>
  <r>
    <x v="123"/>
    <s v="cogs:product 3"/>
    <n v="8.49"/>
    <n v="94"/>
    <n v="798.06000000000006"/>
    <s v="cogs"/>
    <x v="3"/>
    <x v="0"/>
    <n v="5"/>
  </r>
  <r>
    <x v="123"/>
    <s v="marketing"/>
    <s v="NA"/>
    <s v="NA"/>
    <n v="99.92"/>
    <s v="marketing"/>
    <x v="0"/>
    <x v="0"/>
    <n v="5"/>
  </r>
  <r>
    <x v="123"/>
    <s v="net sales:product 1"/>
    <n v="9.99"/>
    <n v="59"/>
    <n v="589.41"/>
    <s v="net sales"/>
    <x v="1"/>
    <x v="0"/>
    <n v="5"/>
  </r>
  <r>
    <x v="123"/>
    <s v="net sales:product 2"/>
    <n v="24.99"/>
    <n v="3"/>
    <n v="74.97"/>
    <s v="net sales"/>
    <x v="2"/>
    <x v="0"/>
    <n v="5"/>
  </r>
  <r>
    <x v="123"/>
    <s v="net sales:product 3"/>
    <n v="12.49"/>
    <n v="94"/>
    <n v="1174.06"/>
    <s v="net sales"/>
    <x v="3"/>
    <x v="0"/>
    <n v="5"/>
  </r>
  <r>
    <x v="124"/>
    <s v="cogs:product 1"/>
    <n v="5.99"/>
    <n v="28"/>
    <n v="167.72"/>
    <s v="cogs"/>
    <x v="1"/>
    <x v="0"/>
    <n v="5"/>
  </r>
  <r>
    <x v="124"/>
    <s v="cogs:product 2"/>
    <n v="16.989999999999998"/>
    <n v="3"/>
    <n v="50.97"/>
    <s v="cogs"/>
    <x v="2"/>
    <x v="0"/>
    <n v="5"/>
  </r>
  <r>
    <x v="124"/>
    <s v="cogs:product 3"/>
    <n v="8.49"/>
    <n v="232"/>
    <n v="1969.68"/>
    <s v="cogs"/>
    <x v="3"/>
    <x v="0"/>
    <n v="5"/>
  </r>
  <r>
    <x v="124"/>
    <s v="marketing"/>
    <s v="NA"/>
    <s v="NA"/>
    <n v="99.98"/>
    <s v="marketing"/>
    <x v="0"/>
    <x v="0"/>
    <n v="5"/>
  </r>
  <r>
    <x v="124"/>
    <s v="net sales:product 1"/>
    <n v="9.99"/>
    <n v="28"/>
    <n v="279.72000000000003"/>
    <s v="net sales"/>
    <x v="1"/>
    <x v="0"/>
    <n v="5"/>
  </r>
  <r>
    <x v="124"/>
    <s v="net sales:product 2"/>
    <n v="24.99"/>
    <n v="3"/>
    <n v="74.97"/>
    <s v="net sales"/>
    <x v="2"/>
    <x v="0"/>
    <n v="5"/>
  </r>
  <r>
    <x v="124"/>
    <s v="net sales:product 3"/>
    <n v="12.49"/>
    <n v="232"/>
    <n v="2897.68"/>
    <s v="net sales"/>
    <x v="3"/>
    <x v="0"/>
    <n v="5"/>
  </r>
  <r>
    <x v="125"/>
    <s v="cogs:product 1"/>
    <n v="5.99"/>
    <n v="88"/>
    <n v="527.12"/>
    <s v="cogs"/>
    <x v="1"/>
    <x v="0"/>
    <n v="5"/>
  </r>
  <r>
    <x v="125"/>
    <s v="cogs:product 2"/>
    <n v="16.989999999999998"/>
    <n v="5"/>
    <n v="84.949999999999989"/>
    <s v="cogs"/>
    <x v="2"/>
    <x v="0"/>
    <n v="5"/>
  </r>
  <r>
    <x v="125"/>
    <s v="cogs:product 3"/>
    <n v="8.49"/>
    <n v="97"/>
    <n v="823.53"/>
    <s v="cogs"/>
    <x v="3"/>
    <x v="0"/>
    <n v="5"/>
  </r>
  <r>
    <x v="125"/>
    <s v="marketing"/>
    <s v="NA"/>
    <s v="NA"/>
    <n v="100.09"/>
    <s v="marketing"/>
    <x v="0"/>
    <x v="0"/>
    <n v="5"/>
  </r>
  <r>
    <x v="125"/>
    <s v="net sales:product 1"/>
    <n v="9.99"/>
    <n v="88"/>
    <n v="879.12"/>
    <s v="net sales"/>
    <x v="1"/>
    <x v="0"/>
    <n v="5"/>
  </r>
  <r>
    <x v="125"/>
    <s v="net sales:product 2"/>
    <n v="24.99"/>
    <n v="5"/>
    <n v="124.94999999999999"/>
    <s v="net sales"/>
    <x v="2"/>
    <x v="0"/>
    <n v="5"/>
  </r>
  <r>
    <x v="125"/>
    <s v="net sales:product 3"/>
    <n v="12.49"/>
    <n v="97"/>
    <n v="1211.53"/>
    <s v="net sales"/>
    <x v="3"/>
    <x v="0"/>
    <n v="5"/>
  </r>
  <r>
    <x v="126"/>
    <s v="cogs:product 1"/>
    <n v="5.99"/>
    <n v="63"/>
    <n v="377.37"/>
    <s v="cogs"/>
    <x v="1"/>
    <x v="0"/>
    <n v="5"/>
  </r>
  <r>
    <x v="126"/>
    <s v="cogs:product 2"/>
    <n v="16.989999999999998"/>
    <n v="2"/>
    <n v="33.979999999999997"/>
    <s v="cogs"/>
    <x v="2"/>
    <x v="0"/>
    <n v="5"/>
  </r>
  <r>
    <x v="126"/>
    <s v="cogs:product 3"/>
    <n v="8.49"/>
    <n v="85"/>
    <n v="721.65"/>
    <s v="cogs"/>
    <x v="3"/>
    <x v="0"/>
    <n v="5"/>
  </r>
  <r>
    <x v="126"/>
    <s v="marketing"/>
    <s v="NA"/>
    <s v="NA"/>
    <n v="99.960000000000008"/>
    <s v="marketing"/>
    <x v="0"/>
    <x v="0"/>
    <n v="5"/>
  </r>
  <r>
    <x v="126"/>
    <s v="net sales:product 1"/>
    <n v="9.99"/>
    <n v="63"/>
    <n v="629.37"/>
    <s v="net sales"/>
    <x v="1"/>
    <x v="0"/>
    <n v="5"/>
  </r>
  <r>
    <x v="126"/>
    <s v="net sales:product 2"/>
    <n v="24.99"/>
    <n v="2"/>
    <n v="49.98"/>
    <s v="net sales"/>
    <x v="2"/>
    <x v="0"/>
    <n v="5"/>
  </r>
  <r>
    <x v="126"/>
    <s v="net sales:product 3"/>
    <n v="12.49"/>
    <n v="85"/>
    <n v="1061.6500000000001"/>
    <s v="net sales"/>
    <x v="3"/>
    <x v="0"/>
    <n v="5"/>
  </r>
  <r>
    <x v="127"/>
    <s v="cogs:product 1"/>
    <n v="5.99"/>
    <n v="5"/>
    <n v="29.950000000000003"/>
    <s v="cogs"/>
    <x v="1"/>
    <x v="0"/>
    <n v="5"/>
  </r>
  <r>
    <x v="127"/>
    <s v="cogs:product 2"/>
    <n v="16.989999999999998"/>
    <n v="6"/>
    <n v="101.94"/>
    <s v="cogs"/>
    <x v="2"/>
    <x v="0"/>
    <n v="5"/>
  </r>
  <r>
    <x v="127"/>
    <s v="cogs:product 3"/>
    <n v="8.49"/>
    <n v="82"/>
    <n v="696.18000000000006"/>
    <s v="cogs"/>
    <x v="3"/>
    <x v="0"/>
    <n v="5"/>
  </r>
  <r>
    <x v="127"/>
    <s v="marketing"/>
    <s v="NA"/>
    <s v="NA"/>
    <n v="100.07000000000001"/>
    <s v="marketing"/>
    <x v="0"/>
    <x v="0"/>
    <n v="5"/>
  </r>
  <r>
    <x v="127"/>
    <s v="net sales:product 1"/>
    <n v="9.99"/>
    <n v="5"/>
    <n v="49.95"/>
    <s v="net sales"/>
    <x v="1"/>
    <x v="0"/>
    <n v="5"/>
  </r>
  <r>
    <x v="127"/>
    <s v="net sales:product 2"/>
    <n v="24.99"/>
    <n v="6"/>
    <n v="149.94"/>
    <s v="net sales"/>
    <x v="2"/>
    <x v="0"/>
    <n v="5"/>
  </r>
  <r>
    <x v="127"/>
    <s v="net sales:product 3"/>
    <n v="12.49"/>
    <n v="82"/>
    <n v="1024.18"/>
    <s v="net sales"/>
    <x v="3"/>
    <x v="0"/>
    <n v="5"/>
  </r>
  <r>
    <x v="128"/>
    <s v="cogs:product 1"/>
    <n v="5.99"/>
    <n v="39"/>
    <n v="233.61"/>
    <s v="cogs"/>
    <x v="1"/>
    <x v="0"/>
    <n v="5"/>
  </r>
  <r>
    <x v="128"/>
    <s v="cogs:product 2"/>
    <n v="16.989999999999998"/>
    <n v="6"/>
    <n v="101.94"/>
    <s v="cogs"/>
    <x v="2"/>
    <x v="0"/>
    <n v="5"/>
  </r>
  <r>
    <x v="128"/>
    <s v="cogs:product 3"/>
    <n v="8.49"/>
    <n v="14"/>
    <n v="118.86"/>
    <s v="cogs"/>
    <x v="3"/>
    <x v="0"/>
    <n v="5"/>
  </r>
  <r>
    <x v="128"/>
    <s v="marketing"/>
    <s v="NA"/>
    <s v="NA"/>
    <n v="99.93"/>
    <s v="marketing"/>
    <x v="0"/>
    <x v="0"/>
    <n v="5"/>
  </r>
  <r>
    <x v="128"/>
    <s v="net sales:product 1"/>
    <n v="9.99"/>
    <n v="39"/>
    <n v="389.61"/>
    <s v="net sales"/>
    <x v="1"/>
    <x v="0"/>
    <n v="5"/>
  </r>
  <r>
    <x v="128"/>
    <s v="net sales:product 2"/>
    <n v="24.99"/>
    <n v="6"/>
    <n v="149.94"/>
    <s v="net sales"/>
    <x v="2"/>
    <x v="0"/>
    <n v="5"/>
  </r>
  <r>
    <x v="128"/>
    <s v="net sales:product 3"/>
    <n v="12.49"/>
    <n v="14"/>
    <n v="174.86"/>
    <s v="net sales"/>
    <x v="3"/>
    <x v="0"/>
    <n v="5"/>
  </r>
  <r>
    <x v="129"/>
    <s v="cogs:product 1"/>
    <n v="5.99"/>
    <n v="90"/>
    <n v="539.1"/>
    <s v="cogs"/>
    <x v="1"/>
    <x v="0"/>
    <n v="5"/>
  </r>
  <r>
    <x v="129"/>
    <s v="cogs:product 2"/>
    <n v="16.989999999999998"/>
    <n v="4"/>
    <n v="67.959999999999994"/>
    <s v="cogs"/>
    <x v="2"/>
    <x v="0"/>
    <n v="5"/>
  </r>
  <r>
    <x v="129"/>
    <s v="cogs:product 3"/>
    <n v="8.49"/>
    <n v="138"/>
    <n v="1171.6200000000001"/>
    <s v="cogs"/>
    <x v="3"/>
    <x v="0"/>
    <n v="5"/>
  </r>
  <r>
    <x v="129"/>
    <s v="marketing"/>
    <s v="NA"/>
    <s v="NA"/>
    <n v="99.95"/>
    <s v="marketing"/>
    <x v="0"/>
    <x v="0"/>
    <n v="5"/>
  </r>
  <r>
    <x v="129"/>
    <s v="net sales:product 1"/>
    <n v="9.99"/>
    <n v="90"/>
    <n v="899.1"/>
    <s v="net sales"/>
    <x v="1"/>
    <x v="0"/>
    <n v="5"/>
  </r>
  <r>
    <x v="129"/>
    <s v="net sales:product 2"/>
    <n v="24.99"/>
    <n v="4"/>
    <n v="99.96"/>
    <s v="net sales"/>
    <x v="2"/>
    <x v="0"/>
    <n v="5"/>
  </r>
  <r>
    <x v="129"/>
    <s v="net sales:product 3"/>
    <n v="12.49"/>
    <n v="138"/>
    <n v="1723.6200000000001"/>
    <s v="net sales"/>
    <x v="3"/>
    <x v="0"/>
    <n v="5"/>
  </r>
  <r>
    <x v="130"/>
    <s v="cogs:product 1"/>
    <n v="5.99"/>
    <n v="64"/>
    <n v="383.36"/>
    <s v="cogs"/>
    <x v="1"/>
    <x v="0"/>
    <n v="5"/>
  </r>
  <r>
    <x v="130"/>
    <s v="cogs:product 2"/>
    <n v="16.989999999999998"/>
    <n v="10"/>
    <n v="169.89999999999998"/>
    <s v="cogs"/>
    <x v="2"/>
    <x v="0"/>
    <n v="5"/>
  </r>
  <r>
    <x v="130"/>
    <s v="cogs:product 3"/>
    <n v="8.49"/>
    <n v="33"/>
    <n v="280.17"/>
    <s v="cogs"/>
    <x v="3"/>
    <x v="0"/>
    <n v="5"/>
  </r>
  <r>
    <x v="130"/>
    <s v="marketing"/>
    <s v="NA"/>
    <s v="NA"/>
    <n v="99.93"/>
    <s v="marketing"/>
    <x v="0"/>
    <x v="0"/>
    <n v="5"/>
  </r>
  <r>
    <x v="130"/>
    <s v="net sales:product 1"/>
    <n v="9.99"/>
    <n v="64"/>
    <n v="639.36"/>
    <s v="net sales"/>
    <x v="1"/>
    <x v="0"/>
    <n v="5"/>
  </r>
  <r>
    <x v="130"/>
    <s v="net sales:product 2"/>
    <n v="24.99"/>
    <n v="10"/>
    <n v="249.89999999999998"/>
    <s v="net sales"/>
    <x v="2"/>
    <x v="0"/>
    <n v="5"/>
  </r>
  <r>
    <x v="130"/>
    <s v="net sales:product 3"/>
    <n v="12.49"/>
    <n v="33"/>
    <n v="412.17"/>
    <s v="net sales"/>
    <x v="3"/>
    <x v="0"/>
    <n v="5"/>
  </r>
  <r>
    <x v="130"/>
    <s v="payroll"/>
    <s v="NA"/>
    <s v="NA"/>
    <n v="1200"/>
    <s v="payroll"/>
    <x v="0"/>
    <x v="0"/>
    <n v="5"/>
  </r>
  <r>
    <x v="131"/>
    <s v="cogs:product 1"/>
    <n v="5.99"/>
    <n v="30"/>
    <n v="179.70000000000002"/>
    <s v="cogs"/>
    <x v="1"/>
    <x v="0"/>
    <n v="5"/>
  </r>
  <r>
    <x v="131"/>
    <s v="cogs:product 2"/>
    <n v="16.989999999999998"/>
    <n v="5"/>
    <n v="84.949999999999989"/>
    <s v="cogs"/>
    <x v="2"/>
    <x v="0"/>
    <n v="5"/>
  </r>
  <r>
    <x v="131"/>
    <s v="cogs:product 3"/>
    <n v="8.49"/>
    <n v="51"/>
    <n v="432.99"/>
    <s v="cogs"/>
    <x v="3"/>
    <x v="0"/>
    <n v="5"/>
  </r>
  <r>
    <x v="131"/>
    <s v="marketing"/>
    <s v="NA"/>
    <s v="NA"/>
    <n v="100.05"/>
    <s v="marketing"/>
    <x v="0"/>
    <x v="0"/>
    <n v="5"/>
  </r>
  <r>
    <x v="131"/>
    <s v="net sales:product 1"/>
    <n v="9.99"/>
    <n v="30"/>
    <n v="299.7"/>
    <s v="net sales"/>
    <x v="1"/>
    <x v="0"/>
    <n v="5"/>
  </r>
  <r>
    <x v="131"/>
    <s v="net sales:product 2"/>
    <n v="24.99"/>
    <n v="5"/>
    <n v="124.94999999999999"/>
    <s v="net sales"/>
    <x v="2"/>
    <x v="0"/>
    <n v="5"/>
  </r>
  <r>
    <x v="131"/>
    <s v="net sales:product 3"/>
    <n v="12.49"/>
    <n v="51"/>
    <n v="636.99"/>
    <s v="net sales"/>
    <x v="3"/>
    <x v="0"/>
    <n v="5"/>
  </r>
  <r>
    <x v="132"/>
    <s v="cogs:product 1"/>
    <n v="5.99"/>
    <n v="17"/>
    <n v="101.83"/>
    <s v="cogs"/>
    <x v="1"/>
    <x v="0"/>
    <n v="5"/>
  </r>
  <r>
    <x v="132"/>
    <s v="cogs:product 2"/>
    <n v="16.989999999999998"/>
    <n v="4"/>
    <n v="67.959999999999994"/>
    <s v="cogs"/>
    <x v="2"/>
    <x v="0"/>
    <n v="5"/>
  </r>
  <r>
    <x v="132"/>
    <s v="cogs:product 3"/>
    <n v="8.49"/>
    <n v="143"/>
    <n v="1214.07"/>
    <s v="cogs"/>
    <x v="3"/>
    <x v="0"/>
    <n v="5"/>
  </r>
  <r>
    <x v="132"/>
    <s v="marketing"/>
    <s v="NA"/>
    <s v="NA"/>
    <n v="100.08"/>
    <s v="marketing"/>
    <x v="0"/>
    <x v="0"/>
    <n v="5"/>
  </r>
  <r>
    <x v="132"/>
    <s v="net sales:product 1"/>
    <n v="9.99"/>
    <n v="17"/>
    <n v="169.83"/>
    <s v="net sales"/>
    <x v="1"/>
    <x v="0"/>
    <n v="5"/>
  </r>
  <r>
    <x v="132"/>
    <s v="net sales:product 2"/>
    <n v="24.99"/>
    <n v="4"/>
    <n v="99.96"/>
    <s v="net sales"/>
    <x v="2"/>
    <x v="0"/>
    <n v="5"/>
  </r>
  <r>
    <x v="132"/>
    <s v="net sales:product 3"/>
    <n v="12.49"/>
    <n v="143"/>
    <n v="1786.07"/>
    <s v="net sales"/>
    <x v="3"/>
    <x v="0"/>
    <n v="5"/>
  </r>
  <r>
    <x v="133"/>
    <s v="cogs:product 1"/>
    <n v="5.99"/>
    <n v="50"/>
    <n v="299.5"/>
    <s v="cogs"/>
    <x v="1"/>
    <x v="0"/>
    <n v="5"/>
  </r>
  <r>
    <x v="133"/>
    <s v="cogs:product 2"/>
    <n v="16.989999999999998"/>
    <n v="10"/>
    <n v="169.89999999999998"/>
    <s v="cogs"/>
    <x v="2"/>
    <x v="0"/>
    <n v="5"/>
  </r>
  <r>
    <x v="133"/>
    <s v="cogs:product 3"/>
    <n v="8.49"/>
    <n v="237"/>
    <n v="2012.13"/>
    <s v="cogs"/>
    <x v="3"/>
    <x v="0"/>
    <n v="5"/>
  </r>
  <r>
    <x v="133"/>
    <s v="marketing"/>
    <s v="NA"/>
    <s v="NA"/>
    <n v="99.97"/>
    <s v="marketing"/>
    <x v="0"/>
    <x v="0"/>
    <n v="5"/>
  </r>
  <r>
    <x v="133"/>
    <s v="net sales:product 1"/>
    <n v="9.99"/>
    <n v="50"/>
    <n v="499.5"/>
    <s v="net sales"/>
    <x v="1"/>
    <x v="0"/>
    <n v="5"/>
  </r>
  <r>
    <x v="133"/>
    <s v="net sales:product 2"/>
    <n v="24.99"/>
    <n v="10"/>
    <n v="249.89999999999998"/>
    <s v="net sales"/>
    <x v="2"/>
    <x v="0"/>
    <n v="5"/>
  </r>
  <r>
    <x v="133"/>
    <s v="net sales:product 3"/>
    <n v="12.49"/>
    <n v="237"/>
    <n v="2960.13"/>
    <s v="net sales"/>
    <x v="3"/>
    <x v="0"/>
    <n v="5"/>
  </r>
  <r>
    <x v="134"/>
    <s v="cogs:product 1"/>
    <n v="5.99"/>
    <n v="63"/>
    <n v="377.37"/>
    <s v="cogs"/>
    <x v="1"/>
    <x v="0"/>
    <n v="5"/>
  </r>
  <r>
    <x v="134"/>
    <s v="cogs:product 2"/>
    <n v="16.989999999999998"/>
    <n v="3"/>
    <n v="50.97"/>
    <s v="cogs"/>
    <x v="2"/>
    <x v="0"/>
    <n v="5"/>
  </r>
  <r>
    <x v="134"/>
    <s v="cogs:product 3"/>
    <n v="8.49"/>
    <n v="37"/>
    <n v="314.13"/>
    <s v="cogs"/>
    <x v="3"/>
    <x v="0"/>
    <n v="5"/>
  </r>
  <r>
    <x v="134"/>
    <s v="marketing"/>
    <s v="NA"/>
    <s v="NA"/>
    <n v="100.09"/>
    <s v="marketing"/>
    <x v="0"/>
    <x v="0"/>
    <n v="5"/>
  </r>
  <r>
    <x v="134"/>
    <s v="net sales:product 1"/>
    <n v="9.99"/>
    <n v="63"/>
    <n v="629.37"/>
    <s v="net sales"/>
    <x v="1"/>
    <x v="0"/>
    <n v="5"/>
  </r>
  <r>
    <x v="134"/>
    <s v="net sales:product 2"/>
    <n v="24.99"/>
    <n v="3"/>
    <n v="74.97"/>
    <s v="net sales"/>
    <x v="2"/>
    <x v="0"/>
    <n v="5"/>
  </r>
  <r>
    <x v="134"/>
    <s v="net sales:product 3"/>
    <n v="12.49"/>
    <n v="37"/>
    <n v="462.13"/>
    <s v="net sales"/>
    <x v="3"/>
    <x v="0"/>
    <n v="5"/>
  </r>
  <r>
    <x v="135"/>
    <s v="cogs:product 1"/>
    <n v="5.99"/>
    <n v="47"/>
    <n v="281.53000000000003"/>
    <s v="cogs"/>
    <x v="1"/>
    <x v="0"/>
    <n v="5"/>
  </r>
  <r>
    <x v="135"/>
    <s v="cogs:product 2"/>
    <n v="16.989999999999998"/>
    <n v="7"/>
    <n v="118.92999999999999"/>
    <s v="cogs"/>
    <x v="2"/>
    <x v="0"/>
    <n v="5"/>
  </r>
  <r>
    <x v="135"/>
    <s v="cogs:product 3"/>
    <n v="8.49"/>
    <n v="52"/>
    <n v="441.48"/>
    <s v="cogs"/>
    <x v="3"/>
    <x v="0"/>
    <n v="5"/>
  </r>
  <r>
    <x v="135"/>
    <s v="interest"/>
    <s v="NA"/>
    <s v="NA"/>
    <n v="1262.4000000000001"/>
    <s v="interest"/>
    <x v="0"/>
    <x v="0"/>
    <n v="5"/>
  </r>
  <r>
    <x v="135"/>
    <s v="marketing"/>
    <s v="NA"/>
    <s v="NA"/>
    <n v="99.95"/>
    <s v="marketing"/>
    <x v="0"/>
    <x v="0"/>
    <n v="5"/>
  </r>
  <r>
    <x v="135"/>
    <s v="net sales:product 1"/>
    <n v="9.99"/>
    <n v="47"/>
    <n v="469.53000000000003"/>
    <s v="net sales"/>
    <x v="1"/>
    <x v="0"/>
    <n v="5"/>
  </r>
  <r>
    <x v="135"/>
    <s v="net sales:product 2"/>
    <n v="24.99"/>
    <n v="7"/>
    <n v="174.92999999999998"/>
    <s v="net sales"/>
    <x v="2"/>
    <x v="0"/>
    <n v="5"/>
  </r>
  <r>
    <x v="135"/>
    <s v="net sales:product 3"/>
    <n v="12.49"/>
    <n v="52"/>
    <n v="649.48"/>
    <s v="net sales"/>
    <x v="3"/>
    <x v="0"/>
    <n v="5"/>
  </r>
  <r>
    <x v="135"/>
    <s v="overhead"/>
    <s v="NA"/>
    <s v="NA"/>
    <n v="315.60000000000002"/>
    <s v="overhead"/>
    <x v="0"/>
    <x v="0"/>
    <n v="5"/>
  </r>
  <r>
    <x v="136"/>
    <s v="cogs:product 1"/>
    <n v="5.99"/>
    <n v="31"/>
    <n v="185.69"/>
    <s v="cogs"/>
    <x v="1"/>
    <x v="0"/>
    <n v="5"/>
  </r>
  <r>
    <x v="136"/>
    <s v="cogs:product 2"/>
    <n v="16.989999999999998"/>
    <n v="1"/>
    <n v="16.989999999999998"/>
    <s v="cogs"/>
    <x v="2"/>
    <x v="0"/>
    <n v="5"/>
  </r>
  <r>
    <x v="136"/>
    <s v="cogs:product 3"/>
    <n v="8.49"/>
    <n v="57"/>
    <n v="483.93"/>
    <s v="cogs"/>
    <x v="3"/>
    <x v="0"/>
    <n v="5"/>
  </r>
  <r>
    <x v="136"/>
    <s v="marketing"/>
    <s v="NA"/>
    <s v="NA"/>
    <n v="100.01"/>
    <s v="marketing"/>
    <x v="0"/>
    <x v="0"/>
    <n v="5"/>
  </r>
  <r>
    <x v="136"/>
    <s v="net sales:product 1"/>
    <n v="9.99"/>
    <n v="31"/>
    <n v="309.69"/>
    <s v="net sales"/>
    <x v="1"/>
    <x v="0"/>
    <n v="5"/>
  </r>
  <r>
    <x v="136"/>
    <s v="net sales:product 2"/>
    <n v="24.99"/>
    <n v="1"/>
    <n v="24.99"/>
    <s v="net sales"/>
    <x v="2"/>
    <x v="0"/>
    <n v="5"/>
  </r>
  <r>
    <x v="136"/>
    <s v="net sales:product 3"/>
    <n v="12.49"/>
    <n v="57"/>
    <n v="711.93000000000006"/>
    <s v="net sales"/>
    <x v="3"/>
    <x v="0"/>
    <n v="5"/>
  </r>
  <r>
    <x v="137"/>
    <s v="cogs:product 1"/>
    <n v="5.99"/>
    <n v="57"/>
    <n v="341.43"/>
    <s v="cogs"/>
    <x v="1"/>
    <x v="0"/>
    <n v="5"/>
  </r>
  <r>
    <x v="137"/>
    <s v="cogs:product 2"/>
    <n v="16.989999999999998"/>
    <n v="10"/>
    <n v="169.89999999999998"/>
    <s v="cogs"/>
    <x v="2"/>
    <x v="0"/>
    <n v="5"/>
  </r>
  <r>
    <x v="137"/>
    <s v="cogs:product 3"/>
    <n v="8.49"/>
    <n v="98"/>
    <n v="832.02"/>
    <s v="cogs"/>
    <x v="3"/>
    <x v="0"/>
    <n v="5"/>
  </r>
  <r>
    <x v="137"/>
    <s v="marketing"/>
    <s v="NA"/>
    <s v="NA"/>
    <n v="99.93"/>
    <s v="marketing"/>
    <x v="0"/>
    <x v="0"/>
    <n v="5"/>
  </r>
  <r>
    <x v="137"/>
    <s v="net sales:product 1"/>
    <n v="9.99"/>
    <n v="57"/>
    <n v="569.43000000000006"/>
    <s v="net sales"/>
    <x v="1"/>
    <x v="0"/>
    <n v="5"/>
  </r>
  <r>
    <x v="137"/>
    <s v="net sales:product 2"/>
    <n v="24.99"/>
    <n v="10"/>
    <n v="249.89999999999998"/>
    <s v="net sales"/>
    <x v="2"/>
    <x v="0"/>
    <n v="5"/>
  </r>
  <r>
    <x v="137"/>
    <s v="net sales:product 3"/>
    <n v="12.49"/>
    <n v="98"/>
    <n v="1224.02"/>
    <s v="net sales"/>
    <x v="3"/>
    <x v="0"/>
    <n v="5"/>
  </r>
  <r>
    <x v="138"/>
    <s v="cogs:product 1"/>
    <n v="5.99"/>
    <n v="36"/>
    <n v="215.64000000000001"/>
    <s v="cogs"/>
    <x v="1"/>
    <x v="0"/>
    <n v="5"/>
  </r>
  <r>
    <x v="138"/>
    <s v="cogs:product 2"/>
    <n v="16.989999999999998"/>
    <n v="6"/>
    <n v="101.94"/>
    <s v="cogs"/>
    <x v="2"/>
    <x v="0"/>
    <n v="5"/>
  </r>
  <r>
    <x v="138"/>
    <s v="cogs:product 3"/>
    <n v="8.49"/>
    <n v="29"/>
    <n v="246.21"/>
    <s v="cogs"/>
    <x v="3"/>
    <x v="0"/>
    <n v="5"/>
  </r>
  <r>
    <x v="138"/>
    <s v="marketing"/>
    <s v="NA"/>
    <s v="NA"/>
    <n v="100.01"/>
    <s v="marketing"/>
    <x v="0"/>
    <x v="0"/>
    <n v="5"/>
  </r>
  <r>
    <x v="138"/>
    <s v="net sales:product 1"/>
    <n v="9.99"/>
    <n v="36"/>
    <n v="359.64"/>
    <s v="net sales"/>
    <x v="1"/>
    <x v="0"/>
    <n v="5"/>
  </r>
  <r>
    <x v="138"/>
    <s v="net sales:product 2"/>
    <n v="24.99"/>
    <n v="6"/>
    <n v="149.94"/>
    <s v="net sales"/>
    <x v="2"/>
    <x v="0"/>
    <n v="5"/>
  </r>
  <r>
    <x v="138"/>
    <s v="net sales:product 3"/>
    <n v="12.49"/>
    <n v="29"/>
    <n v="362.21"/>
    <s v="net sales"/>
    <x v="3"/>
    <x v="0"/>
    <n v="5"/>
  </r>
  <r>
    <x v="139"/>
    <s v="cogs:product 1"/>
    <n v="5.99"/>
    <n v="56"/>
    <n v="335.44"/>
    <s v="cogs"/>
    <x v="1"/>
    <x v="0"/>
    <n v="5"/>
  </r>
  <r>
    <x v="139"/>
    <s v="cogs:product 2"/>
    <n v="16.989999999999998"/>
    <n v="4"/>
    <n v="67.959999999999994"/>
    <s v="cogs"/>
    <x v="2"/>
    <x v="0"/>
    <n v="5"/>
  </r>
  <r>
    <x v="139"/>
    <s v="cogs:product 3"/>
    <n v="8.49"/>
    <n v="196"/>
    <n v="1664.04"/>
    <s v="cogs"/>
    <x v="3"/>
    <x v="0"/>
    <n v="5"/>
  </r>
  <r>
    <x v="139"/>
    <s v="marketing"/>
    <s v="NA"/>
    <s v="NA"/>
    <n v="99.91"/>
    <s v="marketing"/>
    <x v="0"/>
    <x v="0"/>
    <n v="5"/>
  </r>
  <r>
    <x v="139"/>
    <s v="net sales:product 1"/>
    <n v="9.99"/>
    <n v="56"/>
    <n v="559.44000000000005"/>
    <s v="net sales"/>
    <x v="1"/>
    <x v="0"/>
    <n v="5"/>
  </r>
  <r>
    <x v="139"/>
    <s v="net sales:product 2"/>
    <n v="24.99"/>
    <n v="4"/>
    <n v="99.96"/>
    <s v="net sales"/>
    <x v="2"/>
    <x v="0"/>
    <n v="5"/>
  </r>
  <r>
    <x v="139"/>
    <s v="net sales:product 3"/>
    <n v="12.49"/>
    <n v="196"/>
    <n v="2448.04"/>
    <s v="net sales"/>
    <x v="3"/>
    <x v="0"/>
    <n v="5"/>
  </r>
  <r>
    <x v="140"/>
    <s v="cogs:product 1"/>
    <n v="5.99"/>
    <n v="49"/>
    <n v="293.51"/>
    <s v="cogs"/>
    <x v="1"/>
    <x v="0"/>
    <n v="5"/>
  </r>
  <r>
    <x v="140"/>
    <s v="cogs:product 2"/>
    <n v="16.989999999999998"/>
    <n v="6"/>
    <n v="101.94"/>
    <s v="cogs"/>
    <x v="2"/>
    <x v="0"/>
    <n v="5"/>
  </r>
  <r>
    <x v="140"/>
    <s v="cogs:product 3"/>
    <n v="8.49"/>
    <n v="6"/>
    <n v="50.94"/>
    <s v="cogs"/>
    <x v="3"/>
    <x v="0"/>
    <n v="5"/>
  </r>
  <r>
    <x v="140"/>
    <s v="marketing"/>
    <s v="NA"/>
    <s v="NA"/>
    <n v="99.98"/>
    <s v="marketing"/>
    <x v="0"/>
    <x v="0"/>
    <n v="5"/>
  </r>
  <r>
    <x v="140"/>
    <s v="net sales:product 1"/>
    <n v="9.99"/>
    <n v="49"/>
    <n v="489.51"/>
    <s v="net sales"/>
    <x v="1"/>
    <x v="0"/>
    <n v="5"/>
  </r>
  <r>
    <x v="140"/>
    <s v="net sales:product 2"/>
    <n v="24.99"/>
    <n v="6"/>
    <n v="149.94"/>
    <s v="net sales"/>
    <x v="2"/>
    <x v="0"/>
    <n v="5"/>
  </r>
  <r>
    <x v="140"/>
    <s v="net sales:product 3"/>
    <n v="12.49"/>
    <n v="6"/>
    <n v="74.94"/>
    <s v="net sales"/>
    <x v="3"/>
    <x v="0"/>
    <n v="5"/>
  </r>
  <r>
    <x v="141"/>
    <s v="cogs:product 1"/>
    <n v="5.99"/>
    <n v="42"/>
    <n v="251.58"/>
    <s v="cogs"/>
    <x v="1"/>
    <x v="0"/>
    <n v="5"/>
  </r>
  <r>
    <x v="141"/>
    <s v="cogs:product 2"/>
    <n v="16.989999999999998"/>
    <n v="8"/>
    <n v="135.91999999999999"/>
    <s v="cogs"/>
    <x v="2"/>
    <x v="0"/>
    <n v="5"/>
  </r>
  <r>
    <x v="141"/>
    <s v="cogs:product 3"/>
    <n v="8.49"/>
    <n v="32"/>
    <n v="271.68"/>
    <s v="cogs"/>
    <x v="3"/>
    <x v="0"/>
    <n v="5"/>
  </r>
  <r>
    <x v="141"/>
    <s v="marketing"/>
    <s v="NA"/>
    <s v="NA"/>
    <n v="100.05"/>
    <s v="marketing"/>
    <x v="0"/>
    <x v="0"/>
    <n v="5"/>
  </r>
  <r>
    <x v="141"/>
    <s v="net sales:product 1"/>
    <n v="9.99"/>
    <n v="42"/>
    <n v="419.58"/>
    <s v="net sales"/>
    <x v="1"/>
    <x v="0"/>
    <n v="5"/>
  </r>
  <r>
    <x v="141"/>
    <s v="net sales:product 2"/>
    <n v="24.99"/>
    <n v="8"/>
    <n v="199.92"/>
    <s v="net sales"/>
    <x v="2"/>
    <x v="0"/>
    <n v="5"/>
  </r>
  <r>
    <x v="141"/>
    <s v="net sales:product 3"/>
    <n v="12.49"/>
    <n v="32"/>
    <n v="399.68"/>
    <s v="net sales"/>
    <x v="3"/>
    <x v="0"/>
    <n v="5"/>
  </r>
  <r>
    <x v="142"/>
    <s v="cogs:product 1"/>
    <n v="5.99"/>
    <n v="37"/>
    <n v="221.63"/>
    <s v="cogs"/>
    <x v="1"/>
    <x v="0"/>
    <n v="5"/>
  </r>
  <r>
    <x v="142"/>
    <s v="cogs:product 2"/>
    <n v="16.989999999999998"/>
    <n v="9"/>
    <n v="152.91"/>
    <s v="cogs"/>
    <x v="2"/>
    <x v="0"/>
    <n v="5"/>
  </r>
  <r>
    <x v="142"/>
    <s v="cogs:product 3"/>
    <n v="8.49"/>
    <n v="74"/>
    <n v="628.26"/>
    <s v="cogs"/>
    <x v="3"/>
    <x v="0"/>
    <n v="5"/>
  </r>
  <r>
    <x v="142"/>
    <s v="marketing"/>
    <s v="NA"/>
    <s v="NA"/>
    <n v="99.94"/>
    <s v="marketing"/>
    <x v="0"/>
    <x v="0"/>
    <n v="5"/>
  </r>
  <r>
    <x v="142"/>
    <s v="net sales:product 1"/>
    <n v="9.99"/>
    <n v="37"/>
    <n v="369.63"/>
    <s v="net sales"/>
    <x v="1"/>
    <x v="0"/>
    <n v="5"/>
  </r>
  <r>
    <x v="142"/>
    <s v="net sales:product 2"/>
    <n v="24.99"/>
    <n v="9"/>
    <n v="224.91"/>
    <s v="net sales"/>
    <x v="2"/>
    <x v="0"/>
    <n v="5"/>
  </r>
  <r>
    <x v="142"/>
    <s v="net sales:product 3"/>
    <n v="12.49"/>
    <n v="74"/>
    <n v="924.26"/>
    <s v="net sales"/>
    <x v="3"/>
    <x v="0"/>
    <n v="5"/>
  </r>
  <r>
    <x v="143"/>
    <s v="cogs:product 1"/>
    <n v="5.99"/>
    <n v="70"/>
    <n v="419.3"/>
    <s v="cogs"/>
    <x v="1"/>
    <x v="0"/>
    <n v="5"/>
  </r>
  <r>
    <x v="143"/>
    <s v="cogs:product 2"/>
    <n v="16.989999999999998"/>
    <n v="0"/>
    <n v="0"/>
    <s v="cogs"/>
    <x v="2"/>
    <x v="0"/>
    <n v="5"/>
  </r>
  <r>
    <x v="143"/>
    <s v="cogs:product 3"/>
    <n v="8.49"/>
    <n v="223"/>
    <n v="1893.27"/>
    <s v="cogs"/>
    <x v="3"/>
    <x v="0"/>
    <n v="5"/>
  </r>
  <r>
    <x v="143"/>
    <s v="marketing"/>
    <s v="NA"/>
    <s v="NA"/>
    <n v="100"/>
    <s v="marketing"/>
    <x v="0"/>
    <x v="0"/>
    <n v="5"/>
  </r>
  <r>
    <x v="143"/>
    <s v="net sales:product 1"/>
    <n v="9.99"/>
    <n v="70"/>
    <n v="699.30000000000007"/>
    <s v="net sales"/>
    <x v="1"/>
    <x v="0"/>
    <n v="5"/>
  </r>
  <r>
    <x v="143"/>
    <s v="net sales:product 2"/>
    <n v="24.99"/>
    <n v="0"/>
    <n v="0"/>
    <s v="net sales"/>
    <x v="2"/>
    <x v="0"/>
    <n v="5"/>
  </r>
  <r>
    <x v="143"/>
    <s v="net sales:product 3"/>
    <n v="12.49"/>
    <n v="223"/>
    <n v="2785.27"/>
    <s v="net sales"/>
    <x v="3"/>
    <x v="0"/>
    <n v="5"/>
  </r>
  <r>
    <x v="144"/>
    <s v="cogs:product 1"/>
    <n v="5.99"/>
    <n v="24"/>
    <n v="143.76"/>
    <s v="cogs"/>
    <x v="1"/>
    <x v="0"/>
    <n v="5"/>
  </r>
  <r>
    <x v="144"/>
    <s v="cogs:product 2"/>
    <n v="16.989999999999998"/>
    <n v="9"/>
    <n v="152.91"/>
    <s v="cogs"/>
    <x v="2"/>
    <x v="0"/>
    <n v="5"/>
  </r>
  <r>
    <x v="144"/>
    <s v="cogs:product 3"/>
    <n v="8.49"/>
    <n v="155"/>
    <n v="1315.95"/>
    <s v="cogs"/>
    <x v="3"/>
    <x v="0"/>
    <n v="5"/>
  </r>
  <r>
    <x v="144"/>
    <s v="marketing"/>
    <s v="NA"/>
    <s v="NA"/>
    <n v="99.93"/>
    <s v="marketing"/>
    <x v="0"/>
    <x v="0"/>
    <n v="5"/>
  </r>
  <r>
    <x v="144"/>
    <s v="net sales:product 1"/>
    <n v="9.99"/>
    <n v="24"/>
    <n v="239.76"/>
    <s v="net sales"/>
    <x v="1"/>
    <x v="0"/>
    <n v="5"/>
  </r>
  <r>
    <x v="144"/>
    <s v="net sales:product 2"/>
    <n v="24.99"/>
    <n v="9"/>
    <n v="224.91"/>
    <s v="net sales"/>
    <x v="2"/>
    <x v="0"/>
    <n v="5"/>
  </r>
  <r>
    <x v="144"/>
    <s v="net sales:product 3"/>
    <n v="12.49"/>
    <n v="155"/>
    <n v="1935.95"/>
    <s v="net sales"/>
    <x v="3"/>
    <x v="0"/>
    <n v="5"/>
  </r>
  <r>
    <x v="144"/>
    <s v="payroll"/>
    <s v="NA"/>
    <s v="NA"/>
    <n v="1200"/>
    <s v="payroll"/>
    <x v="0"/>
    <x v="0"/>
    <n v="5"/>
  </r>
  <r>
    <x v="145"/>
    <s v="cogs:product 1"/>
    <n v="5.99"/>
    <n v="0"/>
    <n v="0"/>
    <s v="cogs"/>
    <x v="1"/>
    <x v="0"/>
    <n v="5"/>
  </r>
  <r>
    <x v="145"/>
    <s v="cogs:product 2"/>
    <n v="16.989999999999998"/>
    <n v="9"/>
    <n v="152.91"/>
    <s v="cogs"/>
    <x v="2"/>
    <x v="0"/>
    <n v="5"/>
  </r>
  <r>
    <x v="145"/>
    <s v="cogs:product 3"/>
    <n v="8.49"/>
    <n v="247"/>
    <n v="2097.0300000000002"/>
    <s v="cogs"/>
    <x v="3"/>
    <x v="0"/>
    <n v="5"/>
  </r>
  <r>
    <x v="145"/>
    <s v="marketing"/>
    <s v="NA"/>
    <s v="NA"/>
    <n v="99.92"/>
    <s v="marketing"/>
    <x v="0"/>
    <x v="0"/>
    <n v="5"/>
  </r>
  <r>
    <x v="145"/>
    <s v="net sales:product 1"/>
    <n v="9.99"/>
    <n v="0"/>
    <n v="0"/>
    <s v="net sales"/>
    <x v="1"/>
    <x v="0"/>
    <n v="5"/>
  </r>
  <r>
    <x v="145"/>
    <s v="net sales:product 2"/>
    <n v="24.99"/>
    <n v="9"/>
    <n v="224.91"/>
    <s v="net sales"/>
    <x v="2"/>
    <x v="0"/>
    <n v="5"/>
  </r>
  <r>
    <x v="145"/>
    <s v="net sales:product 3"/>
    <n v="12.49"/>
    <n v="247"/>
    <n v="3085.03"/>
    <s v="net sales"/>
    <x v="3"/>
    <x v="0"/>
    <n v="5"/>
  </r>
  <r>
    <x v="146"/>
    <s v="cogs:product 1"/>
    <n v="5.99"/>
    <n v="55"/>
    <n v="329.45"/>
    <s v="cogs"/>
    <x v="1"/>
    <x v="0"/>
    <n v="5"/>
  </r>
  <r>
    <x v="146"/>
    <s v="cogs:product 2"/>
    <n v="16.989999999999998"/>
    <n v="1"/>
    <n v="16.989999999999998"/>
    <s v="cogs"/>
    <x v="2"/>
    <x v="0"/>
    <n v="5"/>
  </r>
  <r>
    <x v="146"/>
    <s v="cogs:product 3"/>
    <n v="8.49"/>
    <n v="14"/>
    <n v="118.86"/>
    <s v="cogs"/>
    <x v="3"/>
    <x v="0"/>
    <n v="5"/>
  </r>
  <r>
    <x v="146"/>
    <s v="marketing"/>
    <s v="NA"/>
    <s v="NA"/>
    <n v="100.07000000000001"/>
    <s v="marketing"/>
    <x v="0"/>
    <x v="0"/>
    <n v="5"/>
  </r>
  <r>
    <x v="146"/>
    <s v="net sales:product 1"/>
    <n v="9.99"/>
    <n v="55"/>
    <n v="549.45000000000005"/>
    <s v="net sales"/>
    <x v="1"/>
    <x v="0"/>
    <n v="5"/>
  </r>
  <r>
    <x v="146"/>
    <s v="net sales:product 2"/>
    <n v="24.99"/>
    <n v="1"/>
    <n v="24.99"/>
    <s v="net sales"/>
    <x v="2"/>
    <x v="0"/>
    <n v="5"/>
  </r>
  <r>
    <x v="146"/>
    <s v="net sales:product 3"/>
    <n v="12.49"/>
    <n v="14"/>
    <n v="174.86"/>
    <s v="net sales"/>
    <x v="3"/>
    <x v="0"/>
    <n v="5"/>
  </r>
  <r>
    <x v="147"/>
    <s v="cogs:product 1"/>
    <n v="5.99"/>
    <n v="79"/>
    <n v="473.21000000000004"/>
    <s v="cogs"/>
    <x v="1"/>
    <x v="0"/>
    <n v="5"/>
  </r>
  <r>
    <x v="147"/>
    <s v="cogs:product 2"/>
    <n v="16.989999999999998"/>
    <n v="5"/>
    <n v="84.949999999999989"/>
    <s v="cogs"/>
    <x v="2"/>
    <x v="0"/>
    <n v="5"/>
  </r>
  <r>
    <x v="147"/>
    <s v="cogs:product 3"/>
    <n v="8.49"/>
    <n v="233"/>
    <n v="1978.17"/>
    <s v="cogs"/>
    <x v="3"/>
    <x v="0"/>
    <n v="5"/>
  </r>
  <r>
    <x v="147"/>
    <s v="marketing"/>
    <s v="NA"/>
    <s v="NA"/>
    <n v="100.08"/>
    <s v="marketing"/>
    <x v="0"/>
    <x v="0"/>
    <n v="5"/>
  </r>
  <r>
    <x v="147"/>
    <s v="net sales:product 1"/>
    <n v="9.99"/>
    <n v="79"/>
    <n v="789.21"/>
    <s v="net sales"/>
    <x v="1"/>
    <x v="0"/>
    <n v="5"/>
  </r>
  <r>
    <x v="147"/>
    <s v="net sales:product 2"/>
    <n v="24.99"/>
    <n v="5"/>
    <n v="124.94999999999999"/>
    <s v="net sales"/>
    <x v="2"/>
    <x v="0"/>
    <n v="5"/>
  </r>
  <r>
    <x v="147"/>
    <s v="net sales:product 3"/>
    <n v="12.49"/>
    <n v="233"/>
    <n v="2910.17"/>
    <s v="net sales"/>
    <x v="3"/>
    <x v="0"/>
    <n v="5"/>
  </r>
  <r>
    <x v="148"/>
    <s v="cogs:product 1"/>
    <n v="5.99"/>
    <n v="67"/>
    <n v="401.33000000000004"/>
    <s v="cogs"/>
    <x v="1"/>
    <x v="0"/>
    <n v="5"/>
  </r>
  <r>
    <x v="148"/>
    <s v="cogs:product 2"/>
    <n v="16.989999999999998"/>
    <n v="5"/>
    <n v="84.949999999999989"/>
    <s v="cogs"/>
    <x v="2"/>
    <x v="0"/>
    <n v="5"/>
  </r>
  <r>
    <x v="148"/>
    <s v="cogs:product 3"/>
    <n v="8.49"/>
    <n v="142"/>
    <n v="1205.58"/>
    <s v="cogs"/>
    <x v="3"/>
    <x v="0"/>
    <n v="5"/>
  </r>
  <r>
    <x v="148"/>
    <s v="marketing"/>
    <s v="NA"/>
    <s v="NA"/>
    <n v="99.9"/>
    <s v="marketing"/>
    <x v="0"/>
    <x v="0"/>
    <n v="5"/>
  </r>
  <r>
    <x v="148"/>
    <s v="net sales:product 1"/>
    <n v="9.99"/>
    <n v="67"/>
    <n v="669.33"/>
    <s v="net sales"/>
    <x v="1"/>
    <x v="0"/>
    <n v="5"/>
  </r>
  <r>
    <x v="148"/>
    <s v="net sales:product 2"/>
    <n v="24.99"/>
    <n v="5"/>
    <n v="124.94999999999999"/>
    <s v="net sales"/>
    <x v="2"/>
    <x v="0"/>
    <n v="5"/>
  </r>
  <r>
    <x v="148"/>
    <s v="net sales:product 3"/>
    <n v="12.49"/>
    <n v="142"/>
    <n v="1773.58"/>
    <s v="net sales"/>
    <x v="3"/>
    <x v="0"/>
    <n v="5"/>
  </r>
  <r>
    <x v="149"/>
    <s v="cogs:product 1"/>
    <n v="5.99"/>
    <n v="82"/>
    <n v="491.18"/>
    <s v="cogs"/>
    <x v="1"/>
    <x v="0"/>
    <n v="5"/>
  </r>
  <r>
    <x v="149"/>
    <s v="cogs:product 2"/>
    <n v="16.989999999999998"/>
    <n v="8"/>
    <n v="135.91999999999999"/>
    <s v="cogs"/>
    <x v="2"/>
    <x v="0"/>
    <n v="5"/>
  </r>
  <r>
    <x v="149"/>
    <s v="cogs:product 3"/>
    <n v="8.49"/>
    <n v="0"/>
    <n v="0"/>
    <s v="cogs"/>
    <x v="3"/>
    <x v="0"/>
    <n v="5"/>
  </r>
  <r>
    <x v="149"/>
    <s v="marketing"/>
    <s v="NA"/>
    <s v="NA"/>
    <n v="100.10000000000001"/>
    <s v="marketing"/>
    <x v="0"/>
    <x v="0"/>
    <n v="5"/>
  </r>
  <r>
    <x v="149"/>
    <s v="net sales:product 1"/>
    <n v="9.99"/>
    <n v="82"/>
    <n v="819.18000000000006"/>
    <s v="net sales"/>
    <x v="1"/>
    <x v="0"/>
    <n v="5"/>
  </r>
  <r>
    <x v="149"/>
    <s v="net sales:product 2"/>
    <n v="24.99"/>
    <n v="8"/>
    <n v="199.92"/>
    <s v="net sales"/>
    <x v="2"/>
    <x v="0"/>
    <n v="5"/>
  </r>
  <r>
    <x v="149"/>
    <s v="net sales:product 3"/>
    <n v="12.49"/>
    <n v="0"/>
    <n v="0"/>
    <s v="net sales"/>
    <x v="3"/>
    <x v="0"/>
    <n v="5"/>
  </r>
  <r>
    <x v="150"/>
    <s v="cogs:product 1"/>
    <n v="5.99"/>
    <n v="47"/>
    <n v="281.53000000000003"/>
    <s v="cogs"/>
    <x v="1"/>
    <x v="0"/>
    <n v="5"/>
  </r>
  <r>
    <x v="150"/>
    <s v="cogs:product 2"/>
    <n v="16.989999999999998"/>
    <n v="5"/>
    <n v="84.949999999999989"/>
    <s v="cogs"/>
    <x v="2"/>
    <x v="0"/>
    <n v="5"/>
  </r>
  <r>
    <x v="150"/>
    <s v="cogs:product 3"/>
    <n v="8.49"/>
    <n v="44"/>
    <n v="373.56"/>
    <s v="cogs"/>
    <x v="3"/>
    <x v="0"/>
    <n v="5"/>
  </r>
  <r>
    <x v="150"/>
    <s v="marketing"/>
    <s v="NA"/>
    <s v="NA"/>
    <n v="99.91"/>
    <s v="marketing"/>
    <x v="0"/>
    <x v="0"/>
    <n v="5"/>
  </r>
  <r>
    <x v="150"/>
    <s v="net sales:product 1"/>
    <n v="9.99"/>
    <n v="47"/>
    <n v="469.53000000000003"/>
    <s v="net sales"/>
    <x v="1"/>
    <x v="0"/>
    <n v="5"/>
  </r>
  <r>
    <x v="150"/>
    <s v="net sales:product 2"/>
    <n v="24.99"/>
    <n v="5"/>
    <n v="124.94999999999999"/>
    <s v="net sales"/>
    <x v="2"/>
    <x v="0"/>
    <n v="5"/>
  </r>
  <r>
    <x v="150"/>
    <s v="net sales:product 3"/>
    <n v="12.49"/>
    <n v="44"/>
    <n v="549.56000000000006"/>
    <s v="net sales"/>
    <x v="3"/>
    <x v="0"/>
    <n v="5"/>
  </r>
  <r>
    <x v="151"/>
    <s v="cogs:product 1"/>
    <n v="5.99"/>
    <n v="61"/>
    <n v="365.39"/>
    <s v="cogs"/>
    <x v="1"/>
    <x v="0"/>
    <n v="5"/>
  </r>
  <r>
    <x v="151"/>
    <s v="cogs:product 2"/>
    <n v="16.989999999999998"/>
    <n v="1"/>
    <n v="16.989999999999998"/>
    <s v="cogs"/>
    <x v="2"/>
    <x v="0"/>
    <n v="5"/>
  </r>
  <r>
    <x v="151"/>
    <s v="cogs:product 3"/>
    <n v="8.49"/>
    <n v="15"/>
    <n v="127.35000000000001"/>
    <s v="cogs"/>
    <x v="3"/>
    <x v="0"/>
    <n v="5"/>
  </r>
  <r>
    <x v="151"/>
    <s v="marketing"/>
    <s v="NA"/>
    <s v="NA"/>
    <n v="99.98"/>
    <s v="marketing"/>
    <x v="0"/>
    <x v="0"/>
    <n v="5"/>
  </r>
  <r>
    <x v="151"/>
    <s v="net sales:product 1"/>
    <n v="9.99"/>
    <n v="61"/>
    <n v="609.39"/>
    <s v="net sales"/>
    <x v="1"/>
    <x v="0"/>
    <n v="5"/>
  </r>
  <r>
    <x v="151"/>
    <s v="net sales:product 2"/>
    <n v="24.99"/>
    <n v="1"/>
    <n v="24.99"/>
    <s v="net sales"/>
    <x v="2"/>
    <x v="0"/>
    <n v="5"/>
  </r>
  <r>
    <x v="151"/>
    <s v="net sales:product 3"/>
    <n v="12.49"/>
    <n v="15"/>
    <n v="187.35"/>
    <s v="net sales"/>
    <x v="3"/>
    <x v="0"/>
    <n v="5"/>
  </r>
  <r>
    <x v="152"/>
    <s v="amortization"/>
    <s v="NA"/>
    <s v="NA"/>
    <n v="50"/>
    <s v="amortization"/>
    <x v="0"/>
    <x v="0"/>
    <n v="6"/>
  </r>
  <r>
    <x v="152"/>
    <s v="cogs:product 1"/>
    <n v="5.99"/>
    <n v="3"/>
    <n v="17.97"/>
    <s v="cogs"/>
    <x v="1"/>
    <x v="0"/>
    <n v="6"/>
  </r>
  <r>
    <x v="152"/>
    <s v="cogs:product 2"/>
    <n v="16.989999999999998"/>
    <n v="0"/>
    <n v="0"/>
    <s v="cogs"/>
    <x v="2"/>
    <x v="0"/>
    <n v="6"/>
  </r>
  <r>
    <x v="152"/>
    <s v="cogs:product 3"/>
    <n v="8.49"/>
    <n v="63"/>
    <n v="534.87"/>
    <s v="cogs"/>
    <x v="3"/>
    <x v="0"/>
    <n v="6"/>
  </r>
  <r>
    <x v="152"/>
    <s v="marketing"/>
    <s v="NA"/>
    <s v="NA"/>
    <n v="100.07000000000001"/>
    <s v="marketing"/>
    <x v="0"/>
    <x v="0"/>
    <n v="6"/>
  </r>
  <r>
    <x v="152"/>
    <s v="net sales:product 1"/>
    <n v="9.99"/>
    <n v="3"/>
    <n v="29.97"/>
    <s v="net sales"/>
    <x v="1"/>
    <x v="0"/>
    <n v="6"/>
  </r>
  <r>
    <x v="152"/>
    <s v="net sales:product 2"/>
    <n v="24.99"/>
    <n v="0"/>
    <n v="0"/>
    <s v="net sales"/>
    <x v="2"/>
    <x v="0"/>
    <n v="6"/>
  </r>
  <r>
    <x v="152"/>
    <s v="net sales:product 3"/>
    <n v="12.49"/>
    <n v="63"/>
    <n v="786.87"/>
    <s v="net sales"/>
    <x v="3"/>
    <x v="0"/>
    <n v="6"/>
  </r>
  <r>
    <x v="152"/>
    <s v="overhead"/>
    <s v="NA"/>
    <s v="NA"/>
    <n v="2000"/>
    <s v="overhead"/>
    <x v="0"/>
    <x v="0"/>
    <n v="6"/>
  </r>
  <r>
    <x v="153"/>
    <s v="cogs:product 1"/>
    <n v="5.99"/>
    <n v="88"/>
    <n v="527.12"/>
    <s v="cogs"/>
    <x v="1"/>
    <x v="0"/>
    <n v="6"/>
  </r>
  <r>
    <x v="153"/>
    <s v="cogs:product 2"/>
    <n v="16.989999999999998"/>
    <n v="3"/>
    <n v="50.97"/>
    <s v="cogs"/>
    <x v="2"/>
    <x v="0"/>
    <n v="6"/>
  </r>
  <r>
    <x v="153"/>
    <s v="cogs:product 3"/>
    <n v="8.49"/>
    <n v="144"/>
    <n v="1222.56"/>
    <s v="cogs"/>
    <x v="3"/>
    <x v="0"/>
    <n v="6"/>
  </r>
  <r>
    <x v="153"/>
    <s v="marketing"/>
    <s v="NA"/>
    <s v="NA"/>
    <n v="100.04"/>
    <s v="marketing"/>
    <x v="0"/>
    <x v="0"/>
    <n v="6"/>
  </r>
  <r>
    <x v="153"/>
    <s v="net sales:product 1"/>
    <n v="9.99"/>
    <n v="88"/>
    <n v="879.12"/>
    <s v="net sales"/>
    <x v="1"/>
    <x v="0"/>
    <n v="6"/>
  </r>
  <r>
    <x v="153"/>
    <s v="net sales:product 2"/>
    <n v="24.99"/>
    <n v="3"/>
    <n v="74.97"/>
    <s v="net sales"/>
    <x v="2"/>
    <x v="0"/>
    <n v="6"/>
  </r>
  <r>
    <x v="153"/>
    <s v="net sales:product 3"/>
    <n v="12.49"/>
    <n v="144"/>
    <n v="1798.56"/>
    <s v="net sales"/>
    <x v="3"/>
    <x v="0"/>
    <n v="6"/>
  </r>
  <r>
    <x v="154"/>
    <s v="cogs:product 1"/>
    <n v="5.99"/>
    <n v="12"/>
    <n v="71.88"/>
    <s v="cogs"/>
    <x v="1"/>
    <x v="0"/>
    <n v="6"/>
  </r>
  <r>
    <x v="154"/>
    <s v="cogs:product 2"/>
    <n v="16.989999999999998"/>
    <n v="8"/>
    <n v="135.91999999999999"/>
    <s v="cogs"/>
    <x v="2"/>
    <x v="0"/>
    <n v="6"/>
  </r>
  <r>
    <x v="154"/>
    <s v="cogs:product 3"/>
    <n v="8.49"/>
    <n v="0"/>
    <n v="0"/>
    <s v="cogs"/>
    <x v="3"/>
    <x v="0"/>
    <n v="6"/>
  </r>
  <r>
    <x v="154"/>
    <s v="marketing"/>
    <s v="NA"/>
    <s v="NA"/>
    <n v="100.03"/>
    <s v="marketing"/>
    <x v="0"/>
    <x v="0"/>
    <n v="6"/>
  </r>
  <r>
    <x v="154"/>
    <s v="net sales:product 1"/>
    <n v="9.99"/>
    <n v="12"/>
    <n v="119.88"/>
    <s v="net sales"/>
    <x v="1"/>
    <x v="0"/>
    <n v="6"/>
  </r>
  <r>
    <x v="154"/>
    <s v="net sales:product 2"/>
    <n v="24.99"/>
    <n v="8"/>
    <n v="199.92"/>
    <s v="net sales"/>
    <x v="2"/>
    <x v="0"/>
    <n v="6"/>
  </r>
  <r>
    <x v="154"/>
    <s v="net sales:product 3"/>
    <n v="12.49"/>
    <n v="0"/>
    <n v="0"/>
    <s v="net sales"/>
    <x v="3"/>
    <x v="0"/>
    <n v="6"/>
  </r>
  <r>
    <x v="155"/>
    <s v="cogs:product 1"/>
    <n v="5.99"/>
    <n v="3"/>
    <n v="17.97"/>
    <s v="cogs"/>
    <x v="1"/>
    <x v="0"/>
    <n v="6"/>
  </r>
  <r>
    <x v="155"/>
    <s v="cogs:product 2"/>
    <n v="16.989999999999998"/>
    <n v="7"/>
    <n v="118.92999999999999"/>
    <s v="cogs"/>
    <x v="2"/>
    <x v="0"/>
    <n v="6"/>
  </r>
  <r>
    <x v="155"/>
    <s v="cogs:product 3"/>
    <n v="8.49"/>
    <n v="12"/>
    <n v="101.88"/>
    <s v="cogs"/>
    <x v="3"/>
    <x v="0"/>
    <n v="6"/>
  </r>
  <r>
    <x v="155"/>
    <s v="marketing"/>
    <s v="NA"/>
    <s v="NA"/>
    <n v="100.02"/>
    <s v="marketing"/>
    <x v="0"/>
    <x v="0"/>
    <n v="6"/>
  </r>
  <r>
    <x v="155"/>
    <s v="net sales:product 1"/>
    <n v="9.99"/>
    <n v="3"/>
    <n v="29.97"/>
    <s v="net sales"/>
    <x v="1"/>
    <x v="0"/>
    <n v="6"/>
  </r>
  <r>
    <x v="155"/>
    <s v="net sales:product 2"/>
    <n v="24.99"/>
    <n v="7"/>
    <n v="174.92999999999998"/>
    <s v="net sales"/>
    <x v="2"/>
    <x v="0"/>
    <n v="6"/>
  </r>
  <r>
    <x v="155"/>
    <s v="net sales:product 3"/>
    <n v="12.49"/>
    <n v="12"/>
    <n v="149.88"/>
    <s v="net sales"/>
    <x v="3"/>
    <x v="0"/>
    <n v="6"/>
  </r>
  <r>
    <x v="156"/>
    <s v="cogs:product 1"/>
    <n v="5.99"/>
    <n v="60"/>
    <n v="359.40000000000003"/>
    <s v="cogs"/>
    <x v="1"/>
    <x v="0"/>
    <n v="6"/>
  </r>
  <r>
    <x v="156"/>
    <s v="cogs:product 2"/>
    <n v="16.989999999999998"/>
    <n v="5"/>
    <n v="84.949999999999989"/>
    <s v="cogs"/>
    <x v="2"/>
    <x v="0"/>
    <n v="6"/>
  </r>
  <r>
    <x v="156"/>
    <s v="cogs:product 3"/>
    <n v="8.49"/>
    <n v="169"/>
    <n v="1434.81"/>
    <s v="cogs"/>
    <x v="3"/>
    <x v="0"/>
    <n v="6"/>
  </r>
  <r>
    <x v="156"/>
    <s v="marketing"/>
    <s v="NA"/>
    <s v="NA"/>
    <n v="100.09"/>
    <s v="marketing"/>
    <x v="0"/>
    <x v="0"/>
    <n v="6"/>
  </r>
  <r>
    <x v="156"/>
    <s v="net sales:product 1"/>
    <n v="9.99"/>
    <n v="60"/>
    <n v="599.4"/>
    <s v="net sales"/>
    <x v="1"/>
    <x v="0"/>
    <n v="6"/>
  </r>
  <r>
    <x v="156"/>
    <s v="net sales:product 2"/>
    <n v="24.99"/>
    <n v="5"/>
    <n v="124.94999999999999"/>
    <s v="net sales"/>
    <x v="2"/>
    <x v="0"/>
    <n v="6"/>
  </r>
  <r>
    <x v="156"/>
    <s v="net sales:product 3"/>
    <n v="12.49"/>
    <n v="169"/>
    <n v="2110.81"/>
    <s v="net sales"/>
    <x v="3"/>
    <x v="0"/>
    <n v="6"/>
  </r>
  <r>
    <x v="157"/>
    <s v="cogs:product 1"/>
    <n v="5.99"/>
    <n v="89"/>
    <n v="533.11"/>
    <s v="cogs"/>
    <x v="1"/>
    <x v="0"/>
    <n v="6"/>
  </r>
  <r>
    <x v="157"/>
    <s v="cogs:product 2"/>
    <n v="16.989999999999998"/>
    <n v="4"/>
    <n v="67.959999999999994"/>
    <s v="cogs"/>
    <x v="2"/>
    <x v="0"/>
    <n v="6"/>
  </r>
  <r>
    <x v="157"/>
    <s v="cogs:product 3"/>
    <n v="8.49"/>
    <n v="187"/>
    <n v="1587.63"/>
    <s v="cogs"/>
    <x v="3"/>
    <x v="0"/>
    <n v="6"/>
  </r>
  <r>
    <x v="157"/>
    <s v="marketing"/>
    <s v="NA"/>
    <s v="NA"/>
    <n v="100.08"/>
    <s v="marketing"/>
    <x v="0"/>
    <x v="0"/>
    <n v="6"/>
  </r>
  <r>
    <x v="157"/>
    <s v="net sales:product 1"/>
    <n v="9.99"/>
    <n v="89"/>
    <n v="889.11"/>
    <s v="net sales"/>
    <x v="1"/>
    <x v="0"/>
    <n v="6"/>
  </r>
  <r>
    <x v="157"/>
    <s v="net sales:product 2"/>
    <n v="24.99"/>
    <n v="4"/>
    <n v="99.96"/>
    <s v="net sales"/>
    <x v="2"/>
    <x v="0"/>
    <n v="6"/>
  </r>
  <r>
    <x v="157"/>
    <s v="net sales:product 3"/>
    <n v="12.49"/>
    <n v="187"/>
    <n v="2335.63"/>
    <s v="net sales"/>
    <x v="3"/>
    <x v="0"/>
    <n v="6"/>
  </r>
  <r>
    <x v="158"/>
    <s v="cogs:product 1"/>
    <n v="5.99"/>
    <n v="28"/>
    <n v="167.72"/>
    <s v="cogs"/>
    <x v="1"/>
    <x v="0"/>
    <n v="6"/>
  </r>
  <r>
    <x v="158"/>
    <s v="cogs:product 2"/>
    <n v="16.989999999999998"/>
    <n v="3"/>
    <n v="50.97"/>
    <s v="cogs"/>
    <x v="2"/>
    <x v="0"/>
    <n v="6"/>
  </r>
  <r>
    <x v="158"/>
    <s v="cogs:product 3"/>
    <n v="8.49"/>
    <n v="198"/>
    <n v="1681.02"/>
    <s v="cogs"/>
    <x v="3"/>
    <x v="0"/>
    <n v="6"/>
  </r>
  <r>
    <x v="158"/>
    <s v="marketing"/>
    <s v="NA"/>
    <s v="NA"/>
    <n v="100.05"/>
    <s v="marketing"/>
    <x v="0"/>
    <x v="0"/>
    <n v="6"/>
  </r>
  <r>
    <x v="158"/>
    <s v="net sales:product 1"/>
    <n v="9.99"/>
    <n v="28"/>
    <n v="279.72000000000003"/>
    <s v="net sales"/>
    <x v="1"/>
    <x v="0"/>
    <n v="6"/>
  </r>
  <r>
    <x v="158"/>
    <s v="net sales:product 2"/>
    <n v="24.99"/>
    <n v="3"/>
    <n v="74.97"/>
    <s v="net sales"/>
    <x v="2"/>
    <x v="0"/>
    <n v="6"/>
  </r>
  <r>
    <x v="158"/>
    <s v="net sales:product 3"/>
    <n v="12.49"/>
    <n v="198"/>
    <n v="2473.02"/>
    <s v="net sales"/>
    <x v="3"/>
    <x v="0"/>
    <n v="6"/>
  </r>
  <r>
    <x v="158"/>
    <s v="payroll"/>
    <s v="NA"/>
    <s v="NA"/>
    <n v="1200"/>
    <s v="payroll"/>
    <x v="0"/>
    <x v="0"/>
    <n v="6"/>
  </r>
  <r>
    <x v="159"/>
    <s v="cogs:product 1"/>
    <n v="5.99"/>
    <n v="81"/>
    <n v="485.19"/>
    <s v="cogs"/>
    <x v="1"/>
    <x v="0"/>
    <n v="6"/>
  </r>
  <r>
    <x v="159"/>
    <s v="cogs:product 2"/>
    <n v="16.989999999999998"/>
    <n v="10"/>
    <n v="169.89999999999998"/>
    <s v="cogs"/>
    <x v="2"/>
    <x v="0"/>
    <n v="6"/>
  </r>
  <r>
    <x v="159"/>
    <s v="cogs:product 3"/>
    <n v="8.49"/>
    <n v="74"/>
    <n v="628.26"/>
    <s v="cogs"/>
    <x v="3"/>
    <x v="0"/>
    <n v="6"/>
  </r>
  <r>
    <x v="159"/>
    <s v="marketing"/>
    <s v="NA"/>
    <s v="NA"/>
    <n v="100.02"/>
    <s v="marketing"/>
    <x v="0"/>
    <x v="0"/>
    <n v="6"/>
  </r>
  <r>
    <x v="159"/>
    <s v="net sales:product 1"/>
    <n v="9.99"/>
    <n v="81"/>
    <n v="809.19"/>
    <s v="net sales"/>
    <x v="1"/>
    <x v="0"/>
    <n v="6"/>
  </r>
  <r>
    <x v="159"/>
    <s v="net sales:product 2"/>
    <n v="24.99"/>
    <n v="10"/>
    <n v="249.89999999999998"/>
    <s v="net sales"/>
    <x v="2"/>
    <x v="0"/>
    <n v="6"/>
  </r>
  <r>
    <x v="159"/>
    <s v="net sales:product 3"/>
    <n v="12.49"/>
    <n v="74"/>
    <n v="924.26"/>
    <s v="net sales"/>
    <x v="3"/>
    <x v="0"/>
    <n v="6"/>
  </r>
  <r>
    <x v="160"/>
    <s v="cogs:product 1"/>
    <n v="5.99"/>
    <n v="69"/>
    <n v="413.31"/>
    <s v="cogs"/>
    <x v="1"/>
    <x v="0"/>
    <n v="6"/>
  </r>
  <r>
    <x v="160"/>
    <s v="cogs:product 2"/>
    <n v="16.989999999999998"/>
    <n v="4"/>
    <n v="67.959999999999994"/>
    <s v="cogs"/>
    <x v="2"/>
    <x v="0"/>
    <n v="6"/>
  </r>
  <r>
    <x v="160"/>
    <s v="cogs:product 3"/>
    <n v="8.49"/>
    <n v="152"/>
    <n v="1290.48"/>
    <s v="cogs"/>
    <x v="3"/>
    <x v="0"/>
    <n v="6"/>
  </r>
  <r>
    <x v="160"/>
    <s v="marketing"/>
    <s v="NA"/>
    <s v="NA"/>
    <n v="99.990000000000009"/>
    <s v="marketing"/>
    <x v="0"/>
    <x v="0"/>
    <n v="6"/>
  </r>
  <r>
    <x v="160"/>
    <s v="net sales:product 1"/>
    <n v="9.99"/>
    <n v="69"/>
    <n v="689.31000000000006"/>
    <s v="net sales"/>
    <x v="1"/>
    <x v="0"/>
    <n v="6"/>
  </r>
  <r>
    <x v="160"/>
    <s v="net sales:product 2"/>
    <n v="24.99"/>
    <n v="4"/>
    <n v="99.96"/>
    <s v="net sales"/>
    <x v="2"/>
    <x v="0"/>
    <n v="6"/>
  </r>
  <r>
    <x v="160"/>
    <s v="net sales:product 3"/>
    <n v="12.49"/>
    <n v="152"/>
    <n v="1898.48"/>
    <s v="net sales"/>
    <x v="3"/>
    <x v="0"/>
    <n v="6"/>
  </r>
  <r>
    <x v="161"/>
    <s v="cogs:product 1"/>
    <n v="5.99"/>
    <n v="24"/>
    <n v="143.76"/>
    <s v="cogs"/>
    <x v="1"/>
    <x v="0"/>
    <n v="6"/>
  </r>
  <r>
    <x v="161"/>
    <s v="cogs:product 2"/>
    <n v="16.989999999999998"/>
    <n v="7"/>
    <n v="118.92999999999999"/>
    <s v="cogs"/>
    <x v="2"/>
    <x v="0"/>
    <n v="6"/>
  </r>
  <r>
    <x v="161"/>
    <s v="cogs:product 3"/>
    <n v="8.49"/>
    <n v="20"/>
    <n v="169.8"/>
    <s v="cogs"/>
    <x v="3"/>
    <x v="0"/>
    <n v="6"/>
  </r>
  <r>
    <x v="161"/>
    <s v="marketing"/>
    <s v="NA"/>
    <s v="NA"/>
    <n v="99.95"/>
    <s v="marketing"/>
    <x v="0"/>
    <x v="0"/>
    <n v="6"/>
  </r>
  <r>
    <x v="161"/>
    <s v="net sales:product 1"/>
    <n v="9.99"/>
    <n v="24"/>
    <n v="239.76"/>
    <s v="net sales"/>
    <x v="1"/>
    <x v="0"/>
    <n v="6"/>
  </r>
  <r>
    <x v="161"/>
    <s v="net sales:product 2"/>
    <n v="24.99"/>
    <n v="7"/>
    <n v="174.92999999999998"/>
    <s v="net sales"/>
    <x v="2"/>
    <x v="0"/>
    <n v="6"/>
  </r>
  <r>
    <x v="161"/>
    <s v="net sales:product 3"/>
    <n v="12.49"/>
    <n v="20"/>
    <n v="249.8"/>
    <s v="net sales"/>
    <x v="3"/>
    <x v="0"/>
    <n v="6"/>
  </r>
  <r>
    <x v="162"/>
    <s v="cogs:product 1"/>
    <n v="5.99"/>
    <n v="14"/>
    <n v="83.86"/>
    <s v="cogs"/>
    <x v="1"/>
    <x v="0"/>
    <n v="6"/>
  </r>
  <r>
    <x v="162"/>
    <s v="cogs:product 2"/>
    <n v="16.989999999999998"/>
    <n v="6"/>
    <n v="101.94"/>
    <s v="cogs"/>
    <x v="2"/>
    <x v="0"/>
    <n v="6"/>
  </r>
  <r>
    <x v="162"/>
    <s v="cogs:product 3"/>
    <n v="8.49"/>
    <n v="0"/>
    <n v="0"/>
    <s v="cogs"/>
    <x v="3"/>
    <x v="0"/>
    <n v="6"/>
  </r>
  <r>
    <x v="162"/>
    <s v="marketing"/>
    <s v="NA"/>
    <s v="NA"/>
    <n v="99.98"/>
    <s v="marketing"/>
    <x v="0"/>
    <x v="0"/>
    <n v="6"/>
  </r>
  <r>
    <x v="162"/>
    <s v="net sales:product 1"/>
    <n v="9.99"/>
    <n v="14"/>
    <n v="139.86000000000001"/>
    <s v="net sales"/>
    <x v="1"/>
    <x v="0"/>
    <n v="6"/>
  </r>
  <r>
    <x v="162"/>
    <s v="net sales:product 2"/>
    <n v="24.99"/>
    <n v="6"/>
    <n v="149.94"/>
    <s v="net sales"/>
    <x v="2"/>
    <x v="0"/>
    <n v="6"/>
  </r>
  <r>
    <x v="162"/>
    <s v="net sales:product 3"/>
    <n v="12.49"/>
    <n v="0"/>
    <n v="0"/>
    <s v="net sales"/>
    <x v="3"/>
    <x v="0"/>
    <n v="6"/>
  </r>
  <r>
    <x v="163"/>
    <s v="cogs:product 1"/>
    <n v="5.99"/>
    <n v="0"/>
    <n v="0"/>
    <s v="cogs"/>
    <x v="1"/>
    <x v="0"/>
    <n v="6"/>
  </r>
  <r>
    <x v="163"/>
    <s v="cogs:product 2"/>
    <n v="16.989999999999998"/>
    <n v="3"/>
    <n v="50.97"/>
    <s v="cogs"/>
    <x v="2"/>
    <x v="0"/>
    <n v="6"/>
  </r>
  <r>
    <x v="163"/>
    <s v="cogs:product 3"/>
    <n v="8.49"/>
    <n v="200"/>
    <n v="1698"/>
    <s v="cogs"/>
    <x v="3"/>
    <x v="0"/>
    <n v="6"/>
  </r>
  <r>
    <x v="163"/>
    <s v="marketing"/>
    <s v="NA"/>
    <s v="NA"/>
    <n v="100.02"/>
    <s v="marketing"/>
    <x v="0"/>
    <x v="0"/>
    <n v="6"/>
  </r>
  <r>
    <x v="163"/>
    <s v="net sales:product 1"/>
    <n v="9.99"/>
    <n v="0"/>
    <n v="0"/>
    <s v="net sales"/>
    <x v="1"/>
    <x v="0"/>
    <n v="6"/>
  </r>
  <r>
    <x v="163"/>
    <s v="net sales:product 2"/>
    <n v="24.99"/>
    <n v="3"/>
    <n v="74.97"/>
    <s v="net sales"/>
    <x v="2"/>
    <x v="0"/>
    <n v="6"/>
  </r>
  <r>
    <x v="163"/>
    <s v="net sales:product 3"/>
    <n v="12.49"/>
    <n v="200"/>
    <n v="2498"/>
    <s v="net sales"/>
    <x v="3"/>
    <x v="0"/>
    <n v="6"/>
  </r>
  <r>
    <x v="164"/>
    <s v="cogs:product 1"/>
    <n v="5.99"/>
    <n v="26"/>
    <n v="155.74"/>
    <s v="cogs"/>
    <x v="1"/>
    <x v="0"/>
    <n v="6"/>
  </r>
  <r>
    <x v="164"/>
    <s v="cogs:product 2"/>
    <n v="16.989999999999998"/>
    <n v="6"/>
    <n v="101.94"/>
    <s v="cogs"/>
    <x v="2"/>
    <x v="0"/>
    <n v="6"/>
  </r>
  <r>
    <x v="164"/>
    <s v="cogs:product 3"/>
    <n v="8.49"/>
    <n v="50"/>
    <n v="424.5"/>
    <s v="cogs"/>
    <x v="3"/>
    <x v="0"/>
    <n v="6"/>
  </r>
  <r>
    <x v="164"/>
    <s v="marketing"/>
    <s v="NA"/>
    <s v="NA"/>
    <n v="99.94"/>
    <s v="marketing"/>
    <x v="0"/>
    <x v="0"/>
    <n v="6"/>
  </r>
  <r>
    <x v="164"/>
    <s v="net sales:product 1"/>
    <n v="9.99"/>
    <n v="26"/>
    <n v="259.74"/>
    <s v="net sales"/>
    <x v="1"/>
    <x v="0"/>
    <n v="6"/>
  </r>
  <r>
    <x v="164"/>
    <s v="net sales:product 2"/>
    <n v="24.99"/>
    <n v="6"/>
    <n v="149.94"/>
    <s v="net sales"/>
    <x v="2"/>
    <x v="0"/>
    <n v="6"/>
  </r>
  <r>
    <x v="164"/>
    <s v="net sales:product 3"/>
    <n v="12.49"/>
    <n v="50"/>
    <n v="624.5"/>
    <s v="net sales"/>
    <x v="3"/>
    <x v="0"/>
    <n v="6"/>
  </r>
  <r>
    <x v="165"/>
    <s v="cogs:product 1"/>
    <n v="5.99"/>
    <n v="19"/>
    <n v="113.81"/>
    <s v="cogs"/>
    <x v="1"/>
    <x v="0"/>
    <n v="6"/>
  </r>
  <r>
    <x v="165"/>
    <s v="cogs:product 2"/>
    <n v="16.989999999999998"/>
    <n v="8"/>
    <n v="135.91999999999999"/>
    <s v="cogs"/>
    <x v="2"/>
    <x v="0"/>
    <n v="6"/>
  </r>
  <r>
    <x v="165"/>
    <s v="cogs:product 3"/>
    <n v="8.49"/>
    <n v="202"/>
    <n v="1714.98"/>
    <s v="cogs"/>
    <x v="3"/>
    <x v="0"/>
    <n v="6"/>
  </r>
  <r>
    <x v="165"/>
    <s v="marketing"/>
    <s v="NA"/>
    <s v="NA"/>
    <n v="99.91"/>
    <s v="marketing"/>
    <x v="0"/>
    <x v="0"/>
    <n v="6"/>
  </r>
  <r>
    <x v="165"/>
    <s v="net sales:product 1"/>
    <n v="9.99"/>
    <n v="19"/>
    <n v="189.81"/>
    <s v="net sales"/>
    <x v="1"/>
    <x v="0"/>
    <n v="6"/>
  </r>
  <r>
    <x v="165"/>
    <s v="net sales:product 2"/>
    <n v="24.99"/>
    <n v="8"/>
    <n v="199.92"/>
    <s v="net sales"/>
    <x v="2"/>
    <x v="0"/>
    <n v="6"/>
  </r>
  <r>
    <x v="165"/>
    <s v="net sales:product 3"/>
    <n v="12.49"/>
    <n v="202"/>
    <n v="2522.98"/>
    <s v="net sales"/>
    <x v="3"/>
    <x v="0"/>
    <n v="6"/>
  </r>
  <r>
    <x v="166"/>
    <s v="cogs:product 1"/>
    <n v="5.99"/>
    <n v="41"/>
    <n v="245.59"/>
    <s v="cogs"/>
    <x v="1"/>
    <x v="0"/>
    <n v="6"/>
  </r>
  <r>
    <x v="166"/>
    <s v="cogs:product 2"/>
    <n v="16.989999999999998"/>
    <n v="3"/>
    <n v="50.97"/>
    <s v="cogs"/>
    <x v="2"/>
    <x v="0"/>
    <n v="6"/>
  </r>
  <r>
    <x v="166"/>
    <s v="cogs:product 3"/>
    <n v="8.49"/>
    <n v="190"/>
    <n v="1613.1000000000001"/>
    <s v="cogs"/>
    <x v="3"/>
    <x v="0"/>
    <n v="6"/>
  </r>
  <r>
    <x v="166"/>
    <s v="interest"/>
    <s v="NA"/>
    <s v="NA"/>
    <n v="1286.44"/>
    <s v="interest"/>
    <x v="0"/>
    <x v="0"/>
    <n v="6"/>
  </r>
  <r>
    <x v="166"/>
    <s v="marketing"/>
    <s v="NA"/>
    <s v="NA"/>
    <n v="99.92"/>
    <s v="marketing"/>
    <x v="0"/>
    <x v="0"/>
    <n v="6"/>
  </r>
  <r>
    <x v="166"/>
    <s v="net sales:product 1"/>
    <n v="9.99"/>
    <n v="41"/>
    <n v="409.59000000000003"/>
    <s v="net sales"/>
    <x v="1"/>
    <x v="0"/>
    <n v="6"/>
  </r>
  <r>
    <x v="166"/>
    <s v="net sales:product 2"/>
    <n v="24.99"/>
    <n v="3"/>
    <n v="74.97"/>
    <s v="net sales"/>
    <x v="2"/>
    <x v="0"/>
    <n v="6"/>
  </r>
  <r>
    <x v="166"/>
    <s v="net sales:product 3"/>
    <n v="12.49"/>
    <n v="190"/>
    <n v="2373.1"/>
    <s v="net sales"/>
    <x v="3"/>
    <x v="0"/>
    <n v="6"/>
  </r>
  <r>
    <x v="166"/>
    <s v="overhead"/>
    <s v="NA"/>
    <s v="NA"/>
    <n v="314.10000000000002"/>
    <s v="overhead"/>
    <x v="0"/>
    <x v="0"/>
    <n v="6"/>
  </r>
  <r>
    <x v="167"/>
    <s v="cogs:product 1"/>
    <n v="5.99"/>
    <n v="7"/>
    <n v="41.93"/>
    <s v="cogs"/>
    <x v="1"/>
    <x v="0"/>
    <n v="6"/>
  </r>
  <r>
    <x v="167"/>
    <s v="cogs:product 2"/>
    <n v="16.989999999999998"/>
    <n v="8"/>
    <n v="135.91999999999999"/>
    <s v="cogs"/>
    <x v="2"/>
    <x v="0"/>
    <n v="6"/>
  </r>
  <r>
    <x v="167"/>
    <s v="cogs:product 3"/>
    <n v="8.49"/>
    <n v="44"/>
    <n v="373.56"/>
    <s v="cogs"/>
    <x v="3"/>
    <x v="0"/>
    <n v="6"/>
  </r>
  <r>
    <x v="167"/>
    <s v="marketing"/>
    <s v="NA"/>
    <s v="NA"/>
    <n v="100.06"/>
    <s v="marketing"/>
    <x v="0"/>
    <x v="0"/>
    <n v="6"/>
  </r>
  <r>
    <x v="167"/>
    <s v="net sales:product 1"/>
    <n v="9.99"/>
    <n v="7"/>
    <n v="69.930000000000007"/>
    <s v="net sales"/>
    <x v="1"/>
    <x v="0"/>
    <n v="6"/>
  </r>
  <r>
    <x v="167"/>
    <s v="net sales:product 2"/>
    <n v="24.99"/>
    <n v="8"/>
    <n v="199.92"/>
    <s v="net sales"/>
    <x v="2"/>
    <x v="0"/>
    <n v="6"/>
  </r>
  <r>
    <x v="167"/>
    <s v="net sales:product 3"/>
    <n v="12.49"/>
    <n v="44"/>
    <n v="549.56000000000006"/>
    <s v="net sales"/>
    <x v="3"/>
    <x v="0"/>
    <n v="6"/>
  </r>
  <r>
    <x v="168"/>
    <s v="cogs:product 1"/>
    <n v="5.99"/>
    <n v="23"/>
    <n v="137.77000000000001"/>
    <s v="cogs"/>
    <x v="1"/>
    <x v="0"/>
    <n v="6"/>
  </r>
  <r>
    <x v="168"/>
    <s v="cogs:product 2"/>
    <n v="16.989999999999998"/>
    <n v="7"/>
    <n v="118.92999999999999"/>
    <s v="cogs"/>
    <x v="2"/>
    <x v="0"/>
    <n v="6"/>
  </r>
  <r>
    <x v="168"/>
    <s v="cogs:product 3"/>
    <n v="8.49"/>
    <n v="208"/>
    <n v="1765.92"/>
    <s v="cogs"/>
    <x v="3"/>
    <x v="0"/>
    <n v="6"/>
  </r>
  <r>
    <x v="168"/>
    <s v="marketing"/>
    <s v="NA"/>
    <s v="NA"/>
    <n v="100.07000000000001"/>
    <s v="marketing"/>
    <x v="0"/>
    <x v="0"/>
    <n v="6"/>
  </r>
  <r>
    <x v="168"/>
    <s v="net sales:product 1"/>
    <n v="9.99"/>
    <n v="23"/>
    <n v="229.77"/>
    <s v="net sales"/>
    <x v="1"/>
    <x v="0"/>
    <n v="6"/>
  </r>
  <r>
    <x v="168"/>
    <s v="net sales:product 2"/>
    <n v="24.99"/>
    <n v="7"/>
    <n v="174.92999999999998"/>
    <s v="net sales"/>
    <x v="2"/>
    <x v="0"/>
    <n v="6"/>
  </r>
  <r>
    <x v="168"/>
    <s v="net sales:product 3"/>
    <n v="12.49"/>
    <n v="208"/>
    <n v="2597.92"/>
    <s v="net sales"/>
    <x v="3"/>
    <x v="0"/>
    <n v="6"/>
  </r>
  <r>
    <x v="169"/>
    <s v="cogs:product 1"/>
    <n v="5.99"/>
    <n v="74"/>
    <n v="443.26"/>
    <s v="cogs"/>
    <x v="1"/>
    <x v="0"/>
    <n v="6"/>
  </r>
  <r>
    <x v="169"/>
    <s v="cogs:product 2"/>
    <n v="16.989999999999998"/>
    <n v="9"/>
    <n v="152.91"/>
    <s v="cogs"/>
    <x v="2"/>
    <x v="0"/>
    <n v="6"/>
  </r>
  <r>
    <x v="169"/>
    <s v="cogs:product 3"/>
    <n v="8.49"/>
    <n v="194"/>
    <n v="1647.06"/>
    <s v="cogs"/>
    <x v="3"/>
    <x v="0"/>
    <n v="6"/>
  </r>
  <r>
    <x v="169"/>
    <s v="marketing"/>
    <s v="NA"/>
    <s v="NA"/>
    <n v="99.98"/>
    <s v="marketing"/>
    <x v="0"/>
    <x v="0"/>
    <n v="6"/>
  </r>
  <r>
    <x v="169"/>
    <s v="net sales:product 1"/>
    <n v="9.99"/>
    <n v="74"/>
    <n v="739.26"/>
    <s v="net sales"/>
    <x v="1"/>
    <x v="0"/>
    <n v="6"/>
  </r>
  <r>
    <x v="169"/>
    <s v="net sales:product 2"/>
    <n v="24.99"/>
    <n v="9"/>
    <n v="224.91"/>
    <s v="net sales"/>
    <x v="2"/>
    <x v="0"/>
    <n v="6"/>
  </r>
  <r>
    <x v="169"/>
    <s v="net sales:product 3"/>
    <n v="12.49"/>
    <n v="194"/>
    <n v="2423.06"/>
    <s v="net sales"/>
    <x v="3"/>
    <x v="0"/>
    <n v="6"/>
  </r>
  <r>
    <x v="170"/>
    <s v="cogs:product 1"/>
    <n v="5.99"/>
    <n v="41"/>
    <n v="245.59"/>
    <s v="cogs"/>
    <x v="1"/>
    <x v="0"/>
    <n v="6"/>
  </r>
  <r>
    <x v="170"/>
    <s v="cogs:product 2"/>
    <n v="16.989999999999998"/>
    <n v="9"/>
    <n v="152.91"/>
    <s v="cogs"/>
    <x v="2"/>
    <x v="0"/>
    <n v="6"/>
  </r>
  <r>
    <x v="170"/>
    <s v="cogs:product 3"/>
    <n v="8.49"/>
    <n v="130"/>
    <n v="1103.7"/>
    <s v="cogs"/>
    <x v="3"/>
    <x v="0"/>
    <n v="6"/>
  </r>
  <r>
    <x v="170"/>
    <s v="marketing"/>
    <s v="NA"/>
    <s v="NA"/>
    <n v="99.94"/>
    <s v="marketing"/>
    <x v="0"/>
    <x v="0"/>
    <n v="6"/>
  </r>
  <r>
    <x v="170"/>
    <s v="net sales:product 1"/>
    <n v="9.99"/>
    <n v="41"/>
    <n v="409.59000000000003"/>
    <s v="net sales"/>
    <x v="1"/>
    <x v="0"/>
    <n v="6"/>
  </r>
  <r>
    <x v="170"/>
    <s v="net sales:product 2"/>
    <n v="24.99"/>
    <n v="9"/>
    <n v="224.91"/>
    <s v="net sales"/>
    <x v="2"/>
    <x v="0"/>
    <n v="6"/>
  </r>
  <r>
    <x v="170"/>
    <s v="net sales:product 3"/>
    <n v="12.49"/>
    <n v="130"/>
    <n v="1623.7"/>
    <s v="net sales"/>
    <x v="3"/>
    <x v="0"/>
    <n v="6"/>
  </r>
  <r>
    <x v="171"/>
    <s v="cogs:product 1"/>
    <n v="5.99"/>
    <n v="92"/>
    <n v="551.08000000000004"/>
    <s v="cogs"/>
    <x v="1"/>
    <x v="0"/>
    <n v="6"/>
  </r>
  <r>
    <x v="171"/>
    <s v="cogs:product 2"/>
    <n v="16.989999999999998"/>
    <n v="7"/>
    <n v="118.92999999999999"/>
    <s v="cogs"/>
    <x v="2"/>
    <x v="0"/>
    <n v="6"/>
  </r>
  <r>
    <x v="171"/>
    <s v="cogs:product 3"/>
    <n v="8.49"/>
    <n v="208"/>
    <n v="1765.92"/>
    <s v="cogs"/>
    <x v="3"/>
    <x v="0"/>
    <n v="6"/>
  </r>
  <r>
    <x v="171"/>
    <s v="marketing"/>
    <s v="NA"/>
    <s v="NA"/>
    <n v="99.93"/>
    <s v="marketing"/>
    <x v="0"/>
    <x v="0"/>
    <n v="6"/>
  </r>
  <r>
    <x v="171"/>
    <s v="net sales:product 1"/>
    <n v="9.99"/>
    <n v="92"/>
    <n v="919.08"/>
    <s v="net sales"/>
    <x v="1"/>
    <x v="0"/>
    <n v="6"/>
  </r>
  <r>
    <x v="171"/>
    <s v="net sales:product 2"/>
    <n v="24.99"/>
    <n v="7"/>
    <n v="174.92999999999998"/>
    <s v="net sales"/>
    <x v="2"/>
    <x v="0"/>
    <n v="6"/>
  </r>
  <r>
    <x v="171"/>
    <s v="net sales:product 3"/>
    <n v="12.49"/>
    <n v="208"/>
    <n v="2597.92"/>
    <s v="net sales"/>
    <x v="3"/>
    <x v="0"/>
    <n v="6"/>
  </r>
  <r>
    <x v="172"/>
    <s v="cogs:product 1"/>
    <n v="5.99"/>
    <n v="95"/>
    <n v="569.05000000000007"/>
    <s v="cogs"/>
    <x v="1"/>
    <x v="0"/>
    <n v="6"/>
  </r>
  <r>
    <x v="172"/>
    <s v="cogs:product 2"/>
    <n v="16.989999999999998"/>
    <n v="5"/>
    <n v="84.949999999999989"/>
    <s v="cogs"/>
    <x v="2"/>
    <x v="0"/>
    <n v="6"/>
  </r>
  <r>
    <x v="172"/>
    <s v="cogs:product 3"/>
    <n v="8.49"/>
    <n v="0"/>
    <n v="0"/>
    <s v="cogs"/>
    <x v="3"/>
    <x v="0"/>
    <n v="6"/>
  </r>
  <r>
    <x v="172"/>
    <s v="marketing"/>
    <s v="NA"/>
    <s v="NA"/>
    <n v="100.03"/>
    <s v="marketing"/>
    <x v="0"/>
    <x v="0"/>
    <n v="6"/>
  </r>
  <r>
    <x v="172"/>
    <s v="net sales:product 1"/>
    <n v="9.99"/>
    <n v="95"/>
    <n v="949.05000000000007"/>
    <s v="net sales"/>
    <x v="1"/>
    <x v="0"/>
    <n v="6"/>
  </r>
  <r>
    <x v="172"/>
    <s v="net sales:product 2"/>
    <n v="24.99"/>
    <n v="5"/>
    <n v="124.94999999999999"/>
    <s v="net sales"/>
    <x v="2"/>
    <x v="0"/>
    <n v="6"/>
  </r>
  <r>
    <x v="172"/>
    <s v="net sales:product 3"/>
    <n v="12.49"/>
    <n v="0"/>
    <n v="0"/>
    <s v="net sales"/>
    <x v="3"/>
    <x v="0"/>
    <n v="6"/>
  </r>
  <r>
    <x v="172"/>
    <s v="payroll"/>
    <s v="NA"/>
    <s v="NA"/>
    <n v="1200"/>
    <s v="payroll"/>
    <x v="0"/>
    <x v="0"/>
    <n v="6"/>
  </r>
  <r>
    <x v="173"/>
    <s v="cogs:product 1"/>
    <n v="5.99"/>
    <n v="7"/>
    <n v="41.93"/>
    <s v="cogs"/>
    <x v="1"/>
    <x v="0"/>
    <n v="6"/>
  </r>
  <r>
    <x v="173"/>
    <s v="cogs:product 2"/>
    <n v="16.989999999999998"/>
    <n v="6"/>
    <n v="101.94"/>
    <s v="cogs"/>
    <x v="2"/>
    <x v="0"/>
    <n v="6"/>
  </r>
  <r>
    <x v="173"/>
    <s v="cogs:product 3"/>
    <n v="8.49"/>
    <n v="138"/>
    <n v="1171.6200000000001"/>
    <s v="cogs"/>
    <x v="3"/>
    <x v="0"/>
    <n v="6"/>
  </r>
  <r>
    <x v="173"/>
    <s v="marketing"/>
    <s v="NA"/>
    <s v="NA"/>
    <n v="100.08"/>
    <s v="marketing"/>
    <x v="0"/>
    <x v="0"/>
    <n v="6"/>
  </r>
  <r>
    <x v="173"/>
    <s v="net sales:product 1"/>
    <n v="9.99"/>
    <n v="7"/>
    <n v="69.930000000000007"/>
    <s v="net sales"/>
    <x v="1"/>
    <x v="0"/>
    <n v="6"/>
  </r>
  <r>
    <x v="173"/>
    <s v="net sales:product 2"/>
    <n v="24.99"/>
    <n v="6"/>
    <n v="149.94"/>
    <s v="net sales"/>
    <x v="2"/>
    <x v="0"/>
    <n v="6"/>
  </r>
  <r>
    <x v="173"/>
    <s v="net sales:product 3"/>
    <n v="12.49"/>
    <n v="138"/>
    <n v="1723.6200000000001"/>
    <s v="net sales"/>
    <x v="3"/>
    <x v="0"/>
    <n v="6"/>
  </r>
  <r>
    <x v="174"/>
    <s v="cogs:product 1"/>
    <n v="5.99"/>
    <n v="92"/>
    <n v="551.08000000000004"/>
    <s v="cogs"/>
    <x v="1"/>
    <x v="0"/>
    <n v="6"/>
  </r>
  <r>
    <x v="174"/>
    <s v="cogs:product 2"/>
    <n v="16.989999999999998"/>
    <n v="2"/>
    <n v="33.979999999999997"/>
    <s v="cogs"/>
    <x v="2"/>
    <x v="0"/>
    <n v="6"/>
  </r>
  <r>
    <x v="174"/>
    <s v="cogs:product 3"/>
    <n v="8.49"/>
    <n v="47"/>
    <n v="399.03000000000003"/>
    <s v="cogs"/>
    <x v="3"/>
    <x v="0"/>
    <n v="6"/>
  </r>
  <r>
    <x v="174"/>
    <s v="marketing"/>
    <s v="NA"/>
    <s v="NA"/>
    <n v="100"/>
    <s v="marketing"/>
    <x v="0"/>
    <x v="0"/>
    <n v="6"/>
  </r>
  <r>
    <x v="174"/>
    <s v="net sales:product 1"/>
    <n v="9.99"/>
    <n v="92"/>
    <n v="919.08"/>
    <s v="net sales"/>
    <x v="1"/>
    <x v="0"/>
    <n v="6"/>
  </r>
  <r>
    <x v="174"/>
    <s v="net sales:product 2"/>
    <n v="24.99"/>
    <n v="2"/>
    <n v="49.98"/>
    <s v="net sales"/>
    <x v="2"/>
    <x v="0"/>
    <n v="6"/>
  </r>
  <r>
    <x v="174"/>
    <s v="net sales:product 3"/>
    <n v="12.49"/>
    <n v="47"/>
    <n v="587.03"/>
    <s v="net sales"/>
    <x v="3"/>
    <x v="0"/>
    <n v="6"/>
  </r>
  <r>
    <x v="175"/>
    <s v="cogs:product 1"/>
    <n v="5.99"/>
    <n v="28"/>
    <n v="167.72"/>
    <s v="cogs"/>
    <x v="1"/>
    <x v="0"/>
    <n v="6"/>
  </r>
  <r>
    <x v="175"/>
    <s v="cogs:product 2"/>
    <n v="16.989999999999998"/>
    <n v="8"/>
    <n v="135.91999999999999"/>
    <s v="cogs"/>
    <x v="2"/>
    <x v="0"/>
    <n v="6"/>
  </r>
  <r>
    <x v="175"/>
    <s v="cogs:product 3"/>
    <n v="8.49"/>
    <n v="121"/>
    <n v="1027.29"/>
    <s v="cogs"/>
    <x v="3"/>
    <x v="0"/>
    <n v="6"/>
  </r>
  <r>
    <x v="175"/>
    <s v="marketing"/>
    <s v="NA"/>
    <s v="NA"/>
    <n v="100.03"/>
    <s v="marketing"/>
    <x v="0"/>
    <x v="0"/>
    <n v="6"/>
  </r>
  <r>
    <x v="175"/>
    <s v="net sales:product 1"/>
    <n v="9.99"/>
    <n v="28"/>
    <n v="279.72000000000003"/>
    <s v="net sales"/>
    <x v="1"/>
    <x v="0"/>
    <n v="6"/>
  </r>
  <r>
    <x v="175"/>
    <s v="net sales:product 2"/>
    <n v="24.99"/>
    <n v="8"/>
    <n v="199.92"/>
    <s v="net sales"/>
    <x v="2"/>
    <x v="0"/>
    <n v="6"/>
  </r>
  <r>
    <x v="175"/>
    <s v="net sales:product 3"/>
    <n v="12.49"/>
    <n v="121"/>
    <n v="1511.29"/>
    <s v="net sales"/>
    <x v="3"/>
    <x v="0"/>
    <n v="6"/>
  </r>
  <r>
    <x v="176"/>
    <s v="cogs:product 1"/>
    <n v="5.99"/>
    <n v="55"/>
    <n v="329.45"/>
    <s v="cogs"/>
    <x v="1"/>
    <x v="0"/>
    <n v="6"/>
  </r>
  <r>
    <x v="176"/>
    <s v="cogs:product 2"/>
    <n v="16.989999999999998"/>
    <n v="6"/>
    <n v="101.94"/>
    <s v="cogs"/>
    <x v="2"/>
    <x v="0"/>
    <n v="6"/>
  </r>
  <r>
    <x v="176"/>
    <s v="cogs:product 3"/>
    <n v="8.49"/>
    <n v="123"/>
    <n v="1044.27"/>
    <s v="cogs"/>
    <x v="3"/>
    <x v="0"/>
    <n v="6"/>
  </r>
  <r>
    <x v="176"/>
    <s v="marketing"/>
    <s v="NA"/>
    <s v="NA"/>
    <n v="99.98"/>
    <s v="marketing"/>
    <x v="0"/>
    <x v="0"/>
    <n v="6"/>
  </r>
  <r>
    <x v="176"/>
    <s v="net sales:product 1"/>
    <n v="9.99"/>
    <n v="55"/>
    <n v="549.45000000000005"/>
    <s v="net sales"/>
    <x v="1"/>
    <x v="0"/>
    <n v="6"/>
  </r>
  <r>
    <x v="176"/>
    <s v="net sales:product 2"/>
    <n v="24.99"/>
    <n v="6"/>
    <n v="149.94"/>
    <s v="net sales"/>
    <x v="2"/>
    <x v="0"/>
    <n v="6"/>
  </r>
  <r>
    <x v="176"/>
    <s v="net sales:product 3"/>
    <n v="12.49"/>
    <n v="123"/>
    <n v="1536.27"/>
    <s v="net sales"/>
    <x v="3"/>
    <x v="0"/>
    <n v="6"/>
  </r>
  <r>
    <x v="177"/>
    <s v="cogs:product 1"/>
    <n v="5.99"/>
    <n v="96"/>
    <n v="575.04"/>
    <s v="cogs"/>
    <x v="1"/>
    <x v="0"/>
    <n v="6"/>
  </r>
  <r>
    <x v="177"/>
    <s v="cogs:product 2"/>
    <n v="16.989999999999998"/>
    <n v="1"/>
    <n v="16.989999999999998"/>
    <s v="cogs"/>
    <x v="2"/>
    <x v="0"/>
    <n v="6"/>
  </r>
  <r>
    <x v="177"/>
    <s v="cogs:product 3"/>
    <n v="8.49"/>
    <n v="171"/>
    <n v="1451.79"/>
    <s v="cogs"/>
    <x v="3"/>
    <x v="0"/>
    <n v="6"/>
  </r>
  <r>
    <x v="177"/>
    <s v="marketing"/>
    <s v="NA"/>
    <s v="NA"/>
    <n v="100.06"/>
    <s v="marketing"/>
    <x v="0"/>
    <x v="0"/>
    <n v="6"/>
  </r>
  <r>
    <x v="177"/>
    <s v="net sales:product 1"/>
    <n v="9.99"/>
    <n v="96"/>
    <n v="959.04"/>
    <s v="net sales"/>
    <x v="1"/>
    <x v="0"/>
    <n v="6"/>
  </r>
  <r>
    <x v="177"/>
    <s v="net sales:product 2"/>
    <n v="24.99"/>
    <n v="1"/>
    <n v="24.99"/>
    <s v="net sales"/>
    <x v="2"/>
    <x v="0"/>
    <n v="6"/>
  </r>
  <r>
    <x v="177"/>
    <s v="net sales:product 3"/>
    <n v="12.49"/>
    <n v="171"/>
    <n v="2135.79"/>
    <s v="net sales"/>
    <x v="3"/>
    <x v="0"/>
    <n v="6"/>
  </r>
  <r>
    <x v="178"/>
    <s v="cogs:product 1"/>
    <n v="5.99"/>
    <n v="65"/>
    <n v="389.35"/>
    <s v="cogs"/>
    <x v="1"/>
    <x v="0"/>
    <n v="6"/>
  </r>
  <r>
    <x v="178"/>
    <s v="cogs:product 2"/>
    <n v="16.989999999999998"/>
    <n v="9"/>
    <n v="152.91"/>
    <s v="cogs"/>
    <x v="2"/>
    <x v="0"/>
    <n v="6"/>
  </r>
  <r>
    <x v="178"/>
    <s v="cogs:product 3"/>
    <n v="8.49"/>
    <n v="157"/>
    <n v="1332.93"/>
    <s v="cogs"/>
    <x v="3"/>
    <x v="0"/>
    <n v="6"/>
  </r>
  <r>
    <x v="178"/>
    <s v="marketing"/>
    <s v="NA"/>
    <s v="NA"/>
    <n v="100.01"/>
    <s v="marketing"/>
    <x v="0"/>
    <x v="0"/>
    <n v="6"/>
  </r>
  <r>
    <x v="178"/>
    <s v="net sales:product 1"/>
    <n v="9.99"/>
    <n v="65"/>
    <n v="649.35"/>
    <s v="net sales"/>
    <x v="1"/>
    <x v="0"/>
    <n v="6"/>
  </r>
  <r>
    <x v="178"/>
    <s v="net sales:product 2"/>
    <n v="24.99"/>
    <n v="9"/>
    <n v="224.91"/>
    <s v="net sales"/>
    <x v="2"/>
    <x v="0"/>
    <n v="6"/>
  </r>
  <r>
    <x v="178"/>
    <s v="net sales:product 3"/>
    <n v="12.49"/>
    <n v="157"/>
    <n v="1960.93"/>
    <s v="net sales"/>
    <x v="3"/>
    <x v="0"/>
    <n v="6"/>
  </r>
  <r>
    <x v="179"/>
    <s v="cogs:product 1"/>
    <n v="5.99"/>
    <n v="32"/>
    <n v="191.68"/>
    <s v="cogs"/>
    <x v="1"/>
    <x v="0"/>
    <n v="6"/>
  </r>
  <r>
    <x v="179"/>
    <s v="cogs:product 2"/>
    <n v="16.989999999999998"/>
    <n v="5"/>
    <n v="84.949999999999989"/>
    <s v="cogs"/>
    <x v="2"/>
    <x v="0"/>
    <n v="6"/>
  </r>
  <r>
    <x v="179"/>
    <s v="cogs:product 3"/>
    <n v="8.49"/>
    <n v="4"/>
    <n v="33.96"/>
    <s v="cogs"/>
    <x v="3"/>
    <x v="0"/>
    <n v="6"/>
  </r>
  <r>
    <x v="179"/>
    <s v="marketing"/>
    <s v="NA"/>
    <s v="NA"/>
    <n v="100.04"/>
    <s v="marketing"/>
    <x v="0"/>
    <x v="0"/>
    <n v="6"/>
  </r>
  <r>
    <x v="179"/>
    <s v="net sales:product 1"/>
    <n v="9.99"/>
    <n v="32"/>
    <n v="319.68"/>
    <s v="net sales"/>
    <x v="1"/>
    <x v="0"/>
    <n v="6"/>
  </r>
  <r>
    <x v="179"/>
    <s v="net sales:product 2"/>
    <n v="24.99"/>
    <n v="5"/>
    <n v="124.94999999999999"/>
    <s v="net sales"/>
    <x v="2"/>
    <x v="0"/>
    <n v="6"/>
  </r>
  <r>
    <x v="179"/>
    <s v="net sales:product 3"/>
    <n v="12.49"/>
    <n v="4"/>
    <n v="49.96"/>
    <s v="net sales"/>
    <x v="3"/>
    <x v="0"/>
    <n v="6"/>
  </r>
  <r>
    <x v="180"/>
    <s v="cogs:product 1"/>
    <n v="5.99"/>
    <n v="35"/>
    <n v="209.65"/>
    <s v="cogs"/>
    <x v="1"/>
    <x v="0"/>
    <n v="6"/>
  </r>
  <r>
    <x v="180"/>
    <s v="cogs:product 2"/>
    <n v="16.989999999999998"/>
    <n v="4"/>
    <n v="67.959999999999994"/>
    <s v="cogs"/>
    <x v="2"/>
    <x v="0"/>
    <n v="6"/>
  </r>
  <r>
    <x v="180"/>
    <s v="cogs:product 3"/>
    <n v="8.49"/>
    <n v="0"/>
    <n v="0"/>
    <s v="cogs"/>
    <x v="3"/>
    <x v="0"/>
    <n v="6"/>
  </r>
  <r>
    <x v="180"/>
    <s v="marketing"/>
    <s v="NA"/>
    <s v="NA"/>
    <n v="100.04"/>
    <s v="marketing"/>
    <x v="0"/>
    <x v="0"/>
    <n v="6"/>
  </r>
  <r>
    <x v="180"/>
    <s v="net sales:product 1"/>
    <n v="9.99"/>
    <n v="35"/>
    <n v="349.65000000000003"/>
    <s v="net sales"/>
    <x v="1"/>
    <x v="0"/>
    <n v="6"/>
  </r>
  <r>
    <x v="180"/>
    <s v="net sales:product 2"/>
    <n v="24.99"/>
    <n v="4"/>
    <n v="99.96"/>
    <s v="net sales"/>
    <x v="2"/>
    <x v="0"/>
    <n v="6"/>
  </r>
  <r>
    <x v="180"/>
    <s v="net sales:product 3"/>
    <n v="12.49"/>
    <n v="0"/>
    <n v="0"/>
    <s v="net sales"/>
    <x v="3"/>
    <x v="0"/>
    <n v="6"/>
  </r>
  <r>
    <x v="181"/>
    <s v="cogs:product 1"/>
    <n v="5.99"/>
    <n v="91"/>
    <n v="545.09"/>
    <s v="cogs"/>
    <x v="1"/>
    <x v="0"/>
    <n v="6"/>
  </r>
  <r>
    <x v="181"/>
    <s v="cogs:product 2"/>
    <n v="16.989999999999998"/>
    <n v="8"/>
    <n v="135.91999999999999"/>
    <s v="cogs"/>
    <x v="2"/>
    <x v="0"/>
    <n v="6"/>
  </r>
  <r>
    <x v="181"/>
    <s v="cogs:product 3"/>
    <n v="8.49"/>
    <n v="127"/>
    <n v="1078.23"/>
    <s v="cogs"/>
    <x v="3"/>
    <x v="0"/>
    <n v="6"/>
  </r>
  <r>
    <x v="181"/>
    <s v="marketing"/>
    <s v="NA"/>
    <s v="NA"/>
    <n v="100"/>
    <s v="marketing"/>
    <x v="0"/>
    <x v="0"/>
    <n v="6"/>
  </r>
  <r>
    <x v="181"/>
    <s v="net sales:product 1"/>
    <n v="9.99"/>
    <n v="91"/>
    <n v="909.09"/>
    <s v="net sales"/>
    <x v="1"/>
    <x v="0"/>
    <n v="6"/>
  </r>
  <r>
    <x v="181"/>
    <s v="net sales:product 2"/>
    <n v="24.99"/>
    <n v="8"/>
    <n v="199.92"/>
    <s v="net sales"/>
    <x v="2"/>
    <x v="0"/>
    <n v="6"/>
  </r>
  <r>
    <x v="181"/>
    <s v="net sales:product 3"/>
    <n v="12.49"/>
    <n v="127"/>
    <n v="1586.23"/>
    <s v="net sales"/>
    <x v="3"/>
    <x v="0"/>
    <n v="6"/>
  </r>
  <r>
    <x v="182"/>
    <s v="amortization"/>
    <s v="NA"/>
    <s v="NA"/>
    <n v="50"/>
    <s v="amortization"/>
    <x v="0"/>
    <x v="0"/>
    <n v="7"/>
  </r>
  <r>
    <x v="182"/>
    <s v="cogs:product 1"/>
    <n v="5.99"/>
    <n v="43"/>
    <n v="257.57"/>
    <s v="cogs"/>
    <x v="1"/>
    <x v="0"/>
    <n v="7"/>
  </r>
  <r>
    <x v="182"/>
    <s v="cogs:product 2"/>
    <n v="16.989999999999998"/>
    <n v="8"/>
    <n v="135.91999999999999"/>
    <s v="cogs"/>
    <x v="2"/>
    <x v="0"/>
    <n v="7"/>
  </r>
  <r>
    <x v="182"/>
    <s v="cogs:product 3"/>
    <n v="8.49"/>
    <n v="19"/>
    <n v="161.31"/>
    <s v="cogs"/>
    <x v="3"/>
    <x v="0"/>
    <n v="7"/>
  </r>
  <r>
    <x v="182"/>
    <s v="marketing"/>
    <s v="NA"/>
    <s v="NA"/>
    <n v="100.01"/>
    <s v="marketing"/>
    <x v="0"/>
    <x v="0"/>
    <n v="7"/>
  </r>
  <r>
    <x v="182"/>
    <s v="net sales:product 1"/>
    <n v="9.99"/>
    <n v="43"/>
    <n v="429.57"/>
    <s v="net sales"/>
    <x v="1"/>
    <x v="0"/>
    <n v="7"/>
  </r>
  <r>
    <x v="182"/>
    <s v="net sales:product 2"/>
    <n v="24.99"/>
    <n v="8"/>
    <n v="199.92"/>
    <s v="net sales"/>
    <x v="2"/>
    <x v="0"/>
    <n v="7"/>
  </r>
  <r>
    <x v="182"/>
    <s v="net sales:product 3"/>
    <n v="12.49"/>
    <n v="19"/>
    <n v="237.31"/>
    <s v="net sales"/>
    <x v="3"/>
    <x v="0"/>
    <n v="7"/>
  </r>
  <r>
    <x v="182"/>
    <s v="overhead"/>
    <s v="NA"/>
    <s v="NA"/>
    <n v="2000"/>
    <s v="overhead"/>
    <x v="0"/>
    <x v="0"/>
    <n v="7"/>
  </r>
  <r>
    <x v="183"/>
    <s v="cogs:product 1"/>
    <n v="5.99"/>
    <n v="85"/>
    <n v="509.15000000000003"/>
    <s v="cogs"/>
    <x v="1"/>
    <x v="0"/>
    <n v="7"/>
  </r>
  <r>
    <x v="183"/>
    <s v="cogs:product 2"/>
    <n v="16.989999999999998"/>
    <n v="4"/>
    <n v="67.959999999999994"/>
    <s v="cogs"/>
    <x v="2"/>
    <x v="0"/>
    <n v="7"/>
  </r>
  <r>
    <x v="183"/>
    <s v="cogs:product 3"/>
    <n v="8.49"/>
    <n v="161"/>
    <n v="1366.89"/>
    <s v="cogs"/>
    <x v="3"/>
    <x v="0"/>
    <n v="7"/>
  </r>
  <r>
    <x v="183"/>
    <s v="marketing"/>
    <s v="NA"/>
    <s v="NA"/>
    <n v="99.93"/>
    <s v="marketing"/>
    <x v="0"/>
    <x v="0"/>
    <n v="7"/>
  </r>
  <r>
    <x v="183"/>
    <s v="net sales:product 1"/>
    <n v="9.99"/>
    <n v="85"/>
    <n v="849.15"/>
    <s v="net sales"/>
    <x v="1"/>
    <x v="0"/>
    <n v="7"/>
  </r>
  <r>
    <x v="183"/>
    <s v="net sales:product 2"/>
    <n v="24.99"/>
    <n v="4"/>
    <n v="99.96"/>
    <s v="net sales"/>
    <x v="2"/>
    <x v="0"/>
    <n v="7"/>
  </r>
  <r>
    <x v="183"/>
    <s v="net sales:product 3"/>
    <n v="12.49"/>
    <n v="161"/>
    <n v="2010.89"/>
    <s v="net sales"/>
    <x v="3"/>
    <x v="0"/>
    <n v="7"/>
  </r>
  <r>
    <x v="184"/>
    <s v="cogs:product 1"/>
    <n v="5.99"/>
    <n v="28"/>
    <n v="167.72"/>
    <s v="cogs"/>
    <x v="1"/>
    <x v="0"/>
    <n v="7"/>
  </r>
  <r>
    <x v="184"/>
    <s v="cogs:product 2"/>
    <n v="16.989999999999998"/>
    <n v="0"/>
    <n v="0"/>
    <s v="cogs"/>
    <x v="2"/>
    <x v="0"/>
    <n v="7"/>
  </r>
  <r>
    <x v="184"/>
    <s v="cogs:product 3"/>
    <n v="8.49"/>
    <n v="181"/>
    <n v="1536.69"/>
    <s v="cogs"/>
    <x v="3"/>
    <x v="0"/>
    <n v="7"/>
  </r>
  <r>
    <x v="184"/>
    <s v="marketing"/>
    <s v="NA"/>
    <s v="NA"/>
    <n v="99.94"/>
    <s v="marketing"/>
    <x v="0"/>
    <x v="0"/>
    <n v="7"/>
  </r>
  <r>
    <x v="184"/>
    <s v="net sales:product 1"/>
    <n v="9.99"/>
    <n v="28"/>
    <n v="279.72000000000003"/>
    <s v="net sales"/>
    <x v="1"/>
    <x v="0"/>
    <n v="7"/>
  </r>
  <r>
    <x v="184"/>
    <s v="net sales:product 2"/>
    <n v="24.99"/>
    <n v="0"/>
    <n v="0"/>
    <s v="net sales"/>
    <x v="2"/>
    <x v="0"/>
    <n v="7"/>
  </r>
  <r>
    <x v="184"/>
    <s v="net sales:product 3"/>
    <n v="12.49"/>
    <n v="181"/>
    <n v="2260.69"/>
    <s v="net sales"/>
    <x v="3"/>
    <x v="0"/>
    <n v="7"/>
  </r>
  <r>
    <x v="185"/>
    <s v="cogs:product 1"/>
    <n v="5.99"/>
    <n v="0"/>
    <n v="0"/>
    <s v="cogs"/>
    <x v="1"/>
    <x v="0"/>
    <n v="7"/>
  </r>
  <r>
    <x v="185"/>
    <s v="cogs:product 2"/>
    <n v="16.989999999999998"/>
    <n v="2"/>
    <n v="33.979999999999997"/>
    <s v="cogs"/>
    <x v="2"/>
    <x v="0"/>
    <n v="7"/>
  </r>
  <r>
    <x v="185"/>
    <s v="cogs:product 3"/>
    <n v="8.49"/>
    <n v="120"/>
    <n v="1018.8000000000001"/>
    <s v="cogs"/>
    <x v="3"/>
    <x v="0"/>
    <n v="7"/>
  </r>
  <r>
    <x v="185"/>
    <s v="marketing"/>
    <s v="NA"/>
    <s v="NA"/>
    <n v="99.94"/>
    <s v="marketing"/>
    <x v="0"/>
    <x v="0"/>
    <n v="7"/>
  </r>
  <r>
    <x v="185"/>
    <s v="net sales:product 1"/>
    <n v="9.99"/>
    <n v="0"/>
    <n v="0"/>
    <s v="net sales"/>
    <x v="1"/>
    <x v="0"/>
    <n v="7"/>
  </r>
  <r>
    <x v="185"/>
    <s v="net sales:product 2"/>
    <n v="24.99"/>
    <n v="2"/>
    <n v="49.98"/>
    <s v="net sales"/>
    <x v="2"/>
    <x v="0"/>
    <n v="7"/>
  </r>
  <r>
    <x v="185"/>
    <s v="net sales:product 3"/>
    <n v="12.49"/>
    <n v="120"/>
    <n v="1498.8"/>
    <s v="net sales"/>
    <x v="3"/>
    <x v="0"/>
    <n v="7"/>
  </r>
  <r>
    <x v="186"/>
    <s v="cogs:product 1"/>
    <n v="5.99"/>
    <n v="4"/>
    <n v="23.96"/>
    <s v="cogs"/>
    <x v="1"/>
    <x v="0"/>
    <n v="7"/>
  </r>
  <r>
    <x v="186"/>
    <s v="cogs:product 2"/>
    <n v="16.989999999999998"/>
    <n v="8"/>
    <n v="135.91999999999999"/>
    <s v="cogs"/>
    <x v="2"/>
    <x v="0"/>
    <n v="7"/>
  </r>
  <r>
    <x v="186"/>
    <s v="cogs:product 3"/>
    <n v="8.49"/>
    <n v="5"/>
    <n v="42.45"/>
    <s v="cogs"/>
    <x v="3"/>
    <x v="0"/>
    <n v="7"/>
  </r>
  <r>
    <x v="186"/>
    <s v="marketing"/>
    <s v="NA"/>
    <s v="NA"/>
    <n v="100.10000000000001"/>
    <s v="marketing"/>
    <x v="0"/>
    <x v="0"/>
    <n v="7"/>
  </r>
  <r>
    <x v="186"/>
    <s v="net sales:product 1"/>
    <n v="9.99"/>
    <n v="4"/>
    <n v="39.96"/>
    <s v="net sales"/>
    <x v="1"/>
    <x v="0"/>
    <n v="7"/>
  </r>
  <r>
    <x v="186"/>
    <s v="net sales:product 2"/>
    <n v="24.99"/>
    <n v="8"/>
    <n v="199.92"/>
    <s v="net sales"/>
    <x v="2"/>
    <x v="0"/>
    <n v="7"/>
  </r>
  <r>
    <x v="186"/>
    <s v="net sales:product 3"/>
    <n v="12.49"/>
    <n v="5"/>
    <n v="62.45"/>
    <s v="net sales"/>
    <x v="3"/>
    <x v="0"/>
    <n v="7"/>
  </r>
  <r>
    <x v="186"/>
    <s v="payroll"/>
    <s v="NA"/>
    <s v="NA"/>
    <n v="1200"/>
    <s v="payroll"/>
    <x v="0"/>
    <x v="0"/>
    <n v="7"/>
  </r>
  <r>
    <x v="187"/>
    <s v="cogs:product 1"/>
    <n v="5.99"/>
    <n v="48"/>
    <n v="287.52"/>
    <s v="cogs"/>
    <x v="1"/>
    <x v="0"/>
    <n v="7"/>
  </r>
  <r>
    <x v="187"/>
    <s v="cogs:product 2"/>
    <n v="16.989999999999998"/>
    <n v="6"/>
    <n v="101.94"/>
    <s v="cogs"/>
    <x v="2"/>
    <x v="0"/>
    <n v="7"/>
  </r>
  <r>
    <x v="187"/>
    <s v="cogs:product 3"/>
    <n v="8.49"/>
    <n v="228"/>
    <n v="1935.72"/>
    <s v="cogs"/>
    <x v="3"/>
    <x v="0"/>
    <n v="7"/>
  </r>
  <r>
    <x v="187"/>
    <s v="marketing"/>
    <s v="NA"/>
    <s v="NA"/>
    <n v="99.94"/>
    <s v="marketing"/>
    <x v="0"/>
    <x v="0"/>
    <n v="7"/>
  </r>
  <r>
    <x v="187"/>
    <s v="net sales:product 1"/>
    <n v="9.99"/>
    <n v="48"/>
    <n v="479.52"/>
    <s v="net sales"/>
    <x v="1"/>
    <x v="0"/>
    <n v="7"/>
  </r>
  <r>
    <x v="187"/>
    <s v="net sales:product 2"/>
    <n v="24.99"/>
    <n v="6"/>
    <n v="149.94"/>
    <s v="net sales"/>
    <x v="2"/>
    <x v="0"/>
    <n v="7"/>
  </r>
  <r>
    <x v="187"/>
    <s v="net sales:product 3"/>
    <n v="12.49"/>
    <n v="228"/>
    <n v="2847.7200000000003"/>
    <s v="net sales"/>
    <x v="3"/>
    <x v="0"/>
    <n v="7"/>
  </r>
  <r>
    <x v="188"/>
    <s v="cogs:product 1"/>
    <n v="5.99"/>
    <n v="88"/>
    <n v="527.12"/>
    <s v="cogs"/>
    <x v="1"/>
    <x v="0"/>
    <n v="7"/>
  </r>
  <r>
    <x v="188"/>
    <s v="cogs:product 2"/>
    <n v="16.989999999999998"/>
    <n v="4"/>
    <n v="67.959999999999994"/>
    <s v="cogs"/>
    <x v="2"/>
    <x v="0"/>
    <n v="7"/>
  </r>
  <r>
    <x v="188"/>
    <s v="cogs:product 3"/>
    <n v="8.49"/>
    <n v="4"/>
    <n v="33.96"/>
    <s v="cogs"/>
    <x v="3"/>
    <x v="0"/>
    <n v="7"/>
  </r>
  <r>
    <x v="188"/>
    <s v="marketing"/>
    <s v="NA"/>
    <s v="NA"/>
    <n v="100.02"/>
    <s v="marketing"/>
    <x v="0"/>
    <x v="0"/>
    <n v="7"/>
  </r>
  <r>
    <x v="188"/>
    <s v="net sales:product 1"/>
    <n v="9.99"/>
    <n v="88"/>
    <n v="879.12"/>
    <s v="net sales"/>
    <x v="1"/>
    <x v="0"/>
    <n v="7"/>
  </r>
  <r>
    <x v="188"/>
    <s v="net sales:product 2"/>
    <n v="24.99"/>
    <n v="4"/>
    <n v="99.96"/>
    <s v="net sales"/>
    <x v="2"/>
    <x v="0"/>
    <n v="7"/>
  </r>
  <r>
    <x v="188"/>
    <s v="net sales:product 3"/>
    <n v="12.49"/>
    <n v="4"/>
    <n v="49.96"/>
    <s v="net sales"/>
    <x v="3"/>
    <x v="0"/>
    <n v="7"/>
  </r>
  <r>
    <x v="189"/>
    <s v="cogs:product 1"/>
    <n v="5.99"/>
    <n v="86"/>
    <n v="515.14"/>
    <s v="cogs"/>
    <x v="1"/>
    <x v="0"/>
    <n v="7"/>
  </r>
  <r>
    <x v="189"/>
    <s v="cogs:product 2"/>
    <n v="16.989999999999998"/>
    <n v="0"/>
    <n v="0"/>
    <s v="cogs"/>
    <x v="2"/>
    <x v="0"/>
    <n v="7"/>
  </r>
  <r>
    <x v="189"/>
    <s v="cogs:product 3"/>
    <n v="8.49"/>
    <n v="72"/>
    <n v="611.28"/>
    <s v="cogs"/>
    <x v="3"/>
    <x v="0"/>
    <n v="7"/>
  </r>
  <r>
    <x v="189"/>
    <s v="marketing"/>
    <s v="NA"/>
    <s v="NA"/>
    <n v="100.02"/>
    <s v="marketing"/>
    <x v="0"/>
    <x v="0"/>
    <n v="7"/>
  </r>
  <r>
    <x v="189"/>
    <s v="net sales:product 1"/>
    <n v="9.99"/>
    <n v="86"/>
    <n v="859.14"/>
    <s v="net sales"/>
    <x v="1"/>
    <x v="0"/>
    <n v="7"/>
  </r>
  <r>
    <x v="189"/>
    <s v="net sales:product 2"/>
    <n v="24.99"/>
    <n v="0"/>
    <n v="0"/>
    <s v="net sales"/>
    <x v="2"/>
    <x v="0"/>
    <n v="7"/>
  </r>
  <r>
    <x v="189"/>
    <s v="net sales:product 3"/>
    <n v="12.49"/>
    <n v="72"/>
    <n v="899.28"/>
    <s v="net sales"/>
    <x v="3"/>
    <x v="0"/>
    <n v="7"/>
  </r>
  <r>
    <x v="190"/>
    <s v="cogs:product 1"/>
    <n v="5.99"/>
    <n v="41"/>
    <n v="245.59"/>
    <s v="cogs"/>
    <x v="1"/>
    <x v="0"/>
    <n v="7"/>
  </r>
  <r>
    <x v="190"/>
    <s v="cogs:product 2"/>
    <n v="16.989999999999998"/>
    <n v="0"/>
    <n v="0"/>
    <s v="cogs"/>
    <x v="2"/>
    <x v="0"/>
    <n v="7"/>
  </r>
  <r>
    <x v="190"/>
    <s v="cogs:product 3"/>
    <n v="8.49"/>
    <n v="21"/>
    <n v="178.29"/>
    <s v="cogs"/>
    <x v="3"/>
    <x v="0"/>
    <n v="7"/>
  </r>
  <r>
    <x v="190"/>
    <s v="marketing"/>
    <s v="NA"/>
    <s v="NA"/>
    <n v="99.960000000000008"/>
    <s v="marketing"/>
    <x v="0"/>
    <x v="0"/>
    <n v="7"/>
  </r>
  <r>
    <x v="190"/>
    <s v="net sales:product 1"/>
    <n v="9.99"/>
    <n v="41"/>
    <n v="409.59000000000003"/>
    <s v="net sales"/>
    <x v="1"/>
    <x v="0"/>
    <n v="7"/>
  </r>
  <r>
    <x v="190"/>
    <s v="net sales:product 2"/>
    <n v="24.99"/>
    <n v="0"/>
    <n v="0"/>
    <s v="net sales"/>
    <x v="2"/>
    <x v="0"/>
    <n v="7"/>
  </r>
  <r>
    <x v="190"/>
    <s v="net sales:product 3"/>
    <n v="12.49"/>
    <n v="21"/>
    <n v="262.29000000000002"/>
    <s v="net sales"/>
    <x v="3"/>
    <x v="0"/>
    <n v="7"/>
  </r>
  <r>
    <x v="191"/>
    <s v="cogs:product 1"/>
    <n v="5.99"/>
    <n v="55"/>
    <n v="329.45"/>
    <s v="cogs"/>
    <x v="1"/>
    <x v="0"/>
    <n v="7"/>
  </r>
  <r>
    <x v="191"/>
    <s v="cogs:product 2"/>
    <n v="16.989999999999998"/>
    <n v="2"/>
    <n v="33.979999999999997"/>
    <s v="cogs"/>
    <x v="2"/>
    <x v="0"/>
    <n v="7"/>
  </r>
  <r>
    <x v="191"/>
    <s v="cogs:product 3"/>
    <n v="8.49"/>
    <n v="192"/>
    <n v="1630.08"/>
    <s v="cogs"/>
    <x v="3"/>
    <x v="0"/>
    <n v="7"/>
  </r>
  <r>
    <x v="191"/>
    <s v="marketing"/>
    <s v="NA"/>
    <s v="NA"/>
    <n v="99.990000000000009"/>
    <s v="marketing"/>
    <x v="0"/>
    <x v="0"/>
    <n v="7"/>
  </r>
  <r>
    <x v="191"/>
    <s v="net sales:product 1"/>
    <n v="9.99"/>
    <n v="55"/>
    <n v="549.45000000000005"/>
    <s v="net sales"/>
    <x v="1"/>
    <x v="0"/>
    <n v="7"/>
  </r>
  <r>
    <x v="191"/>
    <s v="net sales:product 2"/>
    <n v="24.99"/>
    <n v="2"/>
    <n v="49.98"/>
    <s v="net sales"/>
    <x v="2"/>
    <x v="0"/>
    <n v="7"/>
  </r>
  <r>
    <x v="191"/>
    <s v="net sales:product 3"/>
    <n v="12.49"/>
    <n v="192"/>
    <n v="2398.08"/>
    <s v="net sales"/>
    <x v="3"/>
    <x v="0"/>
    <n v="7"/>
  </r>
  <r>
    <x v="192"/>
    <s v="cogs:product 1"/>
    <n v="5.99"/>
    <n v="66"/>
    <n v="395.34000000000003"/>
    <s v="cogs"/>
    <x v="1"/>
    <x v="0"/>
    <n v="7"/>
  </r>
  <r>
    <x v="192"/>
    <s v="cogs:product 2"/>
    <n v="16.989999999999998"/>
    <n v="3"/>
    <n v="50.97"/>
    <s v="cogs"/>
    <x v="2"/>
    <x v="0"/>
    <n v="7"/>
  </r>
  <r>
    <x v="192"/>
    <s v="cogs:product 3"/>
    <n v="8.49"/>
    <n v="232"/>
    <n v="1969.68"/>
    <s v="cogs"/>
    <x v="3"/>
    <x v="0"/>
    <n v="7"/>
  </r>
  <r>
    <x v="192"/>
    <s v="marketing"/>
    <s v="NA"/>
    <s v="NA"/>
    <n v="99.960000000000008"/>
    <s v="marketing"/>
    <x v="0"/>
    <x v="0"/>
    <n v="7"/>
  </r>
  <r>
    <x v="192"/>
    <s v="net sales:product 1"/>
    <n v="9.99"/>
    <n v="66"/>
    <n v="659.34"/>
    <s v="net sales"/>
    <x v="1"/>
    <x v="0"/>
    <n v="7"/>
  </r>
  <r>
    <x v="192"/>
    <s v="net sales:product 2"/>
    <n v="24.99"/>
    <n v="3"/>
    <n v="74.97"/>
    <s v="net sales"/>
    <x v="2"/>
    <x v="0"/>
    <n v="7"/>
  </r>
  <r>
    <x v="192"/>
    <s v="net sales:product 3"/>
    <n v="12.49"/>
    <n v="232"/>
    <n v="2897.68"/>
    <s v="net sales"/>
    <x v="3"/>
    <x v="0"/>
    <n v="7"/>
  </r>
  <r>
    <x v="193"/>
    <s v="cogs:product 1"/>
    <n v="5.99"/>
    <n v="72"/>
    <n v="431.28000000000003"/>
    <s v="cogs"/>
    <x v="1"/>
    <x v="0"/>
    <n v="7"/>
  </r>
  <r>
    <x v="193"/>
    <s v="cogs:product 2"/>
    <n v="16.989999999999998"/>
    <n v="8"/>
    <n v="135.91999999999999"/>
    <s v="cogs"/>
    <x v="2"/>
    <x v="0"/>
    <n v="7"/>
  </r>
  <r>
    <x v="193"/>
    <s v="cogs:product 3"/>
    <n v="8.49"/>
    <n v="48"/>
    <n v="407.52"/>
    <s v="cogs"/>
    <x v="3"/>
    <x v="0"/>
    <n v="7"/>
  </r>
  <r>
    <x v="193"/>
    <s v="marketing"/>
    <s v="NA"/>
    <s v="NA"/>
    <n v="99.97"/>
    <s v="marketing"/>
    <x v="0"/>
    <x v="0"/>
    <n v="7"/>
  </r>
  <r>
    <x v="193"/>
    <s v="net sales:product 1"/>
    <n v="9.99"/>
    <n v="72"/>
    <n v="719.28"/>
    <s v="net sales"/>
    <x v="1"/>
    <x v="0"/>
    <n v="7"/>
  </r>
  <r>
    <x v="193"/>
    <s v="net sales:product 2"/>
    <n v="24.99"/>
    <n v="8"/>
    <n v="199.92"/>
    <s v="net sales"/>
    <x v="2"/>
    <x v="0"/>
    <n v="7"/>
  </r>
  <r>
    <x v="193"/>
    <s v="net sales:product 3"/>
    <n v="12.49"/>
    <n v="48"/>
    <n v="599.52"/>
    <s v="net sales"/>
    <x v="3"/>
    <x v="0"/>
    <n v="7"/>
  </r>
  <r>
    <x v="194"/>
    <s v="cogs:product 1"/>
    <n v="5.99"/>
    <n v="14"/>
    <n v="83.86"/>
    <s v="cogs"/>
    <x v="1"/>
    <x v="0"/>
    <n v="7"/>
  </r>
  <r>
    <x v="194"/>
    <s v="cogs:product 2"/>
    <n v="16.989999999999998"/>
    <n v="9"/>
    <n v="152.91"/>
    <s v="cogs"/>
    <x v="2"/>
    <x v="0"/>
    <n v="7"/>
  </r>
  <r>
    <x v="194"/>
    <s v="cogs:product 3"/>
    <n v="8.49"/>
    <n v="83"/>
    <n v="704.67000000000007"/>
    <s v="cogs"/>
    <x v="3"/>
    <x v="0"/>
    <n v="7"/>
  </r>
  <r>
    <x v="194"/>
    <s v="marketing"/>
    <s v="NA"/>
    <s v="NA"/>
    <n v="100.05"/>
    <s v="marketing"/>
    <x v="0"/>
    <x v="0"/>
    <n v="7"/>
  </r>
  <r>
    <x v="194"/>
    <s v="net sales:product 1"/>
    <n v="9.99"/>
    <n v="14"/>
    <n v="139.86000000000001"/>
    <s v="net sales"/>
    <x v="1"/>
    <x v="0"/>
    <n v="7"/>
  </r>
  <r>
    <x v="194"/>
    <s v="net sales:product 2"/>
    <n v="24.99"/>
    <n v="9"/>
    <n v="224.91"/>
    <s v="net sales"/>
    <x v="2"/>
    <x v="0"/>
    <n v="7"/>
  </r>
  <r>
    <x v="194"/>
    <s v="net sales:product 3"/>
    <n v="12.49"/>
    <n v="83"/>
    <n v="1036.67"/>
    <s v="net sales"/>
    <x v="3"/>
    <x v="0"/>
    <n v="7"/>
  </r>
  <r>
    <x v="195"/>
    <s v="cogs:product 1"/>
    <n v="5.99"/>
    <n v="14"/>
    <n v="83.86"/>
    <s v="cogs"/>
    <x v="1"/>
    <x v="0"/>
    <n v="7"/>
  </r>
  <r>
    <x v="195"/>
    <s v="cogs:product 2"/>
    <n v="16.989999999999998"/>
    <n v="2"/>
    <n v="33.979999999999997"/>
    <s v="cogs"/>
    <x v="2"/>
    <x v="0"/>
    <n v="7"/>
  </r>
  <r>
    <x v="195"/>
    <s v="cogs:product 3"/>
    <n v="8.49"/>
    <n v="131"/>
    <n v="1112.19"/>
    <s v="cogs"/>
    <x v="3"/>
    <x v="0"/>
    <n v="7"/>
  </r>
  <r>
    <x v="195"/>
    <s v="marketing"/>
    <s v="NA"/>
    <s v="NA"/>
    <n v="100.01"/>
    <s v="marketing"/>
    <x v="0"/>
    <x v="0"/>
    <n v="7"/>
  </r>
  <r>
    <x v="195"/>
    <s v="net sales:product 1"/>
    <n v="9.99"/>
    <n v="14"/>
    <n v="139.86000000000001"/>
    <s v="net sales"/>
    <x v="1"/>
    <x v="0"/>
    <n v="7"/>
  </r>
  <r>
    <x v="195"/>
    <s v="net sales:product 2"/>
    <n v="24.99"/>
    <n v="2"/>
    <n v="49.98"/>
    <s v="net sales"/>
    <x v="2"/>
    <x v="0"/>
    <n v="7"/>
  </r>
  <r>
    <x v="195"/>
    <s v="net sales:product 3"/>
    <n v="12.49"/>
    <n v="131"/>
    <n v="1636.19"/>
    <s v="net sales"/>
    <x v="3"/>
    <x v="0"/>
    <n v="7"/>
  </r>
  <r>
    <x v="196"/>
    <s v="cogs:product 1"/>
    <n v="5.99"/>
    <n v="29"/>
    <n v="173.71"/>
    <s v="cogs"/>
    <x v="1"/>
    <x v="0"/>
    <n v="7"/>
  </r>
  <r>
    <x v="196"/>
    <s v="cogs:product 2"/>
    <n v="16.989999999999998"/>
    <n v="5"/>
    <n v="84.949999999999989"/>
    <s v="cogs"/>
    <x v="2"/>
    <x v="0"/>
    <n v="7"/>
  </r>
  <r>
    <x v="196"/>
    <s v="cogs:product 3"/>
    <n v="8.49"/>
    <n v="58"/>
    <n v="492.42"/>
    <s v="cogs"/>
    <x v="3"/>
    <x v="0"/>
    <n v="7"/>
  </r>
  <r>
    <x v="196"/>
    <s v="interest"/>
    <s v="NA"/>
    <s v="NA"/>
    <n v="1258.28"/>
    <s v="interest"/>
    <x v="0"/>
    <x v="0"/>
    <n v="7"/>
  </r>
  <r>
    <x v="196"/>
    <s v="marketing"/>
    <s v="NA"/>
    <s v="NA"/>
    <n v="99.97"/>
    <s v="marketing"/>
    <x v="0"/>
    <x v="0"/>
    <n v="7"/>
  </r>
  <r>
    <x v="196"/>
    <s v="net sales:product 1"/>
    <n v="9.99"/>
    <n v="29"/>
    <n v="289.70999999999998"/>
    <s v="net sales"/>
    <x v="1"/>
    <x v="0"/>
    <n v="7"/>
  </r>
  <r>
    <x v="196"/>
    <s v="net sales:product 2"/>
    <n v="24.99"/>
    <n v="5"/>
    <n v="124.94999999999999"/>
    <s v="net sales"/>
    <x v="2"/>
    <x v="0"/>
    <n v="7"/>
  </r>
  <r>
    <x v="196"/>
    <s v="net sales:product 3"/>
    <n v="12.49"/>
    <n v="58"/>
    <n v="724.42"/>
    <s v="net sales"/>
    <x v="3"/>
    <x v="0"/>
    <n v="7"/>
  </r>
  <r>
    <x v="196"/>
    <s v="overhead"/>
    <s v="NA"/>
    <s v="NA"/>
    <n v="314.57"/>
    <s v="overhead"/>
    <x v="0"/>
    <x v="0"/>
    <n v="7"/>
  </r>
  <r>
    <x v="197"/>
    <s v="cogs:product 1"/>
    <n v="5.99"/>
    <n v="33"/>
    <n v="197.67000000000002"/>
    <s v="cogs"/>
    <x v="1"/>
    <x v="0"/>
    <n v="7"/>
  </r>
  <r>
    <x v="197"/>
    <s v="cogs:product 2"/>
    <n v="16.989999999999998"/>
    <n v="7"/>
    <n v="118.92999999999999"/>
    <s v="cogs"/>
    <x v="2"/>
    <x v="0"/>
    <n v="7"/>
  </r>
  <r>
    <x v="197"/>
    <s v="cogs:product 3"/>
    <n v="8.49"/>
    <n v="24"/>
    <n v="203.76"/>
    <s v="cogs"/>
    <x v="3"/>
    <x v="0"/>
    <n v="7"/>
  </r>
  <r>
    <x v="197"/>
    <s v="marketing"/>
    <s v="NA"/>
    <s v="NA"/>
    <n v="100.05"/>
    <s v="marketing"/>
    <x v="0"/>
    <x v="0"/>
    <n v="7"/>
  </r>
  <r>
    <x v="197"/>
    <s v="net sales:product 1"/>
    <n v="9.99"/>
    <n v="33"/>
    <n v="329.67"/>
    <s v="net sales"/>
    <x v="1"/>
    <x v="0"/>
    <n v="7"/>
  </r>
  <r>
    <x v="197"/>
    <s v="net sales:product 2"/>
    <n v="24.99"/>
    <n v="7"/>
    <n v="174.92999999999998"/>
    <s v="net sales"/>
    <x v="2"/>
    <x v="0"/>
    <n v="7"/>
  </r>
  <r>
    <x v="197"/>
    <s v="net sales:product 3"/>
    <n v="12.49"/>
    <n v="24"/>
    <n v="299.76"/>
    <s v="net sales"/>
    <x v="3"/>
    <x v="0"/>
    <n v="7"/>
  </r>
  <r>
    <x v="198"/>
    <s v="cogs:product 1"/>
    <n v="5.99"/>
    <n v="24"/>
    <n v="143.76"/>
    <s v="cogs"/>
    <x v="1"/>
    <x v="0"/>
    <n v="7"/>
  </r>
  <r>
    <x v="198"/>
    <s v="cogs:product 2"/>
    <n v="16.989999999999998"/>
    <n v="1"/>
    <n v="16.989999999999998"/>
    <s v="cogs"/>
    <x v="2"/>
    <x v="0"/>
    <n v="7"/>
  </r>
  <r>
    <x v="198"/>
    <s v="cogs:product 3"/>
    <n v="8.49"/>
    <n v="166"/>
    <n v="1409.3400000000001"/>
    <s v="cogs"/>
    <x v="3"/>
    <x v="0"/>
    <n v="7"/>
  </r>
  <r>
    <x v="198"/>
    <s v="marketing"/>
    <s v="NA"/>
    <s v="NA"/>
    <n v="99.92"/>
    <s v="marketing"/>
    <x v="0"/>
    <x v="0"/>
    <n v="7"/>
  </r>
  <r>
    <x v="198"/>
    <s v="net sales:product 1"/>
    <n v="9.99"/>
    <n v="24"/>
    <n v="239.76"/>
    <s v="net sales"/>
    <x v="1"/>
    <x v="0"/>
    <n v="7"/>
  </r>
  <r>
    <x v="198"/>
    <s v="net sales:product 2"/>
    <n v="24.99"/>
    <n v="1"/>
    <n v="24.99"/>
    <s v="net sales"/>
    <x v="2"/>
    <x v="0"/>
    <n v="7"/>
  </r>
  <r>
    <x v="198"/>
    <s v="net sales:product 3"/>
    <n v="12.49"/>
    <n v="166"/>
    <n v="2073.34"/>
    <s v="net sales"/>
    <x v="3"/>
    <x v="0"/>
    <n v="7"/>
  </r>
  <r>
    <x v="199"/>
    <s v="cogs:product 1"/>
    <n v="5.99"/>
    <n v="35"/>
    <n v="209.65"/>
    <s v="cogs"/>
    <x v="1"/>
    <x v="0"/>
    <n v="7"/>
  </r>
  <r>
    <x v="199"/>
    <s v="cogs:product 2"/>
    <n v="16.989999999999998"/>
    <n v="9"/>
    <n v="152.91"/>
    <s v="cogs"/>
    <x v="2"/>
    <x v="0"/>
    <n v="7"/>
  </r>
  <r>
    <x v="199"/>
    <s v="cogs:product 3"/>
    <n v="8.49"/>
    <n v="217"/>
    <n v="1842.3300000000002"/>
    <s v="cogs"/>
    <x v="3"/>
    <x v="0"/>
    <n v="7"/>
  </r>
  <r>
    <x v="199"/>
    <s v="marketing"/>
    <s v="NA"/>
    <s v="NA"/>
    <n v="99.95"/>
    <s v="marketing"/>
    <x v="0"/>
    <x v="0"/>
    <n v="7"/>
  </r>
  <r>
    <x v="199"/>
    <s v="net sales:product 1"/>
    <n v="9.99"/>
    <n v="35"/>
    <n v="349.65000000000003"/>
    <s v="net sales"/>
    <x v="1"/>
    <x v="0"/>
    <n v="7"/>
  </r>
  <r>
    <x v="199"/>
    <s v="net sales:product 2"/>
    <n v="24.99"/>
    <n v="9"/>
    <n v="224.91"/>
    <s v="net sales"/>
    <x v="2"/>
    <x v="0"/>
    <n v="7"/>
  </r>
  <r>
    <x v="199"/>
    <s v="net sales:product 3"/>
    <n v="12.49"/>
    <n v="217"/>
    <n v="2710.33"/>
    <s v="net sales"/>
    <x v="3"/>
    <x v="0"/>
    <n v="7"/>
  </r>
  <r>
    <x v="200"/>
    <s v="cogs:product 1"/>
    <n v="5.99"/>
    <n v="6"/>
    <n v="35.94"/>
    <s v="cogs"/>
    <x v="1"/>
    <x v="0"/>
    <n v="7"/>
  </r>
  <r>
    <x v="200"/>
    <s v="cogs:product 2"/>
    <n v="16.989999999999998"/>
    <n v="7"/>
    <n v="118.92999999999999"/>
    <s v="cogs"/>
    <x v="2"/>
    <x v="0"/>
    <n v="7"/>
  </r>
  <r>
    <x v="200"/>
    <s v="cogs:product 3"/>
    <n v="8.49"/>
    <n v="113"/>
    <n v="959.37"/>
    <s v="cogs"/>
    <x v="3"/>
    <x v="0"/>
    <n v="7"/>
  </r>
  <r>
    <x v="200"/>
    <s v="marketing"/>
    <s v="NA"/>
    <s v="NA"/>
    <n v="100.03"/>
    <s v="marketing"/>
    <x v="0"/>
    <x v="0"/>
    <n v="7"/>
  </r>
  <r>
    <x v="200"/>
    <s v="net sales:product 1"/>
    <n v="9.99"/>
    <n v="6"/>
    <n v="59.94"/>
    <s v="net sales"/>
    <x v="1"/>
    <x v="0"/>
    <n v="7"/>
  </r>
  <r>
    <x v="200"/>
    <s v="net sales:product 2"/>
    <n v="24.99"/>
    <n v="7"/>
    <n v="174.92999999999998"/>
    <s v="net sales"/>
    <x v="2"/>
    <x v="0"/>
    <n v="7"/>
  </r>
  <r>
    <x v="200"/>
    <s v="net sales:product 3"/>
    <n v="12.49"/>
    <n v="113"/>
    <n v="1411.3700000000001"/>
    <s v="net sales"/>
    <x v="3"/>
    <x v="0"/>
    <n v="7"/>
  </r>
  <r>
    <x v="200"/>
    <s v="payroll"/>
    <s v="NA"/>
    <s v="NA"/>
    <n v="1200"/>
    <s v="payroll"/>
    <x v="0"/>
    <x v="0"/>
    <n v="7"/>
  </r>
  <r>
    <x v="201"/>
    <s v="cogs:product 1"/>
    <n v="5.99"/>
    <n v="41"/>
    <n v="245.59"/>
    <s v="cogs"/>
    <x v="1"/>
    <x v="0"/>
    <n v="7"/>
  </r>
  <r>
    <x v="201"/>
    <s v="cogs:product 2"/>
    <n v="16.989999999999998"/>
    <n v="8"/>
    <n v="135.91999999999999"/>
    <s v="cogs"/>
    <x v="2"/>
    <x v="0"/>
    <n v="7"/>
  </r>
  <r>
    <x v="201"/>
    <s v="cogs:product 3"/>
    <n v="8.49"/>
    <n v="17"/>
    <n v="144.33000000000001"/>
    <s v="cogs"/>
    <x v="3"/>
    <x v="0"/>
    <n v="7"/>
  </r>
  <r>
    <x v="201"/>
    <s v="marketing"/>
    <s v="NA"/>
    <s v="NA"/>
    <n v="99.97"/>
    <s v="marketing"/>
    <x v="0"/>
    <x v="0"/>
    <n v="7"/>
  </r>
  <r>
    <x v="201"/>
    <s v="net sales:product 1"/>
    <n v="9.99"/>
    <n v="41"/>
    <n v="409.59000000000003"/>
    <s v="net sales"/>
    <x v="1"/>
    <x v="0"/>
    <n v="7"/>
  </r>
  <r>
    <x v="201"/>
    <s v="net sales:product 2"/>
    <n v="24.99"/>
    <n v="8"/>
    <n v="199.92"/>
    <s v="net sales"/>
    <x v="2"/>
    <x v="0"/>
    <n v="7"/>
  </r>
  <r>
    <x v="201"/>
    <s v="net sales:product 3"/>
    <n v="12.49"/>
    <n v="17"/>
    <n v="212.33"/>
    <s v="net sales"/>
    <x v="3"/>
    <x v="0"/>
    <n v="7"/>
  </r>
  <r>
    <x v="202"/>
    <s v="cogs:product 1"/>
    <n v="5.99"/>
    <n v="40"/>
    <n v="239.60000000000002"/>
    <s v="cogs"/>
    <x v="1"/>
    <x v="0"/>
    <n v="7"/>
  </r>
  <r>
    <x v="202"/>
    <s v="cogs:product 2"/>
    <n v="16.989999999999998"/>
    <n v="7"/>
    <n v="118.92999999999999"/>
    <s v="cogs"/>
    <x v="2"/>
    <x v="0"/>
    <n v="7"/>
  </r>
  <r>
    <x v="202"/>
    <s v="cogs:product 3"/>
    <n v="8.49"/>
    <n v="238"/>
    <n v="2020.6200000000001"/>
    <s v="cogs"/>
    <x v="3"/>
    <x v="0"/>
    <n v="7"/>
  </r>
  <r>
    <x v="202"/>
    <s v="marketing"/>
    <s v="NA"/>
    <s v="NA"/>
    <n v="99.94"/>
    <s v="marketing"/>
    <x v="0"/>
    <x v="0"/>
    <n v="7"/>
  </r>
  <r>
    <x v="202"/>
    <s v="net sales:product 1"/>
    <n v="9.99"/>
    <n v="40"/>
    <n v="399.6"/>
    <s v="net sales"/>
    <x v="1"/>
    <x v="0"/>
    <n v="7"/>
  </r>
  <r>
    <x v="202"/>
    <s v="net sales:product 2"/>
    <n v="24.99"/>
    <n v="7"/>
    <n v="174.92999999999998"/>
    <s v="net sales"/>
    <x v="2"/>
    <x v="0"/>
    <n v="7"/>
  </r>
  <r>
    <x v="202"/>
    <s v="net sales:product 3"/>
    <n v="12.49"/>
    <n v="238"/>
    <n v="2972.62"/>
    <s v="net sales"/>
    <x v="3"/>
    <x v="0"/>
    <n v="7"/>
  </r>
  <r>
    <x v="203"/>
    <s v="cogs:product 1"/>
    <n v="5.99"/>
    <n v="58"/>
    <n v="347.42"/>
    <s v="cogs"/>
    <x v="1"/>
    <x v="0"/>
    <n v="7"/>
  </r>
  <r>
    <x v="203"/>
    <s v="cogs:product 2"/>
    <n v="16.989999999999998"/>
    <n v="5"/>
    <n v="84.949999999999989"/>
    <s v="cogs"/>
    <x v="2"/>
    <x v="0"/>
    <n v="7"/>
  </r>
  <r>
    <x v="203"/>
    <s v="cogs:product 3"/>
    <n v="8.49"/>
    <n v="125"/>
    <n v="1061.25"/>
    <s v="cogs"/>
    <x v="3"/>
    <x v="0"/>
    <n v="7"/>
  </r>
  <r>
    <x v="203"/>
    <s v="marketing"/>
    <s v="NA"/>
    <s v="NA"/>
    <n v="99.94"/>
    <s v="marketing"/>
    <x v="0"/>
    <x v="0"/>
    <n v="7"/>
  </r>
  <r>
    <x v="203"/>
    <s v="net sales:product 1"/>
    <n v="9.99"/>
    <n v="58"/>
    <n v="579.41999999999996"/>
    <s v="net sales"/>
    <x v="1"/>
    <x v="0"/>
    <n v="7"/>
  </r>
  <r>
    <x v="203"/>
    <s v="net sales:product 2"/>
    <n v="24.99"/>
    <n v="5"/>
    <n v="124.94999999999999"/>
    <s v="net sales"/>
    <x v="2"/>
    <x v="0"/>
    <n v="7"/>
  </r>
  <r>
    <x v="203"/>
    <s v="net sales:product 3"/>
    <n v="12.49"/>
    <n v="125"/>
    <n v="1561.25"/>
    <s v="net sales"/>
    <x v="3"/>
    <x v="0"/>
    <n v="7"/>
  </r>
  <r>
    <x v="204"/>
    <s v="cogs:product 1"/>
    <n v="5.99"/>
    <n v="45"/>
    <n v="269.55"/>
    <s v="cogs"/>
    <x v="1"/>
    <x v="0"/>
    <n v="7"/>
  </r>
  <r>
    <x v="204"/>
    <s v="cogs:product 2"/>
    <n v="16.989999999999998"/>
    <n v="9"/>
    <n v="152.91"/>
    <s v="cogs"/>
    <x v="2"/>
    <x v="0"/>
    <n v="7"/>
  </r>
  <r>
    <x v="204"/>
    <s v="cogs:product 3"/>
    <n v="8.49"/>
    <n v="108"/>
    <n v="916.92000000000007"/>
    <s v="cogs"/>
    <x v="3"/>
    <x v="0"/>
    <n v="7"/>
  </r>
  <r>
    <x v="204"/>
    <s v="marketing"/>
    <s v="NA"/>
    <s v="NA"/>
    <n v="99.990000000000009"/>
    <s v="marketing"/>
    <x v="0"/>
    <x v="0"/>
    <n v="7"/>
  </r>
  <r>
    <x v="204"/>
    <s v="net sales:product 1"/>
    <n v="9.99"/>
    <n v="45"/>
    <n v="449.55"/>
    <s v="net sales"/>
    <x v="1"/>
    <x v="0"/>
    <n v="7"/>
  </r>
  <r>
    <x v="204"/>
    <s v="net sales:product 2"/>
    <n v="24.99"/>
    <n v="9"/>
    <n v="224.91"/>
    <s v="net sales"/>
    <x v="2"/>
    <x v="0"/>
    <n v="7"/>
  </r>
  <r>
    <x v="204"/>
    <s v="net sales:product 3"/>
    <n v="12.49"/>
    <n v="108"/>
    <n v="1348.92"/>
    <s v="net sales"/>
    <x v="3"/>
    <x v="0"/>
    <n v="7"/>
  </r>
  <r>
    <x v="205"/>
    <s v="cogs:product 1"/>
    <n v="5.99"/>
    <n v="34"/>
    <n v="203.66"/>
    <s v="cogs"/>
    <x v="1"/>
    <x v="0"/>
    <n v="7"/>
  </r>
  <r>
    <x v="205"/>
    <s v="cogs:product 2"/>
    <n v="16.989999999999998"/>
    <n v="3"/>
    <n v="50.97"/>
    <s v="cogs"/>
    <x v="2"/>
    <x v="0"/>
    <n v="7"/>
  </r>
  <r>
    <x v="205"/>
    <s v="cogs:product 3"/>
    <n v="8.49"/>
    <n v="0"/>
    <n v="0"/>
    <s v="cogs"/>
    <x v="3"/>
    <x v="0"/>
    <n v="7"/>
  </r>
  <r>
    <x v="205"/>
    <s v="marketing"/>
    <s v="NA"/>
    <s v="NA"/>
    <n v="99.93"/>
    <s v="marketing"/>
    <x v="0"/>
    <x v="0"/>
    <n v="7"/>
  </r>
  <r>
    <x v="205"/>
    <s v="net sales:product 1"/>
    <n v="9.99"/>
    <n v="34"/>
    <n v="339.66"/>
    <s v="net sales"/>
    <x v="1"/>
    <x v="0"/>
    <n v="7"/>
  </r>
  <r>
    <x v="205"/>
    <s v="net sales:product 2"/>
    <n v="24.99"/>
    <n v="3"/>
    <n v="74.97"/>
    <s v="net sales"/>
    <x v="2"/>
    <x v="0"/>
    <n v="7"/>
  </r>
  <r>
    <x v="205"/>
    <s v="net sales:product 3"/>
    <n v="12.49"/>
    <n v="0"/>
    <n v="0"/>
    <s v="net sales"/>
    <x v="3"/>
    <x v="0"/>
    <n v="7"/>
  </r>
  <r>
    <x v="206"/>
    <s v="cogs:product 1"/>
    <n v="5.99"/>
    <n v="99"/>
    <n v="593.01"/>
    <s v="cogs"/>
    <x v="1"/>
    <x v="0"/>
    <n v="7"/>
  </r>
  <r>
    <x v="206"/>
    <s v="cogs:product 2"/>
    <n v="16.989999999999998"/>
    <n v="4"/>
    <n v="67.959999999999994"/>
    <s v="cogs"/>
    <x v="2"/>
    <x v="0"/>
    <n v="7"/>
  </r>
  <r>
    <x v="206"/>
    <s v="cogs:product 3"/>
    <n v="8.49"/>
    <n v="2"/>
    <n v="16.98"/>
    <s v="cogs"/>
    <x v="3"/>
    <x v="0"/>
    <n v="7"/>
  </r>
  <r>
    <x v="206"/>
    <s v="marketing"/>
    <s v="NA"/>
    <s v="NA"/>
    <n v="100.01"/>
    <s v="marketing"/>
    <x v="0"/>
    <x v="0"/>
    <n v="7"/>
  </r>
  <r>
    <x v="206"/>
    <s v="net sales:product 1"/>
    <n v="9.99"/>
    <n v="99"/>
    <n v="989.01"/>
    <s v="net sales"/>
    <x v="1"/>
    <x v="0"/>
    <n v="7"/>
  </r>
  <r>
    <x v="206"/>
    <s v="net sales:product 2"/>
    <n v="24.99"/>
    <n v="4"/>
    <n v="99.96"/>
    <s v="net sales"/>
    <x v="2"/>
    <x v="0"/>
    <n v="7"/>
  </r>
  <r>
    <x v="206"/>
    <s v="net sales:product 3"/>
    <n v="12.49"/>
    <n v="2"/>
    <n v="24.98"/>
    <s v="net sales"/>
    <x v="3"/>
    <x v="0"/>
    <n v="7"/>
  </r>
  <r>
    <x v="207"/>
    <s v="cogs:product 1"/>
    <n v="5.99"/>
    <n v="87"/>
    <n v="521.13"/>
    <s v="cogs"/>
    <x v="1"/>
    <x v="0"/>
    <n v="7"/>
  </r>
  <r>
    <x v="207"/>
    <s v="cogs:product 2"/>
    <n v="16.989999999999998"/>
    <n v="5"/>
    <n v="84.949999999999989"/>
    <s v="cogs"/>
    <x v="2"/>
    <x v="0"/>
    <n v="7"/>
  </r>
  <r>
    <x v="207"/>
    <s v="cogs:product 3"/>
    <n v="8.49"/>
    <n v="50"/>
    <n v="424.5"/>
    <s v="cogs"/>
    <x v="3"/>
    <x v="0"/>
    <n v="7"/>
  </r>
  <r>
    <x v="207"/>
    <s v="marketing"/>
    <s v="NA"/>
    <s v="NA"/>
    <n v="100.10000000000001"/>
    <s v="marketing"/>
    <x v="0"/>
    <x v="0"/>
    <n v="7"/>
  </r>
  <r>
    <x v="207"/>
    <s v="net sales:product 1"/>
    <n v="9.99"/>
    <n v="87"/>
    <n v="869.13"/>
    <s v="net sales"/>
    <x v="1"/>
    <x v="0"/>
    <n v="7"/>
  </r>
  <r>
    <x v="207"/>
    <s v="net sales:product 2"/>
    <n v="24.99"/>
    <n v="5"/>
    <n v="124.94999999999999"/>
    <s v="net sales"/>
    <x v="2"/>
    <x v="0"/>
    <n v="7"/>
  </r>
  <r>
    <x v="207"/>
    <s v="net sales:product 3"/>
    <n v="12.49"/>
    <n v="50"/>
    <n v="624.5"/>
    <s v="net sales"/>
    <x v="3"/>
    <x v="0"/>
    <n v="7"/>
  </r>
  <r>
    <x v="208"/>
    <s v="cogs:product 1"/>
    <n v="5.99"/>
    <n v="63"/>
    <n v="377.37"/>
    <s v="cogs"/>
    <x v="1"/>
    <x v="0"/>
    <n v="7"/>
  </r>
  <r>
    <x v="208"/>
    <s v="cogs:product 2"/>
    <n v="16.989999999999998"/>
    <n v="10"/>
    <n v="169.89999999999998"/>
    <s v="cogs"/>
    <x v="2"/>
    <x v="0"/>
    <n v="7"/>
  </r>
  <r>
    <x v="208"/>
    <s v="cogs:product 3"/>
    <n v="8.49"/>
    <n v="200"/>
    <n v="1698"/>
    <s v="cogs"/>
    <x v="3"/>
    <x v="0"/>
    <n v="7"/>
  </r>
  <r>
    <x v="208"/>
    <s v="marketing"/>
    <s v="NA"/>
    <s v="NA"/>
    <n v="99.94"/>
    <s v="marketing"/>
    <x v="0"/>
    <x v="0"/>
    <n v="7"/>
  </r>
  <r>
    <x v="208"/>
    <s v="net sales:product 1"/>
    <n v="9.99"/>
    <n v="63"/>
    <n v="629.37"/>
    <s v="net sales"/>
    <x v="1"/>
    <x v="0"/>
    <n v="7"/>
  </r>
  <r>
    <x v="208"/>
    <s v="net sales:product 2"/>
    <n v="24.99"/>
    <n v="10"/>
    <n v="249.89999999999998"/>
    <s v="net sales"/>
    <x v="2"/>
    <x v="0"/>
    <n v="7"/>
  </r>
  <r>
    <x v="208"/>
    <s v="net sales:product 3"/>
    <n v="12.49"/>
    <n v="200"/>
    <n v="2498"/>
    <s v="net sales"/>
    <x v="3"/>
    <x v="0"/>
    <n v="7"/>
  </r>
  <r>
    <x v="209"/>
    <s v="cogs:product 1"/>
    <n v="5.99"/>
    <n v="90"/>
    <n v="539.1"/>
    <s v="cogs"/>
    <x v="1"/>
    <x v="0"/>
    <n v="7"/>
  </r>
  <r>
    <x v="209"/>
    <s v="cogs:product 2"/>
    <n v="16.989999999999998"/>
    <n v="4"/>
    <n v="67.959999999999994"/>
    <s v="cogs"/>
    <x v="2"/>
    <x v="0"/>
    <n v="7"/>
  </r>
  <r>
    <x v="209"/>
    <s v="cogs:product 3"/>
    <n v="8.49"/>
    <n v="76"/>
    <n v="645.24"/>
    <s v="cogs"/>
    <x v="3"/>
    <x v="0"/>
    <n v="7"/>
  </r>
  <r>
    <x v="209"/>
    <s v="marketing"/>
    <s v="NA"/>
    <s v="NA"/>
    <n v="99.9"/>
    <s v="marketing"/>
    <x v="0"/>
    <x v="0"/>
    <n v="7"/>
  </r>
  <r>
    <x v="209"/>
    <s v="net sales:product 1"/>
    <n v="9.99"/>
    <n v="90"/>
    <n v="899.1"/>
    <s v="net sales"/>
    <x v="1"/>
    <x v="0"/>
    <n v="7"/>
  </r>
  <r>
    <x v="209"/>
    <s v="net sales:product 2"/>
    <n v="24.99"/>
    <n v="4"/>
    <n v="99.96"/>
    <s v="net sales"/>
    <x v="2"/>
    <x v="0"/>
    <n v="7"/>
  </r>
  <r>
    <x v="209"/>
    <s v="net sales:product 3"/>
    <n v="12.49"/>
    <n v="76"/>
    <n v="949.24"/>
    <s v="net sales"/>
    <x v="3"/>
    <x v="0"/>
    <n v="7"/>
  </r>
  <r>
    <x v="210"/>
    <s v="cogs:product 1"/>
    <n v="5.99"/>
    <n v="71"/>
    <n v="425.29"/>
    <s v="cogs"/>
    <x v="1"/>
    <x v="0"/>
    <n v="7"/>
  </r>
  <r>
    <x v="210"/>
    <s v="cogs:product 2"/>
    <n v="16.989999999999998"/>
    <n v="0"/>
    <n v="0"/>
    <s v="cogs"/>
    <x v="2"/>
    <x v="0"/>
    <n v="7"/>
  </r>
  <r>
    <x v="210"/>
    <s v="cogs:product 3"/>
    <n v="8.49"/>
    <n v="205"/>
    <n v="1740.45"/>
    <s v="cogs"/>
    <x v="3"/>
    <x v="0"/>
    <n v="7"/>
  </r>
  <r>
    <x v="210"/>
    <s v="marketing"/>
    <s v="NA"/>
    <s v="NA"/>
    <n v="99.93"/>
    <s v="marketing"/>
    <x v="0"/>
    <x v="0"/>
    <n v="7"/>
  </r>
  <r>
    <x v="210"/>
    <s v="net sales:product 1"/>
    <n v="9.99"/>
    <n v="71"/>
    <n v="709.29"/>
    <s v="net sales"/>
    <x v="1"/>
    <x v="0"/>
    <n v="7"/>
  </r>
  <r>
    <x v="210"/>
    <s v="net sales:product 2"/>
    <n v="24.99"/>
    <n v="0"/>
    <n v="0"/>
    <s v="net sales"/>
    <x v="2"/>
    <x v="0"/>
    <n v="7"/>
  </r>
  <r>
    <x v="210"/>
    <s v="net sales:product 3"/>
    <n v="12.49"/>
    <n v="205"/>
    <n v="2560.4499999999998"/>
    <s v="net sales"/>
    <x v="3"/>
    <x v="0"/>
    <n v="7"/>
  </r>
  <r>
    <x v="211"/>
    <s v="cogs:product 1"/>
    <n v="5.99"/>
    <n v="36"/>
    <n v="215.64000000000001"/>
    <s v="cogs"/>
    <x v="1"/>
    <x v="0"/>
    <n v="7"/>
  </r>
  <r>
    <x v="211"/>
    <s v="cogs:product 2"/>
    <n v="16.989999999999998"/>
    <n v="1"/>
    <n v="16.989999999999998"/>
    <s v="cogs"/>
    <x v="2"/>
    <x v="0"/>
    <n v="7"/>
  </r>
  <r>
    <x v="211"/>
    <s v="cogs:product 3"/>
    <n v="8.49"/>
    <n v="80"/>
    <n v="679.2"/>
    <s v="cogs"/>
    <x v="3"/>
    <x v="0"/>
    <n v="7"/>
  </r>
  <r>
    <x v="211"/>
    <s v="marketing"/>
    <s v="NA"/>
    <s v="NA"/>
    <n v="100.03"/>
    <s v="marketing"/>
    <x v="0"/>
    <x v="0"/>
    <n v="7"/>
  </r>
  <r>
    <x v="211"/>
    <s v="net sales:product 1"/>
    <n v="9.99"/>
    <n v="36"/>
    <n v="359.64"/>
    <s v="net sales"/>
    <x v="1"/>
    <x v="0"/>
    <n v="7"/>
  </r>
  <r>
    <x v="211"/>
    <s v="net sales:product 2"/>
    <n v="24.99"/>
    <n v="1"/>
    <n v="24.99"/>
    <s v="net sales"/>
    <x v="2"/>
    <x v="0"/>
    <n v="7"/>
  </r>
  <r>
    <x v="211"/>
    <s v="net sales:product 3"/>
    <n v="12.49"/>
    <n v="80"/>
    <n v="999.2"/>
    <s v="net sales"/>
    <x v="3"/>
    <x v="0"/>
    <n v="7"/>
  </r>
  <r>
    <x v="212"/>
    <s v="cogs:product 1"/>
    <n v="5.99"/>
    <n v="66"/>
    <n v="395.34000000000003"/>
    <s v="cogs"/>
    <x v="1"/>
    <x v="0"/>
    <n v="7"/>
  </r>
  <r>
    <x v="212"/>
    <s v="cogs:product 2"/>
    <n v="16.989999999999998"/>
    <n v="6"/>
    <n v="101.94"/>
    <s v="cogs"/>
    <x v="2"/>
    <x v="0"/>
    <n v="7"/>
  </r>
  <r>
    <x v="212"/>
    <s v="cogs:product 3"/>
    <n v="8.49"/>
    <n v="1"/>
    <n v="8.49"/>
    <s v="cogs"/>
    <x v="3"/>
    <x v="0"/>
    <n v="7"/>
  </r>
  <r>
    <x v="212"/>
    <s v="marketing"/>
    <s v="NA"/>
    <s v="NA"/>
    <n v="99.95"/>
    <s v="marketing"/>
    <x v="0"/>
    <x v="0"/>
    <n v="7"/>
  </r>
  <r>
    <x v="212"/>
    <s v="net sales:product 1"/>
    <n v="9.99"/>
    <n v="66"/>
    <n v="659.34"/>
    <s v="net sales"/>
    <x v="1"/>
    <x v="0"/>
    <n v="7"/>
  </r>
  <r>
    <x v="212"/>
    <s v="net sales:product 2"/>
    <n v="24.99"/>
    <n v="6"/>
    <n v="149.94"/>
    <s v="net sales"/>
    <x v="2"/>
    <x v="0"/>
    <n v="7"/>
  </r>
  <r>
    <x v="212"/>
    <s v="net sales:product 3"/>
    <n v="12.49"/>
    <n v="1"/>
    <n v="12.49"/>
    <s v="net sales"/>
    <x v="3"/>
    <x v="0"/>
    <n v="7"/>
  </r>
  <r>
    <x v="213"/>
    <s v="amortization"/>
    <s v="NA"/>
    <s v="NA"/>
    <n v="50"/>
    <s v="amortization"/>
    <x v="0"/>
    <x v="0"/>
    <n v="8"/>
  </r>
  <r>
    <x v="213"/>
    <s v="cogs:product 1"/>
    <n v="5.99"/>
    <n v="59"/>
    <n v="353.41"/>
    <s v="cogs"/>
    <x v="1"/>
    <x v="0"/>
    <n v="8"/>
  </r>
  <r>
    <x v="213"/>
    <s v="cogs:product 2"/>
    <n v="16.989999999999998"/>
    <n v="4"/>
    <n v="67.959999999999994"/>
    <s v="cogs"/>
    <x v="2"/>
    <x v="0"/>
    <n v="8"/>
  </r>
  <r>
    <x v="213"/>
    <s v="cogs:product 3"/>
    <n v="8.49"/>
    <n v="138"/>
    <n v="1171.6200000000001"/>
    <s v="cogs"/>
    <x v="3"/>
    <x v="0"/>
    <n v="8"/>
  </r>
  <r>
    <x v="213"/>
    <s v="marketing"/>
    <s v="NA"/>
    <s v="NA"/>
    <n v="100.07000000000001"/>
    <s v="marketing"/>
    <x v="0"/>
    <x v="0"/>
    <n v="8"/>
  </r>
  <r>
    <x v="213"/>
    <s v="net sales:product 1"/>
    <n v="9.99"/>
    <n v="59"/>
    <n v="589.41"/>
    <s v="net sales"/>
    <x v="1"/>
    <x v="0"/>
    <n v="8"/>
  </r>
  <r>
    <x v="213"/>
    <s v="net sales:product 2"/>
    <n v="24.99"/>
    <n v="4"/>
    <n v="99.96"/>
    <s v="net sales"/>
    <x v="2"/>
    <x v="0"/>
    <n v="8"/>
  </r>
  <r>
    <x v="213"/>
    <s v="net sales:product 3"/>
    <n v="12.49"/>
    <n v="138"/>
    <n v="1723.6200000000001"/>
    <s v="net sales"/>
    <x v="3"/>
    <x v="0"/>
    <n v="8"/>
  </r>
  <r>
    <x v="213"/>
    <s v="overhead"/>
    <s v="NA"/>
    <s v="NA"/>
    <n v="2000"/>
    <s v="overhead"/>
    <x v="0"/>
    <x v="0"/>
    <n v="8"/>
  </r>
  <r>
    <x v="214"/>
    <s v="cogs:product 1"/>
    <n v="5.99"/>
    <n v="2"/>
    <n v="11.98"/>
    <s v="cogs"/>
    <x v="1"/>
    <x v="0"/>
    <n v="8"/>
  </r>
  <r>
    <x v="214"/>
    <s v="cogs:product 2"/>
    <n v="16.989999999999998"/>
    <n v="6"/>
    <n v="101.94"/>
    <s v="cogs"/>
    <x v="2"/>
    <x v="0"/>
    <n v="8"/>
  </r>
  <r>
    <x v="214"/>
    <s v="cogs:product 3"/>
    <n v="8.49"/>
    <n v="66"/>
    <n v="560.34"/>
    <s v="cogs"/>
    <x v="3"/>
    <x v="0"/>
    <n v="8"/>
  </r>
  <r>
    <x v="214"/>
    <s v="marketing"/>
    <s v="NA"/>
    <s v="NA"/>
    <n v="100.04"/>
    <s v="marketing"/>
    <x v="0"/>
    <x v="0"/>
    <n v="8"/>
  </r>
  <r>
    <x v="214"/>
    <s v="net sales:product 1"/>
    <n v="9.99"/>
    <n v="2"/>
    <n v="19.98"/>
    <s v="net sales"/>
    <x v="1"/>
    <x v="0"/>
    <n v="8"/>
  </r>
  <r>
    <x v="214"/>
    <s v="net sales:product 2"/>
    <n v="24.99"/>
    <n v="6"/>
    <n v="149.94"/>
    <s v="net sales"/>
    <x v="2"/>
    <x v="0"/>
    <n v="8"/>
  </r>
  <r>
    <x v="214"/>
    <s v="net sales:product 3"/>
    <n v="12.49"/>
    <n v="66"/>
    <n v="824.34"/>
    <s v="net sales"/>
    <x v="3"/>
    <x v="0"/>
    <n v="8"/>
  </r>
  <r>
    <x v="214"/>
    <s v="payroll"/>
    <s v="NA"/>
    <s v="NA"/>
    <n v="1200"/>
    <s v="payroll"/>
    <x v="0"/>
    <x v="0"/>
    <n v="8"/>
  </r>
  <r>
    <x v="215"/>
    <s v="cogs:product 1"/>
    <n v="5.99"/>
    <n v="22"/>
    <n v="131.78"/>
    <s v="cogs"/>
    <x v="1"/>
    <x v="0"/>
    <n v="8"/>
  </r>
  <r>
    <x v="215"/>
    <s v="cogs:product 2"/>
    <n v="16.989999999999998"/>
    <n v="3"/>
    <n v="50.97"/>
    <s v="cogs"/>
    <x v="2"/>
    <x v="0"/>
    <n v="8"/>
  </r>
  <r>
    <x v="215"/>
    <s v="cogs:product 3"/>
    <n v="8.49"/>
    <n v="181"/>
    <n v="1536.69"/>
    <s v="cogs"/>
    <x v="3"/>
    <x v="0"/>
    <n v="8"/>
  </r>
  <r>
    <x v="215"/>
    <s v="marketing"/>
    <s v="NA"/>
    <s v="NA"/>
    <n v="99.95"/>
    <s v="marketing"/>
    <x v="0"/>
    <x v="0"/>
    <n v="8"/>
  </r>
  <r>
    <x v="215"/>
    <s v="net sales:product 1"/>
    <n v="9.99"/>
    <n v="22"/>
    <n v="219.78"/>
    <s v="net sales"/>
    <x v="1"/>
    <x v="0"/>
    <n v="8"/>
  </r>
  <r>
    <x v="215"/>
    <s v="net sales:product 2"/>
    <n v="24.99"/>
    <n v="3"/>
    <n v="74.97"/>
    <s v="net sales"/>
    <x v="2"/>
    <x v="0"/>
    <n v="8"/>
  </r>
  <r>
    <x v="215"/>
    <s v="net sales:product 3"/>
    <n v="12.49"/>
    <n v="181"/>
    <n v="2260.69"/>
    <s v="net sales"/>
    <x v="3"/>
    <x v="0"/>
    <n v="8"/>
  </r>
  <r>
    <x v="216"/>
    <s v="cogs:product 1"/>
    <n v="5.99"/>
    <n v="17"/>
    <n v="101.83"/>
    <s v="cogs"/>
    <x v="1"/>
    <x v="0"/>
    <n v="8"/>
  </r>
  <r>
    <x v="216"/>
    <s v="cogs:product 2"/>
    <n v="16.989999999999998"/>
    <n v="0"/>
    <n v="0"/>
    <s v="cogs"/>
    <x v="2"/>
    <x v="0"/>
    <n v="8"/>
  </r>
  <r>
    <x v="216"/>
    <s v="cogs:product 3"/>
    <n v="8.49"/>
    <n v="103"/>
    <n v="874.47"/>
    <s v="cogs"/>
    <x v="3"/>
    <x v="0"/>
    <n v="8"/>
  </r>
  <r>
    <x v="216"/>
    <s v="marketing"/>
    <s v="NA"/>
    <s v="NA"/>
    <n v="100.08"/>
    <s v="marketing"/>
    <x v="0"/>
    <x v="0"/>
    <n v="8"/>
  </r>
  <r>
    <x v="216"/>
    <s v="net sales:product 1"/>
    <n v="9.99"/>
    <n v="17"/>
    <n v="169.83"/>
    <s v="net sales"/>
    <x v="1"/>
    <x v="0"/>
    <n v="8"/>
  </r>
  <r>
    <x v="216"/>
    <s v="net sales:product 2"/>
    <n v="24.99"/>
    <n v="0"/>
    <n v="0"/>
    <s v="net sales"/>
    <x v="2"/>
    <x v="0"/>
    <n v="8"/>
  </r>
  <r>
    <x v="216"/>
    <s v="net sales:product 3"/>
    <n v="12.49"/>
    <n v="103"/>
    <n v="1286.47"/>
    <s v="net sales"/>
    <x v="3"/>
    <x v="0"/>
    <n v="8"/>
  </r>
  <r>
    <x v="217"/>
    <s v="cogs:product 1"/>
    <n v="5.99"/>
    <n v="13"/>
    <n v="77.87"/>
    <s v="cogs"/>
    <x v="1"/>
    <x v="0"/>
    <n v="8"/>
  </r>
  <r>
    <x v="217"/>
    <s v="cogs:product 2"/>
    <n v="16.989999999999998"/>
    <n v="7"/>
    <n v="118.92999999999999"/>
    <s v="cogs"/>
    <x v="2"/>
    <x v="0"/>
    <n v="8"/>
  </r>
  <r>
    <x v="217"/>
    <s v="cogs:product 3"/>
    <n v="8.49"/>
    <n v="138"/>
    <n v="1171.6200000000001"/>
    <s v="cogs"/>
    <x v="3"/>
    <x v="0"/>
    <n v="8"/>
  </r>
  <r>
    <x v="217"/>
    <s v="marketing"/>
    <s v="NA"/>
    <s v="NA"/>
    <n v="100.02"/>
    <s v="marketing"/>
    <x v="0"/>
    <x v="0"/>
    <n v="8"/>
  </r>
  <r>
    <x v="217"/>
    <s v="net sales:product 1"/>
    <n v="9.99"/>
    <n v="13"/>
    <n v="129.87"/>
    <s v="net sales"/>
    <x v="1"/>
    <x v="0"/>
    <n v="8"/>
  </r>
  <r>
    <x v="217"/>
    <s v="net sales:product 2"/>
    <n v="24.99"/>
    <n v="7"/>
    <n v="174.92999999999998"/>
    <s v="net sales"/>
    <x v="2"/>
    <x v="0"/>
    <n v="8"/>
  </r>
  <r>
    <x v="217"/>
    <s v="net sales:product 3"/>
    <n v="12.49"/>
    <n v="138"/>
    <n v="1723.6200000000001"/>
    <s v="net sales"/>
    <x v="3"/>
    <x v="0"/>
    <n v="8"/>
  </r>
  <r>
    <x v="218"/>
    <s v="cogs:product 1"/>
    <n v="5.99"/>
    <n v="81"/>
    <n v="485.19"/>
    <s v="cogs"/>
    <x v="1"/>
    <x v="0"/>
    <n v="8"/>
  </r>
  <r>
    <x v="218"/>
    <s v="cogs:product 2"/>
    <n v="16.989999999999998"/>
    <n v="4"/>
    <n v="67.959999999999994"/>
    <s v="cogs"/>
    <x v="2"/>
    <x v="0"/>
    <n v="8"/>
  </r>
  <r>
    <x v="218"/>
    <s v="cogs:product 3"/>
    <n v="8.49"/>
    <n v="18"/>
    <n v="152.82"/>
    <s v="cogs"/>
    <x v="3"/>
    <x v="0"/>
    <n v="8"/>
  </r>
  <r>
    <x v="218"/>
    <s v="marketing"/>
    <s v="NA"/>
    <s v="NA"/>
    <n v="99.97"/>
    <s v="marketing"/>
    <x v="0"/>
    <x v="0"/>
    <n v="8"/>
  </r>
  <r>
    <x v="218"/>
    <s v="net sales:product 1"/>
    <n v="9.99"/>
    <n v="81"/>
    <n v="809.19"/>
    <s v="net sales"/>
    <x v="1"/>
    <x v="0"/>
    <n v="8"/>
  </r>
  <r>
    <x v="218"/>
    <s v="net sales:product 2"/>
    <n v="24.99"/>
    <n v="4"/>
    <n v="99.96"/>
    <s v="net sales"/>
    <x v="2"/>
    <x v="0"/>
    <n v="8"/>
  </r>
  <r>
    <x v="218"/>
    <s v="net sales:product 3"/>
    <n v="12.49"/>
    <n v="18"/>
    <n v="224.82"/>
    <s v="net sales"/>
    <x v="3"/>
    <x v="0"/>
    <n v="8"/>
  </r>
  <r>
    <x v="219"/>
    <s v="cogs:product 1"/>
    <n v="5.99"/>
    <n v="10"/>
    <n v="59.900000000000006"/>
    <s v="cogs"/>
    <x v="1"/>
    <x v="0"/>
    <n v="8"/>
  </r>
  <r>
    <x v="219"/>
    <s v="cogs:product 2"/>
    <n v="16.989999999999998"/>
    <n v="7"/>
    <n v="118.92999999999999"/>
    <s v="cogs"/>
    <x v="2"/>
    <x v="0"/>
    <n v="8"/>
  </r>
  <r>
    <x v="219"/>
    <s v="cogs:product 3"/>
    <n v="8.49"/>
    <n v="47"/>
    <n v="399.03000000000003"/>
    <s v="cogs"/>
    <x v="3"/>
    <x v="0"/>
    <n v="8"/>
  </r>
  <r>
    <x v="219"/>
    <s v="marketing"/>
    <s v="NA"/>
    <s v="NA"/>
    <n v="100"/>
    <s v="marketing"/>
    <x v="0"/>
    <x v="0"/>
    <n v="8"/>
  </r>
  <r>
    <x v="219"/>
    <s v="net sales:product 1"/>
    <n v="9.99"/>
    <n v="10"/>
    <n v="99.9"/>
    <s v="net sales"/>
    <x v="1"/>
    <x v="0"/>
    <n v="8"/>
  </r>
  <r>
    <x v="219"/>
    <s v="net sales:product 2"/>
    <n v="24.99"/>
    <n v="7"/>
    <n v="174.92999999999998"/>
    <s v="net sales"/>
    <x v="2"/>
    <x v="0"/>
    <n v="8"/>
  </r>
  <r>
    <x v="219"/>
    <s v="net sales:product 3"/>
    <n v="12.49"/>
    <n v="47"/>
    <n v="587.03"/>
    <s v="net sales"/>
    <x v="3"/>
    <x v="0"/>
    <n v="8"/>
  </r>
  <r>
    <x v="220"/>
    <s v="cogs:product 1"/>
    <n v="5.99"/>
    <n v="3"/>
    <n v="17.97"/>
    <s v="cogs"/>
    <x v="1"/>
    <x v="0"/>
    <n v="8"/>
  </r>
  <r>
    <x v="220"/>
    <s v="cogs:product 2"/>
    <n v="16.989999999999998"/>
    <n v="9"/>
    <n v="152.91"/>
    <s v="cogs"/>
    <x v="2"/>
    <x v="0"/>
    <n v="8"/>
  </r>
  <r>
    <x v="220"/>
    <s v="cogs:product 3"/>
    <n v="8.49"/>
    <n v="118"/>
    <n v="1001.82"/>
    <s v="cogs"/>
    <x v="3"/>
    <x v="0"/>
    <n v="8"/>
  </r>
  <r>
    <x v="220"/>
    <s v="marketing"/>
    <s v="NA"/>
    <s v="NA"/>
    <n v="100.02"/>
    <s v="marketing"/>
    <x v="0"/>
    <x v="0"/>
    <n v="8"/>
  </r>
  <r>
    <x v="220"/>
    <s v="net sales:product 1"/>
    <n v="9.99"/>
    <n v="3"/>
    <n v="29.97"/>
    <s v="net sales"/>
    <x v="1"/>
    <x v="0"/>
    <n v="8"/>
  </r>
  <r>
    <x v="220"/>
    <s v="net sales:product 2"/>
    <n v="24.99"/>
    <n v="9"/>
    <n v="224.91"/>
    <s v="net sales"/>
    <x v="2"/>
    <x v="0"/>
    <n v="8"/>
  </r>
  <r>
    <x v="220"/>
    <s v="net sales:product 3"/>
    <n v="12.49"/>
    <n v="118"/>
    <n v="1473.82"/>
    <s v="net sales"/>
    <x v="3"/>
    <x v="0"/>
    <n v="8"/>
  </r>
  <r>
    <x v="221"/>
    <s v="cogs:product 1"/>
    <n v="5.99"/>
    <n v="80"/>
    <n v="479.20000000000005"/>
    <s v="cogs"/>
    <x v="1"/>
    <x v="0"/>
    <n v="8"/>
  </r>
  <r>
    <x v="221"/>
    <s v="cogs:product 2"/>
    <n v="16.989999999999998"/>
    <n v="6"/>
    <n v="101.94"/>
    <s v="cogs"/>
    <x v="2"/>
    <x v="0"/>
    <n v="8"/>
  </r>
  <r>
    <x v="221"/>
    <s v="cogs:product 3"/>
    <n v="8.49"/>
    <n v="0"/>
    <n v="0"/>
    <s v="cogs"/>
    <x v="3"/>
    <x v="0"/>
    <n v="8"/>
  </r>
  <r>
    <x v="221"/>
    <s v="marketing"/>
    <s v="NA"/>
    <s v="NA"/>
    <n v="100"/>
    <s v="marketing"/>
    <x v="0"/>
    <x v="0"/>
    <n v="8"/>
  </r>
  <r>
    <x v="221"/>
    <s v="net sales:product 1"/>
    <n v="9.99"/>
    <n v="80"/>
    <n v="799.2"/>
    <s v="net sales"/>
    <x v="1"/>
    <x v="0"/>
    <n v="8"/>
  </r>
  <r>
    <x v="221"/>
    <s v="net sales:product 2"/>
    <n v="24.99"/>
    <n v="6"/>
    <n v="149.94"/>
    <s v="net sales"/>
    <x v="2"/>
    <x v="0"/>
    <n v="8"/>
  </r>
  <r>
    <x v="221"/>
    <s v="net sales:product 3"/>
    <n v="12.49"/>
    <n v="0"/>
    <n v="0"/>
    <s v="net sales"/>
    <x v="3"/>
    <x v="0"/>
    <n v="8"/>
  </r>
  <r>
    <x v="222"/>
    <s v="cogs:product 1"/>
    <n v="5.99"/>
    <n v="66"/>
    <n v="395.34000000000003"/>
    <s v="cogs"/>
    <x v="1"/>
    <x v="0"/>
    <n v="8"/>
  </r>
  <r>
    <x v="222"/>
    <s v="cogs:product 2"/>
    <n v="16.989999999999998"/>
    <n v="3"/>
    <n v="50.97"/>
    <s v="cogs"/>
    <x v="2"/>
    <x v="0"/>
    <n v="8"/>
  </r>
  <r>
    <x v="222"/>
    <s v="cogs:product 3"/>
    <n v="8.49"/>
    <n v="249"/>
    <n v="2114.0100000000002"/>
    <s v="cogs"/>
    <x v="3"/>
    <x v="0"/>
    <n v="8"/>
  </r>
  <r>
    <x v="222"/>
    <s v="marketing"/>
    <s v="NA"/>
    <s v="NA"/>
    <n v="100.08"/>
    <s v="marketing"/>
    <x v="0"/>
    <x v="0"/>
    <n v="8"/>
  </r>
  <r>
    <x v="222"/>
    <s v="net sales:product 1"/>
    <n v="9.99"/>
    <n v="66"/>
    <n v="659.34"/>
    <s v="net sales"/>
    <x v="1"/>
    <x v="0"/>
    <n v="8"/>
  </r>
  <r>
    <x v="222"/>
    <s v="net sales:product 2"/>
    <n v="24.99"/>
    <n v="3"/>
    <n v="74.97"/>
    <s v="net sales"/>
    <x v="2"/>
    <x v="0"/>
    <n v="8"/>
  </r>
  <r>
    <x v="222"/>
    <s v="net sales:product 3"/>
    <n v="12.49"/>
    <n v="249"/>
    <n v="3110.01"/>
    <s v="net sales"/>
    <x v="3"/>
    <x v="0"/>
    <n v="8"/>
  </r>
  <r>
    <x v="223"/>
    <s v="cogs:product 1"/>
    <n v="5.99"/>
    <n v="47"/>
    <n v="281.53000000000003"/>
    <s v="cogs"/>
    <x v="1"/>
    <x v="0"/>
    <n v="8"/>
  </r>
  <r>
    <x v="223"/>
    <s v="cogs:product 2"/>
    <n v="16.989999999999998"/>
    <n v="7"/>
    <n v="118.92999999999999"/>
    <s v="cogs"/>
    <x v="2"/>
    <x v="0"/>
    <n v="8"/>
  </r>
  <r>
    <x v="223"/>
    <s v="cogs:product 3"/>
    <n v="8.49"/>
    <n v="41"/>
    <n v="348.09000000000003"/>
    <s v="cogs"/>
    <x v="3"/>
    <x v="0"/>
    <n v="8"/>
  </r>
  <r>
    <x v="223"/>
    <s v="marketing"/>
    <s v="NA"/>
    <s v="NA"/>
    <n v="99.990000000000009"/>
    <s v="marketing"/>
    <x v="0"/>
    <x v="0"/>
    <n v="8"/>
  </r>
  <r>
    <x v="223"/>
    <s v="net sales:product 1"/>
    <n v="9.99"/>
    <n v="47"/>
    <n v="469.53000000000003"/>
    <s v="net sales"/>
    <x v="1"/>
    <x v="0"/>
    <n v="8"/>
  </r>
  <r>
    <x v="223"/>
    <s v="net sales:product 2"/>
    <n v="24.99"/>
    <n v="7"/>
    <n v="174.92999999999998"/>
    <s v="net sales"/>
    <x v="2"/>
    <x v="0"/>
    <n v="8"/>
  </r>
  <r>
    <x v="223"/>
    <s v="net sales:product 3"/>
    <n v="12.49"/>
    <n v="41"/>
    <n v="512.09"/>
    <s v="net sales"/>
    <x v="3"/>
    <x v="0"/>
    <n v="8"/>
  </r>
  <r>
    <x v="224"/>
    <s v="cogs:product 1"/>
    <n v="5.99"/>
    <n v="21"/>
    <n v="125.79"/>
    <s v="cogs"/>
    <x v="1"/>
    <x v="0"/>
    <n v="8"/>
  </r>
  <r>
    <x v="224"/>
    <s v="cogs:product 2"/>
    <n v="16.989999999999998"/>
    <n v="0"/>
    <n v="0"/>
    <s v="cogs"/>
    <x v="2"/>
    <x v="0"/>
    <n v="8"/>
  </r>
  <r>
    <x v="224"/>
    <s v="cogs:product 3"/>
    <n v="8.49"/>
    <n v="248"/>
    <n v="2105.52"/>
    <s v="cogs"/>
    <x v="3"/>
    <x v="0"/>
    <n v="8"/>
  </r>
  <r>
    <x v="224"/>
    <s v="marketing"/>
    <s v="NA"/>
    <s v="NA"/>
    <n v="100"/>
    <s v="marketing"/>
    <x v="0"/>
    <x v="0"/>
    <n v="8"/>
  </r>
  <r>
    <x v="224"/>
    <s v="net sales:product 1"/>
    <n v="9.99"/>
    <n v="21"/>
    <n v="209.79"/>
    <s v="net sales"/>
    <x v="1"/>
    <x v="0"/>
    <n v="8"/>
  </r>
  <r>
    <x v="224"/>
    <s v="net sales:product 2"/>
    <n v="24.99"/>
    <n v="0"/>
    <n v="0"/>
    <s v="net sales"/>
    <x v="2"/>
    <x v="0"/>
    <n v="8"/>
  </r>
  <r>
    <x v="224"/>
    <s v="net sales:product 3"/>
    <n v="12.49"/>
    <n v="248"/>
    <n v="3097.52"/>
    <s v="net sales"/>
    <x v="3"/>
    <x v="0"/>
    <n v="8"/>
  </r>
  <r>
    <x v="225"/>
    <s v="cogs:product 1"/>
    <n v="5.99"/>
    <n v="87"/>
    <n v="521.13"/>
    <s v="cogs"/>
    <x v="1"/>
    <x v="0"/>
    <n v="8"/>
  </r>
  <r>
    <x v="225"/>
    <s v="cogs:product 2"/>
    <n v="16.989999999999998"/>
    <n v="6"/>
    <n v="101.94"/>
    <s v="cogs"/>
    <x v="2"/>
    <x v="0"/>
    <n v="8"/>
  </r>
  <r>
    <x v="225"/>
    <s v="cogs:product 3"/>
    <n v="8.49"/>
    <n v="94"/>
    <n v="798.06000000000006"/>
    <s v="cogs"/>
    <x v="3"/>
    <x v="0"/>
    <n v="8"/>
  </r>
  <r>
    <x v="225"/>
    <s v="marketing"/>
    <s v="NA"/>
    <s v="NA"/>
    <n v="99.990000000000009"/>
    <s v="marketing"/>
    <x v="0"/>
    <x v="0"/>
    <n v="8"/>
  </r>
  <r>
    <x v="225"/>
    <s v="net sales:product 1"/>
    <n v="9.99"/>
    <n v="87"/>
    <n v="869.13"/>
    <s v="net sales"/>
    <x v="1"/>
    <x v="0"/>
    <n v="8"/>
  </r>
  <r>
    <x v="225"/>
    <s v="net sales:product 2"/>
    <n v="24.99"/>
    <n v="6"/>
    <n v="149.94"/>
    <s v="net sales"/>
    <x v="2"/>
    <x v="0"/>
    <n v="8"/>
  </r>
  <r>
    <x v="225"/>
    <s v="net sales:product 3"/>
    <n v="12.49"/>
    <n v="94"/>
    <n v="1174.06"/>
    <s v="net sales"/>
    <x v="3"/>
    <x v="0"/>
    <n v="8"/>
  </r>
  <r>
    <x v="226"/>
    <s v="cogs:product 1"/>
    <n v="5.99"/>
    <n v="48"/>
    <n v="287.52"/>
    <s v="cogs"/>
    <x v="1"/>
    <x v="0"/>
    <n v="8"/>
  </r>
  <r>
    <x v="226"/>
    <s v="cogs:product 2"/>
    <n v="16.989999999999998"/>
    <n v="4"/>
    <n v="67.959999999999994"/>
    <s v="cogs"/>
    <x v="2"/>
    <x v="0"/>
    <n v="8"/>
  </r>
  <r>
    <x v="226"/>
    <s v="cogs:product 3"/>
    <n v="8.49"/>
    <n v="4"/>
    <n v="33.96"/>
    <s v="cogs"/>
    <x v="3"/>
    <x v="0"/>
    <n v="8"/>
  </r>
  <r>
    <x v="226"/>
    <s v="marketing"/>
    <s v="NA"/>
    <s v="NA"/>
    <n v="99.990000000000009"/>
    <s v="marketing"/>
    <x v="0"/>
    <x v="0"/>
    <n v="8"/>
  </r>
  <r>
    <x v="226"/>
    <s v="net sales:product 1"/>
    <n v="9.99"/>
    <n v="48"/>
    <n v="479.52"/>
    <s v="net sales"/>
    <x v="1"/>
    <x v="0"/>
    <n v="8"/>
  </r>
  <r>
    <x v="226"/>
    <s v="net sales:product 2"/>
    <n v="24.99"/>
    <n v="4"/>
    <n v="99.96"/>
    <s v="net sales"/>
    <x v="2"/>
    <x v="0"/>
    <n v="8"/>
  </r>
  <r>
    <x v="226"/>
    <s v="net sales:product 3"/>
    <n v="12.49"/>
    <n v="4"/>
    <n v="49.96"/>
    <s v="net sales"/>
    <x v="3"/>
    <x v="0"/>
    <n v="8"/>
  </r>
  <r>
    <x v="227"/>
    <s v="cogs:product 1"/>
    <n v="5.99"/>
    <n v="30"/>
    <n v="179.70000000000002"/>
    <s v="cogs"/>
    <x v="1"/>
    <x v="0"/>
    <n v="8"/>
  </r>
  <r>
    <x v="227"/>
    <s v="cogs:product 2"/>
    <n v="16.989999999999998"/>
    <n v="2"/>
    <n v="33.979999999999997"/>
    <s v="cogs"/>
    <x v="2"/>
    <x v="0"/>
    <n v="8"/>
  </r>
  <r>
    <x v="227"/>
    <s v="cogs:product 3"/>
    <n v="8.49"/>
    <n v="152"/>
    <n v="1290.48"/>
    <s v="cogs"/>
    <x v="3"/>
    <x v="0"/>
    <n v="8"/>
  </r>
  <r>
    <x v="227"/>
    <s v="interest"/>
    <s v="NA"/>
    <s v="NA"/>
    <n v="1282.24"/>
    <s v="interest"/>
    <x v="0"/>
    <x v="0"/>
    <n v="8"/>
  </r>
  <r>
    <x v="227"/>
    <s v="marketing"/>
    <s v="NA"/>
    <s v="NA"/>
    <n v="99.98"/>
    <s v="marketing"/>
    <x v="0"/>
    <x v="0"/>
    <n v="8"/>
  </r>
  <r>
    <x v="227"/>
    <s v="net sales:product 1"/>
    <n v="9.99"/>
    <n v="30"/>
    <n v="299.7"/>
    <s v="net sales"/>
    <x v="1"/>
    <x v="0"/>
    <n v="8"/>
  </r>
  <r>
    <x v="227"/>
    <s v="net sales:product 2"/>
    <n v="24.99"/>
    <n v="2"/>
    <n v="49.98"/>
    <s v="net sales"/>
    <x v="2"/>
    <x v="0"/>
    <n v="8"/>
  </r>
  <r>
    <x v="227"/>
    <s v="net sales:product 3"/>
    <n v="12.49"/>
    <n v="152"/>
    <n v="1898.48"/>
    <s v="net sales"/>
    <x v="3"/>
    <x v="0"/>
    <n v="8"/>
  </r>
  <r>
    <x v="227"/>
    <s v="overhead"/>
    <s v="NA"/>
    <s v="NA"/>
    <n v="315.2"/>
    <s v="overhead"/>
    <x v="0"/>
    <x v="0"/>
    <n v="8"/>
  </r>
  <r>
    <x v="228"/>
    <s v="cogs:product 1"/>
    <n v="5.99"/>
    <n v="73"/>
    <n v="437.27000000000004"/>
    <s v="cogs"/>
    <x v="1"/>
    <x v="0"/>
    <n v="8"/>
  </r>
  <r>
    <x v="228"/>
    <s v="cogs:product 2"/>
    <n v="16.989999999999998"/>
    <n v="3"/>
    <n v="50.97"/>
    <s v="cogs"/>
    <x v="2"/>
    <x v="0"/>
    <n v="8"/>
  </r>
  <r>
    <x v="228"/>
    <s v="cogs:product 3"/>
    <n v="8.49"/>
    <n v="124"/>
    <n v="1052.76"/>
    <s v="cogs"/>
    <x v="3"/>
    <x v="0"/>
    <n v="8"/>
  </r>
  <r>
    <x v="228"/>
    <s v="marketing"/>
    <s v="NA"/>
    <s v="NA"/>
    <n v="100.03"/>
    <s v="marketing"/>
    <x v="0"/>
    <x v="0"/>
    <n v="8"/>
  </r>
  <r>
    <x v="228"/>
    <s v="net sales:product 1"/>
    <n v="9.99"/>
    <n v="73"/>
    <n v="729.27"/>
    <s v="net sales"/>
    <x v="1"/>
    <x v="0"/>
    <n v="8"/>
  </r>
  <r>
    <x v="228"/>
    <s v="net sales:product 2"/>
    <n v="24.99"/>
    <n v="3"/>
    <n v="74.97"/>
    <s v="net sales"/>
    <x v="2"/>
    <x v="0"/>
    <n v="8"/>
  </r>
  <r>
    <x v="228"/>
    <s v="net sales:product 3"/>
    <n v="12.49"/>
    <n v="124"/>
    <n v="1548.76"/>
    <s v="net sales"/>
    <x v="3"/>
    <x v="0"/>
    <n v="8"/>
  </r>
  <r>
    <x v="228"/>
    <s v="payroll"/>
    <s v="NA"/>
    <s v="NA"/>
    <n v="1200"/>
    <s v="payroll"/>
    <x v="0"/>
    <x v="0"/>
    <n v="8"/>
  </r>
  <r>
    <x v="229"/>
    <s v="cogs:product 1"/>
    <n v="5.99"/>
    <n v="60"/>
    <n v="359.40000000000003"/>
    <s v="cogs"/>
    <x v="1"/>
    <x v="0"/>
    <n v="8"/>
  </r>
  <r>
    <x v="229"/>
    <s v="cogs:product 2"/>
    <n v="16.989999999999998"/>
    <n v="8"/>
    <n v="135.91999999999999"/>
    <s v="cogs"/>
    <x v="2"/>
    <x v="0"/>
    <n v="8"/>
  </r>
  <r>
    <x v="229"/>
    <s v="cogs:product 3"/>
    <n v="8.49"/>
    <n v="56"/>
    <n v="475.44"/>
    <s v="cogs"/>
    <x v="3"/>
    <x v="0"/>
    <n v="8"/>
  </r>
  <r>
    <x v="229"/>
    <s v="marketing"/>
    <s v="NA"/>
    <s v="NA"/>
    <n v="100.08"/>
    <s v="marketing"/>
    <x v="0"/>
    <x v="0"/>
    <n v="8"/>
  </r>
  <r>
    <x v="229"/>
    <s v="net sales:product 1"/>
    <n v="9.99"/>
    <n v="60"/>
    <n v="599.4"/>
    <s v="net sales"/>
    <x v="1"/>
    <x v="0"/>
    <n v="8"/>
  </r>
  <r>
    <x v="229"/>
    <s v="net sales:product 2"/>
    <n v="24.99"/>
    <n v="8"/>
    <n v="199.92"/>
    <s v="net sales"/>
    <x v="2"/>
    <x v="0"/>
    <n v="8"/>
  </r>
  <r>
    <x v="229"/>
    <s v="net sales:product 3"/>
    <n v="12.49"/>
    <n v="56"/>
    <n v="699.44"/>
    <s v="net sales"/>
    <x v="3"/>
    <x v="0"/>
    <n v="8"/>
  </r>
  <r>
    <x v="230"/>
    <s v="cogs:product 1"/>
    <n v="5.99"/>
    <n v="73"/>
    <n v="437.27000000000004"/>
    <s v="cogs"/>
    <x v="1"/>
    <x v="0"/>
    <n v="8"/>
  </r>
  <r>
    <x v="230"/>
    <s v="cogs:product 2"/>
    <n v="16.989999999999998"/>
    <n v="9"/>
    <n v="152.91"/>
    <s v="cogs"/>
    <x v="2"/>
    <x v="0"/>
    <n v="8"/>
  </r>
  <r>
    <x v="230"/>
    <s v="cogs:product 3"/>
    <n v="8.49"/>
    <n v="205"/>
    <n v="1740.45"/>
    <s v="cogs"/>
    <x v="3"/>
    <x v="0"/>
    <n v="8"/>
  </r>
  <r>
    <x v="230"/>
    <s v="marketing"/>
    <s v="NA"/>
    <s v="NA"/>
    <n v="99.92"/>
    <s v="marketing"/>
    <x v="0"/>
    <x v="0"/>
    <n v="8"/>
  </r>
  <r>
    <x v="230"/>
    <s v="net sales:product 1"/>
    <n v="9.99"/>
    <n v="73"/>
    <n v="729.27"/>
    <s v="net sales"/>
    <x v="1"/>
    <x v="0"/>
    <n v="8"/>
  </r>
  <r>
    <x v="230"/>
    <s v="net sales:product 2"/>
    <n v="24.99"/>
    <n v="9"/>
    <n v="224.91"/>
    <s v="net sales"/>
    <x v="2"/>
    <x v="0"/>
    <n v="8"/>
  </r>
  <r>
    <x v="230"/>
    <s v="net sales:product 3"/>
    <n v="12.49"/>
    <n v="205"/>
    <n v="2560.4499999999998"/>
    <s v="net sales"/>
    <x v="3"/>
    <x v="0"/>
    <n v="8"/>
  </r>
  <r>
    <x v="231"/>
    <s v="cogs:product 1"/>
    <n v="5.99"/>
    <n v="25"/>
    <n v="149.75"/>
    <s v="cogs"/>
    <x v="1"/>
    <x v="0"/>
    <n v="8"/>
  </r>
  <r>
    <x v="231"/>
    <s v="cogs:product 2"/>
    <n v="16.989999999999998"/>
    <n v="2"/>
    <n v="33.979999999999997"/>
    <s v="cogs"/>
    <x v="2"/>
    <x v="0"/>
    <n v="8"/>
  </r>
  <r>
    <x v="231"/>
    <s v="cogs:product 3"/>
    <n v="8.49"/>
    <n v="48"/>
    <n v="407.52"/>
    <s v="cogs"/>
    <x v="3"/>
    <x v="0"/>
    <n v="8"/>
  </r>
  <r>
    <x v="231"/>
    <s v="marketing"/>
    <s v="NA"/>
    <s v="NA"/>
    <n v="99.97"/>
    <s v="marketing"/>
    <x v="0"/>
    <x v="0"/>
    <n v="8"/>
  </r>
  <r>
    <x v="231"/>
    <s v="net sales:product 1"/>
    <n v="9.99"/>
    <n v="25"/>
    <n v="249.75"/>
    <s v="net sales"/>
    <x v="1"/>
    <x v="0"/>
    <n v="8"/>
  </r>
  <r>
    <x v="231"/>
    <s v="net sales:product 2"/>
    <n v="24.99"/>
    <n v="2"/>
    <n v="49.98"/>
    <s v="net sales"/>
    <x v="2"/>
    <x v="0"/>
    <n v="8"/>
  </r>
  <r>
    <x v="231"/>
    <s v="net sales:product 3"/>
    <n v="12.49"/>
    <n v="48"/>
    <n v="599.52"/>
    <s v="net sales"/>
    <x v="3"/>
    <x v="0"/>
    <n v="8"/>
  </r>
  <r>
    <x v="232"/>
    <s v="cogs:product 1"/>
    <n v="5.99"/>
    <n v="96"/>
    <n v="575.04"/>
    <s v="cogs"/>
    <x v="1"/>
    <x v="0"/>
    <n v="8"/>
  </r>
  <r>
    <x v="232"/>
    <s v="cogs:product 2"/>
    <n v="16.989999999999998"/>
    <n v="9"/>
    <n v="152.91"/>
    <s v="cogs"/>
    <x v="2"/>
    <x v="0"/>
    <n v="8"/>
  </r>
  <r>
    <x v="232"/>
    <s v="cogs:product 3"/>
    <n v="8.49"/>
    <n v="0"/>
    <n v="0"/>
    <s v="cogs"/>
    <x v="3"/>
    <x v="0"/>
    <n v="8"/>
  </r>
  <r>
    <x v="232"/>
    <s v="marketing"/>
    <s v="NA"/>
    <s v="NA"/>
    <n v="100.01"/>
    <s v="marketing"/>
    <x v="0"/>
    <x v="0"/>
    <n v="8"/>
  </r>
  <r>
    <x v="232"/>
    <s v="net sales:product 1"/>
    <n v="9.99"/>
    <n v="96"/>
    <n v="959.04"/>
    <s v="net sales"/>
    <x v="1"/>
    <x v="0"/>
    <n v="8"/>
  </r>
  <r>
    <x v="232"/>
    <s v="net sales:product 2"/>
    <n v="24.99"/>
    <n v="9"/>
    <n v="224.91"/>
    <s v="net sales"/>
    <x v="2"/>
    <x v="0"/>
    <n v="8"/>
  </r>
  <r>
    <x v="232"/>
    <s v="net sales:product 3"/>
    <n v="12.49"/>
    <n v="0"/>
    <n v="0"/>
    <s v="net sales"/>
    <x v="3"/>
    <x v="0"/>
    <n v="8"/>
  </r>
  <r>
    <x v="233"/>
    <s v="cogs:product 1"/>
    <n v="5.99"/>
    <n v="12"/>
    <n v="71.88"/>
    <s v="cogs"/>
    <x v="1"/>
    <x v="0"/>
    <n v="8"/>
  </r>
  <r>
    <x v="233"/>
    <s v="cogs:product 2"/>
    <n v="16.989999999999998"/>
    <n v="6"/>
    <n v="101.94"/>
    <s v="cogs"/>
    <x v="2"/>
    <x v="0"/>
    <n v="8"/>
  </r>
  <r>
    <x v="233"/>
    <s v="cogs:product 3"/>
    <n v="8.49"/>
    <n v="26"/>
    <n v="220.74"/>
    <s v="cogs"/>
    <x v="3"/>
    <x v="0"/>
    <n v="8"/>
  </r>
  <r>
    <x v="233"/>
    <s v="marketing"/>
    <s v="NA"/>
    <s v="NA"/>
    <n v="99.95"/>
    <s v="marketing"/>
    <x v="0"/>
    <x v="0"/>
    <n v="8"/>
  </r>
  <r>
    <x v="233"/>
    <s v="net sales:product 1"/>
    <n v="9.99"/>
    <n v="12"/>
    <n v="119.88"/>
    <s v="net sales"/>
    <x v="1"/>
    <x v="0"/>
    <n v="8"/>
  </r>
  <r>
    <x v="233"/>
    <s v="net sales:product 2"/>
    <n v="24.99"/>
    <n v="6"/>
    <n v="149.94"/>
    <s v="net sales"/>
    <x v="2"/>
    <x v="0"/>
    <n v="8"/>
  </r>
  <r>
    <x v="233"/>
    <s v="net sales:product 3"/>
    <n v="12.49"/>
    <n v="26"/>
    <n v="324.74"/>
    <s v="net sales"/>
    <x v="3"/>
    <x v="0"/>
    <n v="8"/>
  </r>
  <r>
    <x v="234"/>
    <s v="cogs:product 1"/>
    <n v="5.99"/>
    <n v="82"/>
    <n v="491.18"/>
    <s v="cogs"/>
    <x v="1"/>
    <x v="0"/>
    <n v="8"/>
  </r>
  <r>
    <x v="234"/>
    <s v="cogs:product 2"/>
    <n v="16.989999999999998"/>
    <n v="8"/>
    <n v="135.91999999999999"/>
    <s v="cogs"/>
    <x v="2"/>
    <x v="0"/>
    <n v="8"/>
  </r>
  <r>
    <x v="234"/>
    <s v="cogs:product 3"/>
    <n v="8.49"/>
    <n v="17"/>
    <n v="144.33000000000001"/>
    <s v="cogs"/>
    <x v="3"/>
    <x v="0"/>
    <n v="8"/>
  </r>
  <r>
    <x v="234"/>
    <s v="marketing"/>
    <s v="NA"/>
    <s v="NA"/>
    <n v="100.08"/>
    <s v="marketing"/>
    <x v="0"/>
    <x v="0"/>
    <n v="8"/>
  </r>
  <r>
    <x v="234"/>
    <s v="net sales:product 1"/>
    <n v="9.99"/>
    <n v="82"/>
    <n v="819.18000000000006"/>
    <s v="net sales"/>
    <x v="1"/>
    <x v="0"/>
    <n v="8"/>
  </r>
  <r>
    <x v="234"/>
    <s v="net sales:product 2"/>
    <n v="24.99"/>
    <n v="8"/>
    <n v="199.92"/>
    <s v="net sales"/>
    <x v="2"/>
    <x v="0"/>
    <n v="8"/>
  </r>
  <r>
    <x v="234"/>
    <s v="net sales:product 3"/>
    <n v="12.49"/>
    <n v="17"/>
    <n v="212.33"/>
    <s v="net sales"/>
    <x v="3"/>
    <x v="0"/>
    <n v="8"/>
  </r>
  <r>
    <x v="235"/>
    <s v="cogs:product 1"/>
    <n v="5.99"/>
    <n v="96"/>
    <n v="575.04"/>
    <s v="cogs"/>
    <x v="1"/>
    <x v="0"/>
    <n v="8"/>
  </r>
  <r>
    <x v="235"/>
    <s v="cogs:product 2"/>
    <n v="16.989999999999998"/>
    <n v="5"/>
    <n v="84.949999999999989"/>
    <s v="cogs"/>
    <x v="2"/>
    <x v="0"/>
    <n v="8"/>
  </r>
  <r>
    <x v="235"/>
    <s v="cogs:product 3"/>
    <n v="8.49"/>
    <n v="232"/>
    <n v="1969.68"/>
    <s v="cogs"/>
    <x v="3"/>
    <x v="0"/>
    <n v="8"/>
  </r>
  <r>
    <x v="235"/>
    <s v="marketing"/>
    <s v="NA"/>
    <s v="NA"/>
    <n v="100.07000000000001"/>
    <s v="marketing"/>
    <x v="0"/>
    <x v="0"/>
    <n v="8"/>
  </r>
  <r>
    <x v="235"/>
    <s v="net sales:product 1"/>
    <n v="9.99"/>
    <n v="96"/>
    <n v="959.04"/>
    <s v="net sales"/>
    <x v="1"/>
    <x v="0"/>
    <n v="8"/>
  </r>
  <r>
    <x v="235"/>
    <s v="net sales:product 2"/>
    <n v="24.99"/>
    <n v="5"/>
    <n v="124.94999999999999"/>
    <s v="net sales"/>
    <x v="2"/>
    <x v="0"/>
    <n v="8"/>
  </r>
  <r>
    <x v="235"/>
    <s v="net sales:product 3"/>
    <n v="12.49"/>
    <n v="232"/>
    <n v="2897.68"/>
    <s v="net sales"/>
    <x v="3"/>
    <x v="0"/>
    <n v="8"/>
  </r>
  <r>
    <x v="236"/>
    <s v="cogs:product 1"/>
    <n v="5.99"/>
    <n v="20"/>
    <n v="119.80000000000001"/>
    <s v="cogs"/>
    <x v="1"/>
    <x v="0"/>
    <n v="8"/>
  </r>
  <r>
    <x v="236"/>
    <s v="cogs:product 2"/>
    <n v="16.989999999999998"/>
    <n v="6"/>
    <n v="101.94"/>
    <s v="cogs"/>
    <x v="2"/>
    <x v="0"/>
    <n v="8"/>
  </r>
  <r>
    <x v="236"/>
    <s v="cogs:product 3"/>
    <n v="8.49"/>
    <n v="83"/>
    <n v="704.67000000000007"/>
    <s v="cogs"/>
    <x v="3"/>
    <x v="0"/>
    <n v="8"/>
  </r>
  <r>
    <x v="236"/>
    <s v="marketing"/>
    <s v="NA"/>
    <s v="NA"/>
    <n v="99.93"/>
    <s v="marketing"/>
    <x v="0"/>
    <x v="0"/>
    <n v="8"/>
  </r>
  <r>
    <x v="236"/>
    <s v="net sales:product 1"/>
    <n v="9.99"/>
    <n v="20"/>
    <n v="199.8"/>
    <s v="net sales"/>
    <x v="1"/>
    <x v="0"/>
    <n v="8"/>
  </r>
  <r>
    <x v="236"/>
    <s v="net sales:product 2"/>
    <n v="24.99"/>
    <n v="6"/>
    <n v="149.94"/>
    <s v="net sales"/>
    <x v="2"/>
    <x v="0"/>
    <n v="8"/>
  </r>
  <r>
    <x v="236"/>
    <s v="net sales:product 3"/>
    <n v="12.49"/>
    <n v="83"/>
    <n v="1036.67"/>
    <s v="net sales"/>
    <x v="3"/>
    <x v="0"/>
    <n v="8"/>
  </r>
  <r>
    <x v="237"/>
    <s v="cogs:product 1"/>
    <n v="5.99"/>
    <n v="23"/>
    <n v="137.77000000000001"/>
    <s v="cogs"/>
    <x v="1"/>
    <x v="0"/>
    <n v="8"/>
  </r>
  <r>
    <x v="237"/>
    <s v="cogs:product 2"/>
    <n v="16.989999999999998"/>
    <n v="1"/>
    <n v="16.989999999999998"/>
    <s v="cogs"/>
    <x v="2"/>
    <x v="0"/>
    <n v="8"/>
  </r>
  <r>
    <x v="237"/>
    <s v="cogs:product 3"/>
    <n v="8.49"/>
    <n v="117"/>
    <n v="993.33"/>
    <s v="cogs"/>
    <x v="3"/>
    <x v="0"/>
    <n v="8"/>
  </r>
  <r>
    <x v="237"/>
    <s v="marketing"/>
    <s v="NA"/>
    <s v="NA"/>
    <n v="99.9"/>
    <s v="marketing"/>
    <x v="0"/>
    <x v="0"/>
    <n v="8"/>
  </r>
  <r>
    <x v="237"/>
    <s v="net sales:product 1"/>
    <n v="9.99"/>
    <n v="23"/>
    <n v="229.77"/>
    <s v="net sales"/>
    <x v="1"/>
    <x v="0"/>
    <n v="8"/>
  </r>
  <r>
    <x v="237"/>
    <s v="net sales:product 2"/>
    <n v="24.99"/>
    <n v="1"/>
    <n v="24.99"/>
    <s v="net sales"/>
    <x v="2"/>
    <x v="0"/>
    <n v="8"/>
  </r>
  <r>
    <x v="237"/>
    <s v="net sales:product 3"/>
    <n v="12.49"/>
    <n v="117"/>
    <n v="1461.33"/>
    <s v="net sales"/>
    <x v="3"/>
    <x v="0"/>
    <n v="8"/>
  </r>
  <r>
    <x v="238"/>
    <s v="cogs:product 1"/>
    <n v="5.99"/>
    <n v="63"/>
    <n v="377.37"/>
    <s v="cogs"/>
    <x v="1"/>
    <x v="0"/>
    <n v="8"/>
  </r>
  <r>
    <x v="238"/>
    <s v="cogs:product 2"/>
    <n v="16.989999999999998"/>
    <n v="10"/>
    <n v="169.89999999999998"/>
    <s v="cogs"/>
    <x v="2"/>
    <x v="0"/>
    <n v="8"/>
  </r>
  <r>
    <x v="238"/>
    <s v="cogs:product 3"/>
    <n v="8.49"/>
    <n v="164"/>
    <n v="1392.3600000000001"/>
    <s v="cogs"/>
    <x v="3"/>
    <x v="0"/>
    <n v="8"/>
  </r>
  <r>
    <x v="238"/>
    <s v="marketing"/>
    <s v="NA"/>
    <s v="NA"/>
    <n v="100.07000000000001"/>
    <s v="marketing"/>
    <x v="0"/>
    <x v="0"/>
    <n v="8"/>
  </r>
  <r>
    <x v="238"/>
    <s v="net sales:product 1"/>
    <n v="9.99"/>
    <n v="63"/>
    <n v="629.37"/>
    <s v="net sales"/>
    <x v="1"/>
    <x v="0"/>
    <n v="8"/>
  </r>
  <r>
    <x v="238"/>
    <s v="net sales:product 2"/>
    <n v="24.99"/>
    <n v="10"/>
    <n v="249.89999999999998"/>
    <s v="net sales"/>
    <x v="2"/>
    <x v="0"/>
    <n v="8"/>
  </r>
  <r>
    <x v="238"/>
    <s v="net sales:product 3"/>
    <n v="12.49"/>
    <n v="164"/>
    <n v="2048.36"/>
    <s v="net sales"/>
    <x v="3"/>
    <x v="0"/>
    <n v="8"/>
  </r>
  <r>
    <x v="239"/>
    <s v="cogs:product 1"/>
    <n v="5.99"/>
    <n v="81"/>
    <n v="485.19"/>
    <s v="cogs"/>
    <x v="1"/>
    <x v="0"/>
    <n v="8"/>
  </r>
  <r>
    <x v="239"/>
    <s v="cogs:product 2"/>
    <n v="16.989999999999998"/>
    <n v="1"/>
    <n v="16.989999999999998"/>
    <s v="cogs"/>
    <x v="2"/>
    <x v="0"/>
    <n v="8"/>
  </r>
  <r>
    <x v="239"/>
    <s v="cogs:product 3"/>
    <n v="8.49"/>
    <n v="163"/>
    <n v="1383.8700000000001"/>
    <s v="cogs"/>
    <x v="3"/>
    <x v="0"/>
    <n v="8"/>
  </r>
  <r>
    <x v="239"/>
    <s v="marketing"/>
    <s v="NA"/>
    <s v="NA"/>
    <n v="99.92"/>
    <s v="marketing"/>
    <x v="0"/>
    <x v="0"/>
    <n v="8"/>
  </r>
  <r>
    <x v="239"/>
    <s v="net sales:product 1"/>
    <n v="9.99"/>
    <n v="81"/>
    <n v="809.19"/>
    <s v="net sales"/>
    <x v="1"/>
    <x v="0"/>
    <n v="8"/>
  </r>
  <r>
    <x v="239"/>
    <s v="net sales:product 2"/>
    <n v="24.99"/>
    <n v="1"/>
    <n v="24.99"/>
    <s v="net sales"/>
    <x v="2"/>
    <x v="0"/>
    <n v="8"/>
  </r>
  <r>
    <x v="239"/>
    <s v="net sales:product 3"/>
    <n v="12.49"/>
    <n v="163"/>
    <n v="2035.8700000000001"/>
    <s v="net sales"/>
    <x v="3"/>
    <x v="0"/>
    <n v="8"/>
  </r>
  <r>
    <x v="240"/>
    <s v="cogs:product 1"/>
    <n v="5.99"/>
    <n v="56"/>
    <n v="335.44"/>
    <s v="cogs"/>
    <x v="1"/>
    <x v="0"/>
    <n v="8"/>
  </r>
  <r>
    <x v="240"/>
    <s v="cogs:product 2"/>
    <n v="16.989999999999998"/>
    <n v="4"/>
    <n v="67.959999999999994"/>
    <s v="cogs"/>
    <x v="2"/>
    <x v="0"/>
    <n v="8"/>
  </r>
  <r>
    <x v="240"/>
    <s v="cogs:product 3"/>
    <n v="8.49"/>
    <n v="99"/>
    <n v="840.51"/>
    <s v="cogs"/>
    <x v="3"/>
    <x v="0"/>
    <n v="8"/>
  </r>
  <r>
    <x v="240"/>
    <s v="marketing"/>
    <s v="NA"/>
    <s v="NA"/>
    <n v="99.97"/>
    <s v="marketing"/>
    <x v="0"/>
    <x v="0"/>
    <n v="8"/>
  </r>
  <r>
    <x v="240"/>
    <s v="net sales:product 1"/>
    <n v="9.99"/>
    <n v="56"/>
    <n v="559.44000000000005"/>
    <s v="net sales"/>
    <x v="1"/>
    <x v="0"/>
    <n v="8"/>
  </r>
  <r>
    <x v="240"/>
    <s v="net sales:product 2"/>
    <n v="24.99"/>
    <n v="4"/>
    <n v="99.96"/>
    <s v="net sales"/>
    <x v="2"/>
    <x v="0"/>
    <n v="8"/>
  </r>
  <r>
    <x v="240"/>
    <s v="net sales:product 3"/>
    <n v="12.49"/>
    <n v="99"/>
    <n v="1236.51"/>
    <s v="net sales"/>
    <x v="3"/>
    <x v="0"/>
    <n v="8"/>
  </r>
  <r>
    <x v="241"/>
    <s v="cogs:product 1"/>
    <n v="5.99"/>
    <n v="20"/>
    <n v="119.80000000000001"/>
    <s v="cogs"/>
    <x v="1"/>
    <x v="0"/>
    <n v="8"/>
  </r>
  <r>
    <x v="241"/>
    <s v="cogs:product 2"/>
    <n v="16.989999999999998"/>
    <n v="1"/>
    <n v="16.989999999999998"/>
    <s v="cogs"/>
    <x v="2"/>
    <x v="0"/>
    <n v="8"/>
  </r>
  <r>
    <x v="241"/>
    <s v="cogs:product 3"/>
    <n v="8.49"/>
    <n v="183"/>
    <n v="1553.67"/>
    <s v="cogs"/>
    <x v="3"/>
    <x v="0"/>
    <n v="8"/>
  </r>
  <r>
    <x v="241"/>
    <s v="marketing"/>
    <s v="NA"/>
    <s v="NA"/>
    <n v="100.06"/>
    <s v="marketing"/>
    <x v="0"/>
    <x v="0"/>
    <n v="8"/>
  </r>
  <r>
    <x v="241"/>
    <s v="net sales:product 1"/>
    <n v="9.99"/>
    <n v="20"/>
    <n v="199.8"/>
    <s v="net sales"/>
    <x v="1"/>
    <x v="0"/>
    <n v="8"/>
  </r>
  <r>
    <x v="241"/>
    <s v="net sales:product 2"/>
    <n v="24.99"/>
    <n v="1"/>
    <n v="24.99"/>
    <s v="net sales"/>
    <x v="2"/>
    <x v="0"/>
    <n v="8"/>
  </r>
  <r>
    <x v="241"/>
    <s v="net sales:product 3"/>
    <n v="12.49"/>
    <n v="183"/>
    <n v="2285.67"/>
    <s v="net sales"/>
    <x v="3"/>
    <x v="0"/>
    <n v="8"/>
  </r>
  <r>
    <x v="242"/>
    <s v="cogs:product 1"/>
    <n v="5.99"/>
    <n v="97"/>
    <n v="581.03"/>
    <s v="cogs"/>
    <x v="1"/>
    <x v="0"/>
    <n v="8"/>
  </r>
  <r>
    <x v="242"/>
    <s v="cogs:product 2"/>
    <n v="16.989999999999998"/>
    <n v="0"/>
    <n v="0"/>
    <s v="cogs"/>
    <x v="2"/>
    <x v="0"/>
    <n v="8"/>
  </r>
  <r>
    <x v="242"/>
    <s v="cogs:product 3"/>
    <n v="8.49"/>
    <n v="177"/>
    <n v="1502.73"/>
    <s v="cogs"/>
    <x v="3"/>
    <x v="0"/>
    <n v="8"/>
  </r>
  <r>
    <x v="242"/>
    <s v="marketing"/>
    <s v="NA"/>
    <s v="NA"/>
    <n v="99.990000000000009"/>
    <s v="marketing"/>
    <x v="0"/>
    <x v="0"/>
    <n v="8"/>
  </r>
  <r>
    <x v="242"/>
    <s v="net sales:product 1"/>
    <n v="9.99"/>
    <n v="97"/>
    <n v="969.03"/>
    <s v="net sales"/>
    <x v="1"/>
    <x v="0"/>
    <n v="8"/>
  </r>
  <r>
    <x v="242"/>
    <s v="net sales:product 2"/>
    <n v="24.99"/>
    <n v="0"/>
    <n v="0"/>
    <s v="net sales"/>
    <x v="2"/>
    <x v="0"/>
    <n v="8"/>
  </r>
  <r>
    <x v="242"/>
    <s v="net sales:product 3"/>
    <n v="12.49"/>
    <n v="177"/>
    <n v="2210.73"/>
    <s v="net sales"/>
    <x v="3"/>
    <x v="0"/>
    <n v="8"/>
  </r>
  <r>
    <x v="242"/>
    <s v="payroll"/>
    <s v="NA"/>
    <s v="NA"/>
    <n v="1200"/>
    <s v="payroll"/>
    <x v="0"/>
    <x v="0"/>
    <n v="8"/>
  </r>
  <r>
    <x v="243"/>
    <s v="cogs:product 1"/>
    <n v="5.99"/>
    <n v="48"/>
    <n v="287.52"/>
    <s v="cogs"/>
    <x v="1"/>
    <x v="0"/>
    <n v="8"/>
  </r>
  <r>
    <x v="243"/>
    <s v="cogs:product 2"/>
    <n v="16.989999999999998"/>
    <n v="6"/>
    <n v="101.94"/>
    <s v="cogs"/>
    <x v="2"/>
    <x v="0"/>
    <n v="8"/>
  </r>
  <r>
    <x v="243"/>
    <s v="cogs:product 3"/>
    <n v="8.49"/>
    <n v="67"/>
    <n v="568.83000000000004"/>
    <s v="cogs"/>
    <x v="3"/>
    <x v="0"/>
    <n v="8"/>
  </r>
  <r>
    <x v="243"/>
    <s v="marketing"/>
    <s v="NA"/>
    <s v="NA"/>
    <n v="100.08"/>
    <s v="marketing"/>
    <x v="0"/>
    <x v="0"/>
    <n v="8"/>
  </r>
  <r>
    <x v="243"/>
    <s v="net sales:product 1"/>
    <n v="9.99"/>
    <n v="48"/>
    <n v="479.52"/>
    <s v="net sales"/>
    <x v="1"/>
    <x v="0"/>
    <n v="8"/>
  </r>
  <r>
    <x v="243"/>
    <s v="net sales:product 2"/>
    <n v="24.99"/>
    <n v="6"/>
    <n v="149.94"/>
    <s v="net sales"/>
    <x v="2"/>
    <x v="0"/>
    <n v="8"/>
  </r>
  <r>
    <x v="243"/>
    <s v="net sales:product 3"/>
    <n v="12.49"/>
    <n v="67"/>
    <n v="836.83"/>
    <s v="net sales"/>
    <x v="3"/>
    <x v="0"/>
    <n v="8"/>
  </r>
  <r>
    <x v="244"/>
    <s v="amortization"/>
    <s v="NA"/>
    <s v="NA"/>
    <n v="50"/>
    <s v="amortization"/>
    <x v="0"/>
    <x v="0"/>
    <n v="9"/>
  </r>
  <r>
    <x v="244"/>
    <s v="cogs:product 1"/>
    <n v="5.99"/>
    <n v="54"/>
    <n v="323.46000000000004"/>
    <s v="cogs"/>
    <x v="1"/>
    <x v="0"/>
    <n v="9"/>
  </r>
  <r>
    <x v="244"/>
    <s v="cogs:product 2"/>
    <n v="16.989999999999998"/>
    <n v="6"/>
    <n v="101.94"/>
    <s v="cogs"/>
    <x v="2"/>
    <x v="0"/>
    <n v="9"/>
  </r>
  <r>
    <x v="244"/>
    <s v="cogs:product 3"/>
    <n v="8.49"/>
    <n v="245"/>
    <n v="2080.0500000000002"/>
    <s v="cogs"/>
    <x v="3"/>
    <x v="0"/>
    <n v="9"/>
  </r>
  <r>
    <x v="244"/>
    <s v="marketing"/>
    <s v="NA"/>
    <s v="NA"/>
    <n v="99.9"/>
    <s v="marketing"/>
    <x v="0"/>
    <x v="0"/>
    <n v="9"/>
  </r>
  <r>
    <x v="244"/>
    <s v="net sales:product 1"/>
    <n v="9.99"/>
    <n v="54"/>
    <n v="539.46"/>
    <s v="net sales"/>
    <x v="1"/>
    <x v="0"/>
    <n v="9"/>
  </r>
  <r>
    <x v="244"/>
    <s v="net sales:product 2"/>
    <n v="24.99"/>
    <n v="6"/>
    <n v="149.94"/>
    <s v="net sales"/>
    <x v="2"/>
    <x v="0"/>
    <n v="9"/>
  </r>
  <r>
    <x v="244"/>
    <s v="net sales:product 3"/>
    <n v="12.49"/>
    <n v="245"/>
    <n v="3060.05"/>
    <s v="net sales"/>
    <x v="3"/>
    <x v="0"/>
    <n v="9"/>
  </r>
  <r>
    <x v="244"/>
    <s v="overhead"/>
    <s v="NA"/>
    <s v="NA"/>
    <n v="2000"/>
    <s v="overhead"/>
    <x v="0"/>
    <x v="0"/>
    <n v="9"/>
  </r>
  <r>
    <x v="245"/>
    <s v="cogs:product 1"/>
    <n v="5.99"/>
    <n v="62"/>
    <n v="371.38"/>
    <s v="cogs"/>
    <x v="1"/>
    <x v="0"/>
    <n v="9"/>
  </r>
  <r>
    <x v="245"/>
    <s v="cogs:product 2"/>
    <n v="16.989999999999998"/>
    <n v="6"/>
    <n v="101.94"/>
    <s v="cogs"/>
    <x v="2"/>
    <x v="0"/>
    <n v="9"/>
  </r>
  <r>
    <x v="245"/>
    <s v="cogs:product 3"/>
    <n v="8.49"/>
    <n v="48"/>
    <n v="407.52"/>
    <s v="cogs"/>
    <x v="3"/>
    <x v="0"/>
    <n v="9"/>
  </r>
  <r>
    <x v="245"/>
    <s v="marketing"/>
    <s v="NA"/>
    <s v="NA"/>
    <n v="100.06"/>
    <s v="marketing"/>
    <x v="0"/>
    <x v="0"/>
    <n v="9"/>
  </r>
  <r>
    <x v="245"/>
    <s v="net sales:product 1"/>
    <n v="9.99"/>
    <n v="62"/>
    <n v="619.38"/>
    <s v="net sales"/>
    <x v="1"/>
    <x v="0"/>
    <n v="9"/>
  </r>
  <r>
    <x v="245"/>
    <s v="net sales:product 2"/>
    <n v="24.99"/>
    <n v="6"/>
    <n v="149.94"/>
    <s v="net sales"/>
    <x v="2"/>
    <x v="0"/>
    <n v="9"/>
  </r>
  <r>
    <x v="245"/>
    <s v="net sales:product 3"/>
    <n v="12.49"/>
    <n v="48"/>
    <n v="599.52"/>
    <s v="net sales"/>
    <x v="3"/>
    <x v="0"/>
    <n v="9"/>
  </r>
  <r>
    <x v="246"/>
    <s v="cogs:product 1"/>
    <n v="5.99"/>
    <n v="25"/>
    <n v="149.75"/>
    <s v="cogs"/>
    <x v="1"/>
    <x v="0"/>
    <n v="9"/>
  </r>
  <r>
    <x v="246"/>
    <s v="cogs:product 2"/>
    <n v="16.989999999999998"/>
    <n v="3"/>
    <n v="50.97"/>
    <s v="cogs"/>
    <x v="2"/>
    <x v="0"/>
    <n v="9"/>
  </r>
  <r>
    <x v="246"/>
    <s v="cogs:product 3"/>
    <n v="8.49"/>
    <n v="40"/>
    <n v="339.6"/>
    <s v="cogs"/>
    <x v="3"/>
    <x v="0"/>
    <n v="9"/>
  </r>
  <r>
    <x v="246"/>
    <s v="marketing"/>
    <s v="NA"/>
    <s v="NA"/>
    <n v="99.98"/>
    <s v="marketing"/>
    <x v="0"/>
    <x v="0"/>
    <n v="9"/>
  </r>
  <r>
    <x v="246"/>
    <s v="net sales:product 1"/>
    <n v="9.99"/>
    <n v="25"/>
    <n v="249.75"/>
    <s v="net sales"/>
    <x v="1"/>
    <x v="0"/>
    <n v="9"/>
  </r>
  <r>
    <x v="246"/>
    <s v="net sales:product 2"/>
    <n v="24.99"/>
    <n v="3"/>
    <n v="74.97"/>
    <s v="net sales"/>
    <x v="2"/>
    <x v="0"/>
    <n v="9"/>
  </r>
  <r>
    <x v="246"/>
    <s v="net sales:product 3"/>
    <n v="12.49"/>
    <n v="40"/>
    <n v="499.6"/>
    <s v="net sales"/>
    <x v="3"/>
    <x v="0"/>
    <n v="9"/>
  </r>
  <r>
    <x v="247"/>
    <s v="cogs:product 1"/>
    <n v="5.99"/>
    <n v="79"/>
    <n v="473.21000000000004"/>
    <s v="cogs"/>
    <x v="1"/>
    <x v="0"/>
    <n v="9"/>
  </r>
  <r>
    <x v="247"/>
    <s v="cogs:product 2"/>
    <n v="16.989999999999998"/>
    <n v="7"/>
    <n v="118.92999999999999"/>
    <s v="cogs"/>
    <x v="2"/>
    <x v="0"/>
    <n v="9"/>
  </r>
  <r>
    <x v="247"/>
    <s v="cogs:product 3"/>
    <n v="8.49"/>
    <n v="232"/>
    <n v="1969.68"/>
    <s v="cogs"/>
    <x v="3"/>
    <x v="0"/>
    <n v="9"/>
  </r>
  <r>
    <x v="247"/>
    <s v="marketing"/>
    <s v="NA"/>
    <s v="NA"/>
    <n v="99.94"/>
    <s v="marketing"/>
    <x v="0"/>
    <x v="0"/>
    <n v="9"/>
  </r>
  <r>
    <x v="247"/>
    <s v="net sales:product 1"/>
    <n v="9.99"/>
    <n v="79"/>
    <n v="789.21"/>
    <s v="net sales"/>
    <x v="1"/>
    <x v="0"/>
    <n v="9"/>
  </r>
  <r>
    <x v="247"/>
    <s v="net sales:product 2"/>
    <n v="24.99"/>
    <n v="7"/>
    <n v="174.92999999999998"/>
    <s v="net sales"/>
    <x v="2"/>
    <x v="0"/>
    <n v="9"/>
  </r>
  <r>
    <x v="247"/>
    <s v="net sales:product 3"/>
    <n v="12.49"/>
    <n v="232"/>
    <n v="2897.68"/>
    <s v="net sales"/>
    <x v="3"/>
    <x v="0"/>
    <n v="9"/>
  </r>
  <r>
    <x v="248"/>
    <s v="cogs:product 1"/>
    <n v="5.99"/>
    <n v="78"/>
    <n v="467.22"/>
    <s v="cogs"/>
    <x v="1"/>
    <x v="0"/>
    <n v="9"/>
  </r>
  <r>
    <x v="248"/>
    <s v="cogs:product 2"/>
    <n v="16.989999999999998"/>
    <n v="4"/>
    <n v="67.959999999999994"/>
    <s v="cogs"/>
    <x v="2"/>
    <x v="0"/>
    <n v="9"/>
  </r>
  <r>
    <x v="248"/>
    <s v="cogs:product 3"/>
    <n v="8.49"/>
    <n v="221"/>
    <n v="1876.29"/>
    <s v="cogs"/>
    <x v="3"/>
    <x v="0"/>
    <n v="9"/>
  </r>
  <r>
    <x v="248"/>
    <s v="marketing"/>
    <s v="NA"/>
    <s v="NA"/>
    <n v="100.05"/>
    <s v="marketing"/>
    <x v="0"/>
    <x v="0"/>
    <n v="9"/>
  </r>
  <r>
    <x v="248"/>
    <s v="net sales:product 1"/>
    <n v="9.99"/>
    <n v="78"/>
    <n v="779.22"/>
    <s v="net sales"/>
    <x v="1"/>
    <x v="0"/>
    <n v="9"/>
  </r>
  <r>
    <x v="248"/>
    <s v="net sales:product 2"/>
    <n v="24.99"/>
    <n v="4"/>
    <n v="99.96"/>
    <s v="net sales"/>
    <x v="2"/>
    <x v="0"/>
    <n v="9"/>
  </r>
  <r>
    <x v="248"/>
    <s v="net sales:product 3"/>
    <n v="12.49"/>
    <n v="221"/>
    <n v="2760.29"/>
    <s v="net sales"/>
    <x v="3"/>
    <x v="0"/>
    <n v="9"/>
  </r>
  <r>
    <x v="249"/>
    <s v="cogs:product 1"/>
    <n v="5.99"/>
    <n v="82"/>
    <n v="491.18"/>
    <s v="cogs"/>
    <x v="1"/>
    <x v="0"/>
    <n v="9"/>
  </r>
  <r>
    <x v="249"/>
    <s v="cogs:product 2"/>
    <n v="16.989999999999998"/>
    <n v="10"/>
    <n v="169.89999999999998"/>
    <s v="cogs"/>
    <x v="2"/>
    <x v="0"/>
    <n v="9"/>
  </r>
  <r>
    <x v="249"/>
    <s v="cogs:product 3"/>
    <n v="8.49"/>
    <n v="205"/>
    <n v="1740.45"/>
    <s v="cogs"/>
    <x v="3"/>
    <x v="0"/>
    <n v="9"/>
  </r>
  <r>
    <x v="249"/>
    <s v="marketing"/>
    <s v="NA"/>
    <s v="NA"/>
    <n v="99.9"/>
    <s v="marketing"/>
    <x v="0"/>
    <x v="0"/>
    <n v="9"/>
  </r>
  <r>
    <x v="249"/>
    <s v="net sales:product 1"/>
    <n v="9.99"/>
    <n v="82"/>
    <n v="819.18000000000006"/>
    <s v="net sales"/>
    <x v="1"/>
    <x v="0"/>
    <n v="9"/>
  </r>
  <r>
    <x v="249"/>
    <s v="net sales:product 2"/>
    <n v="24.99"/>
    <n v="10"/>
    <n v="249.89999999999998"/>
    <s v="net sales"/>
    <x v="2"/>
    <x v="0"/>
    <n v="9"/>
  </r>
  <r>
    <x v="249"/>
    <s v="net sales:product 3"/>
    <n v="12.49"/>
    <n v="205"/>
    <n v="2560.4499999999998"/>
    <s v="net sales"/>
    <x v="3"/>
    <x v="0"/>
    <n v="9"/>
  </r>
  <r>
    <x v="250"/>
    <s v="cogs:product 1"/>
    <n v="5.99"/>
    <n v="22"/>
    <n v="131.78"/>
    <s v="cogs"/>
    <x v="1"/>
    <x v="0"/>
    <n v="9"/>
  </r>
  <r>
    <x v="250"/>
    <s v="cogs:product 2"/>
    <n v="16.989999999999998"/>
    <n v="2"/>
    <n v="33.979999999999997"/>
    <s v="cogs"/>
    <x v="2"/>
    <x v="0"/>
    <n v="9"/>
  </r>
  <r>
    <x v="250"/>
    <s v="cogs:product 3"/>
    <n v="8.49"/>
    <n v="0"/>
    <n v="0"/>
    <s v="cogs"/>
    <x v="3"/>
    <x v="0"/>
    <n v="9"/>
  </r>
  <r>
    <x v="250"/>
    <s v="marketing"/>
    <s v="NA"/>
    <s v="NA"/>
    <n v="99.9"/>
    <s v="marketing"/>
    <x v="0"/>
    <x v="0"/>
    <n v="9"/>
  </r>
  <r>
    <x v="250"/>
    <s v="net sales:product 1"/>
    <n v="9.99"/>
    <n v="22"/>
    <n v="219.78"/>
    <s v="net sales"/>
    <x v="1"/>
    <x v="0"/>
    <n v="9"/>
  </r>
  <r>
    <x v="250"/>
    <s v="net sales:product 2"/>
    <n v="24.99"/>
    <n v="2"/>
    <n v="49.98"/>
    <s v="net sales"/>
    <x v="2"/>
    <x v="0"/>
    <n v="9"/>
  </r>
  <r>
    <x v="250"/>
    <s v="net sales:product 3"/>
    <n v="12.49"/>
    <n v="0"/>
    <n v="0"/>
    <s v="net sales"/>
    <x v="3"/>
    <x v="0"/>
    <n v="9"/>
  </r>
  <r>
    <x v="251"/>
    <s v="cogs:product 1"/>
    <n v="5.99"/>
    <n v="26"/>
    <n v="155.74"/>
    <s v="cogs"/>
    <x v="1"/>
    <x v="0"/>
    <n v="9"/>
  </r>
  <r>
    <x v="251"/>
    <s v="cogs:product 2"/>
    <n v="16.989999999999998"/>
    <n v="7"/>
    <n v="118.92999999999999"/>
    <s v="cogs"/>
    <x v="2"/>
    <x v="0"/>
    <n v="9"/>
  </r>
  <r>
    <x v="251"/>
    <s v="cogs:product 3"/>
    <n v="8.49"/>
    <n v="159"/>
    <n v="1349.91"/>
    <s v="cogs"/>
    <x v="3"/>
    <x v="0"/>
    <n v="9"/>
  </r>
  <r>
    <x v="251"/>
    <s v="marketing"/>
    <s v="NA"/>
    <s v="NA"/>
    <n v="100.05"/>
    <s v="marketing"/>
    <x v="0"/>
    <x v="0"/>
    <n v="9"/>
  </r>
  <r>
    <x v="251"/>
    <s v="net sales:product 1"/>
    <n v="9.99"/>
    <n v="26"/>
    <n v="259.74"/>
    <s v="net sales"/>
    <x v="1"/>
    <x v="0"/>
    <n v="9"/>
  </r>
  <r>
    <x v="251"/>
    <s v="net sales:product 2"/>
    <n v="24.99"/>
    <n v="7"/>
    <n v="174.92999999999998"/>
    <s v="net sales"/>
    <x v="2"/>
    <x v="0"/>
    <n v="9"/>
  </r>
  <r>
    <x v="251"/>
    <s v="net sales:product 3"/>
    <n v="12.49"/>
    <n v="159"/>
    <n v="1985.91"/>
    <s v="net sales"/>
    <x v="3"/>
    <x v="0"/>
    <n v="9"/>
  </r>
  <r>
    <x v="252"/>
    <s v="cogs:product 1"/>
    <n v="5.99"/>
    <n v="68"/>
    <n v="407.32"/>
    <s v="cogs"/>
    <x v="1"/>
    <x v="0"/>
    <n v="9"/>
  </r>
  <r>
    <x v="252"/>
    <s v="cogs:product 2"/>
    <n v="16.989999999999998"/>
    <n v="9"/>
    <n v="152.91"/>
    <s v="cogs"/>
    <x v="2"/>
    <x v="0"/>
    <n v="9"/>
  </r>
  <r>
    <x v="252"/>
    <s v="cogs:product 3"/>
    <n v="8.49"/>
    <n v="146"/>
    <n v="1239.54"/>
    <s v="cogs"/>
    <x v="3"/>
    <x v="0"/>
    <n v="9"/>
  </r>
  <r>
    <x v="252"/>
    <s v="marketing"/>
    <s v="NA"/>
    <s v="NA"/>
    <n v="100.08"/>
    <s v="marketing"/>
    <x v="0"/>
    <x v="0"/>
    <n v="9"/>
  </r>
  <r>
    <x v="252"/>
    <s v="net sales:product 1"/>
    <n v="9.99"/>
    <n v="68"/>
    <n v="679.32"/>
    <s v="net sales"/>
    <x v="1"/>
    <x v="0"/>
    <n v="9"/>
  </r>
  <r>
    <x v="252"/>
    <s v="net sales:product 2"/>
    <n v="24.99"/>
    <n v="9"/>
    <n v="224.91"/>
    <s v="net sales"/>
    <x v="2"/>
    <x v="0"/>
    <n v="9"/>
  </r>
  <r>
    <x v="252"/>
    <s v="net sales:product 3"/>
    <n v="12.49"/>
    <n v="146"/>
    <n v="1823.54"/>
    <s v="net sales"/>
    <x v="3"/>
    <x v="0"/>
    <n v="9"/>
  </r>
  <r>
    <x v="253"/>
    <s v="cogs:product 1"/>
    <n v="5.99"/>
    <n v="70"/>
    <n v="419.3"/>
    <s v="cogs"/>
    <x v="1"/>
    <x v="0"/>
    <n v="9"/>
  </r>
  <r>
    <x v="253"/>
    <s v="cogs:product 2"/>
    <n v="16.989999999999998"/>
    <n v="3"/>
    <n v="50.97"/>
    <s v="cogs"/>
    <x v="2"/>
    <x v="0"/>
    <n v="9"/>
  </r>
  <r>
    <x v="253"/>
    <s v="cogs:product 3"/>
    <n v="8.49"/>
    <n v="45"/>
    <n v="382.05"/>
    <s v="cogs"/>
    <x v="3"/>
    <x v="0"/>
    <n v="9"/>
  </r>
  <r>
    <x v="253"/>
    <s v="marketing"/>
    <s v="NA"/>
    <s v="NA"/>
    <n v="100.05"/>
    <s v="marketing"/>
    <x v="0"/>
    <x v="0"/>
    <n v="9"/>
  </r>
  <r>
    <x v="253"/>
    <s v="net sales:product 1"/>
    <n v="9.99"/>
    <n v="70"/>
    <n v="699.30000000000007"/>
    <s v="net sales"/>
    <x v="1"/>
    <x v="0"/>
    <n v="9"/>
  </r>
  <r>
    <x v="253"/>
    <s v="net sales:product 2"/>
    <n v="24.99"/>
    <n v="3"/>
    <n v="74.97"/>
    <s v="net sales"/>
    <x v="2"/>
    <x v="0"/>
    <n v="9"/>
  </r>
  <r>
    <x v="253"/>
    <s v="net sales:product 3"/>
    <n v="12.49"/>
    <n v="45"/>
    <n v="562.04999999999995"/>
    <s v="net sales"/>
    <x v="3"/>
    <x v="0"/>
    <n v="9"/>
  </r>
  <r>
    <x v="254"/>
    <s v="cogs:product 1"/>
    <n v="5.99"/>
    <n v="91"/>
    <n v="545.09"/>
    <s v="cogs"/>
    <x v="1"/>
    <x v="0"/>
    <n v="9"/>
  </r>
  <r>
    <x v="254"/>
    <s v="cogs:product 2"/>
    <n v="16.989999999999998"/>
    <n v="2"/>
    <n v="33.979999999999997"/>
    <s v="cogs"/>
    <x v="2"/>
    <x v="0"/>
    <n v="9"/>
  </r>
  <r>
    <x v="254"/>
    <s v="cogs:product 3"/>
    <n v="8.49"/>
    <n v="26"/>
    <n v="220.74"/>
    <s v="cogs"/>
    <x v="3"/>
    <x v="0"/>
    <n v="9"/>
  </r>
  <r>
    <x v="254"/>
    <s v="marketing"/>
    <s v="NA"/>
    <s v="NA"/>
    <n v="99.960000000000008"/>
    <s v="marketing"/>
    <x v="0"/>
    <x v="0"/>
    <n v="9"/>
  </r>
  <r>
    <x v="254"/>
    <s v="net sales:product 1"/>
    <n v="9.99"/>
    <n v="91"/>
    <n v="909.09"/>
    <s v="net sales"/>
    <x v="1"/>
    <x v="0"/>
    <n v="9"/>
  </r>
  <r>
    <x v="254"/>
    <s v="net sales:product 2"/>
    <n v="24.99"/>
    <n v="2"/>
    <n v="49.98"/>
    <s v="net sales"/>
    <x v="2"/>
    <x v="0"/>
    <n v="9"/>
  </r>
  <r>
    <x v="254"/>
    <s v="net sales:product 3"/>
    <n v="12.49"/>
    <n v="26"/>
    <n v="324.74"/>
    <s v="net sales"/>
    <x v="3"/>
    <x v="0"/>
    <n v="9"/>
  </r>
  <r>
    <x v="255"/>
    <s v="cogs:product 1"/>
    <n v="5.99"/>
    <n v="64"/>
    <n v="383.36"/>
    <s v="cogs"/>
    <x v="1"/>
    <x v="0"/>
    <n v="9"/>
  </r>
  <r>
    <x v="255"/>
    <s v="cogs:product 2"/>
    <n v="16.989999999999998"/>
    <n v="10"/>
    <n v="169.89999999999998"/>
    <s v="cogs"/>
    <x v="2"/>
    <x v="0"/>
    <n v="9"/>
  </r>
  <r>
    <x v="255"/>
    <s v="cogs:product 3"/>
    <n v="8.49"/>
    <n v="195"/>
    <n v="1655.55"/>
    <s v="cogs"/>
    <x v="3"/>
    <x v="0"/>
    <n v="9"/>
  </r>
  <r>
    <x v="255"/>
    <s v="marketing"/>
    <s v="NA"/>
    <s v="NA"/>
    <n v="99.95"/>
    <s v="marketing"/>
    <x v="0"/>
    <x v="0"/>
    <n v="9"/>
  </r>
  <r>
    <x v="255"/>
    <s v="net sales:product 1"/>
    <n v="9.99"/>
    <n v="64"/>
    <n v="639.36"/>
    <s v="net sales"/>
    <x v="1"/>
    <x v="0"/>
    <n v="9"/>
  </r>
  <r>
    <x v="255"/>
    <s v="net sales:product 2"/>
    <n v="24.99"/>
    <n v="10"/>
    <n v="249.89999999999998"/>
    <s v="net sales"/>
    <x v="2"/>
    <x v="0"/>
    <n v="9"/>
  </r>
  <r>
    <x v="255"/>
    <s v="net sales:product 3"/>
    <n v="12.49"/>
    <n v="195"/>
    <n v="2435.5500000000002"/>
    <s v="net sales"/>
    <x v="3"/>
    <x v="0"/>
    <n v="9"/>
  </r>
  <r>
    <x v="256"/>
    <s v="cogs:product 1"/>
    <n v="5.99"/>
    <n v="14"/>
    <n v="83.86"/>
    <s v="cogs"/>
    <x v="1"/>
    <x v="0"/>
    <n v="9"/>
  </r>
  <r>
    <x v="256"/>
    <s v="cogs:product 2"/>
    <n v="16.989999999999998"/>
    <n v="2"/>
    <n v="33.979999999999997"/>
    <s v="cogs"/>
    <x v="2"/>
    <x v="0"/>
    <n v="9"/>
  </r>
  <r>
    <x v="256"/>
    <s v="cogs:product 3"/>
    <n v="8.49"/>
    <n v="165"/>
    <n v="1400.8500000000001"/>
    <s v="cogs"/>
    <x v="3"/>
    <x v="0"/>
    <n v="9"/>
  </r>
  <r>
    <x v="256"/>
    <s v="marketing"/>
    <s v="NA"/>
    <s v="NA"/>
    <n v="99.91"/>
    <s v="marketing"/>
    <x v="0"/>
    <x v="0"/>
    <n v="9"/>
  </r>
  <r>
    <x v="256"/>
    <s v="net sales:product 1"/>
    <n v="9.99"/>
    <n v="14"/>
    <n v="139.86000000000001"/>
    <s v="net sales"/>
    <x v="1"/>
    <x v="0"/>
    <n v="9"/>
  </r>
  <r>
    <x v="256"/>
    <s v="net sales:product 2"/>
    <n v="24.99"/>
    <n v="2"/>
    <n v="49.98"/>
    <s v="net sales"/>
    <x v="2"/>
    <x v="0"/>
    <n v="9"/>
  </r>
  <r>
    <x v="256"/>
    <s v="net sales:product 3"/>
    <n v="12.49"/>
    <n v="165"/>
    <n v="2060.85"/>
    <s v="net sales"/>
    <x v="3"/>
    <x v="0"/>
    <n v="9"/>
  </r>
  <r>
    <x v="256"/>
    <s v="payroll"/>
    <s v="NA"/>
    <s v="NA"/>
    <n v="1200"/>
    <s v="payroll"/>
    <x v="0"/>
    <x v="0"/>
    <n v="9"/>
  </r>
  <r>
    <x v="257"/>
    <s v="cogs:product 1"/>
    <n v="5.99"/>
    <n v="40"/>
    <n v="239.60000000000002"/>
    <s v="cogs"/>
    <x v="1"/>
    <x v="0"/>
    <n v="9"/>
  </r>
  <r>
    <x v="257"/>
    <s v="cogs:product 2"/>
    <n v="16.989999999999998"/>
    <n v="6"/>
    <n v="101.94"/>
    <s v="cogs"/>
    <x v="2"/>
    <x v="0"/>
    <n v="9"/>
  </r>
  <r>
    <x v="257"/>
    <s v="cogs:product 3"/>
    <n v="8.49"/>
    <n v="134"/>
    <n v="1137.6600000000001"/>
    <s v="cogs"/>
    <x v="3"/>
    <x v="0"/>
    <n v="9"/>
  </r>
  <r>
    <x v="257"/>
    <s v="marketing"/>
    <s v="NA"/>
    <s v="NA"/>
    <n v="100.04"/>
    <s v="marketing"/>
    <x v="0"/>
    <x v="0"/>
    <n v="9"/>
  </r>
  <r>
    <x v="257"/>
    <s v="net sales:product 1"/>
    <n v="9.99"/>
    <n v="40"/>
    <n v="399.6"/>
    <s v="net sales"/>
    <x v="1"/>
    <x v="0"/>
    <n v="9"/>
  </r>
  <r>
    <x v="257"/>
    <s v="net sales:product 2"/>
    <n v="24.99"/>
    <n v="6"/>
    <n v="149.94"/>
    <s v="net sales"/>
    <x v="2"/>
    <x v="0"/>
    <n v="9"/>
  </r>
  <r>
    <x v="257"/>
    <s v="net sales:product 3"/>
    <n v="12.49"/>
    <n v="134"/>
    <n v="1673.66"/>
    <s v="net sales"/>
    <x v="3"/>
    <x v="0"/>
    <n v="9"/>
  </r>
  <r>
    <x v="258"/>
    <s v="cogs:product 1"/>
    <n v="5.99"/>
    <n v="26"/>
    <n v="155.74"/>
    <s v="cogs"/>
    <x v="1"/>
    <x v="0"/>
    <n v="9"/>
  </r>
  <r>
    <x v="258"/>
    <s v="cogs:product 2"/>
    <n v="16.989999999999998"/>
    <n v="2"/>
    <n v="33.979999999999997"/>
    <s v="cogs"/>
    <x v="2"/>
    <x v="0"/>
    <n v="9"/>
  </r>
  <r>
    <x v="258"/>
    <s v="cogs:product 3"/>
    <n v="8.49"/>
    <n v="33"/>
    <n v="280.17"/>
    <s v="cogs"/>
    <x v="3"/>
    <x v="0"/>
    <n v="9"/>
  </r>
  <r>
    <x v="258"/>
    <s v="interest"/>
    <s v="NA"/>
    <s v="NA"/>
    <n v="1280.1600000000001"/>
    <s v="interest"/>
    <x v="0"/>
    <x v="0"/>
    <n v="9"/>
  </r>
  <r>
    <x v="258"/>
    <s v="marketing"/>
    <s v="NA"/>
    <s v="NA"/>
    <n v="99.92"/>
    <s v="marketing"/>
    <x v="0"/>
    <x v="0"/>
    <n v="9"/>
  </r>
  <r>
    <x v="258"/>
    <s v="net sales:product 1"/>
    <n v="9.99"/>
    <n v="26"/>
    <n v="259.74"/>
    <s v="net sales"/>
    <x v="1"/>
    <x v="0"/>
    <n v="9"/>
  </r>
  <r>
    <x v="258"/>
    <s v="net sales:product 2"/>
    <n v="24.99"/>
    <n v="2"/>
    <n v="49.98"/>
    <s v="net sales"/>
    <x v="2"/>
    <x v="0"/>
    <n v="9"/>
  </r>
  <r>
    <x v="258"/>
    <s v="net sales:product 3"/>
    <n v="12.49"/>
    <n v="33"/>
    <n v="412.17"/>
    <s v="net sales"/>
    <x v="3"/>
    <x v="0"/>
    <n v="9"/>
  </r>
  <r>
    <x v="258"/>
    <s v="overhead"/>
    <s v="NA"/>
    <s v="NA"/>
    <n v="320.04000000000002"/>
    <s v="overhead"/>
    <x v="0"/>
    <x v="0"/>
    <n v="9"/>
  </r>
  <r>
    <x v="259"/>
    <s v="cogs:product 1"/>
    <n v="5.99"/>
    <n v="74"/>
    <n v="443.26"/>
    <s v="cogs"/>
    <x v="1"/>
    <x v="0"/>
    <n v="9"/>
  </r>
  <r>
    <x v="259"/>
    <s v="cogs:product 2"/>
    <n v="16.989999999999998"/>
    <n v="9"/>
    <n v="152.91"/>
    <s v="cogs"/>
    <x v="2"/>
    <x v="0"/>
    <n v="9"/>
  </r>
  <r>
    <x v="259"/>
    <s v="cogs:product 3"/>
    <n v="8.49"/>
    <n v="47"/>
    <n v="399.03000000000003"/>
    <s v="cogs"/>
    <x v="3"/>
    <x v="0"/>
    <n v="9"/>
  </r>
  <r>
    <x v="259"/>
    <s v="marketing"/>
    <s v="NA"/>
    <s v="NA"/>
    <n v="100.03"/>
    <s v="marketing"/>
    <x v="0"/>
    <x v="0"/>
    <n v="9"/>
  </r>
  <r>
    <x v="259"/>
    <s v="net sales:product 1"/>
    <n v="9.99"/>
    <n v="74"/>
    <n v="739.26"/>
    <s v="net sales"/>
    <x v="1"/>
    <x v="0"/>
    <n v="9"/>
  </r>
  <r>
    <x v="259"/>
    <s v="net sales:product 2"/>
    <n v="24.99"/>
    <n v="9"/>
    <n v="224.91"/>
    <s v="net sales"/>
    <x v="2"/>
    <x v="0"/>
    <n v="9"/>
  </r>
  <r>
    <x v="259"/>
    <s v="net sales:product 3"/>
    <n v="12.49"/>
    <n v="47"/>
    <n v="587.03"/>
    <s v="net sales"/>
    <x v="3"/>
    <x v="0"/>
    <n v="9"/>
  </r>
  <r>
    <x v="260"/>
    <s v="cogs:product 1"/>
    <n v="5.99"/>
    <n v="16"/>
    <n v="95.84"/>
    <s v="cogs"/>
    <x v="1"/>
    <x v="0"/>
    <n v="9"/>
  </r>
  <r>
    <x v="260"/>
    <s v="cogs:product 2"/>
    <n v="16.989999999999998"/>
    <n v="5"/>
    <n v="84.949999999999989"/>
    <s v="cogs"/>
    <x v="2"/>
    <x v="0"/>
    <n v="9"/>
  </r>
  <r>
    <x v="260"/>
    <s v="cogs:product 3"/>
    <n v="8.49"/>
    <n v="208"/>
    <n v="1765.92"/>
    <s v="cogs"/>
    <x v="3"/>
    <x v="0"/>
    <n v="9"/>
  </r>
  <r>
    <x v="260"/>
    <s v="marketing"/>
    <s v="NA"/>
    <s v="NA"/>
    <n v="99.94"/>
    <s v="marketing"/>
    <x v="0"/>
    <x v="0"/>
    <n v="9"/>
  </r>
  <r>
    <x v="260"/>
    <s v="net sales:product 1"/>
    <n v="9.99"/>
    <n v="16"/>
    <n v="159.84"/>
    <s v="net sales"/>
    <x v="1"/>
    <x v="0"/>
    <n v="9"/>
  </r>
  <r>
    <x v="260"/>
    <s v="net sales:product 2"/>
    <n v="24.99"/>
    <n v="5"/>
    <n v="124.94999999999999"/>
    <s v="net sales"/>
    <x v="2"/>
    <x v="0"/>
    <n v="9"/>
  </r>
  <r>
    <x v="260"/>
    <s v="net sales:product 3"/>
    <n v="12.49"/>
    <n v="208"/>
    <n v="2597.92"/>
    <s v="net sales"/>
    <x v="3"/>
    <x v="0"/>
    <n v="9"/>
  </r>
  <r>
    <x v="261"/>
    <s v="cogs:product 1"/>
    <n v="5.99"/>
    <n v="5"/>
    <n v="29.950000000000003"/>
    <s v="cogs"/>
    <x v="1"/>
    <x v="0"/>
    <n v="9"/>
  </r>
  <r>
    <x v="261"/>
    <s v="cogs:product 2"/>
    <n v="16.989999999999998"/>
    <n v="2"/>
    <n v="33.979999999999997"/>
    <s v="cogs"/>
    <x v="2"/>
    <x v="0"/>
    <n v="9"/>
  </r>
  <r>
    <x v="261"/>
    <s v="cogs:product 3"/>
    <n v="8.49"/>
    <n v="193"/>
    <n v="1638.57"/>
    <s v="cogs"/>
    <x v="3"/>
    <x v="0"/>
    <n v="9"/>
  </r>
  <r>
    <x v="261"/>
    <s v="marketing"/>
    <s v="NA"/>
    <s v="NA"/>
    <n v="99.95"/>
    <s v="marketing"/>
    <x v="0"/>
    <x v="0"/>
    <n v="9"/>
  </r>
  <r>
    <x v="261"/>
    <s v="net sales:product 1"/>
    <n v="9.99"/>
    <n v="5"/>
    <n v="49.95"/>
    <s v="net sales"/>
    <x v="1"/>
    <x v="0"/>
    <n v="9"/>
  </r>
  <r>
    <x v="261"/>
    <s v="net sales:product 2"/>
    <n v="24.99"/>
    <n v="2"/>
    <n v="49.98"/>
    <s v="net sales"/>
    <x v="2"/>
    <x v="0"/>
    <n v="9"/>
  </r>
  <r>
    <x v="261"/>
    <s v="net sales:product 3"/>
    <n v="12.49"/>
    <n v="193"/>
    <n v="2410.5700000000002"/>
    <s v="net sales"/>
    <x v="3"/>
    <x v="0"/>
    <n v="9"/>
  </r>
  <r>
    <x v="262"/>
    <s v="cogs:product 1"/>
    <n v="5.99"/>
    <n v="7"/>
    <n v="41.93"/>
    <s v="cogs"/>
    <x v="1"/>
    <x v="0"/>
    <n v="9"/>
  </r>
  <r>
    <x v="262"/>
    <s v="cogs:product 2"/>
    <n v="16.989999999999998"/>
    <n v="6"/>
    <n v="101.94"/>
    <s v="cogs"/>
    <x v="2"/>
    <x v="0"/>
    <n v="9"/>
  </r>
  <r>
    <x v="262"/>
    <s v="cogs:product 3"/>
    <n v="8.49"/>
    <n v="219"/>
    <n v="1859.31"/>
    <s v="cogs"/>
    <x v="3"/>
    <x v="0"/>
    <n v="9"/>
  </r>
  <r>
    <x v="262"/>
    <s v="marketing"/>
    <s v="NA"/>
    <s v="NA"/>
    <n v="100.03"/>
    <s v="marketing"/>
    <x v="0"/>
    <x v="0"/>
    <n v="9"/>
  </r>
  <r>
    <x v="262"/>
    <s v="net sales:product 1"/>
    <n v="9.99"/>
    <n v="7"/>
    <n v="69.930000000000007"/>
    <s v="net sales"/>
    <x v="1"/>
    <x v="0"/>
    <n v="9"/>
  </r>
  <r>
    <x v="262"/>
    <s v="net sales:product 2"/>
    <n v="24.99"/>
    <n v="6"/>
    <n v="149.94"/>
    <s v="net sales"/>
    <x v="2"/>
    <x v="0"/>
    <n v="9"/>
  </r>
  <r>
    <x v="262"/>
    <s v="net sales:product 3"/>
    <n v="12.49"/>
    <n v="219"/>
    <n v="2735.31"/>
    <s v="net sales"/>
    <x v="3"/>
    <x v="0"/>
    <n v="9"/>
  </r>
  <r>
    <x v="263"/>
    <s v="cogs:product 1"/>
    <n v="5.99"/>
    <n v="7"/>
    <n v="41.93"/>
    <s v="cogs"/>
    <x v="1"/>
    <x v="0"/>
    <n v="9"/>
  </r>
  <r>
    <x v="263"/>
    <s v="cogs:product 2"/>
    <n v="16.989999999999998"/>
    <n v="8"/>
    <n v="135.91999999999999"/>
    <s v="cogs"/>
    <x v="2"/>
    <x v="0"/>
    <n v="9"/>
  </r>
  <r>
    <x v="263"/>
    <s v="cogs:product 3"/>
    <n v="8.49"/>
    <n v="80"/>
    <n v="679.2"/>
    <s v="cogs"/>
    <x v="3"/>
    <x v="0"/>
    <n v="9"/>
  </r>
  <r>
    <x v="263"/>
    <s v="marketing"/>
    <s v="NA"/>
    <s v="NA"/>
    <n v="100.10000000000001"/>
    <s v="marketing"/>
    <x v="0"/>
    <x v="0"/>
    <n v="9"/>
  </r>
  <r>
    <x v="263"/>
    <s v="net sales:product 1"/>
    <n v="9.99"/>
    <n v="7"/>
    <n v="69.930000000000007"/>
    <s v="net sales"/>
    <x v="1"/>
    <x v="0"/>
    <n v="9"/>
  </r>
  <r>
    <x v="263"/>
    <s v="net sales:product 2"/>
    <n v="24.99"/>
    <n v="8"/>
    <n v="199.92"/>
    <s v="net sales"/>
    <x v="2"/>
    <x v="0"/>
    <n v="9"/>
  </r>
  <r>
    <x v="263"/>
    <s v="net sales:product 3"/>
    <n v="12.49"/>
    <n v="80"/>
    <n v="999.2"/>
    <s v="net sales"/>
    <x v="3"/>
    <x v="0"/>
    <n v="9"/>
  </r>
  <r>
    <x v="264"/>
    <s v="cogs:product 1"/>
    <n v="5.99"/>
    <n v="6"/>
    <n v="35.94"/>
    <s v="cogs"/>
    <x v="1"/>
    <x v="0"/>
    <n v="9"/>
  </r>
  <r>
    <x v="264"/>
    <s v="cogs:product 2"/>
    <n v="16.989999999999998"/>
    <n v="0"/>
    <n v="0"/>
    <s v="cogs"/>
    <x v="2"/>
    <x v="0"/>
    <n v="9"/>
  </r>
  <r>
    <x v="264"/>
    <s v="cogs:product 3"/>
    <n v="8.49"/>
    <n v="40"/>
    <n v="339.6"/>
    <s v="cogs"/>
    <x v="3"/>
    <x v="0"/>
    <n v="9"/>
  </r>
  <r>
    <x v="264"/>
    <s v="marketing"/>
    <s v="NA"/>
    <s v="NA"/>
    <n v="99.94"/>
    <s v="marketing"/>
    <x v="0"/>
    <x v="0"/>
    <n v="9"/>
  </r>
  <r>
    <x v="264"/>
    <s v="net sales:product 1"/>
    <n v="9.99"/>
    <n v="6"/>
    <n v="59.94"/>
    <s v="net sales"/>
    <x v="1"/>
    <x v="0"/>
    <n v="9"/>
  </r>
  <r>
    <x v="264"/>
    <s v="net sales:product 2"/>
    <n v="24.99"/>
    <n v="0"/>
    <n v="0"/>
    <s v="net sales"/>
    <x v="2"/>
    <x v="0"/>
    <n v="9"/>
  </r>
  <r>
    <x v="264"/>
    <s v="net sales:product 3"/>
    <n v="12.49"/>
    <n v="40"/>
    <n v="499.6"/>
    <s v="net sales"/>
    <x v="3"/>
    <x v="0"/>
    <n v="9"/>
  </r>
  <r>
    <x v="265"/>
    <s v="cogs:product 1"/>
    <n v="5.99"/>
    <n v="61"/>
    <n v="365.39"/>
    <s v="cogs"/>
    <x v="1"/>
    <x v="0"/>
    <n v="9"/>
  </r>
  <r>
    <x v="265"/>
    <s v="cogs:product 2"/>
    <n v="16.989999999999998"/>
    <n v="3"/>
    <n v="50.97"/>
    <s v="cogs"/>
    <x v="2"/>
    <x v="0"/>
    <n v="9"/>
  </r>
  <r>
    <x v="265"/>
    <s v="cogs:product 3"/>
    <n v="8.49"/>
    <n v="73"/>
    <n v="619.77"/>
    <s v="cogs"/>
    <x v="3"/>
    <x v="0"/>
    <n v="9"/>
  </r>
  <r>
    <x v="265"/>
    <s v="marketing"/>
    <s v="NA"/>
    <s v="NA"/>
    <n v="99.960000000000008"/>
    <s v="marketing"/>
    <x v="0"/>
    <x v="0"/>
    <n v="9"/>
  </r>
  <r>
    <x v="265"/>
    <s v="net sales:product 1"/>
    <n v="9.99"/>
    <n v="61"/>
    <n v="609.39"/>
    <s v="net sales"/>
    <x v="1"/>
    <x v="0"/>
    <n v="9"/>
  </r>
  <r>
    <x v="265"/>
    <s v="net sales:product 2"/>
    <n v="24.99"/>
    <n v="3"/>
    <n v="74.97"/>
    <s v="net sales"/>
    <x v="2"/>
    <x v="0"/>
    <n v="9"/>
  </r>
  <r>
    <x v="265"/>
    <s v="net sales:product 3"/>
    <n v="12.49"/>
    <n v="73"/>
    <n v="911.77"/>
    <s v="net sales"/>
    <x v="3"/>
    <x v="0"/>
    <n v="9"/>
  </r>
  <r>
    <x v="266"/>
    <s v="cogs:product 1"/>
    <n v="5.99"/>
    <n v="4"/>
    <n v="23.96"/>
    <s v="cogs"/>
    <x v="1"/>
    <x v="0"/>
    <n v="9"/>
  </r>
  <r>
    <x v="266"/>
    <s v="cogs:product 2"/>
    <n v="16.989999999999998"/>
    <n v="9"/>
    <n v="152.91"/>
    <s v="cogs"/>
    <x v="2"/>
    <x v="0"/>
    <n v="9"/>
  </r>
  <r>
    <x v="266"/>
    <s v="cogs:product 3"/>
    <n v="8.49"/>
    <n v="220"/>
    <n v="1867.8"/>
    <s v="cogs"/>
    <x v="3"/>
    <x v="0"/>
    <n v="9"/>
  </r>
  <r>
    <x v="266"/>
    <s v="marketing"/>
    <s v="NA"/>
    <s v="NA"/>
    <n v="100.04"/>
    <s v="marketing"/>
    <x v="0"/>
    <x v="0"/>
    <n v="9"/>
  </r>
  <r>
    <x v="266"/>
    <s v="net sales:product 1"/>
    <n v="9.99"/>
    <n v="4"/>
    <n v="39.96"/>
    <s v="net sales"/>
    <x v="1"/>
    <x v="0"/>
    <n v="9"/>
  </r>
  <r>
    <x v="266"/>
    <s v="net sales:product 2"/>
    <n v="24.99"/>
    <n v="9"/>
    <n v="224.91"/>
    <s v="net sales"/>
    <x v="2"/>
    <x v="0"/>
    <n v="9"/>
  </r>
  <r>
    <x v="266"/>
    <s v="net sales:product 3"/>
    <n v="12.49"/>
    <n v="220"/>
    <n v="2747.8"/>
    <s v="net sales"/>
    <x v="3"/>
    <x v="0"/>
    <n v="9"/>
  </r>
  <r>
    <x v="267"/>
    <s v="cogs:product 1"/>
    <n v="5.99"/>
    <n v="4"/>
    <n v="23.96"/>
    <s v="cogs"/>
    <x v="1"/>
    <x v="0"/>
    <n v="9"/>
  </r>
  <r>
    <x v="267"/>
    <s v="cogs:product 2"/>
    <n v="16.989999999999998"/>
    <n v="3"/>
    <n v="50.97"/>
    <s v="cogs"/>
    <x v="2"/>
    <x v="0"/>
    <n v="9"/>
  </r>
  <r>
    <x v="267"/>
    <s v="cogs:product 3"/>
    <n v="8.49"/>
    <n v="215"/>
    <n v="1825.3500000000001"/>
    <s v="cogs"/>
    <x v="3"/>
    <x v="0"/>
    <n v="9"/>
  </r>
  <r>
    <x v="267"/>
    <s v="marketing"/>
    <s v="NA"/>
    <s v="NA"/>
    <n v="100.04"/>
    <s v="marketing"/>
    <x v="0"/>
    <x v="0"/>
    <n v="9"/>
  </r>
  <r>
    <x v="267"/>
    <s v="net sales:product 1"/>
    <n v="9.99"/>
    <n v="4"/>
    <n v="39.96"/>
    <s v="net sales"/>
    <x v="1"/>
    <x v="0"/>
    <n v="9"/>
  </r>
  <r>
    <x v="267"/>
    <s v="net sales:product 2"/>
    <n v="24.99"/>
    <n v="3"/>
    <n v="74.97"/>
    <s v="net sales"/>
    <x v="2"/>
    <x v="0"/>
    <n v="9"/>
  </r>
  <r>
    <x v="267"/>
    <s v="net sales:product 3"/>
    <n v="12.49"/>
    <n v="215"/>
    <n v="2685.35"/>
    <s v="net sales"/>
    <x v="3"/>
    <x v="0"/>
    <n v="9"/>
  </r>
  <r>
    <x v="268"/>
    <s v="cogs:product 1"/>
    <n v="5.99"/>
    <n v="52"/>
    <n v="311.48"/>
    <s v="cogs"/>
    <x v="1"/>
    <x v="0"/>
    <n v="9"/>
  </r>
  <r>
    <x v="268"/>
    <s v="cogs:product 2"/>
    <n v="16.989999999999998"/>
    <n v="2"/>
    <n v="33.979999999999997"/>
    <s v="cogs"/>
    <x v="2"/>
    <x v="0"/>
    <n v="9"/>
  </r>
  <r>
    <x v="268"/>
    <s v="cogs:product 3"/>
    <n v="8.49"/>
    <n v="91"/>
    <n v="772.59"/>
    <s v="cogs"/>
    <x v="3"/>
    <x v="0"/>
    <n v="9"/>
  </r>
  <r>
    <x v="268"/>
    <s v="marketing"/>
    <s v="NA"/>
    <s v="NA"/>
    <n v="99.93"/>
    <s v="marketing"/>
    <x v="0"/>
    <x v="0"/>
    <n v="9"/>
  </r>
  <r>
    <x v="268"/>
    <s v="net sales:product 1"/>
    <n v="9.99"/>
    <n v="52"/>
    <n v="519.48"/>
    <s v="net sales"/>
    <x v="1"/>
    <x v="0"/>
    <n v="9"/>
  </r>
  <r>
    <x v="268"/>
    <s v="net sales:product 2"/>
    <n v="24.99"/>
    <n v="2"/>
    <n v="49.98"/>
    <s v="net sales"/>
    <x v="2"/>
    <x v="0"/>
    <n v="9"/>
  </r>
  <r>
    <x v="268"/>
    <s v="net sales:product 3"/>
    <n v="12.49"/>
    <n v="91"/>
    <n v="1136.5899999999999"/>
    <s v="net sales"/>
    <x v="3"/>
    <x v="0"/>
    <n v="9"/>
  </r>
  <r>
    <x v="269"/>
    <s v="cogs:product 1"/>
    <n v="5.99"/>
    <n v="15"/>
    <n v="89.850000000000009"/>
    <s v="cogs"/>
    <x v="1"/>
    <x v="0"/>
    <n v="9"/>
  </r>
  <r>
    <x v="269"/>
    <s v="cogs:product 2"/>
    <n v="16.989999999999998"/>
    <n v="1"/>
    <n v="16.989999999999998"/>
    <s v="cogs"/>
    <x v="2"/>
    <x v="0"/>
    <n v="9"/>
  </r>
  <r>
    <x v="269"/>
    <s v="cogs:product 3"/>
    <n v="8.49"/>
    <n v="120"/>
    <n v="1018.8000000000001"/>
    <s v="cogs"/>
    <x v="3"/>
    <x v="0"/>
    <n v="9"/>
  </r>
  <r>
    <x v="269"/>
    <s v="marketing"/>
    <s v="NA"/>
    <s v="NA"/>
    <n v="100.04"/>
    <s v="marketing"/>
    <x v="0"/>
    <x v="0"/>
    <n v="9"/>
  </r>
  <r>
    <x v="269"/>
    <s v="net sales:product 1"/>
    <n v="9.99"/>
    <n v="15"/>
    <n v="149.85"/>
    <s v="net sales"/>
    <x v="1"/>
    <x v="0"/>
    <n v="9"/>
  </r>
  <r>
    <x v="269"/>
    <s v="net sales:product 2"/>
    <n v="24.99"/>
    <n v="1"/>
    <n v="24.99"/>
    <s v="net sales"/>
    <x v="2"/>
    <x v="0"/>
    <n v="9"/>
  </r>
  <r>
    <x v="269"/>
    <s v="net sales:product 3"/>
    <n v="12.49"/>
    <n v="120"/>
    <n v="1498.8"/>
    <s v="net sales"/>
    <x v="3"/>
    <x v="0"/>
    <n v="9"/>
  </r>
  <r>
    <x v="270"/>
    <s v="cogs:product 1"/>
    <n v="5.99"/>
    <n v="63"/>
    <n v="377.37"/>
    <s v="cogs"/>
    <x v="1"/>
    <x v="0"/>
    <n v="9"/>
  </r>
  <r>
    <x v="270"/>
    <s v="cogs:product 2"/>
    <n v="16.989999999999998"/>
    <n v="7"/>
    <n v="118.92999999999999"/>
    <s v="cogs"/>
    <x v="2"/>
    <x v="0"/>
    <n v="9"/>
  </r>
  <r>
    <x v="270"/>
    <s v="cogs:product 3"/>
    <n v="8.49"/>
    <n v="89"/>
    <n v="755.61"/>
    <s v="cogs"/>
    <x v="3"/>
    <x v="0"/>
    <n v="9"/>
  </r>
  <r>
    <x v="270"/>
    <s v="marketing"/>
    <s v="NA"/>
    <s v="NA"/>
    <n v="100.07000000000001"/>
    <s v="marketing"/>
    <x v="0"/>
    <x v="0"/>
    <n v="9"/>
  </r>
  <r>
    <x v="270"/>
    <s v="net sales:product 1"/>
    <n v="9.99"/>
    <n v="63"/>
    <n v="629.37"/>
    <s v="net sales"/>
    <x v="1"/>
    <x v="0"/>
    <n v="9"/>
  </r>
  <r>
    <x v="270"/>
    <s v="net sales:product 2"/>
    <n v="24.99"/>
    <n v="7"/>
    <n v="174.92999999999998"/>
    <s v="net sales"/>
    <x v="2"/>
    <x v="0"/>
    <n v="9"/>
  </r>
  <r>
    <x v="270"/>
    <s v="net sales:product 3"/>
    <n v="12.49"/>
    <n v="89"/>
    <n v="1111.6100000000001"/>
    <s v="net sales"/>
    <x v="3"/>
    <x v="0"/>
    <n v="9"/>
  </r>
  <r>
    <x v="270"/>
    <s v="payroll"/>
    <s v="NA"/>
    <s v="NA"/>
    <n v="1200"/>
    <s v="payroll"/>
    <x v="0"/>
    <x v="0"/>
    <n v="9"/>
  </r>
  <r>
    <x v="271"/>
    <s v="cogs:product 1"/>
    <n v="5.99"/>
    <n v="33"/>
    <n v="197.67000000000002"/>
    <s v="cogs"/>
    <x v="1"/>
    <x v="0"/>
    <n v="9"/>
  </r>
  <r>
    <x v="271"/>
    <s v="cogs:product 2"/>
    <n v="16.989999999999998"/>
    <n v="3"/>
    <n v="50.97"/>
    <s v="cogs"/>
    <x v="2"/>
    <x v="0"/>
    <n v="9"/>
  </r>
  <r>
    <x v="271"/>
    <s v="cogs:product 3"/>
    <n v="8.49"/>
    <n v="242"/>
    <n v="2054.58"/>
    <s v="cogs"/>
    <x v="3"/>
    <x v="0"/>
    <n v="9"/>
  </r>
  <r>
    <x v="271"/>
    <s v="marketing"/>
    <s v="NA"/>
    <s v="NA"/>
    <n v="100.05"/>
    <s v="marketing"/>
    <x v="0"/>
    <x v="0"/>
    <n v="9"/>
  </r>
  <r>
    <x v="271"/>
    <s v="net sales:product 1"/>
    <n v="9.99"/>
    <n v="33"/>
    <n v="329.67"/>
    <s v="net sales"/>
    <x v="1"/>
    <x v="0"/>
    <n v="9"/>
  </r>
  <r>
    <x v="271"/>
    <s v="net sales:product 2"/>
    <n v="24.99"/>
    <n v="3"/>
    <n v="74.97"/>
    <s v="net sales"/>
    <x v="2"/>
    <x v="0"/>
    <n v="9"/>
  </r>
  <r>
    <x v="271"/>
    <s v="net sales:product 3"/>
    <n v="12.49"/>
    <n v="242"/>
    <n v="3022.58"/>
    <s v="net sales"/>
    <x v="3"/>
    <x v="0"/>
    <n v="9"/>
  </r>
  <r>
    <x v="272"/>
    <s v="cogs:product 1"/>
    <n v="5.99"/>
    <n v="56"/>
    <n v="335.44"/>
    <s v="cogs"/>
    <x v="1"/>
    <x v="0"/>
    <n v="9"/>
  </r>
  <r>
    <x v="272"/>
    <s v="cogs:product 2"/>
    <n v="16.989999999999998"/>
    <n v="2"/>
    <n v="33.979999999999997"/>
    <s v="cogs"/>
    <x v="2"/>
    <x v="0"/>
    <n v="9"/>
  </r>
  <r>
    <x v="272"/>
    <s v="cogs:product 3"/>
    <n v="8.49"/>
    <n v="48"/>
    <n v="407.52"/>
    <s v="cogs"/>
    <x v="3"/>
    <x v="0"/>
    <n v="9"/>
  </r>
  <r>
    <x v="272"/>
    <s v="marketing"/>
    <s v="NA"/>
    <s v="NA"/>
    <n v="100"/>
    <s v="marketing"/>
    <x v="0"/>
    <x v="0"/>
    <n v="9"/>
  </r>
  <r>
    <x v="272"/>
    <s v="net sales:product 1"/>
    <n v="9.99"/>
    <n v="56"/>
    <n v="559.44000000000005"/>
    <s v="net sales"/>
    <x v="1"/>
    <x v="0"/>
    <n v="9"/>
  </r>
  <r>
    <x v="272"/>
    <s v="net sales:product 2"/>
    <n v="24.99"/>
    <n v="2"/>
    <n v="49.98"/>
    <s v="net sales"/>
    <x v="2"/>
    <x v="0"/>
    <n v="9"/>
  </r>
  <r>
    <x v="272"/>
    <s v="net sales:product 3"/>
    <n v="12.49"/>
    <n v="48"/>
    <n v="599.52"/>
    <s v="net sales"/>
    <x v="3"/>
    <x v="0"/>
    <n v="9"/>
  </r>
  <r>
    <x v="273"/>
    <s v="cogs:product 1"/>
    <n v="5.99"/>
    <n v="76"/>
    <n v="455.24"/>
    <s v="cogs"/>
    <x v="1"/>
    <x v="0"/>
    <n v="9"/>
  </r>
  <r>
    <x v="273"/>
    <s v="cogs:product 2"/>
    <n v="16.989999999999998"/>
    <n v="1"/>
    <n v="16.989999999999998"/>
    <s v="cogs"/>
    <x v="2"/>
    <x v="0"/>
    <n v="9"/>
  </r>
  <r>
    <x v="273"/>
    <s v="cogs:product 3"/>
    <n v="8.49"/>
    <n v="164"/>
    <n v="1392.3600000000001"/>
    <s v="cogs"/>
    <x v="3"/>
    <x v="0"/>
    <n v="9"/>
  </r>
  <r>
    <x v="273"/>
    <s v="marketing"/>
    <s v="NA"/>
    <s v="NA"/>
    <n v="100.09"/>
    <s v="marketing"/>
    <x v="0"/>
    <x v="0"/>
    <n v="9"/>
  </r>
  <r>
    <x v="273"/>
    <s v="net sales:product 1"/>
    <n v="9.99"/>
    <n v="76"/>
    <n v="759.24"/>
    <s v="net sales"/>
    <x v="1"/>
    <x v="0"/>
    <n v="9"/>
  </r>
  <r>
    <x v="273"/>
    <s v="net sales:product 2"/>
    <n v="24.99"/>
    <n v="1"/>
    <n v="24.99"/>
    <s v="net sales"/>
    <x v="2"/>
    <x v="0"/>
    <n v="9"/>
  </r>
  <r>
    <x v="273"/>
    <s v="net sales:product 3"/>
    <n v="12.49"/>
    <n v="164"/>
    <n v="2048.36"/>
    <s v="net sales"/>
    <x v="3"/>
    <x v="0"/>
    <n v="9"/>
  </r>
  <r>
    <x v="274"/>
    <s v="amortization"/>
    <s v="NA"/>
    <s v="NA"/>
    <n v="50"/>
    <s v="amortization"/>
    <x v="0"/>
    <x v="0"/>
    <n v="10"/>
  </r>
  <r>
    <x v="274"/>
    <s v="cogs:product 1"/>
    <n v="5.99"/>
    <n v="52"/>
    <n v="311.48"/>
    <s v="cogs"/>
    <x v="1"/>
    <x v="0"/>
    <n v="10"/>
  </r>
  <r>
    <x v="274"/>
    <s v="cogs:product 2"/>
    <n v="16.989999999999998"/>
    <n v="8"/>
    <n v="135.91999999999999"/>
    <s v="cogs"/>
    <x v="2"/>
    <x v="0"/>
    <n v="10"/>
  </r>
  <r>
    <x v="274"/>
    <s v="cogs:product 3"/>
    <n v="8.49"/>
    <n v="146"/>
    <n v="1239.54"/>
    <s v="cogs"/>
    <x v="3"/>
    <x v="0"/>
    <n v="10"/>
  </r>
  <r>
    <x v="274"/>
    <s v="marketing"/>
    <s v="NA"/>
    <s v="NA"/>
    <n v="99.92"/>
    <s v="marketing"/>
    <x v="0"/>
    <x v="0"/>
    <n v="10"/>
  </r>
  <r>
    <x v="274"/>
    <s v="net sales:product 1"/>
    <n v="9.99"/>
    <n v="52"/>
    <n v="519.48"/>
    <s v="net sales"/>
    <x v="1"/>
    <x v="0"/>
    <n v="10"/>
  </r>
  <r>
    <x v="274"/>
    <s v="net sales:product 2"/>
    <n v="24.99"/>
    <n v="8"/>
    <n v="199.92"/>
    <s v="net sales"/>
    <x v="2"/>
    <x v="0"/>
    <n v="10"/>
  </r>
  <r>
    <x v="274"/>
    <s v="net sales:product 3"/>
    <n v="12.49"/>
    <n v="146"/>
    <n v="1823.54"/>
    <s v="net sales"/>
    <x v="3"/>
    <x v="0"/>
    <n v="10"/>
  </r>
  <r>
    <x v="274"/>
    <s v="overhead"/>
    <s v="NA"/>
    <s v="NA"/>
    <n v="2000"/>
    <s v="overhead"/>
    <x v="0"/>
    <x v="0"/>
    <n v="10"/>
  </r>
  <r>
    <x v="275"/>
    <s v="cogs:product 1"/>
    <n v="5.99"/>
    <n v="24"/>
    <n v="143.76"/>
    <s v="cogs"/>
    <x v="1"/>
    <x v="0"/>
    <n v="10"/>
  </r>
  <r>
    <x v="275"/>
    <s v="cogs:product 2"/>
    <n v="16.989999999999998"/>
    <n v="3"/>
    <n v="50.97"/>
    <s v="cogs"/>
    <x v="2"/>
    <x v="0"/>
    <n v="10"/>
  </r>
  <r>
    <x v="275"/>
    <s v="cogs:product 3"/>
    <n v="8.49"/>
    <n v="226"/>
    <n v="1918.74"/>
    <s v="cogs"/>
    <x v="3"/>
    <x v="0"/>
    <n v="10"/>
  </r>
  <r>
    <x v="275"/>
    <s v="marketing"/>
    <s v="NA"/>
    <s v="NA"/>
    <n v="100.03"/>
    <s v="marketing"/>
    <x v="0"/>
    <x v="0"/>
    <n v="10"/>
  </r>
  <r>
    <x v="275"/>
    <s v="net sales:product 1"/>
    <n v="9.99"/>
    <n v="24"/>
    <n v="239.76"/>
    <s v="net sales"/>
    <x v="1"/>
    <x v="0"/>
    <n v="10"/>
  </r>
  <r>
    <x v="275"/>
    <s v="net sales:product 2"/>
    <n v="24.99"/>
    <n v="3"/>
    <n v="74.97"/>
    <s v="net sales"/>
    <x v="2"/>
    <x v="0"/>
    <n v="10"/>
  </r>
  <r>
    <x v="275"/>
    <s v="net sales:product 3"/>
    <n v="12.49"/>
    <n v="226"/>
    <n v="2822.7400000000002"/>
    <s v="net sales"/>
    <x v="3"/>
    <x v="0"/>
    <n v="10"/>
  </r>
  <r>
    <x v="276"/>
    <s v="cogs:product 1"/>
    <n v="5.99"/>
    <n v="59"/>
    <n v="353.41"/>
    <s v="cogs"/>
    <x v="1"/>
    <x v="0"/>
    <n v="10"/>
  </r>
  <r>
    <x v="276"/>
    <s v="cogs:product 2"/>
    <n v="16.989999999999998"/>
    <n v="6"/>
    <n v="101.94"/>
    <s v="cogs"/>
    <x v="2"/>
    <x v="0"/>
    <n v="10"/>
  </r>
  <r>
    <x v="276"/>
    <s v="cogs:product 3"/>
    <n v="8.49"/>
    <n v="120"/>
    <n v="1018.8000000000001"/>
    <s v="cogs"/>
    <x v="3"/>
    <x v="0"/>
    <n v="10"/>
  </r>
  <r>
    <x v="276"/>
    <s v="marketing"/>
    <s v="NA"/>
    <s v="NA"/>
    <n v="99.91"/>
    <s v="marketing"/>
    <x v="0"/>
    <x v="0"/>
    <n v="10"/>
  </r>
  <r>
    <x v="276"/>
    <s v="net sales:product 1"/>
    <n v="9.99"/>
    <n v="59"/>
    <n v="589.41"/>
    <s v="net sales"/>
    <x v="1"/>
    <x v="0"/>
    <n v="10"/>
  </r>
  <r>
    <x v="276"/>
    <s v="net sales:product 2"/>
    <n v="24.99"/>
    <n v="6"/>
    <n v="149.94"/>
    <s v="net sales"/>
    <x v="2"/>
    <x v="0"/>
    <n v="10"/>
  </r>
  <r>
    <x v="276"/>
    <s v="net sales:product 3"/>
    <n v="12.49"/>
    <n v="120"/>
    <n v="1498.8"/>
    <s v="net sales"/>
    <x v="3"/>
    <x v="0"/>
    <n v="10"/>
  </r>
  <r>
    <x v="277"/>
    <s v="cogs:product 1"/>
    <n v="5.99"/>
    <n v="91"/>
    <n v="545.09"/>
    <s v="cogs"/>
    <x v="1"/>
    <x v="0"/>
    <n v="10"/>
  </r>
  <r>
    <x v="277"/>
    <s v="cogs:product 2"/>
    <n v="16.989999999999998"/>
    <n v="1"/>
    <n v="16.989999999999998"/>
    <s v="cogs"/>
    <x v="2"/>
    <x v="0"/>
    <n v="10"/>
  </r>
  <r>
    <x v="277"/>
    <s v="cogs:product 3"/>
    <n v="8.49"/>
    <n v="164"/>
    <n v="1392.3600000000001"/>
    <s v="cogs"/>
    <x v="3"/>
    <x v="0"/>
    <n v="10"/>
  </r>
  <r>
    <x v="277"/>
    <s v="marketing"/>
    <s v="NA"/>
    <s v="NA"/>
    <n v="100.09"/>
    <s v="marketing"/>
    <x v="0"/>
    <x v="0"/>
    <n v="10"/>
  </r>
  <r>
    <x v="277"/>
    <s v="net sales:product 1"/>
    <n v="9.99"/>
    <n v="91"/>
    <n v="909.09"/>
    <s v="net sales"/>
    <x v="1"/>
    <x v="0"/>
    <n v="10"/>
  </r>
  <r>
    <x v="277"/>
    <s v="net sales:product 2"/>
    <n v="24.99"/>
    <n v="1"/>
    <n v="24.99"/>
    <s v="net sales"/>
    <x v="2"/>
    <x v="0"/>
    <n v="10"/>
  </r>
  <r>
    <x v="277"/>
    <s v="net sales:product 3"/>
    <n v="12.49"/>
    <n v="164"/>
    <n v="2048.36"/>
    <s v="net sales"/>
    <x v="3"/>
    <x v="0"/>
    <n v="10"/>
  </r>
  <r>
    <x v="278"/>
    <s v="cogs:product 1"/>
    <n v="5.99"/>
    <n v="90"/>
    <n v="539.1"/>
    <s v="cogs"/>
    <x v="1"/>
    <x v="0"/>
    <n v="10"/>
  </r>
  <r>
    <x v="278"/>
    <s v="cogs:product 2"/>
    <n v="16.989999999999998"/>
    <n v="8"/>
    <n v="135.91999999999999"/>
    <s v="cogs"/>
    <x v="2"/>
    <x v="0"/>
    <n v="10"/>
  </r>
  <r>
    <x v="278"/>
    <s v="cogs:product 3"/>
    <n v="8.49"/>
    <n v="206"/>
    <n v="1748.94"/>
    <s v="cogs"/>
    <x v="3"/>
    <x v="0"/>
    <n v="10"/>
  </r>
  <r>
    <x v="278"/>
    <s v="marketing"/>
    <s v="NA"/>
    <s v="NA"/>
    <n v="100"/>
    <s v="marketing"/>
    <x v="0"/>
    <x v="0"/>
    <n v="10"/>
  </r>
  <r>
    <x v="278"/>
    <s v="net sales:product 1"/>
    <n v="9.99"/>
    <n v="90"/>
    <n v="899.1"/>
    <s v="net sales"/>
    <x v="1"/>
    <x v="0"/>
    <n v="10"/>
  </r>
  <r>
    <x v="278"/>
    <s v="net sales:product 2"/>
    <n v="24.99"/>
    <n v="8"/>
    <n v="199.92"/>
    <s v="net sales"/>
    <x v="2"/>
    <x v="0"/>
    <n v="10"/>
  </r>
  <r>
    <x v="278"/>
    <s v="net sales:product 3"/>
    <n v="12.49"/>
    <n v="206"/>
    <n v="2572.94"/>
    <s v="net sales"/>
    <x v="3"/>
    <x v="0"/>
    <n v="10"/>
  </r>
  <r>
    <x v="279"/>
    <s v="cogs:product 1"/>
    <n v="5.99"/>
    <n v="4"/>
    <n v="23.96"/>
    <s v="cogs"/>
    <x v="1"/>
    <x v="0"/>
    <n v="10"/>
  </r>
  <r>
    <x v="279"/>
    <s v="cogs:product 2"/>
    <n v="16.989999999999998"/>
    <n v="1"/>
    <n v="16.989999999999998"/>
    <s v="cogs"/>
    <x v="2"/>
    <x v="0"/>
    <n v="10"/>
  </r>
  <r>
    <x v="279"/>
    <s v="cogs:product 3"/>
    <n v="8.49"/>
    <n v="116"/>
    <n v="984.84"/>
    <s v="cogs"/>
    <x v="3"/>
    <x v="0"/>
    <n v="10"/>
  </r>
  <r>
    <x v="279"/>
    <s v="marketing"/>
    <s v="NA"/>
    <s v="NA"/>
    <n v="99.97"/>
    <s v="marketing"/>
    <x v="0"/>
    <x v="0"/>
    <n v="10"/>
  </r>
  <r>
    <x v="279"/>
    <s v="net sales:product 1"/>
    <n v="9.99"/>
    <n v="4"/>
    <n v="39.96"/>
    <s v="net sales"/>
    <x v="1"/>
    <x v="0"/>
    <n v="10"/>
  </r>
  <r>
    <x v="279"/>
    <s v="net sales:product 2"/>
    <n v="24.99"/>
    <n v="1"/>
    <n v="24.99"/>
    <s v="net sales"/>
    <x v="2"/>
    <x v="0"/>
    <n v="10"/>
  </r>
  <r>
    <x v="279"/>
    <s v="net sales:product 3"/>
    <n v="12.49"/>
    <n v="116"/>
    <n v="1448.84"/>
    <s v="net sales"/>
    <x v="3"/>
    <x v="0"/>
    <n v="10"/>
  </r>
  <r>
    <x v="280"/>
    <s v="cogs:product 1"/>
    <n v="5.99"/>
    <n v="58"/>
    <n v="347.42"/>
    <s v="cogs"/>
    <x v="1"/>
    <x v="0"/>
    <n v="10"/>
  </r>
  <r>
    <x v="280"/>
    <s v="cogs:product 2"/>
    <n v="16.989999999999998"/>
    <n v="8"/>
    <n v="135.91999999999999"/>
    <s v="cogs"/>
    <x v="2"/>
    <x v="0"/>
    <n v="10"/>
  </r>
  <r>
    <x v="280"/>
    <s v="cogs:product 3"/>
    <n v="8.49"/>
    <n v="198"/>
    <n v="1681.02"/>
    <s v="cogs"/>
    <x v="3"/>
    <x v="0"/>
    <n v="10"/>
  </r>
  <r>
    <x v="280"/>
    <s v="marketing"/>
    <s v="NA"/>
    <s v="NA"/>
    <n v="100.08"/>
    <s v="marketing"/>
    <x v="0"/>
    <x v="0"/>
    <n v="10"/>
  </r>
  <r>
    <x v="280"/>
    <s v="net sales:product 1"/>
    <n v="9.99"/>
    <n v="58"/>
    <n v="579.41999999999996"/>
    <s v="net sales"/>
    <x v="1"/>
    <x v="0"/>
    <n v="10"/>
  </r>
  <r>
    <x v="280"/>
    <s v="net sales:product 2"/>
    <n v="24.99"/>
    <n v="8"/>
    <n v="199.92"/>
    <s v="net sales"/>
    <x v="2"/>
    <x v="0"/>
    <n v="10"/>
  </r>
  <r>
    <x v="280"/>
    <s v="net sales:product 3"/>
    <n v="12.49"/>
    <n v="198"/>
    <n v="2473.02"/>
    <s v="net sales"/>
    <x v="3"/>
    <x v="0"/>
    <n v="10"/>
  </r>
  <r>
    <x v="281"/>
    <s v="cogs:product 1"/>
    <n v="5.99"/>
    <n v="60"/>
    <n v="359.40000000000003"/>
    <s v="cogs"/>
    <x v="1"/>
    <x v="0"/>
    <n v="10"/>
  </r>
  <r>
    <x v="281"/>
    <s v="cogs:product 2"/>
    <n v="16.989999999999998"/>
    <n v="3"/>
    <n v="50.97"/>
    <s v="cogs"/>
    <x v="2"/>
    <x v="0"/>
    <n v="10"/>
  </r>
  <r>
    <x v="281"/>
    <s v="cogs:product 3"/>
    <n v="8.49"/>
    <n v="104"/>
    <n v="882.96"/>
    <s v="cogs"/>
    <x v="3"/>
    <x v="0"/>
    <n v="10"/>
  </r>
  <r>
    <x v="281"/>
    <s v="marketing"/>
    <s v="NA"/>
    <s v="NA"/>
    <n v="100.04"/>
    <s v="marketing"/>
    <x v="0"/>
    <x v="0"/>
    <n v="10"/>
  </r>
  <r>
    <x v="281"/>
    <s v="net sales:product 1"/>
    <n v="9.99"/>
    <n v="60"/>
    <n v="599.4"/>
    <s v="net sales"/>
    <x v="1"/>
    <x v="0"/>
    <n v="10"/>
  </r>
  <r>
    <x v="281"/>
    <s v="net sales:product 2"/>
    <n v="24.99"/>
    <n v="3"/>
    <n v="74.97"/>
    <s v="net sales"/>
    <x v="2"/>
    <x v="0"/>
    <n v="10"/>
  </r>
  <r>
    <x v="281"/>
    <s v="net sales:product 3"/>
    <n v="12.49"/>
    <n v="104"/>
    <n v="1298.96"/>
    <s v="net sales"/>
    <x v="3"/>
    <x v="0"/>
    <n v="10"/>
  </r>
  <r>
    <x v="282"/>
    <s v="cogs:product 1"/>
    <n v="5.99"/>
    <n v="19"/>
    <n v="113.81"/>
    <s v="cogs"/>
    <x v="1"/>
    <x v="0"/>
    <n v="10"/>
  </r>
  <r>
    <x v="282"/>
    <s v="cogs:product 2"/>
    <n v="16.989999999999998"/>
    <n v="7"/>
    <n v="118.92999999999999"/>
    <s v="cogs"/>
    <x v="2"/>
    <x v="0"/>
    <n v="10"/>
  </r>
  <r>
    <x v="282"/>
    <s v="cogs:product 3"/>
    <n v="8.49"/>
    <n v="46"/>
    <n v="390.54"/>
    <s v="cogs"/>
    <x v="3"/>
    <x v="0"/>
    <n v="10"/>
  </r>
  <r>
    <x v="282"/>
    <s v="marketing"/>
    <s v="NA"/>
    <s v="NA"/>
    <n v="99.97"/>
    <s v="marketing"/>
    <x v="0"/>
    <x v="0"/>
    <n v="10"/>
  </r>
  <r>
    <x v="282"/>
    <s v="net sales:product 1"/>
    <n v="9.99"/>
    <n v="19"/>
    <n v="189.81"/>
    <s v="net sales"/>
    <x v="1"/>
    <x v="0"/>
    <n v="10"/>
  </r>
  <r>
    <x v="282"/>
    <s v="net sales:product 2"/>
    <n v="24.99"/>
    <n v="7"/>
    <n v="174.92999999999998"/>
    <s v="net sales"/>
    <x v="2"/>
    <x v="0"/>
    <n v="10"/>
  </r>
  <r>
    <x v="282"/>
    <s v="net sales:product 3"/>
    <n v="12.49"/>
    <n v="46"/>
    <n v="574.54"/>
    <s v="net sales"/>
    <x v="3"/>
    <x v="0"/>
    <n v="10"/>
  </r>
  <r>
    <x v="283"/>
    <s v="cogs:product 1"/>
    <n v="5.99"/>
    <n v="11"/>
    <n v="65.89"/>
    <s v="cogs"/>
    <x v="1"/>
    <x v="0"/>
    <n v="10"/>
  </r>
  <r>
    <x v="283"/>
    <s v="cogs:product 2"/>
    <n v="16.989999999999998"/>
    <n v="6"/>
    <n v="101.94"/>
    <s v="cogs"/>
    <x v="2"/>
    <x v="0"/>
    <n v="10"/>
  </r>
  <r>
    <x v="283"/>
    <s v="cogs:product 3"/>
    <n v="8.49"/>
    <n v="4"/>
    <n v="33.96"/>
    <s v="cogs"/>
    <x v="3"/>
    <x v="0"/>
    <n v="10"/>
  </r>
  <r>
    <x v="283"/>
    <s v="marketing"/>
    <s v="NA"/>
    <s v="NA"/>
    <n v="100.07000000000001"/>
    <s v="marketing"/>
    <x v="0"/>
    <x v="0"/>
    <n v="10"/>
  </r>
  <r>
    <x v="283"/>
    <s v="net sales:product 1"/>
    <n v="9.99"/>
    <n v="11"/>
    <n v="109.89"/>
    <s v="net sales"/>
    <x v="1"/>
    <x v="0"/>
    <n v="10"/>
  </r>
  <r>
    <x v="283"/>
    <s v="net sales:product 2"/>
    <n v="24.99"/>
    <n v="6"/>
    <n v="149.94"/>
    <s v="net sales"/>
    <x v="2"/>
    <x v="0"/>
    <n v="10"/>
  </r>
  <r>
    <x v="283"/>
    <s v="net sales:product 3"/>
    <n v="12.49"/>
    <n v="4"/>
    <n v="49.96"/>
    <s v="net sales"/>
    <x v="3"/>
    <x v="0"/>
    <n v="10"/>
  </r>
  <r>
    <x v="284"/>
    <s v="cogs:product 1"/>
    <n v="5.99"/>
    <n v="30"/>
    <n v="179.70000000000002"/>
    <s v="cogs"/>
    <x v="1"/>
    <x v="0"/>
    <n v="10"/>
  </r>
  <r>
    <x v="284"/>
    <s v="cogs:product 2"/>
    <n v="16.989999999999998"/>
    <n v="9"/>
    <n v="152.91"/>
    <s v="cogs"/>
    <x v="2"/>
    <x v="0"/>
    <n v="10"/>
  </r>
  <r>
    <x v="284"/>
    <s v="cogs:product 3"/>
    <n v="8.49"/>
    <n v="166"/>
    <n v="1409.3400000000001"/>
    <s v="cogs"/>
    <x v="3"/>
    <x v="0"/>
    <n v="10"/>
  </r>
  <r>
    <x v="284"/>
    <s v="marketing"/>
    <s v="NA"/>
    <s v="NA"/>
    <n v="100.04"/>
    <s v="marketing"/>
    <x v="0"/>
    <x v="0"/>
    <n v="10"/>
  </r>
  <r>
    <x v="284"/>
    <s v="net sales:product 1"/>
    <n v="9.99"/>
    <n v="30"/>
    <n v="299.7"/>
    <s v="net sales"/>
    <x v="1"/>
    <x v="0"/>
    <n v="10"/>
  </r>
  <r>
    <x v="284"/>
    <s v="net sales:product 2"/>
    <n v="24.99"/>
    <n v="9"/>
    <n v="224.91"/>
    <s v="net sales"/>
    <x v="2"/>
    <x v="0"/>
    <n v="10"/>
  </r>
  <r>
    <x v="284"/>
    <s v="net sales:product 3"/>
    <n v="12.49"/>
    <n v="166"/>
    <n v="2073.34"/>
    <s v="net sales"/>
    <x v="3"/>
    <x v="0"/>
    <n v="10"/>
  </r>
  <r>
    <x v="284"/>
    <s v="payroll"/>
    <s v="NA"/>
    <s v="NA"/>
    <n v="1200"/>
    <s v="payroll"/>
    <x v="0"/>
    <x v="0"/>
    <n v="10"/>
  </r>
  <r>
    <x v="285"/>
    <s v="cogs:product 1"/>
    <n v="5.99"/>
    <n v="18"/>
    <n v="107.82000000000001"/>
    <s v="cogs"/>
    <x v="1"/>
    <x v="0"/>
    <n v="10"/>
  </r>
  <r>
    <x v="285"/>
    <s v="cogs:product 2"/>
    <n v="16.989999999999998"/>
    <n v="6"/>
    <n v="101.94"/>
    <s v="cogs"/>
    <x v="2"/>
    <x v="0"/>
    <n v="10"/>
  </r>
  <r>
    <x v="285"/>
    <s v="cogs:product 3"/>
    <n v="8.49"/>
    <n v="197"/>
    <n v="1672.53"/>
    <s v="cogs"/>
    <x v="3"/>
    <x v="0"/>
    <n v="10"/>
  </r>
  <r>
    <x v="285"/>
    <s v="marketing"/>
    <s v="NA"/>
    <s v="NA"/>
    <n v="100.04"/>
    <s v="marketing"/>
    <x v="0"/>
    <x v="0"/>
    <n v="10"/>
  </r>
  <r>
    <x v="285"/>
    <s v="net sales:product 1"/>
    <n v="9.99"/>
    <n v="18"/>
    <n v="179.82"/>
    <s v="net sales"/>
    <x v="1"/>
    <x v="0"/>
    <n v="10"/>
  </r>
  <r>
    <x v="285"/>
    <s v="net sales:product 2"/>
    <n v="24.99"/>
    <n v="6"/>
    <n v="149.94"/>
    <s v="net sales"/>
    <x v="2"/>
    <x v="0"/>
    <n v="10"/>
  </r>
  <r>
    <x v="285"/>
    <s v="net sales:product 3"/>
    <n v="12.49"/>
    <n v="197"/>
    <n v="2460.5300000000002"/>
    <s v="net sales"/>
    <x v="3"/>
    <x v="0"/>
    <n v="10"/>
  </r>
  <r>
    <x v="286"/>
    <s v="cogs:product 1"/>
    <n v="5.99"/>
    <n v="61"/>
    <n v="365.39"/>
    <s v="cogs"/>
    <x v="1"/>
    <x v="0"/>
    <n v="10"/>
  </r>
  <r>
    <x v="286"/>
    <s v="cogs:product 2"/>
    <n v="16.989999999999998"/>
    <n v="3"/>
    <n v="50.97"/>
    <s v="cogs"/>
    <x v="2"/>
    <x v="0"/>
    <n v="10"/>
  </r>
  <r>
    <x v="286"/>
    <s v="cogs:product 3"/>
    <n v="8.49"/>
    <n v="159"/>
    <n v="1349.91"/>
    <s v="cogs"/>
    <x v="3"/>
    <x v="0"/>
    <n v="10"/>
  </r>
  <r>
    <x v="286"/>
    <s v="marketing"/>
    <s v="NA"/>
    <s v="NA"/>
    <n v="100.05"/>
    <s v="marketing"/>
    <x v="0"/>
    <x v="0"/>
    <n v="10"/>
  </r>
  <r>
    <x v="286"/>
    <s v="net sales:product 1"/>
    <n v="9.99"/>
    <n v="61"/>
    <n v="609.39"/>
    <s v="net sales"/>
    <x v="1"/>
    <x v="0"/>
    <n v="10"/>
  </r>
  <r>
    <x v="286"/>
    <s v="net sales:product 2"/>
    <n v="24.99"/>
    <n v="3"/>
    <n v="74.97"/>
    <s v="net sales"/>
    <x v="2"/>
    <x v="0"/>
    <n v="10"/>
  </r>
  <r>
    <x v="286"/>
    <s v="net sales:product 3"/>
    <n v="12.49"/>
    <n v="159"/>
    <n v="1985.91"/>
    <s v="net sales"/>
    <x v="3"/>
    <x v="0"/>
    <n v="10"/>
  </r>
  <r>
    <x v="287"/>
    <s v="cogs:product 1"/>
    <n v="5.99"/>
    <n v="86"/>
    <n v="515.14"/>
    <s v="cogs"/>
    <x v="1"/>
    <x v="0"/>
    <n v="10"/>
  </r>
  <r>
    <x v="287"/>
    <s v="cogs:product 2"/>
    <n v="16.989999999999998"/>
    <n v="10"/>
    <n v="169.89999999999998"/>
    <s v="cogs"/>
    <x v="2"/>
    <x v="0"/>
    <n v="10"/>
  </r>
  <r>
    <x v="287"/>
    <s v="cogs:product 3"/>
    <n v="8.49"/>
    <n v="94"/>
    <n v="798.06000000000006"/>
    <s v="cogs"/>
    <x v="3"/>
    <x v="0"/>
    <n v="10"/>
  </r>
  <r>
    <x v="287"/>
    <s v="marketing"/>
    <s v="NA"/>
    <s v="NA"/>
    <n v="100.08"/>
    <s v="marketing"/>
    <x v="0"/>
    <x v="0"/>
    <n v="10"/>
  </r>
  <r>
    <x v="287"/>
    <s v="net sales:product 1"/>
    <n v="9.99"/>
    <n v="86"/>
    <n v="859.14"/>
    <s v="net sales"/>
    <x v="1"/>
    <x v="0"/>
    <n v="10"/>
  </r>
  <r>
    <x v="287"/>
    <s v="net sales:product 2"/>
    <n v="24.99"/>
    <n v="10"/>
    <n v="249.89999999999998"/>
    <s v="net sales"/>
    <x v="2"/>
    <x v="0"/>
    <n v="10"/>
  </r>
  <r>
    <x v="287"/>
    <s v="net sales:product 3"/>
    <n v="12.49"/>
    <n v="94"/>
    <n v="1174.06"/>
    <s v="net sales"/>
    <x v="3"/>
    <x v="0"/>
    <n v="10"/>
  </r>
  <r>
    <x v="288"/>
    <s v="cogs:product 1"/>
    <n v="5.99"/>
    <n v="96"/>
    <n v="575.04"/>
    <s v="cogs"/>
    <x v="1"/>
    <x v="0"/>
    <n v="10"/>
  </r>
  <r>
    <x v="288"/>
    <s v="cogs:product 2"/>
    <n v="16.989999999999998"/>
    <n v="0"/>
    <n v="0"/>
    <s v="cogs"/>
    <x v="2"/>
    <x v="0"/>
    <n v="10"/>
  </r>
  <r>
    <x v="288"/>
    <s v="cogs:product 3"/>
    <n v="8.49"/>
    <n v="215"/>
    <n v="1825.3500000000001"/>
    <s v="cogs"/>
    <x v="3"/>
    <x v="0"/>
    <n v="10"/>
  </r>
  <r>
    <x v="288"/>
    <s v="interest"/>
    <s v="NA"/>
    <s v="NA"/>
    <n v="1252.1199999999999"/>
    <s v="interest"/>
    <x v="0"/>
    <x v="0"/>
    <n v="10"/>
  </r>
  <r>
    <x v="288"/>
    <s v="marketing"/>
    <s v="NA"/>
    <s v="NA"/>
    <n v="99.91"/>
    <s v="marketing"/>
    <x v="0"/>
    <x v="0"/>
    <n v="10"/>
  </r>
  <r>
    <x v="288"/>
    <s v="net sales:product 1"/>
    <n v="9.99"/>
    <n v="96"/>
    <n v="959.04"/>
    <s v="net sales"/>
    <x v="1"/>
    <x v="0"/>
    <n v="10"/>
  </r>
  <r>
    <x v="288"/>
    <s v="net sales:product 2"/>
    <n v="24.99"/>
    <n v="0"/>
    <n v="0"/>
    <s v="net sales"/>
    <x v="2"/>
    <x v="0"/>
    <n v="10"/>
  </r>
  <r>
    <x v="288"/>
    <s v="net sales:product 3"/>
    <n v="12.49"/>
    <n v="215"/>
    <n v="2685.35"/>
    <s v="net sales"/>
    <x v="3"/>
    <x v="0"/>
    <n v="10"/>
  </r>
  <r>
    <x v="288"/>
    <s v="overhead"/>
    <s v="NA"/>
    <s v="NA"/>
    <n v="316.27999999999997"/>
    <s v="overhead"/>
    <x v="0"/>
    <x v="0"/>
    <n v="10"/>
  </r>
  <r>
    <x v="289"/>
    <s v="cogs:product 1"/>
    <n v="5.99"/>
    <n v="68"/>
    <n v="407.32"/>
    <s v="cogs"/>
    <x v="1"/>
    <x v="0"/>
    <n v="10"/>
  </r>
  <r>
    <x v="289"/>
    <s v="cogs:product 2"/>
    <n v="16.989999999999998"/>
    <n v="5"/>
    <n v="84.949999999999989"/>
    <s v="cogs"/>
    <x v="2"/>
    <x v="0"/>
    <n v="10"/>
  </r>
  <r>
    <x v="289"/>
    <s v="cogs:product 3"/>
    <n v="8.49"/>
    <n v="14"/>
    <n v="118.86"/>
    <s v="cogs"/>
    <x v="3"/>
    <x v="0"/>
    <n v="10"/>
  </r>
  <r>
    <x v="289"/>
    <s v="marketing"/>
    <s v="NA"/>
    <s v="NA"/>
    <n v="100.06"/>
    <s v="marketing"/>
    <x v="0"/>
    <x v="0"/>
    <n v="10"/>
  </r>
  <r>
    <x v="289"/>
    <s v="net sales:product 1"/>
    <n v="9.99"/>
    <n v="68"/>
    <n v="679.32"/>
    <s v="net sales"/>
    <x v="1"/>
    <x v="0"/>
    <n v="10"/>
  </r>
  <r>
    <x v="289"/>
    <s v="net sales:product 2"/>
    <n v="24.99"/>
    <n v="5"/>
    <n v="124.94999999999999"/>
    <s v="net sales"/>
    <x v="2"/>
    <x v="0"/>
    <n v="10"/>
  </r>
  <r>
    <x v="289"/>
    <s v="net sales:product 3"/>
    <n v="12.49"/>
    <n v="14"/>
    <n v="174.86"/>
    <s v="net sales"/>
    <x v="3"/>
    <x v="0"/>
    <n v="10"/>
  </r>
  <r>
    <x v="290"/>
    <s v="cogs:product 1"/>
    <n v="5.99"/>
    <n v="33"/>
    <n v="197.67000000000002"/>
    <s v="cogs"/>
    <x v="1"/>
    <x v="0"/>
    <n v="10"/>
  </r>
  <r>
    <x v="290"/>
    <s v="cogs:product 2"/>
    <n v="16.989999999999998"/>
    <n v="2"/>
    <n v="33.979999999999997"/>
    <s v="cogs"/>
    <x v="2"/>
    <x v="0"/>
    <n v="10"/>
  </r>
  <r>
    <x v="290"/>
    <s v="cogs:product 3"/>
    <n v="8.49"/>
    <n v="157"/>
    <n v="1332.93"/>
    <s v="cogs"/>
    <x v="3"/>
    <x v="0"/>
    <n v="10"/>
  </r>
  <r>
    <x v="290"/>
    <s v="marketing"/>
    <s v="NA"/>
    <s v="NA"/>
    <n v="99.960000000000008"/>
    <s v="marketing"/>
    <x v="0"/>
    <x v="0"/>
    <n v="10"/>
  </r>
  <r>
    <x v="290"/>
    <s v="net sales:product 1"/>
    <n v="9.99"/>
    <n v="33"/>
    <n v="329.67"/>
    <s v="net sales"/>
    <x v="1"/>
    <x v="0"/>
    <n v="10"/>
  </r>
  <r>
    <x v="290"/>
    <s v="net sales:product 2"/>
    <n v="24.99"/>
    <n v="2"/>
    <n v="49.98"/>
    <s v="net sales"/>
    <x v="2"/>
    <x v="0"/>
    <n v="10"/>
  </r>
  <r>
    <x v="290"/>
    <s v="net sales:product 3"/>
    <n v="12.49"/>
    <n v="157"/>
    <n v="1960.93"/>
    <s v="net sales"/>
    <x v="3"/>
    <x v="0"/>
    <n v="10"/>
  </r>
  <r>
    <x v="291"/>
    <s v="cogs:product 1"/>
    <n v="5.99"/>
    <n v="78"/>
    <n v="467.22"/>
    <s v="cogs"/>
    <x v="1"/>
    <x v="0"/>
    <n v="10"/>
  </r>
  <r>
    <x v="291"/>
    <s v="cogs:product 2"/>
    <n v="16.989999999999998"/>
    <n v="6"/>
    <n v="101.94"/>
    <s v="cogs"/>
    <x v="2"/>
    <x v="0"/>
    <n v="10"/>
  </r>
  <r>
    <x v="291"/>
    <s v="cogs:product 3"/>
    <n v="8.49"/>
    <n v="18"/>
    <n v="152.82"/>
    <s v="cogs"/>
    <x v="3"/>
    <x v="0"/>
    <n v="10"/>
  </r>
  <r>
    <x v="291"/>
    <s v="marketing"/>
    <s v="NA"/>
    <s v="NA"/>
    <n v="99.91"/>
    <s v="marketing"/>
    <x v="0"/>
    <x v="0"/>
    <n v="10"/>
  </r>
  <r>
    <x v="291"/>
    <s v="net sales:product 1"/>
    <n v="9.99"/>
    <n v="78"/>
    <n v="779.22"/>
    <s v="net sales"/>
    <x v="1"/>
    <x v="0"/>
    <n v="10"/>
  </r>
  <r>
    <x v="291"/>
    <s v="net sales:product 2"/>
    <n v="24.99"/>
    <n v="6"/>
    <n v="149.94"/>
    <s v="net sales"/>
    <x v="2"/>
    <x v="0"/>
    <n v="10"/>
  </r>
  <r>
    <x v="291"/>
    <s v="net sales:product 3"/>
    <n v="12.49"/>
    <n v="18"/>
    <n v="224.82"/>
    <s v="net sales"/>
    <x v="3"/>
    <x v="0"/>
    <n v="10"/>
  </r>
  <r>
    <x v="292"/>
    <s v="cogs:product 1"/>
    <n v="5.99"/>
    <n v="75"/>
    <n v="449.25"/>
    <s v="cogs"/>
    <x v="1"/>
    <x v="0"/>
    <n v="10"/>
  </r>
  <r>
    <x v="292"/>
    <s v="cogs:product 2"/>
    <n v="16.989999999999998"/>
    <n v="8"/>
    <n v="135.91999999999999"/>
    <s v="cogs"/>
    <x v="2"/>
    <x v="0"/>
    <n v="10"/>
  </r>
  <r>
    <x v="292"/>
    <s v="cogs:product 3"/>
    <n v="8.49"/>
    <n v="171"/>
    <n v="1451.79"/>
    <s v="cogs"/>
    <x v="3"/>
    <x v="0"/>
    <n v="10"/>
  </r>
  <r>
    <x v="292"/>
    <s v="marketing"/>
    <s v="NA"/>
    <s v="NA"/>
    <n v="100.05"/>
    <s v="marketing"/>
    <x v="0"/>
    <x v="0"/>
    <n v="10"/>
  </r>
  <r>
    <x v="292"/>
    <s v="net sales:product 1"/>
    <n v="9.99"/>
    <n v="75"/>
    <n v="749.25"/>
    <s v="net sales"/>
    <x v="1"/>
    <x v="0"/>
    <n v="10"/>
  </r>
  <r>
    <x v="292"/>
    <s v="net sales:product 2"/>
    <n v="24.99"/>
    <n v="8"/>
    <n v="199.92"/>
    <s v="net sales"/>
    <x v="2"/>
    <x v="0"/>
    <n v="10"/>
  </r>
  <r>
    <x v="292"/>
    <s v="net sales:product 3"/>
    <n v="12.49"/>
    <n v="171"/>
    <n v="2135.79"/>
    <s v="net sales"/>
    <x v="3"/>
    <x v="0"/>
    <n v="10"/>
  </r>
  <r>
    <x v="293"/>
    <s v="cogs:product 1"/>
    <n v="5.99"/>
    <n v="48"/>
    <n v="287.52"/>
    <s v="cogs"/>
    <x v="1"/>
    <x v="0"/>
    <n v="10"/>
  </r>
  <r>
    <x v="293"/>
    <s v="cogs:product 2"/>
    <n v="16.989999999999998"/>
    <n v="7"/>
    <n v="118.92999999999999"/>
    <s v="cogs"/>
    <x v="2"/>
    <x v="0"/>
    <n v="10"/>
  </r>
  <r>
    <x v="293"/>
    <s v="cogs:product 3"/>
    <n v="8.49"/>
    <n v="52"/>
    <n v="441.48"/>
    <s v="cogs"/>
    <x v="3"/>
    <x v="0"/>
    <n v="10"/>
  </r>
  <r>
    <x v="293"/>
    <s v="marketing"/>
    <s v="NA"/>
    <s v="NA"/>
    <n v="99.93"/>
    <s v="marketing"/>
    <x v="0"/>
    <x v="0"/>
    <n v="10"/>
  </r>
  <r>
    <x v="293"/>
    <s v="net sales:product 1"/>
    <n v="9.99"/>
    <n v="48"/>
    <n v="479.52"/>
    <s v="net sales"/>
    <x v="1"/>
    <x v="0"/>
    <n v="10"/>
  </r>
  <r>
    <x v="293"/>
    <s v="net sales:product 2"/>
    <n v="24.99"/>
    <n v="7"/>
    <n v="174.92999999999998"/>
    <s v="net sales"/>
    <x v="2"/>
    <x v="0"/>
    <n v="10"/>
  </r>
  <r>
    <x v="293"/>
    <s v="net sales:product 3"/>
    <n v="12.49"/>
    <n v="52"/>
    <n v="649.48"/>
    <s v="net sales"/>
    <x v="3"/>
    <x v="0"/>
    <n v="10"/>
  </r>
  <r>
    <x v="294"/>
    <s v="cogs:product 1"/>
    <n v="5.99"/>
    <n v="71"/>
    <n v="425.29"/>
    <s v="cogs"/>
    <x v="1"/>
    <x v="0"/>
    <n v="10"/>
  </r>
  <r>
    <x v="294"/>
    <s v="cogs:product 2"/>
    <n v="16.989999999999998"/>
    <n v="6"/>
    <n v="101.94"/>
    <s v="cogs"/>
    <x v="2"/>
    <x v="0"/>
    <n v="10"/>
  </r>
  <r>
    <x v="294"/>
    <s v="cogs:product 3"/>
    <n v="8.49"/>
    <n v="215"/>
    <n v="1825.3500000000001"/>
    <s v="cogs"/>
    <x v="3"/>
    <x v="0"/>
    <n v="10"/>
  </r>
  <r>
    <x v="294"/>
    <s v="marketing"/>
    <s v="NA"/>
    <s v="NA"/>
    <n v="99.92"/>
    <s v="marketing"/>
    <x v="0"/>
    <x v="0"/>
    <n v="10"/>
  </r>
  <r>
    <x v="294"/>
    <s v="net sales:product 1"/>
    <n v="9.99"/>
    <n v="71"/>
    <n v="709.29"/>
    <s v="net sales"/>
    <x v="1"/>
    <x v="0"/>
    <n v="10"/>
  </r>
  <r>
    <x v="294"/>
    <s v="net sales:product 2"/>
    <n v="24.99"/>
    <n v="6"/>
    <n v="149.94"/>
    <s v="net sales"/>
    <x v="2"/>
    <x v="0"/>
    <n v="10"/>
  </r>
  <r>
    <x v="294"/>
    <s v="net sales:product 3"/>
    <n v="12.49"/>
    <n v="215"/>
    <n v="2685.35"/>
    <s v="net sales"/>
    <x v="3"/>
    <x v="0"/>
    <n v="10"/>
  </r>
  <r>
    <x v="295"/>
    <s v="cogs:product 1"/>
    <n v="5.99"/>
    <n v="25"/>
    <n v="149.75"/>
    <s v="cogs"/>
    <x v="1"/>
    <x v="0"/>
    <n v="10"/>
  </r>
  <r>
    <x v="295"/>
    <s v="cogs:product 2"/>
    <n v="16.989999999999998"/>
    <n v="3"/>
    <n v="50.97"/>
    <s v="cogs"/>
    <x v="2"/>
    <x v="0"/>
    <n v="10"/>
  </r>
  <r>
    <x v="295"/>
    <s v="cogs:product 3"/>
    <n v="8.49"/>
    <n v="158"/>
    <n v="1341.42"/>
    <s v="cogs"/>
    <x v="3"/>
    <x v="0"/>
    <n v="10"/>
  </r>
  <r>
    <x v="295"/>
    <s v="marketing"/>
    <s v="NA"/>
    <s v="NA"/>
    <n v="99.98"/>
    <s v="marketing"/>
    <x v="0"/>
    <x v="0"/>
    <n v="10"/>
  </r>
  <r>
    <x v="295"/>
    <s v="net sales:product 1"/>
    <n v="9.99"/>
    <n v="25"/>
    <n v="249.75"/>
    <s v="net sales"/>
    <x v="1"/>
    <x v="0"/>
    <n v="10"/>
  </r>
  <r>
    <x v="295"/>
    <s v="net sales:product 2"/>
    <n v="24.99"/>
    <n v="3"/>
    <n v="74.97"/>
    <s v="net sales"/>
    <x v="2"/>
    <x v="0"/>
    <n v="10"/>
  </r>
  <r>
    <x v="295"/>
    <s v="net sales:product 3"/>
    <n v="12.49"/>
    <n v="158"/>
    <n v="1973.42"/>
    <s v="net sales"/>
    <x v="3"/>
    <x v="0"/>
    <n v="10"/>
  </r>
  <r>
    <x v="296"/>
    <s v="cogs:product 1"/>
    <n v="5.99"/>
    <n v="60"/>
    <n v="359.40000000000003"/>
    <s v="cogs"/>
    <x v="1"/>
    <x v="0"/>
    <n v="10"/>
  </r>
  <r>
    <x v="296"/>
    <s v="cogs:product 2"/>
    <n v="16.989999999999998"/>
    <n v="6"/>
    <n v="101.94"/>
    <s v="cogs"/>
    <x v="2"/>
    <x v="0"/>
    <n v="10"/>
  </r>
  <r>
    <x v="296"/>
    <s v="cogs:product 3"/>
    <n v="8.49"/>
    <n v="240"/>
    <n v="2037.6000000000001"/>
    <s v="cogs"/>
    <x v="3"/>
    <x v="0"/>
    <n v="10"/>
  </r>
  <r>
    <x v="296"/>
    <s v="marketing"/>
    <s v="NA"/>
    <s v="NA"/>
    <n v="100.06"/>
    <s v="marketing"/>
    <x v="0"/>
    <x v="0"/>
    <n v="10"/>
  </r>
  <r>
    <x v="296"/>
    <s v="net sales:product 1"/>
    <n v="9.99"/>
    <n v="60"/>
    <n v="599.4"/>
    <s v="net sales"/>
    <x v="1"/>
    <x v="0"/>
    <n v="10"/>
  </r>
  <r>
    <x v="296"/>
    <s v="net sales:product 2"/>
    <n v="24.99"/>
    <n v="6"/>
    <n v="149.94"/>
    <s v="net sales"/>
    <x v="2"/>
    <x v="0"/>
    <n v="10"/>
  </r>
  <r>
    <x v="296"/>
    <s v="net sales:product 3"/>
    <n v="12.49"/>
    <n v="240"/>
    <n v="2997.6"/>
    <s v="net sales"/>
    <x v="3"/>
    <x v="0"/>
    <n v="10"/>
  </r>
  <r>
    <x v="297"/>
    <s v="cogs:product 1"/>
    <n v="5.99"/>
    <n v="19"/>
    <n v="113.81"/>
    <s v="cogs"/>
    <x v="1"/>
    <x v="0"/>
    <n v="10"/>
  </r>
  <r>
    <x v="297"/>
    <s v="cogs:product 2"/>
    <n v="16.989999999999998"/>
    <n v="5"/>
    <n v="84.949999999999989"/>
    <s v="cogs"/>
    <x v="2"/>
    <x v="0"/>
    <n v="10"/>
  </r>
  <r>
    <x v="297"/>
    <s v="cogs:product 3"/>
    <n v="8.49"/>
    <n v="246"/>
    <n v="2088.54"/>
    <s v="cogs"/>
    <x v="3"/>
    <x v="0"/>
    <n v="10"/>
  </r>
  <r>
    <x v="297"/>
    <s v="marketing"/>
    <s v="NA"/>
    <s v="NA"/>
    <n v="100.02"/>
    <s v="marketing"/>
    <x v="0"/>
    <x v="0"/>
    <n v="10"/>
  </r>
  <r>
    <x v="297"/>
    <s v="net sales:product 1"/>
    <n v="9.99"/>
    <n v="19"/>
    <n v="189.81"/>
    <s v="net sales"/>
    <x v="1"/>
    <x v="0"/>
    <n v="10"/>
  </r>
  <r>
    <x v="297"/>
    <s v="net sales:product 2"/>
    <n v="24.99"/>
    <n v="5"/>
    <n v="124.94999999999999"/>
    <s v="net sales"/>
    <x v="2"/>
    <x v="0"/>
    <n v="10"/>
  </r>
  <r>
    <x v="297"/>
    <s v="net sales:product 3"/>
    <n v="12.49"/>
    <n v="246"/>
    <n v="3072.54"/>
    <s v="net sales"/>
    <x v="3"/>
    <x v="0"/>
    <n v="10"/>
  </r>
  <r>
    <x v="298"/>
    <s v="cogs:product 1"/>
    <n v="5.99"/>
    <n v="14"/>
    <n v="83.86"/>
    <s v="cogs"/>
    <x v="1"/>
    <x v="0"/>
    <n v="10"/>
  </r>
  <r>
    <x v="298"/>
    <s v="cogs:product 2"/>
    <n v="16.989999999999998"/>
    <n v="2"/>
    <n v="33.979999999999997"/>
    <s v="cogs"/>
    <x v="2"/>
    <x v="0"/>
    <n v="10"/>
  </r>
  <r>
    <x v="298"/>
    <s v="cogs:product 3"/>
    <n v="8.49"/>
    <n v="83"/>
    <n v="704.67000000000007"/>
    <s v="cogs"/>
    <x v="3"/>
    <x v="0"/>
    <n v="10"/>
  </r>
  <r>
    <x v="298"/>
    <s v="marketing"/>
    <s v="NA"/>
    <s v="NA"/>
    <n v="100.09"/>
    <s v="marketing"/>
    <x v="0"/>
    <x v="0"/>
    <n v="10"/>
  </r>
  <r>
    <x v="298"/>
    <s v="net sales:product 1"/>
    <n v="9.99"/>
    <n v="14"/>
    <n v="139.86000000000001"/>
    <s v="net sales"/>
    <x v="1"/>
    <x v="0"/>
    <n v="10"/>
  </r>
  <r>
    <x v="298"/>
    <s v="net sales:product 2"/>
    <n v="24.99"/>
    <n v="2"/>
    <n v="49.98"/>
    <s v="net sales"/>
    <x v="2"/>
    <x v="0"/>
    <n v="10"/>
  </r>
  <r>
    <x v="298"/>
    <s v="net sales:product 3"/>
    <n v="12.49"/>
    <n v="83"/>
    <n v="1036.67"/>
    <s v="net sales"/>
    <x v="3"/>
    <x v="0"/>
    <n v="10"/>
  </r>
  <r>
    <x v="298"/>
    <s v="payroll"/>
    <s v="NA"/>
    <s v="NA"/>
    <n v="1200"/>
    <s v="payroll"/>
    <x v="0"/>
    <x v="0"/>
    <n v="10"/>
  </r>
  <r>
    <x v="299"/>
    <s v="cogs:product 1"/>
    <n v="5.99"/>
    <n v="55"/>
    <n v="329.45"/>
    <s v="cogs"/>
    <x v="1"/>
    <x v="0"/>
    <n v="10"/>
  </r>
  <r>
    <x v="299"/>
    <s v="cogs:product 2"/>
    <n v="16.989999999999998"/>
    <n v="6"/>
    <n v="101.94"/>
    <s v="cogs"/>
    <x v="2"/>
    <x v="0"/>
    <n v="10"/>
  </r>
  <r>
    <x v="299"/>
    <s v="cogs:product 3"/>
    <n v="8.49"/>
    <n v="182"/>
    <n v="1545.18"/>
    <s v="cogs"/>
    <x v="3"/>
    <x v="0"/>
    <n v="10"/>
  </r>
  <r>
    <x v="299"/>
    <s v="marketing"/>
    <s v="NA"/>
    <s v="NA"/>
    <n v="99.94"/>
    <s v="marketing"/>
    <x v="0"/>
    <x v="0"/>
    <n v="10"/>
  </r>
  <r>
    <x v="299"/>
    <s v="net sales:product 1"/>
    <n v="9.99"/>
    <n v="55"/>
    <n v="549.45000000000005"/>
    <s v="net sales"/>
    <x v="1"/>
    <x v="0"/>
    <n v="10"/>
  </r>
  <r>
    <x v="299"/>
    <s v="net sales:product 2"/>
    <n v="24.99"/>
    <n v="6"/>
    <n v="149.94"/>
    <s v="net sales"/>
    <x v="2"/>
    <x v="0"/>
    <n v="10"/>
  </r>
  <r>
    <x v="299"/>
    <s v="net sales:product 3"/>
    <n v="12.49"/>
    <n v="182"/>
    <n v="2273.1799999999998"/>
    <s v="net sales"/>
    <x v="3"/>
    <x v="0"/>
    <n v="10"/>
  </r>
  <r>
    <x v="300"/>
    <s v="cogs:product 1"/>
    <n v="5.99"/>
    <n v="62"/>
    <n v="371.38"/>
    <s v="cogs"/>
    <x v="1"/>
    <x v="0"/>
    <n v="10"/>
  </r>
  <r>
    <x v="300"/>
    <s v="cogs:product 2"/>
    <n v="16.989999999999998"/>
    <n v="5"/>
    <n v="84.949999999999989"/>
    <s v="cogs"/>
    <x v="2"/>
    <x v="0"/>
    <n v="10"/>
  </r>
  <r>
    <x v="300"/>
    <s v="cogs:product 3"/>
    <n v="8.49"/>
    <n v="69"/>
    <n v="585.81000000000006"/>
    <s v="cogs"/>
    <x v="3"/>
    <x v="0"/>
    <n v="10"/>
  </r>
  <r>
    <x v="300"/>
    <s v="marketing"/>
    <s v="NA"/>
    <s v="NA"/>
    <n v="100"/>
    <s v="marketing"/>
    <x v="0"/>
    <x v="0"/>
    <n v="10"/>
  </r>
  <r>
    <x v="300"/>
    <s v="net sales:product 1"/>
    <n v="9.99"/>
    <n v="62"/>
    <n v="619.38"/>
    <s v="net sales"/>
    <x v="1"/>
    <x v="0"/>
    <n v="10"/>
  </r>
  <r>
    <x v="300"/>
    <s v="net sales:product 2"/>
    <n v="24.99"/>
    <n v="5"/>
    <n v="124.94999999999999"/>
    <s v="net sales"/>
    <x v="2"/>
    <x v="0"/>
    <n v="10"/>
  </r>
  <r>
    <x v="300"/>
    <s v="net sales:product 3"/>
    <n v="12.49"/>
    <n v="69"/>
    <n v="861.81000000000006"/>
    <s v="net sales"/>
    <x v="3"/>
    <x v="0"/>
    <n v="10"/>
  </r>
  <r>
    <x v="301"/>
    <s v="cogs:product 1"/>
    <n v="5.99"/>
    <n v="15"/>
    <n v="89.850000000000009"/>
    <s v="cogs"/>
    <x v="1"/>
    <x v="0"/>
    <n v="10"/>
  </r>
  <r>
    <x v="301"/>
    <s v="cogs:product 2"/>
    <n v="16.989999999999998"/>
    <n v="2"/>
    <n v="33.979999999999997"/>
    <s v="cogs"/>
    <x v="2"/>
    <x v="0"/>
    <n v="10"/>
  </r>
  <r>
    <x v="301"/>
    <s v="cogs:product 3"/>
    <n v="8.49"/>
    <n v="72"/>
    <n v="611.28"/>
    <s v="cogs"/>
    <x v="3"/>
    <x v="0"/>
    <n v="10"/>
  </r>
  <r>
    <x v="301"/>
    <s v="marketing"/>
    <s v="NA"/>
    <s v="NA"/>
    <n v="100"/>
    <s v="marketing"/>
    <x v="0"/>
    <x v="0"/>
    <n v="10"/>
  </r>
  <r>
    <x v="301"/>
    <s v="net sales:product 1"/>
    <n v="9.99"/>
    <n v="15"/>
    <n v="149.85"/>
    <s v="net sales"/>
    <x v="1"/>
    <x v="0"/>
    <n v="10"/>
  </r>
  <r>
    <x v="301"/>
    <s v="net sales:product 2"/>
    <n v="24.99"/>
    <n v="2"/>
    <n v="49.98"/>
    <s v="net sales"/>
    <x v="2"/>
    <x v="0"/>
    <n v="10"/>
  </r>
  <r>
    <x v="301"/>
    <s v="net sales:product 3"/>
    <n v="12.49"/>
    <n v="72"/>
    <n v="899.28"/>
    <s v="net sales"/>
    <x v="3"/>
    <x v="0"/>
    <n v="10"/>
  </r>
  <r>
    <x v="302"/>
    <s v="cogs:product 1"/>
    <n v="5.99"/>
    <n v="54"/>
    <n v="323.46000000000004"/>
    <s v="cogs"/>
    <x v="1"/>
    <x v="0"/>
    <n v="10"/>
  </r>
  <r>
    <x v="302"/>
    <s v="cogs:product 2"/>
    <n v="16.989999999999998"/>
    <n v="2"/>
    <n v="33.979999999999997"/>
    <s v="cogs"/>
    <x v="2"/>
    <x v="0"/>
    <n v="10"/>
  </r>
  <r>
    <x v="302"/>
    <s v="cogs:product 3"/>
    <n v="8.49"/>
    <n v="28"/>
    <n v="237.72"/>
    <s v="cogs"/>
    <x v="3"/>
    <x v="0"/>
    <n v="10"/>
  </r>
  <r>
    <x v="302"/>
    <s v="marketing"/>
    <s v="NA"/>
    <s v="NA"/>
    <n v="99.93"/>
    <s v="marketing"/>
    <x v="0"/>
    <x v="0"/>
    <n v="10"/>
  </r>
  <r>
    <x v="302"/>
    <s v="net sales:product 1"/>
    <n v="9.99"/>
    <n v="54"/>
    <n v="539.46"/>
    <s v="net sales"/>
    <x v="1"/>
    <x v="0"/>
    <n v="10"/>
  </r>
  <r>
    <x v="302"/>
    <s v="net sales:product 2"/>
    <n v="24.99"/>
    <n v="2"/>
    <n v="49.98"/>
    <s v="net sales"/>
    <x v="2"/>
    <x v="0"/>
    <n v="10"/>
  </r>
  <r>
    <x v="302"/>
    <s v="net sales:product 3"/>
    <n v="12.49"/>
    <n v="28"/>
    <n v="349.72"/>
    <s v="net sales"/>
    <x v="3"/>
    <x v="0"/>
    <n v="10"/>
  </r>
  <r>
    <x v="303"/>
    <s v="cogs:product 1"/>
    <n v="5.99"/>
    <n v="12"/>
    <n v="71.88"/>
    <s v="cogs"/>
    <x v="1"/>
    <x v="0"/>
    <n v="10"/>
  </r>
  <r>
    <x v="303"/>
    <s v="cogs:product 2"/>
    <n v="16.989999999999998"/>
    <n v="4"/>
    <n v="67.959999999999994"/>
    <s v="cogs"/>
    <x v="2"/>
    <x v="0"/>
    <n v="10"/>
  </r>
  <r>
    <x v="303"/>
    <s v="cogs:product 3"/>
    <n v="8.49"/>
    <n v="3"/>
    <n v="25.47"/>
    <s v="cogs"/>
    <x v="3"/>
    <x v="0"/>
    <n v="10"/>
  </r>
  <r>
    <x v="303"/>
    <s v="marketing"/>
    <s v="NA"/>
    <s v="NA"/>
    <n v="100.05"/>
    <s v="marketing"/>
    <x v="0"/>
    <x v="0"/>
    <n v="10"/>
  </r>
  <r>
    <x v="303"/>
    <s v="net sales:product 1"/>
    <n v="9.99"/>
    <n v="12"/>
    <n v="119.88"/>
    <s v="net sales"/>
    <x v="1"/>
    <x v="0"/>
    <n v="10"/>
  </r>
  <r>
    <x v="303"/>
    <s v="net sales:product 2"/>
    <n v="24.99"/>
    <n v="4"/>
    <n v="99.96"/>
    <s v="net sales"/>
    <x v="2"/>
    <x v="0"/>
    <n v="10"/>
  </r>
  <r>
    <x v="303"/>
    <s v="net sales:product 3"/>
    <n v="12.49"/>
    <n v="3"/>
    <n v="37.47"/>
    <s v="net sales"/>
    <x v="3"/>
    <x v="0"/>
    <n v="10"/>
  </r>
  <r>
    <x v="304"/>
    <s v="cogs:product 1"/>
    <n v="5.99"/>
    <n v="44"/>
    <n v="263.56"/>
    <s v="cogs"/>
    <x v="1"/>
    <x v="0"/>
    <n v="10"/>
  </r>
  <r>
    <x v="304"/>
    <s v="cogs:product 2"/>
    <n v="16.989999999999998"/>
    <n v="9"/>
    <n v="152.91"/>
    <s v="cogs"/>
    <x v="2"/>
    <x v="0"/>
    <n v="10"/>
  </r>
  <r>
    <x v="304"/>
    <s v="cogs:product 3"/>
    <n v="8.49"/>
    <n v="246"/>
    <n v="2088.54"/>
    <s v="cogs"/>
    <x v="3"/>
    <x v="0"/>
    <n v="10"/>
  </r>
  <r>
    <x v="304"/>
    <s v="marketing"/>
    <s v="NA"/>
    <s v="NA"/>
    <n v="100.08"/>
    <s v="marketing"/>
    <x v="0"/>
    <x v="0"/>
    <n v="10"/>
  </r>
  <r>
    <x v="304"/>
    <s v="net sales:product 1"/>
    <n v="9.99"/>
    <n v="44"/>
    <n v="439.56"/>
    <s v="net sales"/>
    <x v="1"/>
    <x v="0"/>
    <n v="10"/>
  </r>
  <r>
    <x v="304"/>
    <s v="net sales:product 2"/>
    <n v="24.99"/>
    <n v="9"/>
    <n v="224.91"/>
    <s v="net sales"/>
    <x v="2"/>
    <x v="0"/>
    <n v="10"/>
  </r>
  <r>
    <x v="304"/>
    <s v="net sales:product 3"/>
    <n v="12.49"/>
    <n v="246"/>
    <n v="3072.54"/>
    <s v="net sales"/>
    <x v="3"/>
    <x v="0"/>
    <n v="10"/>
  </r>
  <r>
    <x v="305"/>
    <s v="amortization"/>
    <s v="NA"/>
    <s v="NA"/>
    <n v="50"/>
    <s v="amortization"/>
    <x v="0"/>
    <x v="0"/>
    <n v="11"/>
  </r>
  <r>
    <x v="305"/>
    <s v="cogs:product 1"/>
    <n v="5.99"/>
    <n v="11"/>
    <n v="65.89"/>
    <s v="cogs"/>
    <x v="1"/>
    <x v="0"/>
    <n v="11"/>
  </r>
  <r>
    <x v="305"/>
    <s v="cogs:product 2"/>
    <n v="16.989999999999998"/>
    <n v="3"/>
    <n v="50.97"/>
    <s v="cogs"/>
    <x v="2"/>
    <x v="0"/>
    <n v="11"/>
  </r>
  <r>
    <x v="305"/>
    <s v="cogs:product 3"/>
    <n v="8.49"/>
    <n v="58"/>
    <n v="492.42"/>
    <s v="cogs"/>
    <x v="3"/>
    <x v="0"/>
    <n v="11"/>
  </r>
  <r>
    <x v="305"/>
    <s v="marketing"/>
    <s v="NA"/>
    <s v="NA"/>
    <n v="99.97"/>
    <s v="marketing"/>
    <x v="0"/>
    <x v="0"/>
    <n v="11"/>
  </r>
  <r>
    <x v="305"/>
    <s v="net sales:product 1"/>
    <n v="9.99"/>
    <n v="11"/>
    <n v="109.89"/>
    <s v="net sales"/>
    <x v="1"/>
    <x v="0"/>
    <n v="11"/>
  </r>
  <r>
    <x v="305"/>
    <s v="net sales:product 2"/>
    <n v="24.99"/>
    <n v="3"/>
    <n v="74.97"/>
    <s v="net sales"/>
    <x v="2"/>
    <x v="0"/>
    <n v="11"/>
  </r>
  <r>
    <x v="305"/>
    <s v="net sales:product 3"/>
    <n v="12.49"/>
    <n v="58"/>
    <n v="724.42"/>
    <s v="net sales"/>
    <x v="3"/>
    <x v="0"/>
    <n v="11"/>
  </r>
  <r>
    <x v="305"/>
    <s v="overhead"/>
    <s v="NA"/>
    <s v="NA"/>
    <n v="2000"/>
    <s v="overhead"/>
    <x v="0"/>
    <x v="0"/>
    <n v="11"/>
  </r>
  <r>
    <x v="306"/>
    <s v="cogs:product 1"/>
    <n v="5.99"/>
    <n v="40"/>
    <n v="239.60000000000002"/>
    <s v="cogs"/>
    <x v="1"/>
    <x v="0"/>
    <n v="11"/>
  </r>
  <r>
    <x v="306"/>
    <s v="cogs:product 2"/>
    <n v="16.989999999999998"/>
    <n v="5"/>
    <n v="84.949999999999989"/>
    <s v="cogs"/>
    <x v="2"/>
    <x v="0"/>
    <n v="11"/>
  </r>
  <r>
    <x v="306"/>
    <s v="cogs:product 3"/>
    <n v="8.49"/>
    <n v="77"/>
    <n v="653.73"/>
    <s v="cogs"/>
    <x v="3"/>
    <x v="0"/>
    <n v="11"/>
  </r>
  <r>
    <x v="306"/>
    <s v="marketing"/>
    <s v="NA"/>
    <s v="NA"/>
    <n v="100.03"/>
    <s v="marketing"/>
    <x v="0"/>
    <x v="0"/>
    <n v="11"/>
  </r>
  <r>
    <x v="306"/>
    <s v="net sales:product 1"/>
    <n v="9.99"/>
    <n v="40"/>
    <n v="399.6"/>
    <s v="net sales"/>
    <x v="1"/>
    <x v="0"/>
    <n v="11"/>
  </r>
  <r>
    <x v="306"/>
    <s v="net sales:product 2"/>
    <n v="24.99"/>
    <n v="5"/>
    <n v="124.94999999999999"/>
    <s v="net sales"/>
    <x v="2"/>
    <x v="0"/>
    <n v="11"/>
  </r>
  <r>
    <x v="306"/>
    <s v="net sales:product 3"/>
    <n v="12.49"/>
    <n v="77"/>
    <n v="961.73"/>
    <s v="net sales"/>
    <x v="3"/>
    <x v="0"/>
    <n v="11"/>
  </r>
  <r>
    <x v="307"/>
    <s v="cogs:product 1"/>
    <n v="5.99"/>
    <n v="7"/>
    <n v="41.93"/>
    <s v="cogs"/>
    <x v="1"/>
    <x v="0"/>
    <n v="11"/>
  </r>
  <r>
    <x v="307"/>
    <s v="cogs:product 2"/>
    <n v="16.989999999999998"/>
    <n v="1"/>
    <n v="16.989999999999998"/>
    <s v="cogs"/>
    <x v="2"/>
    <x v="0"/>
    <n v="11"/>
  </r>
  <r>
    <x v="307"/>
    <s v="cogs:product 3"/>
    <n v="8.49"/>
    <n v="75"/>
    <n v="636.75"/>
    <s v="cogs"/>
    <x v="3"/>
    <x v="0"/>
    <n v="11"/>
  </r>
  <r>
    <x v="307"/>
    <s v="marketing"/>
    <s v="NA"/>
    <s v="NA"/>
    <n v="99.94"/>
    <s v="marketing"/>
    <x v="0"/>
    <x v="0"/>
    <n v="11"/>
  </r>
  <r>
    <x v="307"/>
    <s v="net sales:product 1"/>
    <n v="9.99"/>
    <n v="7"/>
    <n v="69.930000000000007"/>
    <s v="net sales"/>
    <x v="1"/>
    <x v="0"/>
    <n v="11"/>
  </r>
  <r>
    <x v="307"/>
    <s v="net sales:product 2"/>
    <n v="24.99"/>
    <n v="1"/>
    <n v="24.99"/>
    <s v="net sales"/>
    <x v="2"/>
    <x v="0"/>
    <n v="11"/>
  </r>
  <r>
    <x v="307"/>
    <s v="net sales:product 3"/>
    <n v="12.49"/>
    <n v="75"/>
    <n v="936.75"/>
    <s v="net sales"/>
    <x v="3"/>
    <x v="0"/>
    <n v="11"/>
  </r>
  <r>
    <x v="308"/>
    <s v="cogs:product 1"/>
    <n v="5.99"/>
    <n v="20"/>
    <n v="119.80000000000001"/>
    <s v="cogs"/>
    <x v="1"/>
    <x v="0"/>
    <n v="11"/>
  </r>
  <r>
    <x v="308"/>
    <s v="cogs:product 2"/>
    <n v="16.989999999999998"/>
    <n v="7"/>
    <n v="118.92999999999999"/>
    <s v="cogs"/>
    <x v="2"/>
    <x v="0"/>
    <n v="11"/>
  </r>
  <r>
    <x v="308"/>
    <s v="cogs:product 3"/>
    <n v="8.49"/>
    <n v="181"/>
    <n v="1536.69"/>
    <s v="cogs"/>
    <x v="3"/>
    <x v="0"/>
    <n v="11"/>
  </r>
  <r>
    <x v="308"/>
    <s v="marketing"/>
    <s v="NA"/>
    <s v="NA"/>
    <n v="99.92"/>
    <s v="marketing"/>
    <x v="0"/>
    <x v="0"/>
    <n v="11"/>
  </r>
  <r>
    <x v="308"/>
    <s v="net sales:product 1"/>
    <n v="9.99"/>
    <n v="20"/>
    <n v="199.8"/>
    <s v="net sales"/>
    <x v="1"/>
    <x v="0"/>
    <n v="11"/>
  </r>
  <r>
    <x v="308"/>
    <s v="net sales:product 2"/>
    <n v="24.99"/>
    <n v="7"/>
    <n v="174.92999999999998"/>
    <s v="net sales"/>
    <x v="2"/>
    <x v="0"/>
    <n v="11"/>
  </r>
  <r>
    <x v="308"/>
    <s v="net sales:product 3"/>
    <n v="12.49"/>
    <n v="181"/>
    <n v="2260.69"/>
    <s v="net sales"/>
    <x v="3"/>
    <x v="0"/>
    <n v="11"/>
  </r>
  <r>
    <x v="309"/>
    <s v="cogs:product 1"/>
    <n v="5.99"/>
    <n v="59"/>
    <n v="353.41"/>
    <s v="cogs"/>
    <x v="1"/>
    <x v="0"/>
    <n v="11"/>
  </r>
  <r>
    <x v="309"/>
    <s v="cogs:product 2"/>
    <n v="16.989999999999998"/>
    <n v="4"/>
    <n v="67.959999999999994"/>
    <s v="cogs"/>
    <x v="2"/>
    <x v="0"/>
    <n v="11"/>
  </r>
  <r>
    <x v="309"/>
    <s v="cogs:product 3"/>
    <n v="8.49"/>
    <n v="98"/>
    <n v="832.02"/>
    <s v="cogs"/>
    <x v="3"/>
    <x v="0"/>
    <n v="11"/>
  </r>
  <r>
    <x v="309"/>
    <s v="marketing"/>
    <s v="NA"/>
    <s v="NA"/>
    <n v="100"/>
    <s v="marketing"/>
    <x v="0"/>
    <x v="0"/>
    <n v="11"/>
  </r>
  <r>
    <x v="309"/>
    <s v="net sales:product 1"/>
    <n v="9.99"/>
    <n v="59"/>
    <n v="589.41"/>
    <s v="net sales"/>
    <x v="1"/>
    <x v="0"/>
    <n v="11"/>
  </r>
  <r>
    <x v="309"/>
    <s v="net sales:product 2"/>
    <n v="24.99"/>
    <n v="4"/>
    <n v="99.96"/>
    <s v="net sales"/>
    <x v="2"/>
    <x v="0"/>
    <n v="11"/>
  </r>
  <r>
    <x v="309"/>
    <s v="net sales:product 3"/>
    <n v="12.49"/>
    <n v="98"/>
    <n v="1224.02"/>
    <s v="net sales"/>
    <x v="3"/>
    <x v="0"/>
    <n v="11"/>
  </r>
  <r>
    <x v="310"/>
    <s v="cogs:product 1"/>
    <n v="5.99"/>
    <n v="81"/>
    <n v="485.19"/>
    <s v="cogs"/>
    <x v="1"/>
    <x v="0"/>
    <n v="11"/>
  </r>
  <r>
    <x v="310"/>
    <s v="cogs:product 2"/>
    <n v="16.989999999999998"/>
    <n v="2"/>
    <n v="33.979999999999997"/>
    <s v="cogs"/>
    <x v="2"/>
    <x v="0"/>
    <n v="11"/>
  </r>
  <r>
    <x v="310"/>
    <s v="cogs:product 3"/>
    <n v="8.49"/>
    <n v="55"/>
    <n v="466.95"/>
    <s v="cogs"/>
    <x v="3"/>
    <x v="0"/>
    <n v="11"/>
  </r>
  <r>
    <x v="310"/>
    <s v="marketing"/>
    <s v="NA"/>
    <s v="NA"/>
    <n v="100.10000000000001"/>
    <s v="marketing"/>
    <x v="0"/>
    <x v="0"/>
    <n v="11"/>
  </r>
  <r>
    <x v="310"/>
    <s v="net sales:product 1"/>
    <n v="9.99"/>
    <n v="81"/>
    <n v="809.19"/>
    <s v="net sales"/>
    <x v="1"/>
    <x v="0"/>
    <n v="11"/>
  </r>
  <r>
    <x v="310"/>
    <s v="net sales:product 2"/>
    <n v="24.99"/>
    <n v="2"/>
    <n v="49.98"/>
    <s v="net sales"/>
    <x v="2"/>
    <x v="0"/>
    <n v="11"/>
  </r>
  <r>
    <x v="310"/>
    <s v="net sales:product 3"/>
    <n v="12.49"/>
    <n v="55"/>
    <n v="686.95"/>
    <s v="net sales"/>
    <x v="3"/>
    <x v="0"/>
    <n v="11"/>
  </r>
  <r>
    <x v="311"/>
    <s v="cogs:product 1"/>
    <n v="5.99"/>
    <n v="13"/>
    <n v="77.87"/>
    <s v="cogs"/>
    <x v="1"/>
    <x v="0"/>
    <n v="11"/>
  </r>
  <r>
    <x v="311"/>
    <s v="cogs:product 2"/>
    <n v="16.989999999999998"/>
    <n v="6"/>
    <n v="101.94"/>
    <s v="cogs"/>
    <x v="2"/>
    <x v="0"/>
    <n v="11"/>
  </r>
  <r>
    <x v="311"/>
    <s v="cogs:product 3"/>
    <n v="8.49"/>
    <n v="168"/>
    <n v="1426.32"/>
    <s v="cogs"/>
    <x v="3"/>
    <x v="0"/>
    <n v="11"/>
  </r>
  <r>
    <x v="311"/>
    <s v="marketing"/>
    <s v="NA"/>
    <s v="NA"/>
    <n v="99.98"/>
    <s v="marketing"/>
    <x v="0"/>
    <x v="0"/>
    <n v="11"/>
  </r>
  <r>
    <x v="311"/>
    <s v="net sales:product 1"/>
    <n v="9.99"/>
    <n v="13"/>
    <n v="129.87"/>
    <s v="net sales"/>
    <x v="1"/>
    <x v="0"/>
    <n v="11"/>
  </r>
  <r>
    <x v="311"/>
    <s v="net sales:product 2"/>
    <n v="24.99"/>
    <n v="6"/>
    <n v="149.94"/>
    <s v="net sales"/>
    <x v="2"/>
    <x v="0"/>
    <n v="11"/>
  </r>
  <r>
    <x v="311"/>
    <s v="net sales:product 3"/>
    <n v="12.49"/>
    <n v="168"/>
    <n v="2098.3200000000002"/>
    <s v="net sales"/>
    <x v="3"/>
    <x v="0"/>
    <n v="11"/>
  </r>
  <r>
    <x v="312"/>
    <s v="cogs:product 1"/>
    <n v="5.99"/>
    <n v="18"/>
    <n v="107.82000000000001"/>
    <s v="cogs"/>
    <x v="1"/>
    <x v="0"/>
    <n v="11"/>
  </r>
  <r>
    <x v="312"/>
    <s v="cogs:product 2"/>
    <n v="16.989999999999998"/>
    <n v="2"/>
    <n v="33.979999999999997"/>
    <s v="cogs"/>
    <x v="2"/>
    <x v="0"/>
    <n v="11"/>
  </r>
  <r>
    <x v="312"/>
    <s v="cogs:product 3"/>
    <n v="8.49"/>
    <n v="125"/>
    <n v="1061.25"/>
    <s v="cogs"/>
    <x v="3"/>
    <x v="0"/>
    <n v="11"/>
  </r>
  <r>
    <x v="312"/>
    <s v="marketing"/>
    <s v="NA"/>
    <s v="NA"/>
    <n v="100.01"/>
    <s v="marketing"/>
    <x v="0"/>
    <x v="0"/>
    <n v="11"/>
  </r>
  <r>
    <x v="312"/>
    <s v="net sales:product 1"/>
    <n v="9.99"/>
    <n v="18"/>
    <n v="179.82"/>
    <s v="net sales"/>
    <x v="1"/>
    <x v="0"/>
    <n v="11"/>
  </r>
  <r>
    <x v="312"/>
    <s v="net sales:product 2"/>
    <n v="24.99"/>
    <n v="2"/>
    <n v="49.98"/>
    <s v="net sales"/>
    <x v="2"/>
    <x v="0"/>
    <n v="11"/>
  </r>
  <r>
    <x v="312"/>
    <s v="net sales:product 3"/>
    <n v="12.49"/>
    <n v="125"/>
    <n v="1561.25"/>
    <s v="net sales"/>
    <x v="3"/>
    <x v="0"/>
    <n v="11"/>
  </r>
  <r>
    <x v="312"/>
    <s v="payroll"/>
    <s v="NA"/>
    <s v="NA"/>
    <n v="1200"/>
    <s v="payroll"/>
    <x v="0"/>
    <x v="0"/>
    <n v="11"/>
  </r>
  <r>
    <x v="313"/>
    <s v="cogs:product 1"/>
    <n v="5.99"/>
    <n v="95"/>
    <n v="569.05000000000007"/>
    <s v="cogs"/>
    <x v="1"/>
    <x v="0"/>
    <n v="11"/>
  </r>
  <r>
    <x v="313"/>
    <s v="cogs:product 2"/>
    <n v="16.989999999999998"/>
    <n v="3"/>
    <n v="50.97"/>
    <s v="cogs"/>
    <x v="2"/>
    <x v="0"/>
    <n v="11"/>
  </r>
  <r>
    <x v="313"/>
    <s v="cogs:product 3"/>
    <n v="8.49"/>
    <n v="0"/>
    <n v="0"/>
    <s v="cogs"/>
    <x v="3"/>
    <x v="0"/>
    <n v="11"/>
  </r>
  <r>
    <x v="313"/>
    <s v="marketing"/>
    <s v="NA"/>
    <s v="NA"/>
    <n v="99.94"/>
    <s v="marketing"/>
    <x v="0"/>
    <x v="0"/>
    <n v="11"/>
  </r>
  <r>
    <x v="313"/>
    <s v="net sales:product 1"/>
    <n v="9.99"/>
    <n v="95"/>
    <n v="949.05000000000007"/>
    <s v="net sales"/>
    <x v="1"/>
    <x v="0"/>
    <n v="11"/>
  </r>
  <r>
    <x v="313"/>
    <s v="net sales:product 2"/>
    <n v="24.99"/>
    <n v="3"/>
    <n v="74.97"/>
    <s v="net sales"/>
    <x v="2"/>
    <x v="0"/>
    <n v="11"/>
  </r>
  <r>
    <x v="313"/>
    <s v="net sales:product 3"/>
    <n v="12.49"/>
    <n v="0"/>
    <n v="0"/>
    <s v="net sales"/>
    <x v="3"/>
    <x v="0"/>
    <n v="11"/>
  </r>
  <r>
    <x v="314"/>
    <s v="cogs:product 1"/>
    <n v="5.99"/>
    <n v="23"/>
    <n v="137.77000000000001"/>
    <s v="cogs"/>
    <x v="1"/>
    <x v="0"/>
    <n v="11"/>
  </r>
  <r>
    <x v="314"/>
    <s v="cogs:product 2"/>
    <n v="16.989999999999998"/>
    <n v="6"/>
    <n v="101.94"/>
    <s v="cogs"/>
    <x v="2"/>
    <x v="0"/>
    <n v="11"/>
  </r>
  <r>
    <x v="314"/>
    <s v="cogs:product 3"/>
    <n v="8.49"/>
    <n v="21"/>
    <n v="178.29"/>
    <s v="cogs"/>
    <x v="3"/>
    <x v="0"/>
    <n v="11"/>
  </r>
  <r>
    <x v="314"/>
    <s v="marketing"/>
    <s v="NA"/>
    <s v="NA"/>
    <n v="99.92"/>
    <s v="marketing"/>
    <x v="0"/>
    <x v="0"/>
    <n v="11"/>
  </r>
  <r>
    <x v="314"/>
    <s v="net sales:product 1"/>
    <n v="9.99"/>
    <n v="23"/>
    <n v="229.77"/>
    <s v="net sales"/>
    <x v="1"/>
    <x v="0"/>
    <n v="11"/>
  </r>
  <r>
    <x v="314"/>
    <s v="net sales:product 2"/>
    <n v="24.99"/>
    <n v="6"/>
    <n v="149.94"/>
    <s v="net sales"/>
    <x v="2"/>
    <x v="0"/>
    <n v="11"/>
  </r>
  <r>
    <x v="314"/>
    <s v="net sales:product 3"/>
    <n v="12.49"/>
    <n v="21"/>
    <n v="262.29000000000002"/>
    <s v="net sales"/>
    <x v="3"/>
    <x v="0"/>
    <n v="11"/>
  </r>
  <r>
    <x v="315"/>
    <s v="cogs:product 1"/>
    <n v="5.99"/>
    <n v="31"/>
    <n v="185.69"/>
    <s v="cogs"/>
    <x v="1"/>
    <x v="0"/>
    <n v="11"/>
  </r>
  <r>
    <x v="315"/>
    <s v="cogs:product 2"/>
    <n v="16.989999999999998"/>
    <n v="9"/>
    <n v="152.91"/>
    <s v="cogs"/>
    <x v="2"/>
    <x v="0"/>
    <n v="11"/>
  </r>
  <r>
    <x v="315"/>
    <s v="cogs:product 3"/>
    <n v="8.49"/>
    <n v="189"/>
    <n v="1604.6100000000001"/>
    <s v="cogs"/>
    <x v="3"/>
    <x v="0"/>
    <n v="11"/>
  </r>
  <r>
    <x v="315"/>
    <s v="marketing"/>
    <s v="NA"/>
    <s v="NA"/>
    <n v="100.01"/>
    <s v="marketing"/>
    <x v="0"/>
    <x v="0"/>
    <n v="11"/>
  </r>
  <r>
    <x v="315"/>
    <s v="net sales:product 1"/>
    <n v="9.99"/>
    <n v="31"/>
    <n v="309.69"/>
    <s v="net sales"/>
    <x v="1"/>
    <x v="0"/>
    <n v="11"/>
  </r>
  <r>
    <x v="315"/>
    <s v="net sales:product 2"/>
    <n v="24.99"/>
    <n v="9"/>
    <n v="224.91"/>
    <s v="net sales"/>
    <x v="2"/>
    <x v="0"/>
    <n v="11"/>
  </r>
  <r>
    <x v="315"/>
    <s v="net sales:product 3"/>
    <n v="12.49"/>
    <n v="189"/>
    <n v="2360.61"/>
    <s v="net sales"/>
    <x v="3"/>
    <x v="0"/>
    <n v="11"/>
  </r>
  <r>
    <x v="316"/>
    <s v="cogs:product 1"/>
    <n v="5.99"/>
    <n v="60"/>
    <n v="359.40000000000003"/>
    <s v="cogs"/>
    <x v="1"/>
    <x v="0"/>
    <n v="11"/>
  </r>
  <r>
    <x v="316"/>
    <s v="cogs:product 2"/>
    <n v="16.989999999999998"/>
    <n v="4"/>
    <n v="67.959999999999994"/>
    <s v="cogs"/>
    <x v="2"/>
    <x v="0"/>
    <n v="11"/>
  </r>
  <r>
    <x v="316"/>
    <s v="cogs:product 3"/>
    <n v="8.49"/>
    <n v="202"/>
    <n v="1714.98"/>
    <s v="cogs"/>
    <x v="3"/>
    <x v="0"/>
    <n v="11"/>
  </r>
  <r>
    <x v="316"/>
    <s v="marketing"/>
    <s v="NA"/>
    <s v="NA"/>
    <n v="100.01"/>
    <s v="marketing"/>
    <x v="0"/>
    <x v="0"/>
    <n v="11"/>
  </r>
  <r>
    <x v="316"/>
    <s v="net sales:product 1"/>
    <n v="9.99"/>
    <n v="60"/>
    <n v="599.4"/>
    <s v="net sales"/>
    <x v="1"/>
    <x v="0"/>
    <n v="11"/>
  </r>
  <r>
    <x v="316"/>
    <s v="net sales:product 2"/>
    <n v="24.99"/>
    <n v="4"/>
    <n v="99.96"/>
    <s v="net sales"/>
    <x v="2"/>
    <x v="0"/>
    <n v="11"/>
  </r>
  <r>
    <x v="316"/>
    <s v="net sales:product 3"/>
    <n v="12.49"/>
    <n v="202"/>
    <n v="2522.98"/>
    <s v="net sales"/>
    <x v="3"/>
    <x v="0"/>
    <n v="11"/>
  </r>
  <r>
    <x v="317"/>
    <s v="cogs:product 1"/>
    <n v="5.99"/>
    <n v="33"/>
    <n v="197.67000000000002"/>
    <s v="cogs"/>
    <x v="1"/>
    <x v="0"/>
    <n v="11"/>
  </r>
  <r>
    <x v="317"/>
    <s v="cogs:product 2"/>
    <n v="16.989999999999998"/>
    <n v="9"/>
    <n v="152.91"/>
    <s v="cogs"/>
    <x v="2"/>
    <x v="0"/>
    <n v="11"/>
  </r>
  <r>
    <x v="317"/>
    <s v="cogs:product 3"/>
    <n v="8.49"/>
    <n v="36"/>
    <n v="305.64"/>
    <s v="cogs"/>
    <x v="3"/>
    <x v="0"/>
    <n v="11"/>
  </r>
  <r>
    <x v="317"/>
    <s v="marketing"/>
    <s v="NA"/>
    <s v="NA"/>
    <n v="99.94"/>
    <s v="marketing"/>
    <x v="0"/>
    <x v="0"/>
    <n v="11"/>
  </r>
  <r>
    <x v="317"/>
    <s v="net sales:product 1"/>
    <n v="9.99"/>
    <n v="33"/>
    <n v="329.67"/>
    <s v="net sales"/>
    <x v="1"/>
    <x v="0"/>
    <n v="11"/>
  </r>
  <r>
    <x v="317"/>
    <s v="net sales:product 2"/>
    <n v="24.99"/>
    <n v="9"/>
    <n v="224.91"/>
    <s v="net sales"/>
    <x v="2"/>
    <x v="0"/>
    <n v="11"/>
  </r>
  <r>
    <x v="317"/>
    <s v="net sales:product 3"/>
    <n v="12.49"/>
    <n v="36"/>
    <n v="449.64"/>
    <s v="net sales"/>
    <x v="3"/>
    <x v="0"/>
    <n v="11"/>
  </r>
  <r>
    <x v="318"/>
    <s v="cogs:product 1"/>
    <n v="5.99"/>
    <n v="46"/>
    <n v="275.54000000000002"/>
    <s v="cogs"/>
    <x v="1"/>
    <x v="0"/>
    <n v="11"/>
  </r>
  <r>
    <x v="318"/>
    <s v="cogs:product 2"/>
    <n v="16.989999999999998"/>
    <n v="3"/>
    <n v="50.97"/>
    <s v="cogs"/>
    <x v="2"/>
    <x v="0"/>
    <n v="11"/>
  </r>
  <r>
    <x v="318"/>
    <s v="cogs:product 3"/>
    <n v="8.49"/>
    <n v="0"/>
    <n v="0"/>
    <s v="cogs"/>
    <x v="3"/>
    <x v="0"/>
    <n v="11"/>
  </r>
  <r>
    <x v="318"/>
    <s v="marketing"/>
    <s v="NA"/>
    <s v="NA"/>
    <n v="100.10000000000001"/>
    <s v="marketing"/>
    <x v="0"/>
    <x v="0"/>
    <n v="11"/>
  </r>
  <r>
    <x v="318"/>
    <s v="net sales:product 1"/>
    <n v="9.99"/>
    <n v="46"/>
    <n v="459.54"/>
    <s v="net sales"/>
    <x v="1"/>
    <x v="0"/>
    <n v="11"/>
  </r>
  <r>
    <x v="318"/>
    <s v="net sales:product 2"/>
    <n v="24.99"/>
    <n v="3"/>
    <n v="74.97"/>
    <s v="net sales"/>
    <x v="2"/>
    <x v="0"/>
    <n v="11"/>
  </r>
  <r>
    <x v="318"/>
    <s v="net sales:product 3"/>
    <n v="12.49"/>
    <n v="0"/>
    <n v="0"/>
    <s v="net sales"/>
    <x v="3"/>
    <x v="0"/>
    <n v="11"/>
  </r>
  <r>
    <x v="319"/>
    <s v="cogs:product 1"/>
    <n v="5.99"/>
    <n v="89"/>
    <n v="533.11"/>
    <s v="cogs"/>
    <x v="1"/>
    <x v="0"/>
    <n v="11"/>
  </r>
  <r>
    <x v="319"/>
    <s v="cogs:product 2"/>
    <n v="16.989999999999998"/>
    <n v="6"/>
    <n v="101.94"/>
    <s v="cogs"/>
    <x v="2"/>
    <x v="0"/>
    <n v="11"/>
  </r>
  <r>
    <x v="319"/>
    <s v="cogs:product 3"/>
    <n v="8.49"/>
    <n v="14"/>
    <n v="118.86"/>
    <s v="cogs"/>
    <x v="3"/>
    <x v="0"/>
    <n v="11"/>
  </r>
  <r>
    <x v="319"/>
    <s v="interest"/>
    <s v="NA"/>
    <s v="NA"/>
    <n v="1250.04"/>
    <s v="interest"/>
    <x v="0"/>
    <x v="0"/>
    <n v="11"/>
  </r>
  <r>
    <x v="319"/>
    <s v="marketing"/>
    <s v="NA"/>
    <s v="NA"/>
    <n v="100.06"/>
    <s v="marketing"/>
    <x v="0"/>
    <x v="0"/>
    <n v="11"/>
  </r>
  <r>
    <x v="319"/>
    <s v="net sales:product 1"/>
    <n v="9.99"/>
    <n v="89"/>
    <n v="889.11"/>
    <s v="net sales"/>
    <x v="1"/>
    <x v="0"/>
    <n v="11"/>
  </r>
  <r>
    <x v="319"/>
    <s v="net sales:product 2"/>
    <n v="24.99"/>
    <n v="6"/>
    <n v="149.94"/>
    <s v="net sales"/>
    <x v="2"/>
    <x v="0"/>
    <n v="11"/>
  </r>
  <r>
    <x v="319"/>
    <s v="net sales:product 3"/>
    <n v="12.49"/>
    <n v="14"/>
    <n v="174.86"/>
    <s v="net sales"/>
    <x v="3"/>
    <x v="0"/>
    <n v="11"/>
  </r>
  <r>
    <x v="319"/>
    <s v="overhead"/>
    <s v="NA"/>
    <s v="NA"/>
    <n v="312.51"/>
    <s v="overhead"/>
    <x v="0"/>
    <x v="0"/>
    <n v="11"/>
  </r>
  <r>
    <x v="320"/>
    <s v="cogs:product 1"/>
    <n v="5.99"/>
    <n v="94"/>
    <n v="563.06000000000006"/>
    <s v="cogs"/>
    <x v="1"/>
    <x v="0"/>
    <n v="11"/>
  </r>
  <r>
    <x v="320"/>
    <s v="cogs:product 2"/>
    <n v="16.989999999999998"/>
    <n v="1"/>
    <n v="16.989999999999998"/>
    <s v="cogs"/>
    <x v="2"/>
    <x v="0"/>
    <n v="11"/>
  </r>
  <r>
    <x v="320"/>
    <s v="cogs:product 3"/>
    <n v="8.49"/>
    <n v="3"/>
    <n v="25.47"/>
    <s v="cogs"/>
    <x v="3"/>
    <x v="0"/>
    <n v="11"/>
  </r>
  <r>
    <x v="320"/>
    <s v="marketing"/>
    <s v="NA"/>
    <s v="NA"/>
    <n v="100.07000000000001"/>
    <s v="marketing"/>
    <x v="0"/>
    <x v="0"/>
    <n v="11"/>
  </r>
  <r>
    <x v="320"/>
    <s v="net sales:product 1"/>
    <n v="9.99"/>
    <n v="94"/>
    <n v="939.06000000000006"/>
    <s v="net sales"/>
    <x v="1"/>
    <x v="0"/>
    <n v="11"/>
  </r>
  <r>
    <x v="320"/>
    <s v="net sales:product 2"/>
    <n v="24.99"/>
    <n v="1"/>
    <n v="24.99"/>
    <s v="net sales"/>
    <x v="2"/>
    <x v="0"/>
    <n v="11"/>
  </r>
  <r>
    <x v="320"/>
    <s v="net sales:product 3"/>
    <n v="12.49"/>
    <n v="3"/>
    <n v="37.47"/>
    <s v="net sales"/>
    <x v="3"/>
    <x v="0"/>
    <n v="11"/>
  </r>
  <r>
    <x v="321"/>
    <s v="cogs:product 1"/>
    <n v="5.99"/>
    <n v="50"/>
    <n v="299.5"/>
    <s v="cogs"/>
    <x v="1"/>
    <x v="0"/>
    <n v="11"/>
  </r>
  <r>
    <x v="321"/>
    <s v="cogs:product 2"/>
    <n v="16.989999999999998"/>
    <n v="2"/>
    <n v="33.979999999999997"/>
    <s v="cogs"/>
    <x v="2"/>
    <x v="0"/>
    <n v="11"/>
  </r>
  <r>
    <x v="321"/>
    <s v="cogs:product 3"/>
    <n v="8.49"/>
    <n v="27"/>
    <n v="229.23000000000002"/>
    <s v="cogs"/>
    <x v="3"/>
    <x v="0"/>
    <n v="11"/>
  </r>
  <r>
    <x v="321"/>
    <s v="marketing"/>
    <s v="NA"/>
    <s v="NA"/>
    <n v="100.05"/>
    <s v="marketing"/>
    <x v="0"/>
    <x v="0"/>
    <n v="11"/>
  </r>
  <r>
    <x v="321"/>
    <s v="net sales:product 1"/>
    <n v="9.99"/>
    <n v="50"/>
    <n v="499.5"/>
    <s v="net sales"/>
    <x v="1"/>
    <x v="0"/>
    <n v="11"/>
  </r>
  <r>
    <x v="321"/>
    <s v="net sales:product 2"/>
    <n v="24.99"/>
    <n v="2"/>
    <n v="49.98"/>
    <s v="net sales"/>
    <x v="2"/>
    <x v="0"/>
    <n v="11"/>
  </r>
  <r>
    <x v="321"/>
    <s v="net sales:product 3"/>
    <n v="12.49"/>
    <n v="27"/>
    <n v="337.23"/>
    <s v="net sales"/>
    <x v="3"/>
    <x v="0"/>
    <n v="11"/>
  </r>
  <r>
    <x v="322"/>
    <s v="cogs:product 1"/>
    <n v="5.99"/>
    <n v="6"/>
    <n v="35.94"/>
    <s v="cogs"/>
    <x v="1"/>
    <x v="0"/>
    <n v="11"/>
  </r>
  <r>
    <x v="322"/>
    <s v="cogs:product 2"/>
    <n v="16.989999999999998"/>
    <n v="5"/>
    <n v="84.949999999999989"/>
    <s v="cogs"/>
    <x v="2"/>
    <x v="0"/>
    <n v="11"/>
  </r>
  <r>
    <x v="322"/>
    <s v="cogs:product 3"/>
    <n v="8.49"/>
    <n v="0"/>
    <n v="0"/>
    <s v="cogs"/>
    <x v="3"/>
    <x v="0"/>
    <n v="11"/>
  </r>
  <r>
    <x v="322"/>
    <s v="marketing"/>
    <s v="NA"/>
    <s v="NA"/>
    <n v="100.05"/>
    <s v="marketing"/>
    <x v="0"/>
    <x v="0"/>
    <n v="11"/>
  </r>
  <r>
    <x v="322"/>
    <s v="net sales:product 1"/>
    <n v="9.99"/>
    <n v="6"/>
    <n v="59.94"/>
    <s v="net sales"/>
    <x v="1"/>
    <x v="0"/>
    <n v="11"/>
  </r>
  <r>
    <x v="322"/>
    <s v="net sales:product 2"/>
    <n v="24.99"/>
    <n v="5"/>
    <n v="124.94999999999999"/>
    <s v="net sales"/>
    <x v="2"/>
    <x v="0"/>
    <n v="11"/>
  </r>
  <r>
    <x v="322"/>
    <s v="net sales:product 3"/>
    <n v="12.49"/>
    <n v="0"/>
    <n v="0"/>
    <s v="net sales"/>
    <x v="3"/>
    <x v="0"/>
    <n v="11"/>
  </r>
  <r>
    <x v="323"/>
    <s v="cogs:product 1"/>
    <n v="5.99"/>
    <n v="28"/>
    <n v="167.72"/>
    <s v="cogs"/>
    <x v="1"/>
    <x v="0"/>
    <n v="11"/>
  </r>
  <r>
    <x v="323"/>
    <s v="cogs:product 2"/>
    <n v="16.989999999999998"/>
    <n v="8"/>
    <n v="135.91999999999999"/>
    <s v="cogs"/>
    <x v="2"/>
    <x v="0"/>
    <n v="11"/>
  </r>
  <r>
    <x v="323"/>
    <s v="cogs:product 3"/>
    <n v="8.49"/>
    <n v="189"/>
    <n v="1604.6100000000001"/>
    <s v="cogs"/>
    <x v="3"/>
    <x v="0"/>
    <n v="11"/>
  </r>
  <r>
    <x v="323"/>
    <s v="marketing"/>
    <s v="NA"/>
    <s v="NA"/>
    <n v="99.98"/>
    <s v="marketing"/>
    <x v="0"/>
    <x v="0"/>
    <n v="11"/>
  </r>
  <r>
    <x v="323"/>
    <s v="net sales:product 1"/>
    <n v="9.99"/>
    <n v="28"/>
    <n v="279.72000000000003"/>
    <s v="net sales"/>
    <x v="1"/>
    <x v="0"/>
    <n v="11"/>
  </r>
  <r>
    <x v="323"/>
    <s v="net sales:product 2"/>
    <n v="24.99"/>
    <n v="8"/>
    <n v="199.92"/>
    <s v="net sales"/>
    <x v="2"/>
    <x v="0"/>
    <n v="11"/>
  </r>
  <r>
    <x v="323"/>
    <s v="net sales:product 3"/>
    <n v="12.49"/>
    <n v="189"/>
    <n v="2360.61"/>
    <s v="net sales"/>
    <x v="3"/>
    <x v="0"/>
    <n v="11"/>
  </r>
  <r>
    <x v="324"/>
    <s v="cogs:product 1"/>
    <n v="5.99"/>
    <n v="95"/>
    <n v="569.05000000000007"/>
    <s v="cogs"/>
    <x v="1"/>
    <x v="0"/>
    <n v="11"/>
  </r>
  <r>
    <x v="324"/>
    <s v="cogs:product 2"/>
    <n v="16.989999999999998"/>
    <n v="6"/>
    <n v="101.94"/>
    <s v="cogs"/>
    <x v="2"/>
    <x v="0"/>
    <n v="11"/>
  </r>
  <r>
    <x v="324"/>
    <s v="cogs:product 3"/>
    <n v="8.49"/>
    <n v="230"/>
    <n v="1952.7"/>
    <s v="cogs"/>
    <x v="3"/>
    <x v="0"/>
    <n v="11"/>
  </r>
  <r>
    <x v="324"/>
    <s v="marketing"/>
    <s v="NA"/>
    <s v="NA"/>
    <n v="100.09"/>
    <s v="marketing"/>
    <x v="0"/>
    <x v="0"/>
    <n v="11"/>
  </r>
  <r>
    <x v="324"/>
    <s v="net sales:product 1"/>
    <n v="9.99"/>
    <n v="95"/>
    <n v="949.05000000000007"/>
    <s v="net sales"/>
    <x v="1"/>
    <x v="0"/>
    <n v="11"/>
  </r>
  <r>
    <x v="324"/>
    <s v="net sales:product 2"/>
    <n v="24.99"/>
    <n v="6"/>
    <n v="149.94"/>
    <s v="net sales"/>
    <x v="2"/>
    <x v="0"/>
    <n v="11"/>
  </r>
  <r>
    <x v="324"/>
    <s v="net sales:product 3"/>
    <n v="12.49"/>
    <n v="230"/>
    <n v="2872.7000000000003"/>
    <s v="net sales"/>
    <x v="3"/>
    <x v="0"/>
    <n v="11"/>
  </r>
  <r>
    <x v="325"/>
    <s v="cogs:product 1"/>
    <n v="5.99"/>
    <n v="14"/>
    <n v="83.86"/>
    <s v="cogs"/>
    <x v="1"/>
    <x v="0"/>
    <n v="11"/>
  </r>
  <r>
    <x v="325"/>
    <s v="cogs:product 2"/>
    <n v="16.989999999999998"/>
    <n v="6"/>
    <n v="101.94"/>
    <s v="cogs"/>
    <x v="2"/>
    <x v="0"/>
    <n v="11"/>
  </r>
  <r>
    <x v="325"/>
    <s v="cogs:product 3"/>
    <n v="8.49"/>
    <n v="0"/>
    <n v="0"/>
    <s v="cogs"/>
    <x v="3"/>
    <x v="0"/>
    <n v="11"/>
  </r>
  <r>
    <x v="325"/>
    <s v="marketing"/>
    <s v="NA"/>
    <s v="NA"/>
    <n v="100.10000000000001"/>
    <s v="marketing"/>
    <x v="0"/>
    <x v="0"/>
    <n v="11"/>
  </r>
  <r>
    <x v="325"/>
    <s v="net sales:product 1"/>
    <n v="9.99"/>
    <n v="14"/>
    <n v="139.86000000000001"/>
    <s v="net sales"/>
    <x v="1"/>
    <x v="0"/>
    <n v="11"/>
  </r>
  <r>
    <x v="325"/>
    <s v="net sales:product 2"/>
    <n v="24.99"/>
    <n v="6"/>
    <n v="149.94"/>
    <s v="net sales"/>
    <x v="2"/>
    <x v="0"/>
    <n v="11"/>
  </r>
  <r>
    <x v="325"/>
    <s v="net sales:product 3"/>
    <n v="12.49"/>
    <n v="0"/>
    <n v="0"/>
    <s v="net sales"/>
    <x v="3"/>
    <x v="0"/>
    <n v="11"/>
  </r>
  <r>
    <x v="326"/>
    <s v="cogs:product 1"/>
    <n v="5.99"/>
    <n v="27"/>
    <n v="161.73000000000002"/>
    <s v="cogs"/>
    <x v="1"/>
    <x v="0"/>
    <n v="11"/>
  </r>
  <r>
    <x v="326"/>
    <s v="cogs:product 2"/>
    <n v="16.989999999999998"/>
    <n v="6"/>
    <n v="101.94"/>
    <s v="cogs"/>
    <x v="2"/>
    <x v="0"/>
    <n v="11"/>
  </r>
  <r>
    <x v="326"/>
    <s v="cogs:product 3"/>
    <n v="8.49"/>
    <n v="20"/>
    <n v="169.8"/>
    <s v="cogs"/>
    <x v="3"/>
    <x v="0"/>
    <n v="11"/>
  </r>
  <r>
    <x v="326"/>
    <s v="marketing"/>
    <s v="NA"/>
    <s v="NA"/>
    <n v="100.06"/>
    <s v="marketing"/>
    <x v="0"/>
    <x v="0"/>
    <n v="11"/>
  </r>
  <r>
    <x v="326"/>
    <s v="net sales:product 1"/>
    <n v="9.99"/>
    <n v="27"/>
    <n v="269.73"/>
    <s v="net sales"/>
    <x v="1"/>
    <x v="0"/>
    <n v="11"/>
  </r>
  <r>
    <x v="326"/>
    <s v="net sales:product 2"/>
    <n v="24.99"/>
    <n v="6"/>
    <n v="149.94"/>
    <s v="net sales"/>
    <x v="2"/>
    <x v="0"/>
    <n v="11"/>
  </r>
  <r>
    <x v="326"/>
    <s v="net sales:product 3"/>
    <n v="12.49"/>
    <n v="20"/>
    <n v="249.8"/>
    <s v="net sales"/>
    <x v="3"/>
    <x v="0"/>
    <n v="11"/>
  </r>
  <r>
    <x v="326"/>
    <s v="payroll"/>
    <s v="NA"/>
    <s v="NA"/>
    <n v="1200"/>
    <s v="payroll"/>
    <x v="0"/>
    <x v="0"/>
    <n v="11"/>
  </r>
  <r>
    <x v="327"/>
    <s v="cogs:product 1"/>
    <n v="5.99"/>
    <n v="35"/>
    <n v="209.65"/>
    <s v="cogs"/>
    <x v="1"/>
    <x v="0"/>
    <n v="11"/>
  </r>
  <r>
    <x v="327"/>
    <s v="cogs:product 2"/>
    <n v="16.989999999999998"/>
    <n v="5"/>
    <n v="84.949999999999989"/>
    <s v="cogs"/>
    <x v="2"/>
    <x v="0"/>
    <n v="11"/>
  </r>
  <r>
    <x v="327"/>
    <s v="cogs:product 3"/>
    <n v="8.49"/>
    <n v="218"/>
    <n v="1850.82"/>
    <s v="cogs"/>
    <x v="3"/>
    <x v="0"/>
    <n v="11"/>
  </r>
  <r>
    <x v="327"/>
    <s v="marketing"/>
    <s v="NA"/>
    <s v="NA"/>
    <n v="100.06"/>
    <s v="marketing"/>
    <x v="0"/>
    <x v="0"/>
    <n v="11"/>
  </r>
  <r>
    <x v="327"/>
    <s v="net sales:product 1"/>
    <n v="9.99"/>
    <n v="35"/>
    <n v="349.65000000000003"/>
    <s v="net sales"/>
    <x v="1"/>
    <x v="0"/>
    <n v="11"/>
  </r>
  <r>
    <x v="327"/>
    <s v="net sales:product 2"/>
    <n v="24.99"/>
    <n v="5"/>
    <n v="124.94999999999999"/>
    <s v="net sales"/>
    <x v="2"/>
    <x v="0"/>
    <n v="11"/>
  </r>
  <r>
    <x v="327"/>
    <s v="net sales:product 3"/>
    <n v="12.49"/>
    <n v="218"/>
    <n v="2722.82"/>
    <s v="net sales"/>
    <x v="3"/>
    <x v="0"/>
    <n v="11"/>
  </r>
  <r>
    <x v="328"/>
    <s v="cogs:product 1"/>
    <n v="5.99"/>
    <n v="30"/>
    <n v="179.70000000000002"/>
    <s v="cogs"/>
    <x v="1"/>
    <x v="0"/>
    <n v="11"/>
  </r>
  <r>
    <x v="328"/>
    <s v="cogs:product 2"/>
    <n v="16.989999999999998"/>
    <n v="8"/>
    <n v="135.91999999999999"/>
    <s v="cogs"/>
    <x v="2"/>
    <x v="0"/>
    <n v="11"/>
  </r>
  <r>
    <x v="328"/>
    <s v="cogs:product 3"/>
    <n v="8.49"/>
    <n v="108"/>
    <n v="916.92000000000007"/>
    <s v="cogs"/>
    <x v="3"/>
    <x v="0"/>
    <n v="11"/>
  </r>
  <r>
    <x v="328"/>
    <s v="marketing"/>
    <s v="NA"/>
    <s v="NA"/>
    <n v="100.02"/>
    <s v="marketing"/>
    <x v="0"/>
    <x v="0"/>
    <n v="11"/>
  </r>
  <r>
    <x v="328"/>
    <s v="net sales:product 1"/>
    <n v="9.99"/>
    <n v="30"/>
    <n v="299.7"/>
    <s v="net sales"/>
    <x v="1"/>
    <x v="0"/>
    <n v="11"/>
  </r>
  <r>
    <x v="328"/>
    <s v="net sales:product 2"/>
    <n v="24.99"/>
    <n v="8"/>
    <n v="199.92"/>
    <s v="net sales"/>
    <x v="2"/>
    <x v="0"/>
    <n v="11"/>
  </r>
  <r>
    <x v="328"/>
    <s v="net sales:product 3"/>
    <n v="12.49"/>
    <n v="108"/>
    <n v="1348.92"/>
    <s v="net sales"/>
    <x v="3"/>
    <x v="0"/>
    <n v="11"/>
  </r>
  <r>
    <x v="329"/>
    <s v="cogs:product 1"/>
    <n v="5.99"/>
    <n v="30"/>
    <n v="179.70000000000002"/>
    <s v="cogs"/>
    <x v="1"/>
    <x v="0"/>
    <n v="11"/>
  </r>
  <r>
    <x v="329"/>
    <s v="cogs:product 2"/>
    <n v="16.989999999999998"/>
    <n v="3"/>
    <n v="50.97"/>
    <s v="cogs"/>
    <x v="2"/>
    <x v="0"/>
    <n v="11"/>
  </r>
  <r>
    <x v="329"/>
    <s v="cogs:product 3"/>
    <n v="8.49"/>
    <n v="20"/>
    <n v="169.8"/>
    <s v="cogs"/>
    <x v="3"/>
    <x v="0"/>
    <n v="11"/>
  </r>
  <r>
    <x v="329"/>
    <s v="marketing"/>
    <s v="NA"/>
    <s v="NA"/>
    <n v="100.01"/>
    <s v="marketing"/>
    <x v="0"/>
    <x v="0"/>
    <n v="11"/>
  </r>
  <r>
    <x v="329"/>
    <s v="net sales:product 1"/>
    <n v="9.99"/>
    <n v="30"/>
    <n v="299.7"/>
    <s v="net sales"/>
    <x v="1"/>
    <x v="0"/>
    <n v="11"/>
  </r>
  <r>
    <x v="329"/>
    <s v="net sales:product 2"/>
    <n v="24.99"/>
    <n v="3"/>
    <n v="74.97"/>
    <s v="net sales"/>
    <x v="2"/>
    <x v="0"/>
    <n v="11"/>
  </r>
  <r>
    <x v="329"/>
    <s v="net sales:product 3"/>
    <n v="12.49"/>
    <n v="20"/>
    <n v="249.8"/>
    <s v="net sales"/>
    <x v="3"/>
    <x v="0"/>
    <n v="11"/>
  </r>
  <r>
    <x v="330"/>
    <s v="cogs:product 1"/>
    <n v="5.99"/>
    <n v="99"/>
    <n v="593.01"/>
    <s v="cogs"/>
    <x v="1"/>
    <x v="0"/>
    <n v="11"/>
  </r>
  <r>
    <x v="330"/>
    <s v="cogs:product 2"/>
    <n v="16.989999999999998"/>
    <n v="1"/>
    <n v="16.989999999999998"/>
    <s v="cogs"/>
    <x v="2"/>
    <x v="0"/>
    <n v="11"/>
  </r>
  <r>
    <x v="330"/>
    <s v="cogs:product 3"/>
    <n v="8.49"/>
    <n v="26"/>
    <n v="220.74"/>
    <s v="cogs"/>
    <x v="3"/>
    <x v="0"/>
    <n v="11"/>
  </r>
  <r>
    <x v="330"/>
    <s v="marketing"/>
    <s v="NA"/>
    <s v="NA"/>
    <n v="100.07000000000001"/>
    <s v="marketing"/>
    <x v="0"/>
    <x v="0"/>
    <n v="11"/>
  </r>
  <r>
    <x v="330"/>
    <s v="net sales:product 1"/>
    <n v="9.99"/>
    <n v="99"/>
    <n v="989.01"/>
    <s v="net sales"/>
    <x v="1"/>
    <x v="0"/>
    <n v="11"/>
  </r>
  <r>
    <x v="330"/>
    <s v="net sales:product 2"/>
    <n v="24.99"/>
    <n v="1"/>
    <n v="24.99"/>
    <s v="net sales"/>
    <x v="2"/>
    <x v="0"/>
    <n v="11"/>
  </r>
  <r>
    <x v="330"/>
    <s v="net sales:product 3"/>
    <n v="12.49"/>
    <n v="26"/>
    <n v="324.74"/>
    <s v="net sales"/>
    <x v="3"/>
    <x v="0"/>
    <n v="11"/>
  </r>
  <r>
    <x v="331"/>
    <s v="cogs:product 1"/>
    <n v="5.99"/>
    <n v="36"/>
    <n v="215.64000000000001"/>
    <s v="cogs"/>
    <x v="1"/>
    <x v="0"/>
    <n v="11"/>
  </r>
  <r>
    <x v="331"/>
    <s v="cogs:product 2"/>
    <n v="16.989999999999998"/>
    <n v="8"/>
    <n v="135.91999999999999"/>
    <s v="cogs"/>
    <x v="2"/>
    <x v="0"/>
    <n v="11"/>
  </r>
  <r>
    <x v="331"/>
    <s v="cogs:product 3"/>
    <n v="8.49"/>
    <n v="242"/>
    <n v="2054.58"/>
    <s v="cogs"/>
    <x v="3"/>
    <x v="0"/>
    <n v="11"/>
  </r>
  <r>
    <x v="331"/>
    <s v="marketing"/>
    <s v="NA"/>
    <s v="NA"/>
    <n v="99.94"/>
    <s v="marketing"/>
    <x v="0"/>
    <x v="0"/>
    <n v="11"/>
  </r>
  <r>
    <x v="331"/>
    <s v="net sales:product 1"/>
    <n v="9.99"/>
    <n v="36"/>
    <n v="359.64"/>
    <s v="net sales"/>
    <x v="1"/>
    <x v="0"/>
    <n v="11"/>
  </r>
  <r>
    <x v="331"/>
    <s v="net sales:product 2"/>
    <n v="24.99"/>
    <n v="8"/>
    <n v="199.92"/>
    <s v="net sales"/>
    <x v="2"/>
    <x v="0"/>
    <n v="11"/>
  </r>
  <r>
    <x v="331"/>
    <s v="net sales:product 3"/>
    <n v="12.49"/>
    <n v="242"/>
    <n v="3022.58"/>
    <s v="net sales"/>
    <x v="3"/>
    <x v="0"/>
    <n v="11"/>
  </r>
  <r>
    <x v="332"/>
    <s v="cogs:product 1"/>
    <n v="5.99"/>
    <n v="65"/>
    <n v="389.35"/>
    <s v="cogs"/>
    <x v="1"/>
    <x v="0"/>
    <n v="11"/>
  </r>
  <r>
    <x v="332"/>
    <s v="cogs:product 2"/>
    <n v="16.989999999999998"/>
    <n v="9"/>
    <n v="152.91"/>
    <s v="cogs"/>
    <x v="2"/>
    <x v="0"/>
    <n v="11"/>
  </r>
  <r>
    <x v="332"/>
    <s v="cogs:product 3"/>
    <n v="8.49"/>
    <n v="86"/>
    <n v="730.14"/>
    <s v="cogs"/>
    <x v="3"/>
    <x v="0"/>
    <n v="11"/>
  </r>
  <r>
    <x v="332"/>
    <s v="marketing"/>
    <s v="NA"/>
    <s v="NA"/>
    <n v="99.97"/>
    <s v="marketing"/>
    <x v="0"/>
    <x v="0"/>
    <n v="11"/>
  </r>
  <r>
    <x v="332"/>
    <s v="net sales:product 1"/>
    <n v="9.99"/>
    <n v="65"/>
    <n v="649.35"/>
    <s v="net sales"/>
    <x v="1"/>
    <x v="0"/>
    <n v="11"/>
  </r>
  <r>
    <x v="332"/>
    <s v="net sales:product 2"/>
    <n v="24.99"/>
    <n v="9"/>
    <n v="224.91"/>
    <s v="net sales"/>
    <x v="2"/>
    <x v="0"/>
    <n v="11"/>
  </r>
  <r>
    <x v="332"/>
    <s v="net sales:product 3"/>
    <n v="12.49"/>
    <n v="86"/>
    <n v="1074.1400000000001"/>
    <s v="net sales"/>
    <x v="3"/>
    <x v="0"/>
    <n v="11"/>
  </r>
  <r>
    <x v="333"/>
    <s v="cogs:product 1"/>
    <n v="5.99"/>
    <n v="38"/>
    <n v="227.62"/>
    <s v="cogs"/>
    <x v="1"/>
    <x v="0"/>
    <n v="11"/>
  </r>
  <r>
    <x v="333"/>
    <s v="cogs:product 2"/>
    <n v="16.989999999999998"/>
    <n v="4"/>
    <n v="67.959999999999994"/>
    <s v="cogs"/>
    <x v="2"/>
    <x v="0"/>
    <n v="11"/>
  </r>
  <r>
    <x v="333"/>
    <s v="cogs:product 3"/>
    <n v="8.49"/>
    <n v="18"/>
    <n v="152.82"/>
    <s v="cogs"/>
    <x v="3"/>
    <x v="0"/>
    <n v="11"/>
  </r>
  <r>
    <x v="333"/>
    <s v="marketing"/>
    <s v="NA"/>
    <s v="NA"/>
    <n v="99.94"/>
    <s v="marketing"/>
    <x v="0"/>
    <x v="0"/>
    <n v="11"/>
  </r>
  <r>
    <x v="333"/>
    <s v="net sales:product 1"/>
    <n v="9.99"/>
    <n v="38"/>
    <n v="379.62"/>
    <s v="net sales"/>
    <x v="1"/>
    <x v="0"/>
    <n v="11"/>
  </r>
  <r>
    <x v="333"/>
    <s v="net sales:product 2"/>
    <n v="24.99"/>
    <n v="4"/>
    <n v="99.96"/>
    <s v="net sales"/>
    <x v="2"/>
    <x v="0"/>
    <n v="11"/>
  </r>
  <r>
    <x v="333"/>
    <s v="net sales:product 3"/>
    <n v="12.49"/>
    <n v="18"/>
    <n v="224.82"/>
    <s v="net sales"/>
    <x v="3"/>
    <x v="0"/>
    <n v="11"/>
  </r>
  <r>
    <x v="334"/>
    <s v="cogs:product 1"/>
    <n v="5.99"/>
    <n v="87"/>
    <n v="521.13"/>
    <s v="cogs"/>
    <x v="1"/>
    <x v="0"/>
    <n v="11"/>
  </r>
  <r>
    <x v="334"/>
    <s v="cogs:product 2"/>
    <n v="16.989999999999998"/>
    <n v="2"/>
    <n v="33.979999999999997"/>
    <s v="cogs"/>
    <x v="2"/>
    <x v="0"/>
    <n v="11"/>
  </r>
  <r>
    <x v="334"/>
    <s v="cogs:product 3"/>
    <n v="8.49"/>
    <n v="0"/>
    <n v="0"/>
    <s v="cogs"/>
    <x v="3"/>
    <x v="0"/>
    <n v="11"/>
  </r>
  <r>
    <x v="334"/>
    <s v="marketing"/>
    <s v="NA"/>
    <s v="NA"/>
    <n v="99.92"/>
    <s v="marketing"/>
    <x v="0"/>
    <x v="0"/>
    <n v="11"/>
  </r>
  <r>
    <x v="334"/>
    <s v="net sales:product 1"/>
    <n v="9.99"/>
    <n v="87"/>
    <n v="869.13"/>
    <s v="net sales"/>
    <x v="1"/>
    <x v="0"/>
    <n v="11"/>
  </r>
  <r>
    <x v="334"/>
    <s v="net sales:product 2"/>
    <n v="24.99"/>
    <n v="2"/>
    <n v="49.98"/>
    <s v="net sales"/>
    <x v="2"/>
    <x v="0"/>
    <n v="11"/>
  </r>
  <r>
    <x v="334"/>
    <s v="net sales:product 3"/>
    <n v="12.49"/>
    <n v="0"/>
    <n v="0"/>
    <s v="net sales"/>
    <x v="3"/>
    <x v="0"/>
    <n v="11"/>
  </r>
  <r>
    <x v="335"/>
    <s v="amortization"/>
    <s v="NA"/>
    <s v="NA"/>
    <n v="50"/>
    <s v="amortization"/>
    <x v="0"/>
    <x v="0"/>
    <n v="12"/>
  </r>
  <r>
    <x v="335"/>
    <s v="cogs:product 1"/>
    <n v="5.99"/>
    <n v="13"/>
    <n v="77.87"/>
    <s v="cogs"/>
    <x v="1"/>
    <x v="0"/>
    <n v="12"/>
  </r>
  <r>
    <x v="335"/>
    <s v="cogs:product 2"/>
    <n v="16.989999999999998"/>
    <n v="4"/>
    <n v="67.959999999999994"/>
    <s v="cogs"/>
    <x v="2"/>
    <x v="0"/>
    <n v="12"/>
  </r>
  <r>
    <x v="335"/>
    <s v="cogs:product 3"/>
    <n v="8.49"/>
    <n v="0"/>
    <n v="0"/>
    <s v="cogs"/>
    <x v="3"/>
    <x v="0"/>
    <n v="12"/>
  </r>
  <r>
    <x v="335"/>
    <s v="marketing"/>
    <s v="NA"/>
    <s v="NA"/>
    <n v="99.91"/>
    <s v="marketing"/>
    <x v="0"/>
    <x v="0"/>
    <n v="12"/>
  </r>
  <r>
    <x v="335"/>
    <s v="net sales:product 1"/>
    <n v="9.99"/>
    <n v="13"/>
    <n v="129.87"/>
    <s v="net sales"/>
    <x v="1"/>
    <x v="0"/>
    <n v="12"/>
  </r>
  <r>
    <x v="335"/>
    <s v="net sales:product 2"/>
    <n v="24.99"/>
    <n v="4"/>
    <n v="99.96"/>
    <s v="net sales"/>
    <x v="2"/>
    <x v="0"/>
    <n v="12"/>
  </r>
  <r>
    <x v="335"/>
    <s v="net sales:product 3"/>
    <n v="12.49"/>
    <n v="0"/>
    <n v="0"/>
    <s v="net sales"/>
    <x v="3"/>
    <x v="0"/>
    <n v="12"/>
  </r>
  <r>
    <x v="335"/>
    <s v="overhead"/>
    <s v="NA"/>
    <s v="NA"/>
    <n v="2000"/>
    <s v="overhead"/>
    <x v="0"/>
    <x v="0"/>
    <n v="12"/>
  </r>
  <r>
    <x v="336"/>
    <s v="cogs:product 1"/>
    <n v="5.99"/>
    <n v="25"/>
    <n v="149.75"/>
    <s v="cogs"/>
    <x v="1"/>
    <x v="0"/>
    <n v="12"/>
  </r>
  <r>
    <x v="336"/>
    <s v="cogs:product 2"/>
    <n v="16.989999999999998"/>
    <n v="7"/>
    <n v="118.92999999999999"/>
    <s v="cogs"/>
    <x v="2"/>
    <x v="0"/>
    <n v="12"/>
  </r>
  <r>
    <x v="336"/>
    <s v="cogs:product 3"/>
    <n v="8.49"/>
    <n v="122"/>
    <n v="1035.78"/>
    <s v="cogs"/>
    <x v="3"/>
    <x v="0"/>
    <n v="12"/>
  </r>
  <r>
    <x v="336"/>
    <s v="marketing"/>
    <s v="NA"/>
    <s v="NA"/>
    <n v="99.98"/>
    <s v="marketing"/>
    <x v="0"/>
    <x v="0"/>
    <n v="12"/>
  </r>
  <r>
    <x v="336"/>
    <s v="net sales:product 1"/>
    <n v="9.99"/>
    <n v="25"/>
    <n v="249.75"/>
    <s v="net sales"/>
    <x v="1"/>
    <x v="0"/>
    <n v="12"/>
  </r>
  <r>
    <x v="336"/>
    <s v="net sales:product 2"/>
    <n v="24.99"/>
    <n v="7"/>
    <n v="174.92999999999998"/>
    <s v="net sales"/>
    <x v="2"/>
    <x v="0"/>
    <n v="12"/>
  </r>
  <r>
    <x v="336"/>
    <s v="net sales:product 3"/>
    <n v="12.49"/>
    <n v="122"/>
    <n v="1523.78"/>
    <s v="net sales"/>
    <x v="3"/>
    <x v="0"/>
    <n v="12"/>
  </r>
  <r>
    <x v="337"/>
    <s v="cogs:product 1"/>
    <n v="5.99"/>
    <n v="81"/>
    <n v="485.19"/>
    <s v="cogs"/>
    <x v="1"/>
    <x v="0"/>
    <n v="12"/>
  </r>
  <r>
    <x v="337"/>
    <s v="cogs:product 2"/>
    <n v="16.989999999999998"/>
    <n v="3"/>
    <n v="50.97"/>
    <s v="cogs"/>
    <x v="2"/>
    <x v="0"/>
    <n v="12"/>
  </r>
  <r>
    <x v="337"/>
    <s v="cogs:product 3"/>
    <n v="8.49"/>
    <n v="8"/>
    <n v="67.92"/>
    <s v="cogs"/>
    <x v="3"/>
    <x v="0"/>
    <n v="12"/>
  </r>
  <r>
    <x v="337"/>
    <s v="marketing"/>
    <s v="NA"/>
    <s v="NA"/>
    <n v="100.07000000000001"/>
    <s v="marketing"/>
    <x v="0"/>
    <x v="0"/>
    <n v="12"/>
  </r>
  <r>
    <x v="337"/>
    <s v="net sales:product 1"/>
    <n v="9.99"/>
    <n v="81"/>
    <n v="809.19"/>
    <s v="net sales"/>
    <x v="1"/>
    <x v="0"/>
    <n v="12"/>
  </r>
  <r>
    <x v="337"/>
    <s v="net sales:product 2"/>
    <n v="24.99"/>
    <n v="3"/>
    <n v="74.97"/>
    <s v="net sales"/>
    <x v="2"/>
    <x v="0"/>
    <n v="12"/>
  </r>
  <r>
    <x v="337"/>
    <s v="net sales:product 3"/>
    <n v="12.49"/>
    <n v="8"/>
    <n v="99.92"/>
    <s v="net sales"/>
    <x v="3"/>
    <x v="0"/>
    <n v="12"/>
  </r>
  <r>
    <x v="338"/>
    <s v="cogs:product 1"/>
    <n v="5.99"/>
    <n v="7"/>
    <n v="41.93"/>
    <s v="cogs"/>
    <x v="1"/>
    <x v="0"/>
    <n v="12"/>
  </r>
  <r>
    <x v="338"/>
    <s v="cogs:product 2"/>
    <n v="16.989999999999998"/>
    <n v="7"/>
    <n v="118.92999999999999"/>
    <s v="cogs"/>
    <x v="2"/>
    <x v="0"/>
    <n v="12"/>
  </r>
  <r>
    <x v="338"/>
    <s v="cogs:product 3"/>
    <n v="8.49"/>
    <n v="236"/>
    <n v="2003.64"/>
    <s v="cogs"/>
    <x v="3"/>
    <x v="0"/>
    <n v="12"/>
  </r>
  <r>
    <x v="338"/>
    <s v="marketing"/>
    <s v="NA"/>
    <s v="NA"/>
    <n v="99.95"/>
    <s v="marketing"/>
    <x v="0"/>
    <x v="0"/>
    <n v="12"/>
  </r>
  <r>
    <x v="338"/>
    <s v="net sales:product 1"/>
    <n v="9.99"/>
    <n v="7"/>
    <n v="69.930000000000007"/>
    <s v="net sales"/>
    <x v="1"/>
    <x v="0"/>
    <n v="12"/>
  </r>
  <r>
    <x v="338"/>
    <s v="net sales:product 2"/>
    <n v="24.99"/>
    <n v="7"/>
    <n v="174.92999999999998"/>
    <s v="net sales"/>
    <x v="2"/>
    <x v="0"/>
    <n v="12"/>
  </r>
  <r>
    <x v="338"/>
    <s v="net sales:product 3"/>
    <n v="12.49"/>
    <n v="236"/>
    <n v="2947.64"/>
    <s v="net sales"/>
    <x v="3"/>
    <x v="0"/>
    <n v="12"/>
  </r>
  <r>
    <x v="339"/>
    <s v="cogs:product 1"/>
    <n v="5.99"/>
    <n v="52"/>
    <n v="311.48"/>
    <s v="cogs"/>
    <x v="1"/>
    <x v="0"/>
    <n v="12"/>
  </r>
  <r>
    <x v="339"/>
    <s v="cogs:product 2"/>
    <n v="16.989999999999998"/>
    <n v="7"/>
    <n v="118.92999999999999"/>
    <s v="cogs"/>
    <x v="2"/>
    <x v="0"/>
    <n v="12"/>
  </r>
  <r>
    <x v="339"/>
    <s v="cogs:product 3"/>
    <n v="8.49"/>
    <n v="46"/>
    <n v="390.54"/>
    <s v="cogs"/>
    <x v="3"/>
    <x v="0"/>
    <n v="12"/>
  </r>
  <r>
    <x v="339"/>
    <s v="marketing"/>
    <s v="NA"/>
    <s v="NA"/>
    <n v="99.94"/>
    <s v="marketing"/>
    <x v="0"/>
    <x v="0"/>
    <n v="12"/>
  </r>
  <r>
    <x v="339"/>
    <s v="net sales:product 1"/>
    <n v="9.99"/>
    <n v="52"/>
    <n v="519.48"/>
    <s v="net sales"/>
    <x v="1"/>
    <x v="0"/>
    <n v="12"/>
  </r>
  <r>
    <x v="339"/>
    <s v="net sales:product 2"/>
    <n v="24.99"/>
    <n v="7"/>
    <n v="174.92999999999998"/>
    <s v="net sales"/>
    <x v="2"/>
    <x v="0"/>
    <n v="12"/>
  </r>
  <r>
    <x v="339"/>
    <s v="net sales:product 3"/>
    <n v="12.49"/>
    <n v="46"/>
    <n v="574.54"/>
    <s v="net sales"/>
    <x v="3"/>
    <x v="0"/>
    <n v="12"/>
  </r>
  <r>
    <x v="340"/>
    <s v="cogs:product 1"/>
    <n v="5.99"/>
    <n v="91"/>
    <n v="545.09"/>
    <s v="cogs"/>
    <x v="1"/>
    <x v="0"/>
    <n v="12"/>
  </r>
  <r>
    <x v="340"/>
    <s v="cogs:product 2"/>
    <n v="16.989999999999998"/>
    <n v="5"/>
    <n v="84.949999999999989"/>
    <s v="cogs"/>
    <x v="2"/>
    <x v="0"/>
    <n v="12"/>
  </r>
  <r>
    <x v="340"/>
    <s v="cogs:product 3"/>
    <n v="8.49"/>
    <n v="2"/>
    <n v="16.98"/>
    <s v="cogs"/>
    <x v="3"/>
    <x v="0"/>
    <n v="12"/>
  </r>
  <r>
    <x v="340"/>
    <s v="marketing"/>
    <s v="NA"/>
    <s v="NA"/>
    <n v="100.07000000000001"/>
    <s v="marketing"/>
    <x v="0"/>
    <x v="0"/>
    <n v="12"/>
  </r>
  <r>
    <x v="340"/>
    <s v="net sales:product 1"/>
    <n v="9.99"/>
    <n v="91"/>
    <n v="909.09"/>
    <s v="net sales"/>
    <x v="1"/>
    <x v="0"/>
    <n v="12"/>
  </r>
  <r>
    <x v="340"/>
    <s v="net sales:product 2"/>
    <n v="24.99"/>
    <n v="5"/>
    <n v="124.94999999999999"/>
    <s v="net sales"/>
    <x v="2"/>
    <x v="0"/>
    <n v="12"/>
  </r>
  <r>
    <x v="340"/>
    <s v="net sales:product 3"/>
    <n v="12.49"/>
    <n v="2"/>
    <n v="24.98"/>
    <s v="net sales"/>
    <x v="3"/>
    <x v="0"/>
    <n v="12"/>
  </r>
  <r>
    <x v="340"/>
    <s v="payroll"/>
    <s v="NA"/>
    <s v="NA"/>
    <n v="1200"/>
    <s v="payroll"/>
    <x v="0"/>
    <x v="0"/>
    <n v="12"/>
  </r>
  <r>
    <x v="341"/>
    <s v="cogs:product 1"/>
    <n v="5.99"/>
    <n v="25"/>
    <n v="149.75"/>
    <s v="cogs"/>
    <x v="1"/>
    <x v="0"/>
    <n v="12"/>
  </r>
  <r>
    <x v="341"/>
    <s v="cogs:product 2"/>
    <n v="16.989999999999998"/>
    <n v="3"/>
    <n v="50.97"/>
    <s v="cogs"/>
    <x v="2"/>
    <x v="0"/>
    <n v="12"/>
  </r>
  <r>
    <x v="341"/>
    <s v="cogs:product 3"/>
    <n v="8.49"/>
    <n v="162"/>
    <n v="1375.38"/>
    <s v="cogs"/>
    <x v="3"/>
    <x v="0"/>
    <n v="12"/>
  </r>
  <r>
    <x v="341"/>
    <s v="marketing"/>
    <s v="NA"/>
    <s v="NA"/>
    <n v="99.94"/>
    <s v="marketing"/>
    <x v="0"/>
    <x v="0"/>
    <n v="12"/>
  </r>
  <r>
    <x v="341"/>
    <s v="net sales:product 1"/>
    <n v="9.99"/>
    <n v="25"/>
    <n v="249.75"/>
    <s v="net sales"/>
    <x v="1"/>
    <x v="0"/>
    <n v="12"/>
  </r>
  <r>
    <x v="341"/>
    <s v="net sales:product 2"/>
    <n v="24.99"/>
    <n v="3"/>
    <n v="74.97"/>
    <s v="net sales"/>
    <x v="2"/>
    <x v="0"/>
    <n v="12"/>
  </r>
  <r>
    <x v="341"/>
    <s v="net sales:product 3"/>
    <n v="12.49"/>
    <n v="162"/>
    <n v="2023.38"/>
    <s v="net sales"/>
    <x v="3"/>
    <x v="0"/>
    <n v="12"/>
  </r>
  <r>
    <x v="342"/>
    <s v="cogs:product 1"/>
    <n v="5.99"/>
    <n v="41"/>
    <n v="245.59"/>
    <s v="cogs"/>
    <x v="1"/>
    <x v="0"/>
    <n v="12"/>
  </r>
  <r>
    <x v="342"/>
    <s v="cogs:product 2"/>
    <n v="16.989999999999998"/>
    <n v="8"/>
    <n v="135.91999999999999"/>
    <s v="cogs"/>
    <x v="2"/>
    <x v="0"/>
    <n v="12"/>
  </r>
  <r>
    <x v="342"/>
    <s v="cogs:product 3"/>
    <n v="8.49"/>
    <n v="195"/>
    <n v="1655.55"/>
    <s v="cogs"/>
    <x v="3"/>
    <x v="0"/>
    <n v="12"/>
  </r>
  <r>
    <x v="342"/>
    <s v="marketing"/>
    <s v="NA"/>
    <s v="NA"/>
    <n v="100.04"/>
    <s v="marketing"/>
    <x v="0"/>
    <x v="0"/>
    <n v="12"/>
  </r>
  <r>
    <x v="342"/>
    <s v="net sales:product 1"/>
    <n v="9.99"/>
    <n v="41"/>
    <n v="409.59000000000003"/>
    <s v="net sales"/>
    <x v="1"/>
    <x v="0"/>
    <n v="12"/>
  </r>
  <r>
    <x v="342"/>
    <s v="net sales:product 2"/>
    <n v="24.99"/>
    <n v="8"/>
    <n v="199.92"/>
    <s v="net sales"/>
    <x v="2"/>
    <x v="0"/>
    <n v="12"/>
  </r>
  <r>
    <x v="342"/>
    <s v="net sales:product 3"/>
    <n v="12.49"/>
    <n v="195"/>
    <n v="2435.5500000000002"/>
    <s v="net sales"/>
    <x v="3"/>
    <x v="0"/>
    <n v="12"/>
  </r>
  <r>
    <x v="343"/>
    <s v="cogs:product 1"/>
    <n v="5.99"/>
    <n v="58"/>
    <n v="347.42"/>
    <s v="cogs"/>
    <x v="1"/>
    <x v="0"/>
    <n v="12"/>
  </r>
  <r>
    <x v="343"/>
    <s v="cogs:product 2"/>
    <n v="16.989999999999998"/>
    <n v="0"/>
    <n v="0"/>
    <s v="cogs"/>
    <x v="2"/>
    <x v="0"/>
    <n v="12"/>
  </r>
  <r>
    <x v="343"/>
    <s v="cogs:product 3"/>
    <n v="8.49"/>
    <n v="201"/>
    <n v="1706.49"/>
    <s v="cogs"/>
    <x v="3"/>
    <x v="0"/>
    <n v="12"/>
  </r>
  <r>
    <x v="343"/>
    <s v="marketing"/>
    <s v="NA"/>
    <s v="NA"/>
    <n v="99.94"/>
    <s v="marketing"/>
    <x v="0"/>
    <x v="0"/>
    <n v="12"/>
  </r>
  <r>
    <x v="343"/>
    <s v="net sales:product 1"/>
    <n v="9.99"/>
    <n v="58"/>
    <n v="579.41999999999996"/>
    <s v="net sales"/>
    <x v="1"/>
    <x v="0"/>
    <n v="12"/>
  </r>
  <r>
    <x v="343"/>
    <s v="net sales:product 2"/>
    <n v="24.99"/>
    <n v="0"/>
    <n v="0"/>
    <s v="net sales"/>
    <x v="2"/>
    <x v="0"/>
    <n v="12"/>
  </r>
  <r>
    <x v="343"/>
    <s v="net sales:product 3"/>
    <n v="12.49"/>
    <n v="201"/>
    <n v="2510.4900000000002"/>
    <s v="net sales"/>
    <x v="3"/>
    <x v="0"/>
    <n v="12"/>
  </r>
  <r>
    <x v="344"/>
    <s v="cogs:product 1"/>
    <n v="5.99"/>
    <n v="28"/>
    <n v="167.72"/>
    <s v="cogs"/>
    <x v="1"/>
    <x v="0"/>
    <n v="12"/>
  </r>
  <r>
    <x v="344"/>
    <s v="cogs:product 2"/>
    <n v="16.989999999999998"/>
    <n v="5"/>
    <n v="84.949999999999989"/>
    <s v="cogs"/>
    <x v="2"/>
    <x v="0"/>
    <n v="12"/>
  </r>
  <r>
    <x v="344"/>
    <s v="cogs:product 3"/>
    <n v="8.49"/>
    <n v="0"/>
    <n v="0"/>
    <s v="cogs"/>
    <x v="3"/>
    <x v="0"/>
    <n v="12"/>
  </r>
  <r>
    <x v="344"/>
    <s v="marketing"/>
    <s v="NA"/>
    <s v="NA"/>
    <n v="100"/>
    <s v="marketing"/>
    <x v="0"/>
    <x v="0"/>
    <n v="12"/>
  </r>
  <r>
    <x v="344"/>
    <s v="net sales:product 1"/>
    <n v="9.99"/>
    <n v="28"/>
    <n v="279.72000000000003"/>
    <s v="net sales"/>
    <x v="1"/>
    <x v="0"/>
    <n v="12"/>
  </r>
  <r>
    <x v="344"/>
    <s v="net sales:product 2"/>
    <n v="24.99"/>
    <n v="5"/>
    <n v="124.94999999999999"/>
    <s v="net sales"/>
    <x v="2"/>
    <x v="0"/>
    <n v="12"/>
  </r>
  <r>
    <x v="344"/>
    <s v="net sales:product 3"/>
    <n v="12.49"/>
    <n v="0"/>
    <n v="0"/>
    <s v="net sales"/>
    <x v="3"/>
    <x v="0"/>
    <n v="12"/>
  </r>
  <r>
    <x v="345"/>
    <s v="cogs:product 1"/>
    <n v="5.99"/>
    <n v="46"/>
    <n v="275.54000000000002"/>
    <s v="cogs"/>
    <x v="1"/>
    <x v="0"/>
    <n v="12"/>
  </r>
  <r>
    <x v="345"/>
    <s v="cogs:product 2"/>
    <n v="16.989999999999998"/>
    <n v="1"/>
    <n v="16.989999999999998"/>
    <s v="cogs"/>
    <x v="2"/>
    <x v="0"/>
    <n v="12"/>
  </r>
  <r>
    <x v="345"/>
    <s v="cogs:product 3"/>
    <n v="8.49"/>
    <n v="201"/>
    <n v="1706.49"/>
    <s v="cogs"/>
    <x v="3"/>
    <x v="0"/>
    <n v="12"/>
  </r>
  <r>
    <x v="345"/>
    <s v="marketing"/>
    <s v="NA"/>
    <s v="NA"/>
    <n v="100.07000000000001"/>
    <s v="marketing"/>
    <x v="0"/>
    <x v="0"/>
    <n v="12"/>
  </r>
  <r>
    <x v="345"/>
    <s v="net sales:product 1"/>
    <n v="9.99"/>
    <n v="46"/>
    <n v="459.54"/>
    <s v="net sales"/>
    <x v="1"/>
    <x v="0"/>
    <n v="12"/>
  </r>
  <r>
    <x v="345"/>
    <s v="net sales:product 2"/>
    <n v="24.99"/>
    <n v="1"/>
    <n v="24.99"/>
    <s v="net sales"/>
    <x v="2"/>
    <x v="0"/>
    <n v="12"/>
  </r>
  <r>
    <x v="345"/>
    <s v="net sales:product 3"/>
    <n v="12.49"/>
    <n v="201"/>
    <n v="2510.4900000000002"/>
    <s v="net sales"/>
    <x v="3"/>
    <x v="0"/>
    <n v="12"/>
  </r>
  <r>
    <x v="346"/>
    <s v="cogs:product 1"/>
    <n v="5.99"/>
    <n v="13"/>
    <n v="77.87"/>
    <s v="cogs"/>
    <x v="1"/>
    <x v="0"/>
    <n v="12"/>
  </r>
  <r>
    <x v="346"/>
    <s v="cogs:product 2"/>
    <n v="16.989999999999998"/>
    <n v="5"/>
    <n v="84.949999999999989"/>
    <s v="cogs"/>
    <x v="2"/>
    <x v="0"/>
    <n v="12"/>
  </r>
  <r>
    <x v="346"/>
    <s v="cogs:product 3"/>
    <n v="8.49"/>
    <n v="65"/>
    <n v="551.85"/>
    <s v="cogs"/>
    <x v="3"/>
    <x v="0"/>
    <n v="12"/>
  </r>
  <r>
    <x v="346"/>
    <s v="marketing"/>
    <s v="NA"/>
    <s v="NA"/>
    <n v="100.07000000000001"/>
    <s v="marketing"/>
    <x v="0"/>
    <x v="0"/>
    <n v="12"/>
  </r>
  <r>
    <x v="346"/>
    <s v="net sales:product 1"/>
    <n v="9.99"/>
    <n v="13"/>
    <n v="129.87"/>
    <s v="net sales"/>
    <x v="1"/>
    <x v="0"/>
    <n v="12"/>
  </r>
  <r>
    <x v="346"/>
    <s v="net sales:product 2"/>
    <n v="24.99"/>
    <n v="5"/>
    <n v="124.94999999999999"/>
    <s v="net sales"/>
    <x v="2"/>
    <x v="0"/>
    <n v="12"/>
  </r>
  <r>
    <x v="346"/>
    <s v="net sales:product 3"/>
    <n v="12.49"/>
    <n v="65"/>
    <n v="811.85"/>
    <s v="net sales"/>
    <x v="3"/>
    <x v="0"/>
    <n v="12"/>
  </r>
  <r>
    <x v="347"/>
    <s v="cogs:product 1"/>
    <n v="5.99"/>
    <n v="7"/>
    <n v="41.93"/>
    <s v="cogs"/>
    <x v="1"/>
    <x v="0"/>
    <n v="12"/>
  </r>
  <r>
    <x v="347"/>
    <s v="cogs:product 2"/>
    <n v="16.989999999999998"/>
    <n v="4"/>
    <n v="67.959999999999994"/>
    <s v="cogs"/>
    <x v="2"/>
    <x v="0"/>
    <n v="12"/>
  </r>
  <r>
    <x v="347"/>
    <s v="cogs:product 3"/>
    <n v="8.49"/>
    <n v="236"/>
    <n v="2003.64"/>
    <s v="cogs"/>
    <x v="3"/>
    <x v="0"/>
    <n v="12"/>
  </r>
  <r>
    <x v="347"/>
    <s v="marketing"/>
    <s v="NA"/>
    <s v="NA"/>
    <n v="100.06"/>
    <s v="marketing"/>
    <x v="0"/>
    <x v="0"/>
    <n v="12"/>
  </r>
  <r>
    <x v="347"/>
    <s v="net sales:product 1"/>
    <n v="9.99"/>
    <n v="7"/>
    <n v="69.930000000000007"/>
    <s v="net sales"/>
    <x v="1"/>
    <x v="0"/>
    <n v="12"/>
  </r>
  <r>
    <x v="347"/>
    <s v="net sales:product 2"/>
    <n v="24.99"/>
    <n v="4"/>
    <n v="99.96"/>
    <s v="net sales"/>
    <x v="2"/>
    <x v="0"/>
    <n v="12"/>
  </r>
  <r>
    <x v="347"/>
    <s v="net sales:product 3"/>
    <n v="12.49"/>
    <n v="236"/>
    <n v="2947.64"/>
    <s v="net sales"/>
    <x v="3"/>
    <x v="0"/>
    <n v="12"/>
  </r>
  <r>
    <x v="348"/>
    <s v="cogs:product 1"/>
    <n v="5.99"/>
    <n v="22"/>
    <n v="131.78"/>
    <s v="cogs"/>
    <x v="1"/>
    <x v="0"/>
    <n v="12"/>
  </r>
  <r>
    <x v="348"/>
    <s v="cogs:product 2"/>
    <n v="16.989999999999998"/>
    <n v="1"/>
    <n v="16.989999999999998"/>
    <s v="cogs"/>
    <x v="2"/>
    <x v="0"/>
    <n v="12"/>
  </r>
  <r>
    <x v="348"/>
    <s v="cogs:product 3"/>
    <n v="8.49"/>
    <n v="47"/>
    <n v="399.03000000000003"/>
    <s v="cogs"/>
    <x v="3"/>
    <x v="0"/>
    <n v="12"/>
  </r>
  <r>
    <x v="348"/>
    <s v="marketing"/>
    <s v="NA"/>
    <s v="NA"/>
    <n v="100.03"/>
    <s v="marketing"/>
    <x v="0"/>
    <x v="0"/>
    <n v="12"/>
  </r>
  <r>
    <x v="348"/>
    <s v="net sales:product 1"/>
    <n v="9.99"/>
    <n v="22"/>
    <n v="219.78"/>
    <s v="net sales"/>
    <x v="1"/>
    <x v="0"/>
    <n v="12"/>
  </r>
  <r>
    <x v="348"/>
    <s v="net sales:product 2"/>
    <n v="24.99"/>
    <n v="1"/>
    <n v="24.99"/>
    <s v="net sales"/>
    <x v="2"/>
    <x v="0"/>
    <n v="12"/>
  </r>
  <r>
    <x v="348"/>
    <s v="net sales:product 3"/>
    <n v="12.49"/>
    <n v="47"/>
    <n v="587.03"/>
    <s v="net sales"/>
    <x v="3"/>
    <x v="0"/>
    <n v="12"/>
  </r>
  <r>
    <x v="349"/>
    <s v="cogs:product 1"/>
    <n v="5.99"/>
    <n v="80"/>
    <n v="479.20000000000005"/>
    <s v="cogs"/>
    <x v="1"/>
    <x v="0"/>
    <n v="12"/>
  </r>
  <r>
    <x v="349"/>
    <s v="cogs:product 2"/>
    <n v="16.989999999999998"/>
    <n v="10"/>
    <n v="169.89999999999998"/>
    <s v="cogs"/>
    <x v="2"/>
    <x v="0"/>
    <n v="12"/>
  </r>
  <r>
    <x v="349"/>
    <s v="cogs:product 3"/>
    <n v="8.49"/>
    <n v="205"/>
    <n v="1740.45"/>
    <s v="cogs"/>
    <x v="3"/>
    <x v="0"/>
    <n v="12"/>
  </r>
  <r>
    <x v="349"/>
    <s v="interest"/>
    <s v="NA"/>
    <s v="NA"/>
    <n v="1247.92"/>
    <s v="interest"/>
    <x v="0"/>
    <x v="0"/>
    <n v="12"/>
  </r>
  <r>
    <x v="349"/>
    <s v="marketing"/>
    <s v="NA"/>
    <s v="NA"/>
    <n v="99.95"/>
    <s v="marketing"/>
    <x v="0"/>
    <x v="0"/>
    <n v="12"/>
  </r>
  <r>
    <x v="349"/>
    <s v="net sales:product 1"/>
    <n v="9.99"/>
    <n v="80"/>
    <n v="799.2"/>
    <s v="net sales"/>
    <x v="1"/>
    <x v="0"/>
    <n v="12"/>
  </r>
  <r>
    <x v="349"/>
    <s v="net sales:product 2"/>
    <n v="24.99"/>
    <n v="10"/>
    <n v="249.89999999999998"/>
    <s v="net sales"/>
    <x v="2"/>
    <x v="0"/>
    <n v="12"/>
  </r>
  <r>
    <x v="349"/>
    <s v="net sales:product 3"/>
    <n v="12.49"/>
    <n v="205"/>
    <n v="2560.4499999999998"/>
    <s v="net sales"/>
    <x v="3"/>
    <x v="0"/>
    <n v="12"/>
  </r>
  <r>
    <x v="349"/>
    <s v="overhead"/>
    <s v="NA"/>
    <s v="NA"/>
    <n v="310.94"/>
    <s v="overhead"/>
    <x v="0"/>
    <x v="0"/>
    <n v="12"/>
  </r>
  <r>
    <x v="350"/>
    <s v="cogs:product 1"/>
    <n v="5.99"/>
    <n v="15"/>
    <n v="89.850000000000009"/>
    <s v="cogs"/>
    <x v="1"/>
    <x v="0"/>
    <n v="12"/>
  </r>
  <r>
    <x v="350"/>
    <s v="cogs:product 2"/>
    <n v="16.989999999999998"/>
    <n v="4"/>
    <n v="67.959999999999994"/>
    <s v="cogs"/>
    <x v="2"/>
    <x v="0"/>
    <n v="12"/>
  </r>
  <r>
    <x v="350"/>
    <s v="cogs:product 3"/>
    <n v="8.49"/>
    <n v="234"/>
    <n v="1986.66"/>
    <s v="cogs"/>
    <x v="3"/>
    <x v="0"/>
    <n v="12"/>
  </r>
  <r>
    <x v="350"/>
    <s v="marketing"/>
    <s v="NA"/>
    <s v="NA"/>
    <n v="99.960000000000008"/>
    <s v="marketing"/>
    <x v="0"/>
    <x v="0"/>
    <n v="12"/>
  </r>
  <r>
    <x v="350"/>
    <s v="net sales:product 1"/>
    <n v="9.99"/>
    <n v="15"/>
    <n v="149.85"/>
    <s v="net sales"/>
    <x v="1"/>
    <x v="0"/>
    <n v="12"/>
  </r>
  <r>
    <x v="350"/>
    <s v="net sales:product 2"/>
    <n v="24.99"/>
    <n v="4"/>
    <n v="99.96"/>
    <s v="net sales"/>
    <x v="2"/>
    <x v="0"/>
    <n v="12"/>
  </r>
  <r>
    <x v="350"/>
    <s v="net sales:product 3"/>
    <n v="12.49"/>
    <n v="234"/>
    <n v="2922.66"/>
    <s v="net sales"/>
    <x v="3"/>
    <x v="0"/>
    <n v="12"/>
  </r>
  <r>
    <x v="351"/>
    <s v="cogs:product 1"/>
    <n v="5.99"/>
    <n v="88"/>
    <n v="527.12"/>
    <s v="cogs"/>
    <x v="1"/>
    <x v="0"/>
    <n v="12"/>
  </r>
  <r>
    <x v="351"/>
    <s v="cogs:product 2"/>
    <n v="16.989999999999998"/>
    <n v="5"/>
    <n v="84.949999999999989"/>
    <s v="cogs"/>
    <x v="2"/>
    <x v="0"/>
    <n v="12"/>
  </r>
  <r>
    <x v="351"/>
    <s v="cogs:product 3"/>
    <n v="8.49"/>
    <n v="91"/>
    <n v="772.59"/>
    <s v="cogs"/>
    <x v="3"/>
    <x v="0"/>
    <n v="12"/>
  </r>
  <r>
    <x v="351"/>
    <s v="marketing"/>
    <s v="NA"/>
    <s v="NA"/>
    <n v="100.04"/>
    <s v="marketing"/>
    <x v="0"/>
    <x v="0"/>
    <n v="12"/>
  </r>
  <r>
    <x v="351"/>
    <s v="net sales:product 1"/>
    <n v="9.99"/>
    <n v="88"/>
    <n v="879.12"/>
    <s v="net sales"/>
    <x v="1"/>
    <x v="0"/>
    <n v="12"/>
  </r>
  <r>
    <x v="351"/>
    <s v="net sales:product 2"/>
    <n v="24.99"/>
    <n v="5"/>
    <n v="124.94999999999999"/>
    <s v="net sales"/>
    <x v="2"/>
    <x v="0"/>
    <n v="12"/>
  </r>
  <r>
    <x v="351"/>
    <s v="net sales:product 3"/>
    <n v="12.49"/>
    <n v="91"/>
    <n v="1136.5899999999999"/>
    <s v="net sales"/>
    <x v="3"/>
    <x v="0"/>
    <n v="12"/>
  </r>
  <r>
    <x v="352"/>
    <s v="cogs:product 1"/>
    <n v="5.99"/>
    <n v="42"/>
    <n v="251.58"/>
    <s v="cogs"/>
    <x v="1"/>
    <x v="0"/>
    <n v="12"/>
  </r>
  <r>
    <x v="352"/>
    <s v="cogs:product 2"/>
    <n v="16.989999999999998"/>
    <n v="7"/>
    <n v="118.92999999999999"/>
    <s v="cogs"/>
    <x v="2"/>
    <x v="0"/>
    <n v="12"/>
  </r>
  <r>
    <x v="352"/>
    <s v="cogs:product 3"/>
    <n v="8.49"/>
    <n v="178"/>
    <n v="1511.22"/>
    <s v="cogs"/>
    <x v="3"/>
    <x v="0"/>
    <n v="12"/>
  </r>
  <r>
    <x v="352"/>
    <s v="marketing"/>
    <s v="NA"/>
    <s v="NA"/>
    <n v="99.93"/>
    <s v="marketing"/>
    <x v="0"/>
    <x v="0"/>
    <n v="12"/>
  </r>
  <r>
    <x v="352"/>
    <s v="net sales:product 1"/>
    <n v="9.99"/>
    <n v="42"/>
    <n v="419.58"/>
    <s v="net sales"/>
    <x v="1"/>
    <x v="0"/>
    <n v="12"/>
  </r>
  <r>
    <x v="352"/>
    <s v="net sales:product 2"/>
    <n v="24.99"/>
    <n v="7"/>
    <n v="174.92999999999998"/>
    <s v="net sales"/>
    <x v="2"/>
    <x v="0"/>
    <n v="12"/>
  </r>
  <r>
    <x v="352"/>
    <s v="net sales:product 3"/>
    <n v="12.49"/>
    <n v="178"/>
    <n v="2223.2200000000003"/>
    <s v="net sales"/>
    <x v="3"/>
    <x v="0"/>
    <n v="12"/>
  </r>
  <r>
    <x v="353"/>
    <s v="cogs:product 1"/>
    <n v="5.99"/>
    <n v="7"/>
    <n v="41.93"/>
    <s v="cogs"/>
    <x v="1"/>
    <x v="0"/>
    <n v="12"/>
  </r>
  <r>
    <x v="353"/>
    <s v="cogs:product 2"/>
    <n v="16.989999999999998"/>
    <n v="6"/>
    <n v="101.94"/>
    <s v="cogs"/>
    <x v="2"/>
    <x v="0"/>
    <n v="12"/>
  </r>
  <r>
    <x v="353"/>
    <s v="cogs:product 3"/>
    <n v="8.49"/>
    <n v="52"/>
    <n v="441.48"/>
    <s v="cogs"/>
    <x v="3"/>
    <x v="0"/>
    <n v="12"/>
  </r>
  <r>
    <x v="353"/>
    <s v="marketing"/>
    <s v="NA"/>
    <s v="NA"/>
    <n v="100.08"/>
    <s v="marketing"/>
    <x v="0"/>
    <x v="0"/>
    <n v="12"/>
  </r>
  <r>
    <x v="353"/>
    <s v="net sales:product 1"/>
    <n v="9.99"/>
    <n v="7"/>
    <n v="69.930000000000007"/>
    <s v="net sales"/>
    <x v="1"/>
    <x v="0"/>
    <n v="12"/>
  </r>
  <r>
    <x v="353"/>
    <s v="net sales:product 2"/>
    <n v="24.99"/>
    <n v="6"/>
    <n v="149.94"/>
    <s v="net sales"/>
    <x v="2"/>
    <x v="0"/>
    <n v="12"/>
  </r>
  <r>
    <x v="353"/>
    <s v="net sales:product 3"/>
    <n v="12.49"/>
    <n v="52"/>
    <n v="649.48"/>
    <s v="net sales"/>
    <x v="3"/>
    <x v="0"/>
    <n v="12"/>
  </r>
  <r>
    <x v="354"/>
    <s v="cogs:product 1"/>
    <n v="5.99"/>
    <n v="35"/>
    <n v="209.65"/>
    <s v="cogs"/>
    <x v="1"/>
    <x v="0"/>
    <n v="12"/>
  </r>
  <r>
    <x v="354"/>
    <s v="cogs:product 2"/>
    <n v="16.989999999999998"/>
    <n v="3"/>
    <n v="50.97"/>
    <s v="cogs"/>
    <x v="2"/>
    <x v="0"/>
    <n v="12"/>
  </r>
  <r>
    <x v="354"/>
    <s v="cogs:product 3"/>
    <n v="8.49"/>
    <n v="60"/>
    <n v="509.40000000000003"/>
    <s v="cogs"/>
    <x v="3"/>
    <x v="0"/>
    <n v="12"/>
  </r>
  <r>
    <x v="354"/>
    <s v="marketing"/>
    <s v="NA"/>
    <s v="NA"/>
    <n v="99.960000000000008"/>
    <s v="marketing"/>
    <x v="0"/>
    <x v="0"/>
    <n v="12"/>
  </r>
  <r>
    <x v="354"/>
    <s v="net sales:product 1"/>
    <n v="9.99"/>
    <n v="35"/>
    <n v="349.65000000000003"/>
    <s v="net sales"/>
    <x v="1"/>
    <x v="0"/>
    <n v="12"/>
  </r>
  <r>
    <x v="354"/>
    <s v="net sales:product 2"/>
    <n v="24.99"/>
    <n v="3"/>
    <n v="74.97"/>
    <s v="net sales"/>
    <x v="2"/>
    <x v="0"/>
    <n v="12"/>
  </r>
  <r>
    <x v="354"/>
    <s v="net sales:product 3"/>
    <n v="12.49"/>
    <n v="60"/>
    <n v="749.4"/>
    <s v="net sales"/>
    <x v="3"/>
    <x v="0"/>
    <n v="12"/>
  </r>
  <r>
    <x v="354"/>
    <s v="payroll"/>
    <s v="NA"/>
    <s v="NA"/>
    <n v="1200"/>
    <s v="payroll"/>
    <x v="0"/>
    <x v="0"/>
    <n v="12"/>
  </r>
  <r>
    <x v="355"/>
    <s v="cogs:product 1"/>
    <n v="5.99"/>
    <n v="60"/>
    <n v="359.40000000000003"/>
    <s v="cogs"/>
    <x v="1"/>
    <x v="0"/>
    <n v="12"/>
  </r>
  <r>
    <x v="355"/>
    <s v="cogs:product 2"/>
    <n v="16.989999999999998"/>
    <n v="9"/>
    <n v="152.91"/>
    <s v="cogs"/>
    <x v="2"/>
    <x v="0"/>
    <n v="12"/>
  </r>
  <r>
    <x v="355"/>
    <s v="cogs:product 3"/>
    <n v="8.49"/>
    <n v="170"/>
    <n v="1443.3"/>
    <s v="cogs"/>
    <x v="3"/>
    <x v="0"/>
    <n v="12"/>
  </r>
  <r>
    <x v="355"/>
    <s v="marketing"/>
    <s v="NA"/>
    <s v="NA"/>
    <n v="99.95"/>
    <s v="marketing"/>
    <x v="0"/>
    <x v="0"/>
    <n v="12"/>
  </r>
  <r>
    <x v="355"/>
    <s v="net sales:product 1"/>
    <n v="9.99"/>
    <n v="60"/>
    <n v="599.4"/>
    <s v="net sales"/>
    <x v="1"/>
    <x v="0"/>
    <n v="12"/>
  </r>
  <r>
    <x v="355"/>
    <s v="net sales:product 2"/>
    <n v="24.99"/>
    <n v="9"/>
    <n v="224.91"/>
    <s v="net sales"/>
    <x v="2"/>
    <x v="0"/>
    <n v="12"/>
  </r>
  <r>
    <x v="355"/>
    <s v="net sales:product 3"/>
    <n v="12.49"/>
    <n v="170"/>
    <n v="2123.3000000000002"/>
    <s v="net sales"/>
    <x v="3"/>
    <x v="0"/>
    <n v="12"/>
  </r>
  <r>
    <x v="356"/>
    <s v="cogs:product 1"/>
    <n v="5.99"/>
    <n v="50"/>
    <n v="299.5"/>
    <s v="cogs"/>
    <x v="1"/>
    <x v="0"/>
    <n v="12"/>
  </r>
  <r>
    <x v="356"/>
    <s v="cogs:product 2"/>
    <n v="16.989999999999998"/>
    <n v="6"/>
    <n v="101.94"/>
    <s v="cogs"/>
    <x v="2"/>
    <x v="0"/>
    <n v="12"/>
  </r>
  <r>
    <x v="356"/>
    <s v="cogs:product 3"/>
    <n v="8.49"/>
    <n v="231"/>
    <n v="1961.19"/>
    <s v="cogs"/>
    <x v="3"/>
    <x v="0"/>
    <n v="12"/>
  </r>
  <r>
    <x v="356"/>
    <s v="marketing"/>
    <s v="NA"/>
    <s v="NA"/>
    <n v="99.960000000000008"/>
    <s v="marketing"/>
    <x v="0"/>
    <x v="0"/>
    <n v="12"/>
  </r>
  <r>
    <x v="356"/>
    <s v="net sales:product 1"/>
    <n v="9.99"/>
    <n v="50"/>
    <n v="499.5"/>
    <s v="net sales"/>
    <x v="1"/>
    <x v="0"/>
    <n v="12"/>
  </r>
  <r>
    <x v="356"/>
    <s v="net sales:product 2"/>
    <n v="24.99"/>
    <n v="6"/>
    <n v="149.94"/>
    <s v="net sales"/>
    <x v="2"/>
    <x v="0"/>
    <n v="12"/>
  </r>
  <r>
    <x v="356"/>
    <s v="net sales:product 3"/>
    <n v="12.49"/>
    <n v="231"/>
    <n v="2885.19"/>
    <s v="net sales"/>
    <x v="3"/>
    <x v="0"/>
    <n v="12"/>
  </r>
  <r>
    <x v="357"/>
    <s v="cogs:product 1"/>
    <n v="5.99"/>
    <n v="62"/>
    <n v="371.38"/>
    <s v="cogs"/>
    <x v="1"/>
    <x v="0"/>
    <n v="12"/>
  </r>
  <r>
    <x v="357"/>
    <s v="cogs:product 2"/>
    <n v="16.989999999999998"/>
    <n v="10"/>
    <n v="169.89999999999998"/>
    <s v="cogs"/>
    <x v="2"/>
    <x v="0"/>
    <n v="12"/>
  </r>
  <r>
    <x v="357"/>
    <s v="cogs:product 3"/>
    <n v="8.49"/>
    <n v="24"/>
    <n v="203.76"/>
    <s v="cogs"/>
    <x v="3"/>
    <x v="0"/>
    <n v="12"/>
  </r>
  <r>
    <x v="357"/>
    <s v="marketing"/>
    <s v="NA"/>
    <s v="NA"/>
    <n v="99.93"/>
    <s v="marketing"/>
    <x v="0"/>
    <x v="0"/>
    <n v="12"/>
  </r>
  <r>
    <x v="357"/>
    <s v="net sales:product 1"/>
    <n v="9.99"/>
    <n v="62"/>
    <n v="619.38"/>
    <s v="net sales"/>
    <x v="1"/>
    <x v="0"/>
    <n v="12"/>
  </r>
  <r>
    <x v="357"/>
    <s v="net sales:product 2"/>
    <n v="24.99"/>
    <n v="10"/>
    <n v="249.89999999999998"/>
    <s v="net sales"/>
    <x v="2"/>
    <x v="0"/>
    <n v="12"/>
  </r>
  <r>
    <x v="357"/>
    <s v="net sales:product 3"/>
    <n v="12.49"/>
    <n v="24"/>
    <n v="299.76"/>
    <s v="net sales"/>
    <x v="3"/>
    <x v="0"/>
    <n v="12"/>
  </r>
  <r>
    <x v="358"/>
    <s v="cogs:product 1"/>
    <n v="5.99"/>
    <n v="69"/>
    <n v="413.31"/>
    <s v="cogs"/>
    <x v="1"/>
    <x v="0"/>
    <n v="12"/>
  </r>
  <r>
    <x v="358"/>
    <s v="cogs:product 2"/>
    <n v="16.989999999999998"/>
    <n v="5"/>
    <n v="84.949999999999989"/>
    <s v="cogs"/>
    <x v="2"/>
    <x v="0"/>
    <n v="12"/>
  </r>
  <r>
    <x v="358"/>
    <s v="cogs:product 3"/>
    <n v="8.49"/>
    <n v="68"/>
    <n v="577.32000000000005"/>
    <s v="cogs"/>
    <x v="3"/>
    <x v="0"/>
    <n v="12"/>
  </r>
  <r>
    <x v="358"/>
    <s v="marketing"/>
    <s v="NA"/>
    <s v="NA"/>
    <n v="99.97"/>
    <s v="marketing"/>
    <x v="0"/>
    <x v="0"/>
    <n v="12"/>
  </r>
  <r>
    <x v="358"/>
    <s v="net sales:product 1"/>
    <n v="9.99"/>
    <n v="69"/>
    <n v="689.31000000000006"/>
    <s v="net sales"/>
    <x v="1"/>
    <x v="0"/>
    <n v="12"/>
  </r>
  <r>
    <x v="358"/>
    <s v="net sales:product 2"/>
    <n v="24.99"/>
    <n v="5"/>
    <n v="124.94999999999999"/>
    <s v="net sales"/>
    <x v="2"/>
    <x v="0"/>
    <n v="12"/>
  </r>
  <r>
    <x v="358"/>
    <s v="net sales:product 3"/>
    <n v="12.49"/>
    <n v="68"/>
    <n v="849.32"/>
    <s v="net sales"/>
    <x v="3"/>
    <x v="0"/>
    <n v="12"/>
  </r>
  <r>
    <x v="359"/>
    <s v="cogs:product 1"/>
    <n v="5.99"/>
    <n v="31"/>
    <n v="185.69"/>
    <s v="cogs"/>
    <x v="1"/>
    <x v="0"/>
    <n v="12"/>
  </r>
  <r>
    <x v="359"/>
    <s v="cogs:product 2"/>
    <n v="16.989999999999998"/>
    <n v="3"/>
    <n v="50.97"/>
    <s v="cogs"/>
    <x v="2"/>
    <x v="0"/>
    <n v="12"/>
  </r>
  <r>
    <x v="359"/>
    <s v="cogs:product 3"/>
    <n v="8.49"/>
    <n v="144"/>
    <n v="1222.56"/>
    <s v="cogs"/>
    <x v="3"/>
    <x v="0"/>
    <n v="12"/>
  </r>
  <r>
    <x v="359"/>
    <s v="marketing"/>
    <s v="NA"/>
    <s v="NA"/>
    <n v="100.09"/>
    <s v="marketing"/>
    <x v="0"/>
    <x v="0"/>
    <n v="12"/>
  </r>
  <r>
    <x v="359"/>
    <s v="net sales:product 1"/>
    <n v="9.99"/>
    <n v="31"/>
    <n v="309.69"/>
    <s v="net sales"/>
    <x v="1"/>
    <x v="0"/>
    <n v="12"/>
  </r>
  <r>
    <x v="359"/>
    <s v="net sales:product 2"/>
    <n v="24.99"/>
    <n v="3"/>
    <n v="74.97"/>
    <s v="net sales"/>
    <x v="2"/>
    <x v="0"/>
    <n v="12"/>
  </r>
  <r>
    <x v="359"/>
    <s v="net sales:product 3"/>
    <n v="12.49"/>
    <n v="144"/>
    <n v="1798.56"/>
    <s v="net sales"/>
    <x v="3"/>
    <x v="0"/>
    <n v="12"/>
  </r>
  <r>
    <x v="360"/>
    <s v="cogs:product 1"/>
    <n v="5.99"/>
    <n v="94"/>
    <n v="563.06000000000006"/>
    <s v="cogs"/>
    <x v="1"/>
    <x v="0"/>
    <n v="12"/>
  </r>
  <r>
    <x v="360"/>
    <s v="cogs:product 2"/>
    <n v="16.989999999999998"/>
    <n v="8"/>
    <n v="135.91999999999999"/>
    <s v="cogs"/>
    <x v="2"/>
    <x v="0"/>
    <n v="12"/>
  </r>
  <r>
    <x v="360"/>
    <s v="cogs:product 3"/>
    <n v="8.49"/>
    <n v="95"/>
    <n v="806.55000000000007"/>
    <s v="cogs"/>
    <x v="3"/>
    <x v="0"/>
    <n v="12"/>
  </r>
  <r>
    <x v="360"/>
    <s v="marketing"/>
    <s v="NA"/>
    <s v="NA"/>
    <n v="100.03"/>
    <s v="marketing"/>
    <x v="0"/>
    <x v="0"/>
    <n v="12"/>
  </r>
  <r>
    <x v="360"/>
    <s v="net sales:product 1"/>
    <n v="9.99"/>
    <n v="94"/>
    <n v="939.06000000000006"/>
    <s v="net sales"/>
    <x v="1"/>
    <x v="0"/>
    <n v="12"/>
  </r>
  <r>
    <x v="360"/>
    <s v="net sales:product 2"/>
    <n v="24.99"/>
    <n v="8"/>
    <n v="199.92"/>
    <s v="net sales"/>
    <x v="2"/>
    <x v="0"/>
    <n v="12"/>
  </r>
  <r>
    <x v="360"/>
    <s v="net sales:product 3"/>
    <n v="12.49"/>
    <n v="95"/>
    <n v="1186.55"/>
    <s v="net sales"/>
    <x v="3"/>
    <x v="0"/>
    <n v="12"/>
  </r>
  <r>
    <x v="361"/>
    <s v="cogs:product 1"/>
    <n v="5.99"/>
    <n v="29"/>
    <n v="173.71"/>
    <s v="cogs"/>
    <x v="1"/>
    <x v="0"/>
    <n v="12"/>
  </r>
  <r>
    <x v="361"/>
    <s v="cogs:product 2"/>
    <n v="16.989999999999998"/>
    <n v="2"/>
    <n v="33.979999999999997"/>
    <s v="cogs"/>
    <x v="2"/>
    <x v="0"/>
    <n v="12"/>
  </r>
  <r>
    <x v="361"/>
    <s v="cogs:product 3"/>
    <n v="8.49"/>
    <n v="231"/>
    <n v="1961.19"/>
    <s v="cogs"/>
    <x v="3"/>
    <x v="0"/>
    <n v="12"/>
  </r>
  <r>
    <x v="361"/>
    <s v="marketing"/>
    <s v="NA"/>
    <s v="NA"/>
    <n v="99.95"/>
    <s v="marketing"/>
    <x v="0"/>
    <x v="0"/>
    <n v="12"/>
  </r>
  <r>
    <x v="361"/>
    <s v="net sales:product 1"/>
    <n v="9.99"/>
    <n v="29"/>
    <n v="289.70999999999998"/>
    <s v="net sales"/>
    <x v="1"/>
    <x v="0"/>
    <n v="12"/>
  </r>
  <r>
    <x v="361"/>
    <s v="net sales:product 2"/>
    <n v="24.99"/>
    <n v="2"/>
    <n v="49.98"/>
    <s v="net sales"/>
    <x v="2"/>
    <x v="0"/>
    <n v="12"/>
  </r>
  <r>
    <x v="361"/>
    <s v="net sales:product 3"/>
    <n v="12.49"/>
    <n v="231"/>
    <n v="2885.19"/>
    <s v="net sales"/>
    <x v="3"/>
    <x v="0"/>
    <n v="12"/>
  </r>
  <r>
    <x v="362"/>
    <s v="cogs:product 1"/>
    <n v="5.99"/>
    <n v="55"/>
    <n v="329.45"/>
    <s v="cogs"/>
    <x v="1"/>
    <x v="0"/>
    <n v="12"/>
  </r>
  <r>
    <x v="362"/>
    <s v="cogs:product 2"/>
    <n v="16.989999999999998"/>
    <n v="9"/>
    <n v="152.91"/>
    <s v="cogs"/>
    <x v="2"/>
    <x v="0"/>
    <n v="12"/>
  </r>
  <r>
    <x v="362"/>
    <s v="cogs:product 3"/>
    <n v="8.49"/>
    <n v="176"/>
    <n v="1494.24"/>
    <s v="cogs"/>
    <x v="3"/>
    <x v="0"/>
    <n v="12"/>
  </r>
  <r>
    <x v="362"/>
    <s v="marketing"/>
    <s v="NA"/>
    <s v="NA"/>
    <n v="100.06"/>
    <s v="marketing"/>
    <x v="0"/>
    <x v="0"/>
    <n v="12"/>
  </r>
  <r>
    <x v="362"/>
    <s v="net sales:product 1"/>
    <n v="9.99"/>
    <n v="55"/>
    <n v="549.45000000000005"/>
    <s v="net sales"/>
    <x v="1"/>
    <x v="0"/>
    <n v="12"/>
  </r>
  <r>
    <x v="362"/>
    <s v="net sales:product 2"/>
    <n v="24.99"/>
    <n v="9"/>
    <n v="224.91"/>
    <s v="net sales"/>
    <x v="2"/>
    <x v="0"/>
    <n v="12"/>
  </r>
  <r>
    <x v="362"/>
    <s v="net sales:product 3"/>
    <n v="12.49"/>
    <n v="176"/>
    <n v="2198.2400000000002"/>
    <s v="net sales"/>
    <x v="3"/>
    <x v="0"/>
    <n v="12"/>
  </r>
  <r>
    <x v="363"/>
    <s v="cogs:product 1"/>
    <n v="5.99"/>
    <n v="10"/>
    <n v="59.900000000000006"/>
    <s v="cogs"/>
    <x v="1"/>
    <x v="0"/>
    <n v="12"/>
  </r>
  <r>
    <x v="363"/>
    <s v="cogs:product 2"/>
    <n v="16.989999999999998"/>
    <n v="4"/>
    <n v="67.959999999999994"/>
    <s v="cogs"/>
    <x v="2"/>
    <x v="0"/>
    <n v="12"/>
  </r>
  <r>
    <x v="363"/>
    <s v="cogs:product 3"/>
    <n v="8.49"/>
    <n v="151"/>
    <n v="1281.99"/>
    <s v="cogs"/>
    <x v="3"/>
    <x v="0"/>
    <n v="12"/>
  </r>
  <r>
    <x v="363"/>
    <s v="marketing"/>
    <s v="NA"/>
    <s v="NA"/>
    <n v="99.94"/>
    <s v="marketing"/>
    <x v="0"/>
    <x v="0"/>
    <n v="12"/>
  </r>
  <r>
    <x v="363"/>
    <s v="net sales:product 1"/>
    <n v="9.99"/>
    <n v="10"/>
    <n v="99.9"/>
    <s v="net sales"/>
    <x v="1"/>
    <x v="0"/>
    <n v="12"/>
  </r>
  <r>
    <x v="363"/>
    <s v="net sales:product 2"/>
    <n v="24.99"/>
    <n v="4"/>
    <n v="99.96"/>
    <s v="net sales"/>
    <x v="2"/>
    <x v="0"/>
    <n v="12"/>
  </r>
  <r>
    <x v="363"/>
    <s v="net sales:product 3"/>
    <n v="12.49"/>
    <n v="151"/>
    <n v="1885.99"/>
    <s v="net sales"/>
    <x v="3"/>
    <x v="0"/>
    <n v="12"/>
  </r>
  <r>
    <x v="364"/>
    <s v="cogs:product 1"/>
    <n v="5.99"/>
    <n v="93"/>
    <n v="557.07000000000005"/>
    <s v="cogs"/>
    <x v="1"/>
    <x v="0"/>
    <n v="12"/>
  </r>
  <r>
    <x v="364"/>
    <s v="cogs:product 2"/>
    <n v="16.989999999999998"/>
    <n v="10"/>
    <n v="169.89999999999998"/>
    <s v="cogs"/>
    <x v="2"/>
    <x v="0"/>
    <n v="12"/>
  </r>
  <r>
    <x v="364"/>
    <s v="cogs:product 3"/>
    <n v="8.49"/>
    <n v="63"/>
    <n v="534.87"/>
    <s v="cogs"/>
    <x v="3"/>
    <x v="0"/>
    <n v="12"/>
  </r>
  <r>
    <x v="364"/>
    <s v="marketing"/>
    <s v="NA"/>
    <s v="NA"/>
    <n v="100.09"/>
    <s v="marketing"/>
    <x v="0"/>
    <x v="0"/>
    <n v="12"/>
  </r>
  <r>
    <x v="364"/>
    <s v="net sales:product 1"/>
    <n v="9.99"/>
    <n v="93"/>
    <n v="929.07"/>
    <s v="net sales"/>
    <x v="1"/>
    <x v="0"/>
    <n v="12"/>
  </r>
  <r>
    <x v="364"/>
    <s v="net sales:product 2"/>
    <n v="24.99"/>
    <n v="10"/>
    <n v="249.89999999999998"/>
    <s v="net sales"/>
    <x v="2"/>
    <x v="0"/>
    <n v="12"/>
  </r>
  <r>
    <x v="364"/>
    <s v="net sales:product 3"/>
    <n v="12.49"/>
    <n v="63"/>
    <n v="786.87"/>
    <s v="net sales"/>
    <x v="3"/>
    <x v="0"/>
    <n v="12"/>
  </r>
  <r>
    <x v="365"/>
    <s v="cogs:product 1"/>
    <n v="5.99"/>
    <n v="81"/>
    <n v="485.19"/>
    <s v="cogs"/>
    <x v="1"/>
    <x v="0"/>
    <n v="12"/>
  </r>
  <r>
    <x v="365"/>
    <s v="cogs:product 2"/>
    <n v="16.989999999999998"/>
    <n v="2"/>
    <n v="33.979999999999997"/>
    <s v="cogs"/>
    <x v="2"/>
    <x v="0"/>
    <n v="12"/>
  </r>
  <r>
    <x v="365"/>
    <s v="cogs:product 3"/>
    <n v="8.49"/>
    <n v="16"/>
    <n v="135.84"/>
    <s v="cogs"/>
    <x v="3"/>
    <x v="0"/>
    <n v="12"/>
  </r>
  <r>
    <x v="365"/>
    <s v="marketing"/>
    <s v="NA"/>
    <s v="NA"/>
    <n v="99.91"/>
    <s v="marketing"/>
    <x v="0"/>
    <x v="0"/>
    <n v="12"/>
  </r>
  <r>
    <x v="365"/>
    <s v="net sales:product 1"/>
    <n v="9.99"/>
    <n v="81"/>
    <n v="809.19"/>
    <s v="net sales"/>
    <x v="1"/>
    <x v="0"/>
    <n v="12"/>
  </r>
  <r>
    <x v="365"/>
    <s v="net sales:product 2"/>
    <n v="24.99"/>
    <n v="2"/>
    <n v="49.98"/>
    <s v="net sales"/>
    <x v="2"/>
    <x v="0"/>
    <n v="12"/>
  </r>
  <r>
    <x v="365"/>
    <s v="net sales:product 3"/>
    <n v="12.49"/>
    <n v="16"/>
    <n v="199.84"/>
    <s v="net sales"/>
    <x v="3"/>
    <x v="0"/>
    <n v="12"/>
  </r>
  <r>
    <x v="366"/>
    <s v="amortization"/>
    <s v="NA"/>
    <s v="NA"/>
    <n v="50"/>
    <s v="amortization"/>
    <x v="0"/>
    <x v="1"/>
    <n v="1"/>
  </r>
  <r>
    <x v="366"/>
    <s v="cogs:product 1"/>
    <n v="5.49"/>
    <n v="58"/>
    <n v="318.42"/>
    <s v="cogs"/>
    <x v="1"/>
    <x v="1"/>
    <n v="1"/>
  </r>
  <r>
    <x v="366"/>
    <s v="cogs:product 2"/>
    <n v="19.989999999999998"/>
    <n v="7"/>
    <n v="139.92999999999998"/>
    <s v="cogs"/>
    <x v="2"/>
    <x v="1"/>
    <n v="1"/>
  </r>
  <r>
    <x v="366"/>
    <s v="cogs:product 3"/>
    <n v="8.99"/>
    <n v="90"/>
    <n v="809.1"/>
    <s v="cogs"/>
    <x v="3"/>
    <x v="1"/>
    <n v="1"/>
  </r>
  <r>
    <x v="366"/>
    <s v="marketing"/>
    <s v="NA"/>
    <s v="NA"/>
    <n v="118.02"/>
    <s v="marketing"/>
    <x v="0"/>
    <x v="1"/>
    <n v="1"/>
  </r>
  <r>
    <x v="366"/>
    <s v="net sales:product 1"/>
    <n v="9.99"/>
    <n v="58"/>
    <n v="579.41999999999996"/>
    <s v="net sales"/>
    <x v="1"/>
    <x v="1"/>
    <n v="1"/>
  </r>
  <r>
    <x v="366"/>
    <s v="net sales:product 2"/>
    <n v="24.99"/>
    <n v="7"/>
    <n v="174.92999999999998"/>
    <s v="net sales"/>
    <x v="2"/>
    <x v="1"/>
    <n v="1"/>
  </r>
  <r>
    <x v="366"/>
    <s v="net sales:product 3"/>
    <n v="12.49"/>
    <n v="90"/>
    <n v="1124.0999999999999"/>
    <s v="net sales"/>
    <x v="3"/>
    <x v="1"/>
    <n v="1"/>
  </r>
  <r>
    <x v="366"/>
    <s v="overhead"/>
    <s v="NA"/>
    <s v="NA"/>
    <n v="2000"/>
    <s v="overhead"/>
    <x v="0"/>
    <x v="1"/>
    <n v="1"/>
  </r>
  <r>
    <x v="367"/>
    <s v="cogs:product 1"/>
    <n v="5.49"/>
    <n v="60"/>
    <n v="329.40000000000003"/>
    <s v="cogs"/>
    <x v="1"/>
    <x v="1"/>
    <n v="1"/>
  </r>
  <r>
    <x v="367"/>
    <s v="cogs:product 2"/>
    <n v="19.989999999999998"/>
    <n v="3"/>
    <n v="59.97"/>
    <s v="cogs"/>
    <x v="2"/>
    <x v="1"/>
    <n v="1"/>
  </r>
  <r>
    <x v="367"/>
    <s v="cogs:product 3"/>
    <n v="8.99"/>
    <n v="171"/>
    <n v="1537.29"/>
    <s v="cogs"/>
    <x v="3"/>
    <x v="1"/>
    <n v="1"/>
  </r>
  <r>
    <x v="367"/>
    <s v="marketing"/>
    <s v="NA"/>
    <s v="NA"/>
    <n v="119.10000000000001"/>
    <s v="marketing"/>
    <x v="0"/>
    <x v="1"/>
    <n v="1"/>
  </r>
  <r>
    <x v="367"/>
    <s v="net sales:product 1"/>
    <n v="9.99"/>
    <n v="60"/>
    <n v="599.4"/>
    <s v="net sales"/>
    <x v="1"/>
    <x v="1"/>
    <n v="1"/>
  </r>
  <r>
    <x v="367"/>
    <s v="net sales:product 2"/>
    <n v="24.99"/>
    <n v="3"/>
    <n v="74.97"/>
    <s v="net sales"/>
    <x v="2"/>
    <x v="1"/>
    <n v="1"/>
  </r>
  <r>
    <x v="367"/>
    <s v="net sales:product 3"/>
    <n v="12.49"/>
    <n v="171"/>
    <n v="2135.79"/>
    <s v="net sales"/>
    <x v="3"/>
    <x v="1"/>
    <n v="1"/>
  </r>
  <r>
    <x v="368"/>
    <s v="cogs:product 1"/>
    <n v="5.49"/>
    <n v="26"/>
    <n v="142.74"/>
    <s v="cogs"/>
    <x v="1"/>
    <x v="1"/>
    <n v="1"/>
  </r>
  <r>
    <x v="368"/>
    <s v="cogs:product 2"/>
    <n v="19.989999999999998"/>
    <n v="4"/>
    <n v="79.959999999999994"/>
    <s v="cogs"/>
    <x v="2"/>
    <x v="1"/>
    <n v="1"/>
  </r>
  <r>
    <x v="368"/>
    <s v="cogs:product 3"/>
    <n v="8.99"/>
    <n v="164"/>
    <n v="1474.3600000000001"/>
    <s v="cogs"/>
    <x v="3"/>
    <x v="1"/>
    <n v="1"/>
  </r>
  <r>
    <x v="368"/>
    <s v="marketing"/>
    <s v="NA"/>
    <s v="NA"/>
    <n v="118.93"/>
    <s v="marketing"/>
    <x v="0"/>
    <x v="1"/>
    <n v="1"/>
  </r>
  <r>
    <x v="368"/>
    <s v="net sales:product 1"/>
    <n v="9.99"/>
    <n v="26"/>
    <n v="259.74"/>
    <s v="net sales"/>
    <x v="1"/>
    <x v="1"/>
    <n v="1"/>
  </r>
  <r>
    <x v="368"/>
    <s v="net sales:product 2"/>
    <n v="24.99"/>
    <n v="4"/>
    <n v="99.96"/>
    <s v="net sales"/>
    <x v="2"/>
    <x v="1"/>
    <n v="1"/>
  </r>
  <r>
    <x v="368"/>
    <s v="net sales:product 3"/>
    <n v="12.49"/>
    <n v="164"/>
    <n v="2048.36"/>
    <s v="net sales"/>
    <x v="3"/>
    <x v="1"/>
    <n v="1"/>
  </r>
  <r>
    <x v="368"/>
    <s v="payroll"/>
    <s v="NA"/>
    <s v="NA"/>
    <n v="1200"/>
    <s v="payroll"/>
    <x v="0"/>
    <x v="1"/>
    <n v="1"/>
  </r>
  <r>
    <x v="369"/>
    <s v="cogs:product 1"/>
    <n v="5.49"/>
    <n v="4"/>
    <n v="21.96"/>
    <s v="cogs"/>
    <x v="1"/>
    <x v="1"/>
    <n v="1"/>
  </r>
  <r>
    <x v="369"/>
    <s v="cogs:product 2"/>
    <n v="19.989999999999998"/>
    <n v="5"/>
    <n v="99.949999999999989"/>
    <s v="cogs"/>
    <x v="2"/>
    <x v="1"/>
    <n v="1"/>
  </r>
  <r>
    <x v="369"/>
    <s v="cogs:product 3"/>
    <n v="8.99"/>
    <n v="56"/>
    <n v="503.44"/>
    <s v="cogs"/>
    <x v="3"/>
    <x v="1"/>
    <n v="1"/>
  </r>
  <r>
    <x v="369"/>
    <s v="marketing"/>
    <s v="NA"/>
    <s v="NA"/>
    <n v="109"/>
    <s v="marketing"/>
    <x v="0"/>
    <x v="1"/>
    <n v="1"/>
  </r>
  <r>
    <x v="369"/>
    <s v="net sales:product 1"/>
    <n v="9.99"/>
    <n v="4"/>
    <n v="39.96"/>
    <s v="net sales"/>
    <x v="1"/>
    <x v="1"/>
    <n v="1"/>
  </r>
  <r>
    <x v="369"/>
    <s v="net sales:product 2"/>
    <n v="24.99"/>
    <n v="5"/>
    <n v="124.94999999999999"/>
    <s v="net sales"/>
    <x v="2"/>
    <x v="1"/>
    <n v="1"/>
  </r>
  <r>
    <x v="369"/>
    <s v="net sales:product 3"/>
    <n v="12.49"/>
    <n v="56"/>
    <n v="699.44"/>
    <s v="net sales"/>
    <x v="3"/>
    <x v="1"/>
    <n v="1"/>
  </r>
  <r>
    <x v="370"/>
    <s v="cogs:product 1"/>
    <n v="5.49"/>
    <n v="95"/>
    <n v="521.55000000000007"/>
    <s v="cogs"/>
    <x v="1"/>
    <x v="1"/>
    <n v="1"/>
  </r>
  <r>
    <x v="370"/>
    <s v="cogs:product 2"/>
    <n v="19.989999999999998"/>
    <n v="5"/>
    <n v="99.949999999999989"/>
    <s v="cogs"/>
    <x v="2"/>
    <x v="1"/>
    <n v="1"/>
  </r>
  <r>
    <x v="370"/>
    <s v="cogs:product 3"/>
    <n v="8.99"/>
    <n v="164"/>
    <n v="1474.3600000000001"/>
    <s v="cogs"/>
    <x v="3"/>
    <x v="1"/>
    <n v="1"/>
  </r>
  <r>
    <x v="370"/>
    <s v="marketing"/>
    <s v="NA"/>
    <s v="NA"/>
    <n v="117.98"/>
    <s v="marketing"/>
    <x v="0"/>
    <x v="1"/>
    <n v="1"/>
  </r>
  <r>
    <x v="370"/>
    <s v="net sales:product 1"/>
    <n v="9.99"/>
    <n v="95"/>
    <n v="949.05000000000007"/>
    <s v="net sales"/>
    <x v="1"/>
    <x v="1"/>
    <n v="1"/>
  </r>
  <r>
    <x v="370"/>
    <s v="net sales:product 2"/>
    <n v="24.99"/>
    <n v="5"/>
    <n v="124.94999999999999"/>
    <s v="net sales"/>
    <x v="2"/>
    <x v="1"/>
    <n v="1"/>
  </r>
  <r>
    <x v="370"/>
    <s v="net sales:product 3"/>
    <n v="12.49"/>
    <n v="164"/>
    <n v="2048.36"/>
    <s v="net sales"/>
    <x v="3"/>
    <x v="1"/>
    <n v="1"/>
  </r>
  <r>
    <x v="371"/>
    <s v="cogs:product 1"/>
    <n v="5.49"/>
    <n v="72"/>
    <n v="395.28000000000003"/>
    <s v="cogs"/>
    <x v="1"/>
    <x v="1"/>
    <n v="1"/>
  </r>
  <r>
    <x v="371"/>
    <s v="cogs:product 2"/>
    <n v="19.989999999999998"/>
    <n v="6"/>
    <n v="119.94"/>
    <s v="cogs"/>
    <x v="2"/>
    <x v="1"/>
    <n v="1"/>
  </r>
  <r>
    <x v="371"/>
    <s v="cogs:product 3"/>
    <n v="8.99"/>
    <n v="210"/>
    <n v="1887.9"/>
    <s v="cogs"/>
    <x v="3"/>
    <x v="1"/>
    <n v="1"/>
  </r>
  <r>
    <x v="371"/>
    <s v="marketing"/>
    <s v="NA"/>
    <s v="NA"/>
    <n v="119.95"/>
    <s v="marketing"/>
    <x v="0"/>
    <x v="1"/>
    <n v="1"/>
  </r>
  <r>
    <x v="371"/>
    <s v="net sales:product 1"/>
    <n v="9.99"/>
    <n v="72"/>
    <n v="719.28"/>
    <s v="net sales"/>
    <x v="1"/>
    <x v="1"/>
    <n v="1"/>
  </r>
  <r>
    <x v="371"/>
    <s v="net sales:product 2"/>
    <n v="24.99"/>
    <n v="6"/>
    <n v="149.94"/>
    <s v="net sales"/>
    <x v="2"/>
    <x v="1"/>
    <n v="1"/>
  </r>
  <r>
    <x v="371"/>
    <s v="net sales:product 3"/>
    <n v="12.49"/>
    <n v="210"/>
    <n v="2622.9"/>
    <s v="net sales"/>
    <x v="3"/>
    <x v="1"/>
    <n v="1"/>
  </r>
  <r>
    <x v="372"/>
    <s v="cogs:product 1"/>
    <n v="5.49"/>
    <n v="93"/>
    <n v="510.57"/>
    <s v="cogs"/>
    <x v="1"/>
    <x v="1"/>
    <n v="1"/>
  </r>
  <r>
    <x v="372"/>
    <s v="cogs:product 2"/>
    <n v="19.989999999999998"/>
    <n v="7"/>
    <n v="139.92999999999998"/>
    <s v="cogs"/>
    <x v="2"/>
    <x v="1"/>
    <n v="1"/>
  </r>
  <r>
    <x v="372"/>
    <s v="cogs:product 3"/>
    <n v="8.99"/>
    <n v="99"/>
    <n v="890.01"/>
    <s v="cogs"/>
    <x v="3"/>
    <x v="1"/>
    <n v="1"/>
  </r>
  <r>
    <x v="372"/>
    <s v="marketing"/>
    <s v="NA"/>
    <s v="NA"/>
    <n v="103.96000000000001"/>
    <s v="marketing"/>
    <x v="0"/>
    <x v="1"/>
    <n v="1"/>
  </r>
  <r>
    <x v="372"/>
    <s v="net sales:product 1"/>
    <n v="9.99"/>
    <n v="93"/>
    <n v="929.07"/>
    <s v="net sales"/>
    <x v="1"/>
    <x v="1"/>
    <n v="1"/>
  </r>
  <r>
    <x v="372"/>
    <s v="net sales:product 2"/>
    <n v="24.99"/>
    <n v="7"/>
    <n v="174.92999999999998"/>
    <s v="net sales"/>
    <x v="2"/>
    <x v="1"/>
    <n v="1"/>
  </r>
  <r>
    <x v="372"/>
    <s v="net sales:product 3"/>
    <n v="12.49"/>
    <n v="99"/>
    <n v="1236.51"/>
    <s v="net sales"/>
    <x v="3"/>
    <x v="1"/>
    <n v="1"/>
  </r>
  <r>
    <x v="373"/>
    <s v="cogs:product 1"/>
    <n v="5.49"/>
    <n v="52"/>
    <n v="285.48"/>
    <s v="cogs"/>
    <x v="1"/>
    <x v="1"/>
    <n v="1"/>
  </r>
  <r>
    <x v="373"/>
    <s v="cogs:product 2"/>
    <n v="19.989999999999998"/>
    <n v="8"/>
    <n v="159.91999999999999"/>
    <s v="cogs"/>
    <x v="2"/>
    <x v="1"/>
    <n v="1"/>
  </r>
  <r>
    <x v="373"/>
    <s v="cogs:product 3"/>
    <n v="8.99"/>
    <n v="79"/>
    <n v="710.21"/>
    <s v="cogs"/>
    <x v="3"/>
    <x v="1"/>
    <n v="1"/>
  </r>
  <r>
    <x v="373"/>
    <s v="marketing"/>
    <s v="NA"/>
    <s v="NA"/>
    <n v="120.08"/>
    <s v="marketing"/>
    <x v="0"/>
    <x v="1"/>
    <n v="1"/>
  </r>
  <r>
    <x v="373"/>
    <s v="net sales:product 1"/>
    <n v="9.99"/>
    <n v="52"/>
    <n v="519.48"/>
    <s v="net sales"/>
    <x v="1"/>
    <x v="1"/>
    <n v="1"/>
  </r>
  <r>
    <x v="373"/>
    <s v="net sales:product 2"/>
    <n v="24.99"/>
    <n v="8"/>
    <n v="199.92"/>
    <s v="net sales"/>
    <x v="2"/>
    <x v="1"/>
    <n v="1"/>
  </r>
  <r>
    <x v="373"/>
    <s v="net sales:product 3"/>
    <n v="12.49"/>
    <n v="79"/>
    <n v="986.71"/>
    <s v="net sales"/>
    <x v="3"/>
    <x v="1"/>
    <n v="1"/>
  </r>
  <r>
    <x v="374"/>
    <s v="cogs:product 1"/>
    <n v="5.49"/>
    <n v="54"/>
    <n v="296.46000000000004"/>
    <s v="cogs"/>
    <x v="1"/>
    <x v="1"/>
    <n v="1"/>
  </r>
  <r>
    <x v="374"/>
    <s v="cogs:product 2"/>
    <n v="19.989999999999998"/>
    <n v="8"/>
    <n v="159.91999999999999"/>
    <s v="cogs"/>
    <x v="2"/>
    <x v="1"/>
    <n v="1"/>
  </r>
  <r>
    <x v="374"/>
    <s v="cogs:product 3"/>
    <n v="8.99"/>
    <n v="42"/>
    <n v="377.58"/>
    <s v="cogs"/>
    <x v="3"/>
    <x v="1"/>
    <n v="1"/>
  </r>
  <r>
    <x v="374"/>
    <s v="marketing"/>
    <s v="NA"/>
    <s v="NA"/>
    <n v="102.08"/>
    <s v="marketing"/>
    <x v="0"/>
    <x v="1"/>
    <n v="1"/>
  </r>
  <r>
    <x v="374"/>
    <s v="net sales:product 1"/>
    <n v="9.99"/>
    <n v="54"/>
    <n v="539.46"/>
    <s v="net sales"/>
    <x v="1"/>
    <x v="1"/>
    <n v="1"/>
  </r>
  <r>
    <x v="374"/>
    <s v="net sales:product 2"/>
    <n v="24.99"/>
    <n v="8"/>
    <n v="199.92"/>
    <s v="net sales"/>
    <x v="2"/>
    <x v="1"/>
    <n v="1"/>
  </r>
  <r>
    <x v="374"/>
    <s v="net sales:product 3"/>
    <n v="12.49"/>
    <n v="42"/>
    <n v="524.58000000000004"/>
    <s v="net sales"/>
    <x v="3"/>
    <x v="1"/>
    <n v="1"/>
  </r>
  <r>
    <x v="375"/>
    <s v="cogs:product 1"/>
    <n v="5.49"/>
    <n v="10"/>
    <n v="54.900000000000006"/>
    <s v="cogs"/>
    <x v="1"/>
    <x v="1"/>
    <n v="1"/>
  </r>
  <r>
    <x v="375"/>
    <s v="cogs:product 2"/>
    <n v="19.989999999999998"/>
    <n v="7"/>
    <n v="139.92999999999998"/>
    <s v="cogs"/>
    <x v="2"/>
    <x v="1"/>
    <n v="1"/>
  </r>
  <r>
    <x v="375"/>
    <s v="cogs:product 3"/>
    <n v="8.99"/>
    <n v="22"/>
    <n v="197.78"/>
    <s v="cogs"/>
    <x v="3"/>
    <x v="1"/>
    <n v="1"/>
  </r>
  <r>
    <x v="375"/>
    <s v="marketing"/>
    <s v="NA"/>
    <s v="NA"/>
    <n v="101.95"/>
    <s v="marketing"/>
    <x v="0"/>
    <x v="1"/>
    <n v="1"/>
  </r>
  <r>
    <x v="375"/>
    <s v="net sales:product 1"/>
    <n v="9.99"/>
    <n v="10"/>
    <n v="99.9"/>
    <s v="net sales"/>
    <x v="1"/>
    <x v="1"/>
    <n v="1"/>
  </r>
  <r>
    <x v="375"/>
    <s v="net sales:product 2"/>
    <n v="24.99"/>
    <n v="7"/>
    <n v="174.92999999999998"/>
    <s v="net sales"/>
    <x v="2"/>
    <x v="1"/>
    <n v="1"/>
  </r>
  <r>
    <x v="375"/>
    <s v="net sales:product 3"/>
    <n v="12.49"/>
    <n v="22"/>
    <n v="274.78000000000003"/>
    <s v="net sales"/>
    <x v="3"/>
    <x v="1"/>
    <n v="1"/>
  </r>
  <r>
    <x v="376"/>
    <s v="cogs:product 1"/>
    <n v="5.49"/>
    <n v="0"/>
    <n v="0"/>
    <s v="cogs"/>
    <x v="1"/>
    <x v="1"/>
    <n v="1"/>
  </r>
  <r>
    <x v="376"/>
    <s v="cogs:product 2"/>
    <n v="19.989999999999998"/>
    <n v="6"/>
    <n v="119.94"/>
    <s v="cogs"/>
    <x v="2"/>
    <x v="1"/>
    <n v="1"/>
  </r>
  <r>
    <x v="376"/>
    <s v="cogs:product 3"/>
    <n v="8.99"/>
    <n v="182"/>
    <n v="1636.18"/>
    <s v="cogs"/>
    <x v="3"/>
    <x v="1"/>
    <n v="1"/>
  </r>
  <r>
    <x v="376"/>
    <s v="marketing"/>
    <s v="NA"/>
    <s v="NA"/>
    <n v="106.97"/>
    <s v="marketing"/>
    <x v="0"/>
    <x v="1"/>
    <n v="1"/>
  </r>
  <r>
    <x v="376"/>
    <s v="net sales:product 1"/>
    <n v="9.99"/>
    <n v="0"/>
    <n v="0"/>
    <s v="net sales"/>
    <x v="1"/>
    <x v="1"/>
    <n v="1"/>
  </r>
  <r>
    <x v="376"/>
    <s v="net sales:product 2"/>
    <n v="24.99"/>
    <n v="6"/>
    <n v="149.94"/>
    <s v="net sales"/>
    <x v="2"/>
    <x v="1"/>
    <n v="1"/>
  </r>
  <r>
    <x v="376"/>
    <s v="net sales:product 3"/>
    <n v="12.49"/>
    <n v="182"/>
    <n v="2273.1799999999998"/>
    <s v="net sales"/>
    <x v="3"/>
    <x v="1"/>
    <n v="1"/>
  </r>
  <r>
    <x v="377"/>
    <s v="cogs:product 1"/>
    <n v="5.49"/>
    <n v="28"/>
    <n v="153.72"/>
    <s v="cogs"/>
    <x v="1"/>
    <x v="1"/>
    <n v="1"/>
  </r>
  <r>
    <x v="377"/>
    <s v="cogs:product 2"/>
    <n v="19.989999999999998"/>
    <n v="0"/>
    <n v="0"/>
    <s v="cogs"/>
    <x v="2"/>
    <x v="1"/>
    <n v="1"/>
  </r>
  <r>
    <x v="377"/>
    <s v="cogs:product 3"/>
    <n v="8.99"/>
    <n v="138"/>
    <n v="1240.6200000000001"/>
    <s v="cogs"/>
    <x v="3"/>
    <x v="1"/>
    <n v="1"/>
  </r>
  <r>
    <x v="377"/>
    <s v="marketing"/>
    <s v="NA"/>
    <s v="NA"/>
    <n v="114.96000000000001"/>
    <s v="marketing"/>
    <x v="0"/>
    <x v="1"/>
    <n v="1"/>
  </r>
  <r>
    <x v="377"/>
    <s v="net sales:product 1"/>
    <n v="9.99"/>
    <n v="28"/>
    <n v="279.72000000000003"/>
    <s v="net sales"/>
    <x v="1"/>
    <x v="1"/>
    <n v="1"/>
  </r>
  <r>
    <x v="377"/>
    <s v="net sales:product 2"/>
    <n v="24.99"/>
    <n v="0"/>
    <n v="0"/>
    <s v="net sales"/>
    <x v="2"/>
    <x v="1"/>
    <n v="1"/>
  </r>
  <r>
    <x v="377"/>
    <s v="net sales:product 3"/>
    <n v="12.49"/>
    <n v="138"/>
    <n v="1723.6200000000001"/>
    <s v="net sales"/>
    <x v="3"/>
    <x v="1"/>
    <n v="1"/>
  </r>
  <r>
    <x v="378"/>
    <s v="cogs:product 1"/>
    <n v="5.49"/>
    <n v="93"/>
    <n v="510.57"/>
    <s v="cogs"/>
    <x v="1"/>
    <x v="1"/>
    <n v="1"/>
  </r>
  <r>
    <x v="378"/>
    <s v="cogs:product 2"/>
    <n v="19.989999999999998"/>
    <n v="0"/>
    <n v="0"/>
    <s v="cogs"/>
    <x v="2"/>
    <x v="1"/>
    <n v="1"/>
  </r>
  <r>
    <x v="378"/>
    <s v="cogs:product 3"/>
    <n v="8.99"/>
    <n v="72"/>
    <n v="647.28"/>
    <s v="cogs"/>
    <x v="3"/>
    <x v="1"/>
    <n v="1"/>
  </r>
  <r>
    <x v="378"/>
    <s v="marketing"/>
    <s v="NA"/>
    <s v="NA"/>
    <n v="107.93"/>
    <s v="marketing"/>
    <x v="0"/>
    <x v="1"/>
    <n v="1"/>
  </r>
  <r>
    <x v="378"/>
    <s v="net sales:product 1"/>
    <n v="9.99"/>
    <n v="93"/>
    <n v="929.07"/>
    <s v="net sales"/>
    <x v="1"/>
    <x v="1"/>
    <n v="1"/>
  </r>
  <r>
    <x v="378"/>
    <s v="net sales:product 2"/>
    <n v="24.99"/>
    <n v="0"/>
    <n v="0"/>
    <s v="net sales"/>
    <x v="2"/>
    <x v="1"/>
    <n v="1"/>
  </r>
  <r>
    <x v="378"/>
    <s v="net sales:product 3"/>
    <n v="12.49"/>
    <n v="72"/>
    <n v="899.28"/>
    <s v="net sales"/>
    <x v="3"/>
    <x v="1"/>
    <n v="1"/>
  </r>
  <r>
    <x v="379"/>
    <s v="cogs:product 1"/>
    <n v="5.49"/>
    <n v="44"/>
    <n v="241.56"/>
    <s v="cogs"/>
    <x v="1"/>
    <x v="1"/>
    <n v="1"/>
  </r>
  <r>
    <x v="379"/>
    <s v="cogs:product 2"/>
    <n v="19.989999999999998"/>
    <n v="9"/>
    <n v="179.91"/>
    <s v="cogs"/>
    <x v="2"/>
    <x v="1"/>
    <n v="1"/>
  </r>
  <r>
    <x v="379"/>
    <s v="cogs:product 3"/>
    <n v="8.99"/>
    <n v="123"/>
    <n v="1105.77"/>
    <s v="cogs"/>
    <x v="3"/>
    <x v="1"/>
    <n v="1"/>
  </r>
  <r>
    <x v="379"/>
    <s v="marketing"/>
    <s v="NA"/>
    <s v="NA"/>
    <n v="115.97"/>
    <s v="marketing"/>
    <x v="0"/>
    <x v="1"/>
    <n v="1"/>
  </r>
  <r>
    <x v="379"/>
    <s v="net sales:product 1"/>
    <n v="9.99"/>
    <n v="44"/>
    <n v="439.56"/>
    <s v="net sales"/>
    <x v="1"/>
    <x v="1"/>
    <n v="1"/>
  </r>
  <r>
    <x v="379"/>
    <s v="net sales:product 2"/>
    <n v="24.99"/>
    <n v="9"/>
    <n v="224.91"/>
    <s v="net sales"/>
    <x v="2"/>
    <x v="1"/>
    <n v="1"/>
  </r>
  <r>
    <x v="379"/>
    <s v="net sales:product 3"/>
    <n v="12.49"/>
    <n v="123"/>
    <n v="1536.27"/>
    <s v="net sales"/>
    <x v="3"/>
    <x v="1"/>
    <n v="1"/>
  </r>
  <r>
    <x v="380"/>
    <s v="cogs:product 1"/>
    <n v="5.49"/>
    <n v="58"/>
    <n v="318.42"/>
    <s v="cogs"/>
    <x v="1"/>
    <x v="1"/>
    <n v="1"/>
  </r>
  <r>
    <x v="380"/>
    <s v="cogs:product 2"/>
    <n v="19.989999999999998"/>
    <n v="0"/>
    <n v="0"/>
    <s v="cogs"/>
    <x v="2"/>
    <x v="1"/>
    <n v="1"/>
  </r>
  <r>
    <x v="380"/>
    <s v="cogs:product 3"/>
    <n v="8.99"/>
    <n v="136"/>
    <n v="1222.6400000000001"/>
    <s v="cogs"/>
    <x v="3"/>
    <x v="1"/>
    <n v="1"/>
  </r>
  <r>
    <x v="380"/>
    <s v="interest"/>
    <s v="NA"/>
    <s v="NA"/>
    <n v="1271.6400000000001"/>
    <s v="interest"/>
    <x v="0"/>
    <x v="1"/>
    <n v="1"/>
  </r>
  <r>
    <x v="380"/>
    <s v="marketing"/>
    <s v="NA"/>
    <s v="NA"/>
    <n v="117.94"/>
    <s v="marketing"/>
    <x v="0"/>
    <x v="1"/>
    <n v="1"/>
  </r>
  <r>
    <x v="380"/>
    <s v="net sales:product 1"/>
    <n v="9.99"/>
    <n v="58"/>
    <n v="579.41999999999996"/>
    <s v="net sales"/>
    <x v="1"/>
    <x v="1"/>
    <n v="1"/>
  </r>
  <r>
    <x v="380"/>
    <s v="net sales:product 2"/>
    <n v="24.99"/>
    <n v="0"/>
    <n v="0"/>
    <s v="net sales"/>
    <x v="2"/>
    <x v="1"/>
    <n v="1"/>
  </r>
  <r>
    <x v="380"/>
    <s v="net sales:product 3"/>
    <n v="12.49"/>
    <n v="136"/>
    <n v="1698.64"/>
    <s v="net sales"/>
    <x v="3"/>
    <x v="1"/>
    <n v="1"/>
  </r>
  <r>
    <x v="380"/>
    <s v="overhead"/>
    <s v="NA"/>
    <s v="NA"/>
    <n v="317.91000000000003"/>
    <s v="overhead"/>
    <x v="0"/>
    <x v="1"/>
    <n v="1"/>
  </r>
  <r>
    <x v="381"/>
    <s v="cogs:product 1"/>
    <n v="5.49"/>
    <n v="14"/>
    <n v="76.86"/>
    <s v="cogs"/>
    <x v="1"/>
    <x v="1"/>
    <n v="1"/>
  </r>
  <r>
    <x v="381"/>
    <s v="cogs:product 2"/>
    <n v="19.989999999999998"/>
    <n v="5"/>
    <n v="99.949999999999989"/>
    <s v="cogs"/>
    <x v="2"/>
    <x v="1"/>
    <n v="1"/>
  </r>
  <r>
    <x v="381"/>
    <s v="cogs:product 3"/>
    <n v="8.99"/>
    <n v="42"/>
    <n v="377.58"/>
    <s v="cogs"/>
    <x v="3"/>
    <x v="1"/>
    <n v="1"/>
  </r>
  <r>
    <x v="381"/>
    <s v="marketing"/>
    <s v="NA"/>
    <s v="NA"/>
    <n v="117.9"/>
    <s v="marketing"/>
    <x v="0"/>
    <x v="1"/>
    <n v="1"/>
  </r>
  <r>
    <x v="381"/>
    <s v="net sales:product 1"/>
    <n v="9.99"/>
    <n v="14"/>
    <n v="139.86000000000001"/>
    <s v="net sales"/>
    <x v="1"/>
    <x v="1"/>
    <n v="1"/>
  </r>
  <r>
    <x v="381"/>
    <s v="net sales:product 2"/>
    <n v="24.99"/>
    <n v="5"/>
    <n v="124.94999999999999"/>
    <s v="net sales"/>
    <x v="2"/>
    <x v="1"/>
    <n v="1"/>
  </r>
  <r>
    <x v="381"/>
    <s v="net sales:product 3"/>
    <n v="12.49"/>
    <n v="42"/>
    <n v="524.58000000000004"/>
    <s v="net sales"/>
    <x v="3"/>
    <x v="1"/>
    <n v="1"/>
  </r>
  <r>
    <x v="382"/>
    <s v="cogs:product 1"/>
    <n v="5.49"/>
    <n v="60"/>
    <n v="329.40000000000003"/>
    <s v="cogs"/>
    <x v="1"/>
    <x v="1"/>
    <n v="1"/>
  </r>
  <r>
    <x v="382"/>
    <s v="cogs:product 2"/>
    <n v="19.989999999999998"/>
    <n v="5"/>
    <n v="99.949999999999989"/>
    <s v="cogs"/>
    <x v="2"/>
    <x v="1"/>
    <n v="1"/>
  </r>
  <r>
    <x v="382"/>
    <s v="cogs:product 3"/>
    <n v="8.99"/>
    <n v="133"/>
    <n v="1195.67"/>
    <s v="cogs"/>
    <x v="3"/>
    <x v="1"/>
    <n v="1"/>
  </r>
  <r>
    <x v="382"/>
    <s v="marketing"/>
    <s v="NA"/>
    <s v="NA"/>
    <n v="105.09"/>
    <s v="marketing"/>
    <x v="0"/>
    <x v="1"/>
    <n v="1"/>
  </r>
  <r>
    <x v="382"/>
    <s v="net sales:product 1"/>
    <n v="9.99"/>
    <n v="60"/>
    <n v="599.4"/>
    <s v="net sales"/>
    <x v="1"/>
    <x v="1"/>
    <n v="1"/>
  </r>
  <r>
    <x v="382"/>
    <s v="net sales:product 2"/>
    <n v="24.99"/>
    <n v="5"/>
    <n v="124.94999999999999"/>
    <s v="net sales"/>
    <x v="2"/>
    <x v="1"/>
    <n v="1"/>
  </r>
  <r>
    <x v="382"/>
    <s v="net sales:product 3"/>
    <n v="12.49"/>
    <n v="133"/>
    <n v="1661.17"/>
    <s v="net sales"/>
    <x v="3"/>
    <x v="1"/>
    <n v="1"/>
  </r>
  <r>
    <x v="382"/>
    <s v="payroll"/>
    <s v="NA"/>
    <s v="NA"/>
    <n v="1200"/>
    <s v="payroll"/>
    <x v="0"/>
    <x v="1"/>
    <n v="1"/>
  </r>
  <r>
    <x v="383"/>
    <s v="cogs:product 1"/>
    <n v="5.49"/>
    <n v="1"/>
    <n v="5.49"/>
    <s v="cogs"/>
    <x v="1"/>
    <x v="1"/>
    <n v="1"/>
  </r>
  <r>
    <x v="383"/>
    <s v="cogs:product 2"/>
    <n v="19.989999999999998"/>
    <n v="8"/>
    <n v="159.91999999999999"/>
    <s v="cogs"/>
    <x v="2"/>
    <x v="1"/>
    <n v="1"/>
  </r>
  <r>
    <x v="383"/>
    <s v="cogs:product 3"/>
    <n v="8.99"/>
    <n v="157"/>
    <n v="1411.43"/>
    <s v="cogs"/>
    <x v="3"/>
    <x v="1"/>
    <n v="1"/>
  </r>
  <r>
    <x v="383"/>
    <s v="marketing"/>
    <s v="NA"/>
    <s v="NA"/>
    <n v="111"/>
    <s v="marketing"/>
    <x v="0"/>
    <x v="1"/>
    <n v="1"/>
  </r>
  <r>
    <x v="383"/>
    <s v="net sales:product 1"/>
    <n v="9.99"/>
    <n v="1"/>
    <n v="9.99"/>
    <s v="net sales"/>
    <x v="1"/>
    <x v="1"/>
    <n v="1"/>
  </r>
  <r>
    <x v="383"/>
    <s v="net sales:product 2"/>
    <n v="24.99"/>
    <n v="8"/>
    <n v="199.92"/>
    <s v="net sales"/>
    <x v="2"/>
    <x v="1"/>
    <n v="1"/>
  </r>
  <r>
    <x v="383"/>
    <s v="net sales:product 3"/>
    <n v="12.49"/>
    <n v="157"/>
    <n v="1960.93"/>
    <s v="net sales"/>
    <x v="3"/>
    <x v="1"/>
    <n v="1"/>
  </r>
  <r>
    <x v="384"/>
    <s v="cogs:product 1"/>
    <n v="5.49"/>
    <n v="37"/>
    <n v="203.13"/>
    <s v="cogs"/>
    <x v="1"/>
    <x v="1"/>
    <n v="1"/>
  </r>
  <r>
    <x v="384"/>
    <s v="cogs:product 2"/>
    <n v="19.989999999999998"/>
    <n v="9"/>
    <n v="179.91"/>
    <s v="cogs"/>
    <x v="2"/>
    <x v="1"/>
    <n v="1"/>
  </r>
  <r>
    <x v="384"/>
    <s v="cogs:product 3"/>
    <n v="8.99"/>
    <n v="159"/>
    <n v="1429.41"/>
    <s v="cogs"/>
    <x v="3"/>
    <x v="1"/>
    <n v="1"/>
  </r>
  <r>
    <x v="384"/>
    <s v="marketing"/>
    <s v="NA"/>
    <s v="NA"/>
    <n v="107.02"/>
    <s v="marketing"/>
    <x v="0"/>
    <x v="1"/>
    <n v="1"/>
  </r>
  <r>
    <x v="384"/>
    <s v="net sales:product 1"/>
    <n v="9.99"/>
    <n v="37"/>
    <n v="369.63"/>
    <s v="net sales"/>
    <x v="1"/>
    <x v="1"/>
    <n v="1"/>
  </r>
  <r>
    <x v="384"/>
    <s v="net sales:product 2"/>
    <n v="24.99"/>
    <n v="9"/>
    <n v="224.91"/>
    <s v="net sales"/>
    <x v="2"/>
    <x v="1"/>
    <n v="1"/>
  </r>
  <r>
    <x v="384"/>
    <s v="net sales:product 3"/>
    <n v="12.49"/>
    <n v="159"/>
    <n v="1985.91"/>
    <s v="net sales"/>
    <x v="3"/>
    <x v="1"/>
    <n v="1"/>
  </r>
  <r>
    <x v="385"/>
    <s v="cogs:product 1"/>
    <n v="5.49"/>
    <n v="31"/>
    <n v="170.19"/>
    <s v="cogs"/>
    <x v="1"/>
    <x v="1"/>
    <n v="1"/>
  </r>
  <r>
    <x v="385"/>
    <s v="cogs:product 2"/>
    <n v="19.989999999999998"/>
    <n v="9"/>
    <n v="179.91"/>
    <s v="cogs"/>
    <x v="2"/>
    <x v="1"/>
    <n v="1"/>
  </r>
  <r>
    <x v="385"/>
    <s v="cogs:product 3"/>
    <n v="8.99"/>
    <n v="9"/>
    <n v="80.91"/>
    <s v="cogs"/>
    <x v="3"/>
    <x v="1"/>
    <n v="1"/>
  </r>
  <r>
    <x v="385"/>
    <s v="marketing"/>
    <s v="NA"/>
    <s v="NA"/>
    <n v="110.91"/>
    <s v="marketing"/>
    <x v="0"/>
    <x v="1"/>
    <n v="1"/>
  </r>
  <r>
    <x v="385"/>
    <s v="net sales:product 1"/>
    <n v="9.99"/>
    <n v="31"/>
    <n v="309.69"/>
    <s v="net sales"/>
    <x v="1"/>
    <x v="1"/>
    <n v="1"/>
  </r>
  <r>
    <x v="385"/>
    <s v="net sales:product 2"/>
    <n v="24.99"/>
    <n v="9"/>
    <n v="224.91"/>
    <s v="net sales"/>
    <x v="2"/>
    <x v="1"/>
    <n v="1"/>
  </r>
  <r>
    <x v="385"/>
    <s v="net sales:product 3"/>
    <n v="12.49"/>
    <n v="9"/>
    <n v="112.41"/>
    <s v="net sales"/>
    <x v="3"/>
    <x v="1"/>
    <n v="1"/>
  </r>
  <r>
    <x v="386"/>
    <s v="cogs:product 1"/>
    <n v="5.49"/>
    <n v="90"/>
    <n v="494.1"/>
    <s v="cogs"/>
    <x v="1"/>
    <x v="1"/>
    <n v="1"/>
  </r>
  <r>
    <x v="386"/>
    <s v="cogs:product 2"/>
    <n v="19.989999999999998"/>
    <n v="5"/>
    <n v="99.949999999999989"/>
    <s v="cogs"/>
    <x v="2"/>
    <x v="1"/>
    <n v="1"/>
  </r>
  <r>
    <x v="386"/>
    <s v="cogs:product 3"/>
    <n v="8.99"/>
    <n v="237"/>
    <n v="2130.63"/>
    <s v="cogs"/>
    <x v="3"/>
    <x v="1"/>
    <n v="1"/>
  </r>
  <r>
    <x v="386"/>
    <s v="marketing"/>
    <s v="NA"/>
    <s v="NA"/>
    <n v="116.97"/>
    <s v="marketing"/>
    <x v="0"/>
    <x v="1"/>
    <n v="1"/>
  </r>
  <r>
    <x v="386"/>
    <s v="net sales:product 1"/>
    <n v="9.99"/>
    <n v="90"/>
    <n v="899.1"/>
    <s v="net sales"/>
    <x v="1"/>
    <x v="1"/>
    <n v="1"/>
  </r>
  <r>
    <x v="386"/>
    <s v="net sales:product 2"/>
    <n v="24.99"/>
    <n v="5"/>
    <n v="124.94999999999999"/>
    <s v="net sales"/>
    <x v="2"/>
    <x v="1"/>
    <n v="1"/>
  </r>
  <r>
    <x v="386"/>
    <s v="net sales:product 3"/>
    <n v="12.49"/>
    <n v="237"/>
    <n v="2960.13"/>
    <s v="net sales"/>
    <x v="3"/>
    <x v="1"/>
    <n v="1"/>
  </r>
  <r>
    <x v="387"/>
    <s v="cogs:product 1"/>
    <n v="5.49"/>
    <n v="56"/>
    <n v="307.44"/>
    <s v="cogs"/>
    <x v="1"/>
    <x v="1"/>
    <n v="1"/>
  </r>
  <r>
    <x v="387"/>
    <s v="cogs:product 2"/>
    <n v="19.989999999999998"/>
    <n v="0"/>
    <n v="0"/>
    <s v="cogs"/>
    <x v="2"/>
    <x v="1"/>
    <n v="1"/>
  </r>
  <r>
    <x v="387"/>
    <s v="cogs:product 3"/>
    <n v="8.99"/>
    <n v="185"/>
    <n v="1663.15"/>
    <s v="cogs"/>
    <x v="3"/>
    <x v="1"/>
    <n v="1"/>
  </r>
  <r>
    <x v="387"/>
    <s v="marketing"/>
    <s v="NA"/>
    <s v="NA"/>
    <n v="101.97"/>
    <s v="marketing"/>
    <x v="0"/>
    <x v="1"/>
    <n v="1"/>
  </r>
  <r>
    <x v="387"/>
    <s v="net sales:product 1"/>
    <n v="9.99"/>
    <n v="56"/>
    <n v="559.44000000000005"/>
    <s v="net sales"/>
    <x v="1"/>
    <x v="1"/>
    <n v="1"/>
  </r>
  <r>
    <x v="387"/>
    <s v="net sales:product 2"/>
    <n v="24.99"/>
    <n v="0"/>
    <n v="0"/>
    <s v="net sales"/>
    <x v="2"/>
    <x v="1"/>
    <n v="1"/>
  </r>
  <r>
    <x v="387"/>
    <s v="net sales:product 3"/>
    <n v="12.49"/>
    <n v="185"/>
    <n v="2310.65"/>
    <s v="net sales"/>
    <x v="3"/>
    <x v="1"/>
    <n v="1"/>
  </r>
  <r>
    <x v="388"/>
    <s v="cogs:product 1"/>
    <n v="5.49"/>
    <n v="58"/>
    <n v="318.42"/>
    <s v="cogs"/>
    <x v="1"/>
    <x v="1"/>
    <n v="1"/>
  </r>
  <r>
    <x v="388"/>
    <s v="cogs:product 2"/>
    <n v="19.989999999999998"/>
    <n v="7"/>
    <n v="139.92999999999998"/>
    <s v="cogs"/>
    <x v="2"/>
    <x v="1"/>
    <n v="1"/>
  </r>
  <r>
    <x v="388"/>
    <s v="cogs:product 3"/>
    <n v="8.99"/>
    <n v="233"/>
    <n v="2094.67"/>
    <s v="cogs"/>
    <x v="3"/>
    <x v="1"/>
    <n v="1"/>
  </r>
  <r>
    <x v="388"/>
    <s v="marketing"/>
    <s v="NA"/>
    <s v="NA"/>
    <n v="119.93"/>
    <s v="marketing"/>
    <x v="0"/>
    <x v="1"/>
    <n v="1"/>
  </r>
  <r>
    <x v="388"/>
    <s v="net sales:product 1"/>
    <n v="9.99"/>
    <n v="58"/>
    <n v="579.41999999999996"/>
    <s v="net sales"/>
    <x v="1"/>
    <x v="1"/>
    <n v="1"/>
  </r>
  <r>
    <x v="388"/>
    <s v="net sales:product 2"/>
    <n v="24.99"/>
    <n v="7"/>
    <n v="174.92999999999998"/>
    <s v="net sales"/>
    <x v="2"/>
    <x v="1"/>
    <n v="1"/>
  </r>
  <r>
    <x v="388"/>
    <s v="net sales:product 3"/>
    <n v="12.49"/>
    <n v="233"/>
    <n v="2910.17"/>
    <s v="net sales"/>
    <x v="3"/>
    <x v="1"/>
    <n v="1"/>
  </r>
  <r>
    <x v="389"/>
    <s v="cogs:product 1"/>
    <n v="5.49"/>
    <n v="2"/>
    <n v="10.98"/>
    <s v="cogs"/>
    <x v="1"/>
    <x v="1"/>
    <n v="1"/>
  </r>
  <r>
    <x v="389"/>
    <s v="cogs:product 2"/>
    <n v="19.989999999999998"/>
    <n v="0"/>
    <n v="0"/>
    <s v="cogs"/>
    <x v="2"/>
    <x v="1"/>
    <n v="1"/>
  </r>
  <r>
    <x v="389"/>
    <s v="cogs:product 3"/>
    <n v="8.99"/>
    <n v="215"/>
    <n v="1932.8500000000001"/>
    <s v="cogs"/>
    <x v="3"/>
    <x v="1"/>
    <n v="1"/>
  </r>
  <r>
    <x v="389"/>
    <s v="marketing"/>
    <s v="NA"/>
    <s v="NA"/>
    <n v="118.02"/>
    <s v="marketing"/>
    <x v="0"/>
    <x v="1"/>
    <n v="1"/>
  </r>
  <r>
    <x v="389"/>
    <s v="net sales:product 1"/>
    <n v="9.99"/>
    <n v="2"/>
    <n v="19.98"/>
    <s v="net sales"/>
    <x v="1"/>
    <x v="1"/>
    <n v="1"/>
  </r>
  <r>
    <x v="389"/>
    <s v="net sales:product 2"/>
    <n v="24.99"/>
    <n v="0"/>
    <n v="0"/>
    <s v="net sales"/>
    <x v="2"/>
    <x v="1"/>
    <n v="1"/>
  </r>
  <r>
    <x v="389"/>
    <s v="net sales:product 3"/>
    <n v="12.49"/>
    <n v="215"/>
    <n v="2685.35"/>
    <s v="net sales"/>
    <x v="3"/>
    <x v="1"/>
    <n v="1"/>
  </r>
  <r>
    <x v="390"/>
    <s v="cogs:product 1"/>
    <n v="5.49"/>
    <n v="70"/>
    <n v="384.3"/>
    <s v="cogs"/>
    <x v="1"/>
    <x v="1"/>
    <n v="1"/>
  </r>
  <r>
    <x v="390"/>
    <s v="cogs:product 2"/>
    <n v="19.989999999999998"/>
    <n v="1"/>
    <n v="19.989999999999998"/>
    <s v="cogs"/>
    <x v="2"/>
    <x v="1"/>
    <n v="1"/>
  </r>
  <r>
    <x v="390"/>
    <s v="cogs:product 3"/>
    <n v="8.99"/>
    <n v="8"/>
    <n v="71.92"/>
    <s v="cogs"/>
    <x v="3"/>
    <x v="1"/>
    <n v="1"/>
  </r>
  <r>
    <x v="390"/>
    <s v="marketing"/>
    <s v="NA"/>
    <s v="NA"/>
    <n v="116.06"/>
    <s v="marketing"/>
    <x v="0"/>
    <x v="1"/>
    <n v="1"/>
  </r>
  <r>
    <x v="390"/>
    <s v="net sales:product 1"/>
    <n v="9.99"/>
    <n v="70"/>
    <n v="699.30000000000007"/>
    <s v="net sales"/>
    <x v="1"/>
    <x v="1"/>
    <n v="1"/>
  </r>
  <r>
    <x v="390"/>
    <s v="net sales:product 2"/>
    <n v="24.99"/>
    <n v="1"/>
    <n v="24.99"/>
    <s v="net sales"/>
    <x v="2"/>
    <x v="1"/>
    <n v="1"/>
  </r>
  <r>
    <x v="390"/>
    <s v="net sales:product 3"/>
    <n v="12.49"/>
    <n v="8"/>
    <n v="99.92"/>
    <s v="net sales"/>
    <x v="3"/>
    <x v="1"/>
    <n v="1"/>
  </r>
  <r>
    <x v="391"/>
    <s v="cogs:product 1"/>
    <n v="5.49"/>
    <n v="89"/>
    <n v="488.61"/>
    <s v="cogs"/>
    <x v="1"/>
    <x v="1"/>
    <n v="1"/>
  </r>
  <r>
    <x v="391"/>
    <s v="cogs:product 2"/>
    <n v="19.989999999999998"/>
    <n v="9"/>
    <n v="179.91"/>
    <s v="cogs"/>
    <x v="2"/>
    <x v="1"/>
    <n v="1"/>
  </r>
  <r>
    <x v="391"/>
    <s v="cogs:product 3"/>
    <n v="8.99"/>
    <n v="182"/>
    <n v="1636.18"/>
    <s v="cogs"/>
    <x v="3"/>
    <x v="1"/>
    <n v="1"/>
  </r>
  <r>
    <x v="391"/>
    <s v="marketing"/>
    <s v="NA"/>
    <s v="NA"/>
    <n v="114.95"/>
    <s v="marketing"/>
    <x v="0"/>
    <x v="1"/>
    <n v="1"/>
  </r>
  <r>
    <x v="391"/>
    <s v="net sales:product 1"/>
    <n v="9.99"/>
    <n v="89"/>
    <n v="889.11"/>
    <s v="net sales"/>
    <x v="1"/>
    <x v="1"/>
    <n v="1"/>
  </r>
  <r>
    <x v="391"/>
    <s v="net sales:product 2"/>
    <n v="24.99"/>
    <n v="9"/>
    <n v="224.91"/>
    <s v="net sales"/>
    <x v="2"/>
    <x v="1"/>
    <n v="1"/>
  </r>
  <r>
    <x v="391"/>
    <s v="net sales:product 3"/>
    <n v="12.49"/>
    <n v="182"/>
    <n v="2273.1799999999998"/>
    <s v="net sales"/>
    <x v="3"/>
    <x v="1"/>
    <n v="1"/>
  </r>
  <r>
    <x v="392"/>
    <s v="cogs:product 1"/>
    <n v="5.49"/>
    <n v="32"/>
    <n v="175.68"/>
    <s v="cogs"/>
    <x v="1"/>
    <x v="1"/>
    <n v="1"/>
  </r>
  <r>
    <x v="392"/>
    <s v="cogs:product 2"/>
    <n v="19.989999999999998"/>
    <n v="0"/>
    <n v="0"/>
    <s v="cogs"/>
    <x v="2"/>
    <x v="1"/>
    <n v="1"/>
  </r>
  <r>
    <x v="392"/>
    <s v="cogs:product 3"/>
    <n v="8.99"/>
    <n v="17"/>
    <n v="152.83000000000001"/>
    <s v="cogs"/>
    <x v="3"/>
    <x v="1"/>
    <n v="1"/>
  </r>
  <r>
    <x v="392"/>
    <s v="marketing"/>
    <s v="NA"/>
    <s v="NA"/>
    <n v="107.94"/>
    <s v="marketing"/>
    <x v="0"/>
    <x v="1"/>
    <n v="1"/>
  </r>
  <r>
    <x v="392"/>
    <s v="net sales:product 1"/>
    <n v="9.99"/>
    <n v="32"/>
    <n v="319.68"/>
    <s v="net sales"/>
    <x v="1"/>
    <x v="1"/>
    <n v="1"/>
  </r>
  <r>
    <x v="392"/>
    <s v="net sales:product 2"/>
    <n v="24.99"/>
    <n v="0"/>
    <n v="0"/>
    <s v="net sales"/>
    <x v="2"/>
    <x v="1"/>
    <n v="1"/>
  </r>
  <r>
    <x v="392"/>
    <s v="net sales:product 3"/>
    <n v="12.49"/>
    <n v="17"/>
    <n v="212.33"/>
    <s v="net sales"/>
    <x v="3"/>
    <x v="1"/>
    <n v="1"/>
  </r>
  <r>
    <x v="393"/>
    <s v="cogs:product 1"/>
    <n v="5.49"/>
    <n v="53"/>
    <n v="290.97000000000003"/>
    <s v="cogs"/>
    <x v="1"/>
    <x v="1"/>
    <n v="1"/>
  </r>
  <r>
    <x v="393"/>
    <s v="cogs:product 2"/>
    <n v="19.989999999999998"/>
    <n v="0"/>
    <n v="0"/>
    <s v="cogs"/>
    <x v="2"/>
    <x v="1"/>
    <n v="1"/>
  </r>
  <r>
    <x v="393"/>
    <s v="cogs:product 3"/>
    <n v="8.99"/>
    <n v="0"/>
    <n v="0"/>
    <s v="cogs"/>
    <x v="3"/>
    <x v="1"/>
    <n v="1"/>
  </r>
  <r>
    <x v="393"/>
    <s v="marketing"/>
    <s v="NA"/>
    <s v="NA"/>
    <n v="110.95"/>
    <s v="marketing"/>
    <x v="0"/>
    <x v="1"/>
    <n v="1"/>
  </r>
  <r>
    <x v="393"/>
    <s v="net sales:product 1"/>
    <n v="9.99"/>
    <n v="53"/>
    <n v="529.47"/>
    <s v="net sales"/>
    <x v="1"/>
    <x v="1"/>
    <n v="1"/>
  </r>
  <r>
    <x v="393"/>
    <s v="net sales:product 2"/>
    <n v="24.99"/>
    <n v="0"/>
    <n v="0"/>
    <s v="net sales"/>
    <x v="2"/>
    <x v="1"/>
    <n v="1"/>
  </r>
  <r>
    <x v="393"/>
    <s v="net sales:product 3"/>
    <n v="12.49"/>
    <n v="0"/>
    <n v="0"/>
    <s v="net sales"/>
    <x v="3"/>
    <x v="1"/>
    <n v="1"/>
  </r>
  <r>
    <x v="394"/>
    <s v="cogs:product 1"/>
    <n v="5.49"/>
    <n v="46"/>
    <n v="252.54000000000002"/>
    <s v="cogs"/>
    <x v="1"/>
    <x v="1"/>
    <n v="1"/>
  </r>
  <r>
    <x v="394"/>
    <s v="cogs:product 2"/>
    <n v="19.989999999999998"/>
    <n v="4"/>
    <n v="79.959999999999994"/>
    <s v="cogs"/>
    <x v="2"/>
    <x v="1"/>
    <n v="1"/>
  </r>
  <r>
    <x v="394"/>
    <s v="cogs:product 3"/>
    <n v="8.99"/>
    <n v="189"/>
    <n v="1699.1100000000001"/>
    <s v="cogs"/>
    <x v="3"/>
    <x v="1"/>
    <n v="1"/>
  </r>
  <r>
    <x v="394"/>
    <s v="marketing"/>
    <s v="NA"/>
    <s v="NA"/>
    <n v="107.03"/>
    <s v="marketing"/>
    <x v="0"/>
    <x v="1"/>
    <n v="1"/>
  </r>
  <r>
    <x v="394"/>
    <s v="net sales:product 1"/>
    <n v="9.99"/>
    <n v="46"/>
    <n v="459.54"/>
    <s v="net sales"/>
    <x v="1"/>
    <x v="1"/>
    <n v="1"/>
  </r>
  <r>
    <x v="394"/>
    <s v="net sales:product 2"/>
    <n v="24.99"/>
    <n v="4"/>
    <n v="99.96"/>
    <s v="net sales"/>
    <x v="2"/>
    <x v="1"/>
    <n v="1"/>
  </r>
  <r>
    <x v="394"/>
    <s v="net sales:product 3"/>
    <n v="12.49"/>
    <n v="189"/>
    <n v="2360.61"/>
    <s v="net sales"/>
    <x v="3"/>
    <x v="1"/>
    <n v="1"/>
  </r>
  <r>
    <x v="395"/>
    <s v="cogs:product 1"/>
    <n v="5.49"/>
    <n v="7"/>
    <n v="38.43"/>
    <s v="cogs"/>
    <x v="1"/>
    <x v="1"/>
    <n v="1"/>
  </r>
  <r>
    <x v="395"/>
    <s v="cogs:product 2"/>
    <n v="19.989999999999998"/>
    <n v="6"/>
    <n v="119.94"/>
    <s v="cogs"/>
    <x v="2"/>
    <x v="1"/>
    <n v="1"/>
  </r>
  <r>
    <x v="395"/>
    <s v="cogs:product 3"/>
    <n v="8.99"/>
    <n v="16"/>
    <n v="143.84"/>
    <s v="cogs"/>
    <x v="3"/>
    <x v="1"/>
    <n v="1"/>
  </r>
  <r>
    <x v="395"/>
    <s v="marketing"/>
    <s v="NA"/>
    <s v="NA"/>
    <n v="107.97"/>
    <s v="marketing"/>
    <x v="0"/>
    <x v="1"/>
    <n v="1"/>
  </r>
  <r>
    <x v="395"/>
    <s v="net sales:product 1"/>
    <n v="9.99"/>
    <n v="7"/>
    <n v="69.930000000000007"/>
    <s v="net sales"/>
    <x v="1"/>
    <x v="1"/>
    <n v="1"/>
  </r>
  <r>
    <x v="395"/>
    <s v="net sales:product 2"/>
    <n v="24.99"/>
    <n v="6"/>
    <n v="149.94"/>
    <s v="net sales"/>
    <x v="2"/>
    <x v="1"/>
    <n v="1"/>
  </r>
  <r>
    <x v="395"/>
    <s v="net sales:product 3"/>
    <n v="12.49"/>
    <n v="16"/>
    <n v="199.84"/>
    <s v="net sales"/>
    <x v="3"/>
    <x v="1"/>
    <n v="1"/>
  </r>
  <r>
    <x v="396"/>
    <s v="cogs:product 1"/>
    <n v="5.49"/>
    <n v="54"/>
    <n v="296.46000000000004"/>
    <s v="cogs"/>
    <x v="1"/>
    <x v="1"/>
    <n v="1"/>
  </r>
  <r>
    <x v="396"/>
    <s v="cogs:product 2"/>
    <n v="19.989999999999998"/>
    <n v="6"/>
    <n v="119.94"/>
    <s v="cogs"/>
    <x v="2"/>
    <x v="1"/>
    <n v="1"/>
  </r>
  <r>
    <x v="396"/>
    <s v="cogs:product 3"/>
    <n v="8.99"/>
    <n v="64"/>
    <n v="575.36"/>
    <s v="cogs"/>
    <x v="3"/>
    <x v="1"/>
    <n v="1"/>
  </r>
  <r>
    <x v="396"/>
    <s v="marketing"/>
    <s v="NA"/>
    <s v="NA"/>
    <n v="116.05"/>
    <s v="marketing"/>
    <x v="0"/>
    <x v="1"/>
    <n v="1"/>
  </r>
  <r>
    <x v="396"/>
    <s v="net sales:product 1"/>
    <n v="9.99"/>
    <n v="54"/>
    <n v="539.46"/>
    <s v="net sales"/>
    <x v="1"/>
    <x v="1"/>
    <n v="1"/>
  </r>
  <r>
    <x v="396"/>
    <s v="net sales:product 2"/>
    <n v="24.99"/>
    <n v="6"/>
    <n v="149.94"/>
    <s v="net sales"/>
    <x v="2"/>
    <x v="1"/>
    <n v="1"/>
  </r>
  <r>
    <x v="396"/>
    <s v="net sales:product 3"/>
    <n v="12.49"/>
    <n v="64"/>
    <n v="799.36"/>
    <s v="net sales"/>
    <x v="3"/>
    <x v="1"/>
    <n v="1"/>
  </r>
  <r>
    <x v="396"/>
    <s v="payroll"/>
    <s v="NA"/>
    <s v="NA"/>
    <n v="1200"/>
    <s v="payroll"/>
    <x v="0"/>
    <x v="1"/>
    <n v="1"/>
  </r>
  <r>
    <x v="397"/>
    <s v="amortization"/>
    <s v="NA"/>
    <s v="NA"/>
    <n v="50"/>
    <s v="amortization"/>
    <x v="0"/>
    <x v="1"/>
    <n v="2"/>
  </r>
  <r>
    <x v="397"/>
    <s v="cogs:product 1"/>
    <n v="5.49"/>
    <n v="23"/>
    <n v="126.27000000000001"/>
    <s v="cogs"/>
    <x v="1"/>
    <x v="1"/>
    <n v="2"/>
  </r>
  <r>
    <x v="397"/>
    <s v="cogs:product 2"/>
    <n v="19.989999999999998"/>
    <n v="9"/>
    <n v="179.91"/>
    <s v="cogs"/>
    <x v="2"/>
    <x v="1"/>
    <n v="2"/>
  </r>
  <r>
    <x v="397"/>
    <s v="cogs:product 3"/>
    <n v="8.99"/>
    <n v="89"/>
    <n v="800.11"/>
    <s v="cogs"/>
    <x v="3"/>
    <x v="1"/>
    <n v="2"/>
  </r>
  <r>
    <x v="397"/>
    <s v="marketing"/>
    <s v="NA"/>
    <s v="NA"/>
    <n v="112.02"/>
    <s v="marketing"/>
    <x v="0"/>
    <x v="1"/>
    <n v="2"/>
  </r>
  <r>
    <x v="397"/>
    <s v="net sales:product 1"/>
    <n v="9.99"/>
    <n v="23"/>
    <n v="229.77"/>
    <s v="net sales"/>
    <x v="1"/>
    <x v="1"/>
    <n v="2"/>
  </r>
  <r>
    <x v="397"/>
    <s v="net sales:product 2"/>
    <n v="24.99"/>
    <n v="9"/>
    <n v="224.91"/>
    <s v="net sales"/>
    <x v="2"/>
    <x v="1"/>
    <n v="2"/>
  </r>
  <r>
    <x v="397"/>
    <s v="net sales:product 3"/>
    <n v="12.49"/>
    <n v="89"/>
    <n v="1111.6100000000001"/>
    <s v="net sales"/>
    <x v="3"/>
    <x v="1"/>
    <n v="2"/>
  </r>
  <r>
    <x v="397"/>
    <s v="overhead"/>
    <s v="NA"/>
    <s v="NA"/>
    <n v="2000"/>
    <s v="overhead"/>
    <x v="0"/>
    <x v="1"/>
    <n v="2"/>
  </r>
  <r>
    <x v="398"/>
    <s v="cogs:product 1"/>
    <n v="5.49"/>
    <n v="82"/>
    <n v="450.18"/>
    <s v="cogs"/>
    <x v="1"/>
    <x v="1"/>
    <n v="2"/>
  </r>
  <r>
    <x v="398"/>
    <s v="cogs:product 2"/>
    <n v="19.989999999999998"/>
    <n v="0"/>
    <n v="0"/>
    <s v="cogs"/>
    <x v="2"/>
    <x v="1"/>
    <n v="2"/>
  </r>
  <r>
    <x v="398"/>
    <s v="cogs:product 3"/>
    <n v="8.99"/>
    <n v="145"/>
    <n v="1303.55"/>
    <s v="cogs"/>
    <x v="3"/>
    <x v="1"/>
    <n v="2"/>
  </r>
  <r>
    <x v="398"/>
    <s v="marketing"/>
    <s v="NA"/>
    <s v="NA"/>
    <n v="102.07000000000001"/>
    <s v="marketing"/>
    <x v="0"/>
    <x v="1"/>
    <n v="2"/>
  </r>
  <r>
    <x v="398"/>
    <s v="net sales:product 1"/>
    <n v="9.99"/>
    <n v="82"/>
    <n v="819.18000000000006"/>
    <s v="net sales"/>
    <x v="1"/>
    <x v="1"/>
    <n v="2"/>
  </r>
  <r>
    <x v="398"/>
    <s v="net sales:product 2"/>
    <n v="24.99"/>
    <n v="0"/>
    <n v="0"/>
    <s v="net sales"/>
    <x v="2"/>
    <x v="1"/>
    <n v="2"/>
  </r>
  <r>
    <x v="398"/>
    <s v="net sales:product 3"/>
    <n v="12.49"/>
    <n v="145"/>
    <n v="1811.05"/>
    <s v="net sales"/>
    <x v="3"/>
    <x v="1"/>
    <n v="2"/>
  </r>
  <r>
    <x v="399"/>
    <s v="cogs:product 1"/>
    <n v="5.49"/>
    <n v="38"/>
    <n v="208.62"/>
    <s v="cogs"/>
    <x v="1"/>
    <x v="1"/>
    <n v="2"/>
  </r>
  <r>
    <x v="399"/>
    <s v="cogs:product 2"/>
    <n v="19.989999999999998"/>
    <n v="0"/>
    <n v="0"/>
    <s v="cogs"/>
    <x v="2"/>
    <x v="1"/>
    <n v="2"/>
  </r>
  <r>
    <x v="399"/>
    <s v="cogs:product 3"/>
    <n v="8.99"/>
    <n v="95"/>
    <n v="854.05000000000007"/>
    <s v="cogs"/>
    <x v="3"/>
    <x v="1"/>
    <n v="2"/>
  </r>
  <r>
    <x v="399"/>
    <s v="marketing"/>
    <s v="NA"/>
    <s v="NA"/>
    <n v="107.09"/>
    <s v="marketing"/>
    <x v="0"/>
    <x v="1"/>
    <n v="2"/>
  </r>
  <r>
    <x v="399"/>
    <s v="net sales:product 1"/>
    <n v="9.99"/>
    <n v="38"/>
    <n v="379.62"/>
    <s v="net sales"/>
    <x v="1"/>
    <x v="1"/>
    <n v="2"/>
  </r>
  <r>
    <x v="399"/>
    <s v="net sales:product 2"/>
    <n v="24.99"/>
    <n v="0"/>
    <n v="0"/>
    <s v="net sales"/>
    <x v="2"/>
    <x v="1"/>
    <n v="2"/>
  </r>
  <r>
    <x v="399"/>
    <s v="net sales:product 3"/>
    <n v="12.49"/>
    <n v="95"/>
    <n v="1186.55"/>
    <s v="net sales"/>
    <x v="3"/>
    <x v="1"/>
    <n v="2"/>
  </r>
  <r>
    <x v="400"/>
    <s v="cogs:product 1"/>
    <n v="5.49"/>
    <n v="12"/>
    <n v="65.88"/>
    <s v="cogs"/>
    <x v="1"/>
    <x v="1"/>
    <n v="2"/>
  </r>
  <r>
    <x v="400"/>
    <s v="cogs:product 2"/>
    <n v="19.989999999999998"/>
    <n v="3"/>
    <n v="59.97"/>
    <s v="cogs"/>
    <x v="2"/>
    <x v="1"/>
    <n v="2"/>
  </r>
  <r>
    <x v="400"/>
    <s v="cogs:product 3"/>
    <n v="8.99"/>
    <n v="50"/>
    <n v="449.5"/>
    <s v="cogs"/>
    <x v="3"/>
    <x v="1"/>
    <n v="2"/>
  </r>
  <r>
    <x v="400"/>
    <s v="marketing"/>
    <s v="NA"/>
    <s v="NA"/>
    <n v="113.92"/>
    <s v="marketing"/>
    <x v="0"/>
    <x v="1"/>
    <n v="2"/>
  </r>
  <r>
    <x v="400"/>
    <s v="net sales:product 1"/>
    <n v="9.99"/>
    <n v="12"/>
    <n v="119.88"/>
    <s v="net sales"/>
    <x v="1"/>
    <x v="1"/>
    <n v="2"/>
  </r>
  <r>
    <x v="400"/>
    <s v="net sales:product 2"/>
    <n v="24.99"/>
    <n v="3"/>
    <n v="74.97"/>
    <s v="net sales"/>
    <x v="2"/>
    <x v="1"/>
    <n v="2"/>
  </r>
  <r>
    <x v="400"/>
    <s v="net sales:product 3"/>
    <n v="12.49"/>
    <n v="50"/>
    <n v="624.5"/>
    <s v="net sales"/>
    <x v="3"/>
    <x v="1"/>
    <n v="2"/>
  </r>
  <r>
    <x v="401"/>
    <s v="cogs:product 1"/>
    <n v="5.49"/>
    <n v="55"/>
    <n v="301.95"/>
    <s v="cogs"/>
    <x v="1"/>
    <x v="1"/>
    <n v="2"/>
  </r>
  <r>
    <x v="401"/>
    <s v="cogs:product 2"/>
    <n v="19.989999999999998"/>
    <n v="6"/>
    <n v="119.94"/>
    <s v="cogs"/>
    <x v="2"/>
    <x v="1"/>
    <n v="2"/>
  </r>
  <r>
    <x v="401"/>
    <s v="cogs:product 3"/>
    <n v="8.99"/>
    <n v="2"/>
    <n v="17.98"/>
    <s v="cogs"/>
    <x v="3"/>
    <x v="1"/>
    <n v="2"/>
  </r>
  <r>
    <x v="401"/>
    <s v="marketing"/>
    <s v="NA"/>
    <s v="NA"/>
    <n v="104.04"/>
    <s v="marketing"/>
    <x v="0"/>
    <x v="1"/>
    <n v="2"/>
  </r>
  <r>
    <x v="401"/>
    <s v="net sales:product 1"/>
    <n v="9.99"/>
    <n v="55"/>
    <n v="549.45000000000005"/>
    <s v="net sales"/>
    <x v="1"/>
    <x v="1"/>
    <n v="2"/>
  </r>
  <r>
    <x v="401"/>
    <s v="net sales:product 2"/>
    <n v="24.99"/>
    <n v="6"/>
    <n v="149.94"/>
    <s v="net sales"/>
    <x v="2"/>
    <x v="1"/>
    <n v="2"/>
  </r>
  <r>
    <x v="401"/>
    <s v="net sales:product 3"/>
    <n v="12.49"/>
    <n v="2"/>
    <n v="24.98"/>
    <s v="net sales"/>
    <x v="3"/>
    <x v="1"/>
    <n v="2"/>
  </r>
  <r>
    <x v="402"/>
    <s v="cogs:product 1"/>
    <n v="5.49"/>
    <n v="38"/>
    <n v="208.62"/>
    <s v="cogs"/>
    <x v="1"/>
    <x v="1"/>
    <n v="2"/>
  </r>
  <r>
    <x v="402"/>
    <s v="cogs:product 2"/>
    <n v="19.989999999999998"/>
    <n v="8"/>
    <n v="159.91999999999999"/>
    <s v="cogs"/>
    <x v="2"/>
    <x v="1"/>
    <n v="2"/>
  </r>
  <r>
    <x v="402"/>
    <s v="cogs:product 3"/>
    <n v="8.99"/>
    <n v="204"/>
    <n v="1833.96"/>
    <s v="cogs"/>
    <x v="3"/>
    <x v="1"/>
    <n v="2"/>
  </r>
  <r>
    <x v="402"/>
    <s v="marketing"/>
    <s v="NA"/>
    <s v="NA"/>
    <n v="111.9"/>
    <s v="marketing"/>
    <x v="0"/>
    <x v="1"/>
    <n v="2"/>
  </r>
  <r>
    <x v="402"/>
    <s v="net sales:product 1"/>
    <n v="9.99"/>
    <n v="38"/>
    <n v="379.62"/>
    <s v="net sales"/>
    <x v="1"/>
    <x v="1"/>
    <n v="2"/>
  </r>
  <r>
    <x v="402"/>
    <s v="net sales:product 2"/>
    <n v="24.99"/>
    <n v="8"/>
    <n v="199.92"/>
    <s v="net sales"/>
    <x v="2"/>
    <x v="1"/>
    <n v="2"/>
  </r>
  <r>
    <x v="402"/>
    <s v="net sales:product 3"/>
    <n v="12.49"/>
    <n v="204"/>
    <n v="2547.96"/>
    <s v="net sales"/>
    <x v="3"/>
    <x v="1"/>
    <n v="2"/>
  </r>
  <r>
    <x v="403"/>
    <s v="cogs:product 1"/>
    <n v="5.49"/>
    <n v="8"/>
    <n v="43.92"/>
    <s v="cogs"/>
    <x v="1"/>
    <x v="1"/>
    <n v="2"/>
  </r>
  <r>
    <x v="403"/>
    <s v="cogs:product 2"/>
    <n v="19.989999999999998"/>
    <n v="3"/>
    <n v="59.97"/>
    <s v="cogs"/>
    <x v="2"/>
    <x v="1"/>
    <n v="2"/>
  </r>
  <r>
    <x v="403"/>
    <s v="cogs:product 3"/>
    <n v="8.99"/>
    <n v="56"/>
    <n v="503.44"/>
    <s v="cogs"/>
    <x v="3"/>
    <x v="1"/>
    <n v="2"/>
  </r>
  <r>
    <x v="403"/>
    <s v="marketing"/>
    <s v="NA"/>
    <s v="NA"/>
    <n v="100.9"/>
    <s v="marketing"/>
    <x v="0"/>
    <x v="1"/>
    <n v="2"/>
  </r>
  <r>
    <x v="403"/>
    <s v="net sales:product 1"/>
    <n v="9.99"/>
    <n v="8"/>
    <n v="79.92"/>
    <s v="net sales"/>
    <x v="1"/>
    <x v="1"/>
    <n v="2"/>
  </r>
  <r>
    <x v="403"/>
    <s v="net sales:product 2"/>
    <n v="24.99"/>
    <n v="3"/>
    <n v="74.97"/>
    <s v="net sales"/>
    <x v="2"/>
    <x v="1"/>
    <n v="2"/>
  </r>
  <r>
    <x v="403"/>
    <s v="net sales:product 3"/>
    <n v="12.49"/>
    <n v="56"/>
    <n v="699.44"/>
    <s v="net sales"/>
    <x v="3"/>
    <x v="1"/>
    <n v="2"/>
  </r>
  <r>
    <x v="404"/>
    <s v="cogs:product 1"/>
    <n v="5.49"/>
    <n v="5"/>
    <n v="27.450000000000003"/>
    <s v="cogs"/>
    <x v="1"/>
    <x v="1"/>
    <n v="2"/>
  </r>
  <r>
    <x v="404"/>
    <s v="cogs:product 2"/>
    <n v="19.989999999999998"/>
    <n v="8"/>
    <n v="159.91999999999999"/>
    <s v="cogs"/>
    <x v="2"/>
    <x v="1"/>
    <n v="2"/>
  </r>
  <r>
    <x v="404"/>
    <s v="cogs:product 3"/>
    <n v="8.99"/>
    <n v="169"/>
    <n v="1519.31"/>
    <s v="cogs"/>
    <x v="3"/>
    <x v="1"/>
    <n v="2"/>
  </r>
  <r>
    <x v="404"/>
    <s v="marketing"/>
    <s v="NA"/>
    <s v="NA"/>
    <n v="102.99000000000001"/>
    <s v="marketing"/>
    <x v="0"/>
    <x v="1"/>
    <n v="2"/>
  </r>
  <r>
    <x v="404"/>
    <s v="net sales:product 1"/>
    <n v="9.99"/>
    <n v="5"/>
    <n v="49.95"/>
    <s v="net sales"/>
    <x v="1"/>
    <x v="1"/>
    <n v="2"/>
  </r>
  <r>
    <x v="404"/>
    <s v="net sales:product 2"/>
    <n v="24.99"/>
    <n v="8"/>
    <n v="199.92"/>
    <s v="net sales"/>
    <x v="2"/>
    <x v="1"/>
    <n v="2"/>
  </r>
  <r>
    <x v="404"/>
    <s v="net sales:product 3"/>
    <n v="12.49"/>
    <n v="169"/>
    <n v="2110.81"/>
    <s v="net sales"/>
    <x v="3"/>
    <x v="1"/>
    <n v="2"/>
  </r>
  <r>
    <x v="405"/>
    <s v="cogs:product 1"/>
    <n v="5.49"/>
    <n v="82"/>
    <n v="450.18"/>
    <s v="cogs"/>
    <x v="1"/>
    <x v="1"/>
    <n v="2"/>
  </r>
  <r>
    <x v="405"/>
    <s v="cogs:product 2"/>
    <n v="19.989999999999998"/>
    <n v="4"/>
    <n v="79.959999999999994"/>
    <s v="cogs"/>
    <x v="2"/>
    <x v="1"/>
    <n v="2"/>
  </r>
  <r>
    <x v="405"/>
    <s v="cogs:product 3"/>
    <n v="8.99"/>
    <n v="7"/>
    <n v="62.93"/>
    <s v="cogs"/>
    <x v="3"/>
    <x v="1"/>
    <n v="2"/>
  </r>
  <r>
    <x v="405"/>
    <s v="marketing"/>
    <s v="NA"/>
    <s v="NA"/>
    <n v="115.94"/>
    <s v="marketing"/>
    <x v="0"/>
    <x v="1"/>
    <n v="2"/>
  </r>
  <r>
    <x v="405"/>
    <s v="net sales:product 1"/>
    <n v="9.99"/>
    <n v="82"/>
    <n v="819.18000000000006"/>
    <s v="net sales"/>
    <x v="1"/>
    <x v="1"/>
    <n v="2"/>
  </r>
  <r>
    <x v="405"/>
    <s v="net sales:product 2"/>
    <n v="24.99"/>
    <n v="4"/>
    <n v="99.96"/>
    <s v="net sales"/>
    <x v="2"/>
    <x v="1"/>
    <n v="2"/>
  </r>
  <r>
    <x v="405"/>
    <s v="net sales:product 3"/>
    <n v="12.49"/>
    <n v="7"/>
    <n v="87.43"/>
    <s v="net sales"/>
    <x v="3"/>
    <x v="1"/>
    <n v="2"/>
  </r>
  <r>
    <x v="406"/>
    <s v="cogs:product 1"/>
    <n v="5.49"/>
    <n v="47"/>
    <n v="258.03000000000003"/>
    <s v="cogs"/>
    <x v="1"/>
    <x v="1"/>
    <n v="2"/>
  </r>
  <r>
    <x v="406"/>
    <s v="cogs:product 2"/>
    <n v="19.989999999999998"/>
    <n v="9"/>
    <n v="179.91"/>
    <s v="cogs"/>
    <x v="2"/>
    <x v="1"/>
    <n v="2"/>
  </r>
  <r>
    <x v="406"/>
    <s v="cogs:product 3"/>
    <n v="8.99"/>
    <n v="79"/>
    <n v="710.21"/>
    <s v="cogs"/>
    <x v="3"/>
    <x v="1"/>
    <n v="2"/>
  </r>
  <r>
    <x v="406"/>
    <s v="marketing"/>
    <s v="NA"/>
    <s v="NA"/>
    <n v="103.07000000000001"/>
    <s v="marketing"/>
    <x v="0"/>
    <x v="1"/>
    <n v="2"/>
  </r>
  <r>
    <x v="406"/>
    <s v="net sales:product 1"/>
    <n v="9.99"/>
    <n v="47"/>
    <n v="469.53000000000003"/>
    <s v="net sales"/>
    <x v="1"/>
    <x v="1"/>
    <n v="2"/>
  </r>
  <r>
    <x v="406"/>
    <s v="net sales:product 2"/>
    <n v="24.99"/>
    <n v="9"/>
    <n v="224.91"/>
    <s v="net sales"/>
    <x v="2"/>
    <x v="1"/>
    <n v="2"/>
  </r>
  <r>
    <x v="406"/>
    <s v="net sales:product 3"/>
    <n v="12.49"/>
    <n v="79"/>
    <n v="986.71"/>
    <s v="net sales"/>
    <x v="3"/>
    <x v="1"/>
    <n v="2"/>
  </r>
  <r>
    <x v="407"/>
    <s v="cogs:product 1"/>
    <n v="5.49"/>
    <n v="72"/>
    <n v="395.28000000000003"/>
    <s v="cogs"/>
    <x v="1"/>
    <x v="1"/>
    <n v="2"/>
  </r>
  <r>
    <x v="407"/>
    <s v="cogs:product 2"/>
    <n v="19.989999999999998"/>
    <n v="4"/>
    <n v="79.959999999999994"/>
    <s v="cogs"/>
    <x v="2"/>
    <x v="1"/>
    <n v="2"/>
  </r>
  <r>
    <x v="407"/>
    <s v="cogs:product 3"/>
    <n v="8.99"/>
    <n v="2"/>
    <n v="17.98"/>
    <s v="cogs"/>
    <x v="3"/>
    <x v="1"/>
    <n v="2"/>
  </r>
  <r>
    <x v="407"/>
    <s v="marketing"/>
    <s v="NA"/>
    <s v="NA"/>
    <n v="118.94"/>
    <s v="marketing"/>
    <x v="0"/>
    <x v="1"/>
    <n v="2"/>
  </r>
  <r>
    <x v="407"/>
    <s v="net sales:product 1"/>
    <n v="9.99"/>
    <n v="72"/>
    <n v="719.28"/>
    <s v="net sales"/>
    <x v="1"/>
    <x v="1"/>
    <n v="2"/>
  </r>
  <r>
    <x v="407"/>
    <s v="net sales:product 2"/>
    <n v="24.99"/>
    <n v="4"/>
    <n v="99.96"/>
    <s v="net sales"/>
    <x v="2"/>
    <x v="1"/>
    <n v="2"/>
  </r>
  <r>
    <x v="407"/>
    <s v="net sales:product 3"/>
    <n v="12.49"/>
    <n v="2"/>
    <n v="24.98"/>
    <s v="net sales"/>
    <x v="3"/>
    <x v="1"/>
    <n v="2"/>
  </r>
  <r>
    <x v="408"/>
    <s v="cogs:product 1"/>
    <n v="5.49"/>
    <n v="32"/>
    <n v="175.68"/>
    <s v="cogs"/>
    <x v="1"/>
    <x v="1"/>
    <n v="2"/>
  </r>
  <r>
    <x v="408"/>
    <s v="cogs:product 2"/>
    <n v="19.989999999999998"/>
    <n v="3"/>
    <n v="59.97"/>
    <s v="cogs"/>
    <x v="2"/>
    <x v="1"/>
    <n v="2"/>
  </r>
  <r>
    <x v="408"/>
    <s v="cogs:product 3"/>
    <n v="8.99"/>
    <n v="131"/>
    <n v="1177.69"/>
    <s v="cogs"/>
    <x v="3"/>
    <x v="1"/>
    <n v="2"/>
  </r>
  <r>
    <x v="408"/>
    <s v="marketing"/>
    <s v="NA"/>
    <s v="NA"/>
    <n v="100.01"/>
    <s v="marketing"/>
    <x v="0"/>
    <x v="1"/>
    <n v="2"/>
  </r>
  <r>
    <x v="408"/>
    <s v="net sales:product 1"/>
    <n v="9.99"/>
    <n v="32"/>
    <n v="319.68"/>
    <s v="net sales"/>
    <x v="1"/>
    <x v="1"/>
    <n v="2"/>
  </r>
  <r>
    <x v="408"/>
    <s v="net sales:product 2"/>
    <n v="24.99"/>
    <n v="3"/>
    <n v="74.97"/>
    <s v="net sales"/>
    <x v="2"/>
    <x v="1"/>
    <n v="2"/>
  </r>
  <r>
    <x v="408"/>
    <s v="net sales:product 3"/>
    <n v="12.49"/>
    <n v="131"/>
    <n v="1636.19"/>
    <s v="net sales"/>
    <x v="3"/>
    <x v="1"/>
    <n v="2"/>
  </r>
  <r>
    <x v="409"/>
    <s v="cogs:product 1"/>
    <n v="5.49"/>
    <n v="83"/>
    <n v="455.67"/>
    <s v="cogs"/>
    <x v="1"/>
    <x v="1"/>
    <n v="2"/>
  </r>
  <r>
    <x v="409"/>
    <s v="cogs:product 2"/>
    <n v="19.989999999999998"/>
    <n v="5"/>
    <n v="99.949999999999989"/>
    <s v="cogs"/>
    <x v="2"/>
    <x v="1"/>
    <n v="2"/>
  </r>
  <r>
    <x v="409"/>
    <s v="cogs:product 3"/>
    <n v="8.99"/>
    <n v="197"/>
    <n v="1771.03"/>
    <s v="cogs"/>
    <x v="3"/>
    <x v="1"/>
    <n v="2"/>
  </r>
  <r>
    <x v="409"/>
    <s v="marketing"/>
    <s v="NA"/>
    <s v="NA"/>
    <n v="110.96000000000001"/>
    <s v="marketing"/>
    <x v="0"/>
    <x v="1"/>
    <n v="2"/>
  </r>
  <r>
    <x v="409"/>
    <s v="net sales:product 1"/>
    <n v="9.99"/>
    <n v="83"/>
    <n v="829.17000000000007"/>
    <s v="net sales"/>
    <x v="1"/>
    <x v="1"/>
    <n v="2"/>
  </r>
  <r>
    <x v="409"/>
    <s v="net sales:product 2"/>
    <n v="24.99"/>
    <n v="5"/>
    <n v="124.94999999999999"/>
    <s v="net sales"/>
    <x v="2"/>
    <x v="1"/>
    <n v="2"/>
  </r>
  <r>
    <x v="409"/>
    <s v="net sales:product 3"/>
    <n v="12.49"/>
    <n v="197"/>
    <n v="2460.5300000000002"/>
    <s v="net sales"/>
    <x v="3"/>
    <x v="1"/>
    <n v="2"/>
  </r>
  <r>
    <x v="410"/>
    <s v="cogs:product 1"/>
    <n v="5.49"/>
    <n v="9"/>
    <n v="49.410000000000004"/>
    <s v="cogs"/>
    <x v="1"/>
    <x v="1"/>
    <n v="2"/>
  </r>
  <r>
    <x v="410"/>
    <s v="cogs:product 2"/>
    <n v="19.989999999999998"/>
    <n v="6"/>
    <n v="119.94"/>
    <s v="cogs"/>
    <x v="2"/>
    <x v="1"/>
    <n v="2"/>
  </r>
  <r>
    <x v="410"/>
    <s v="cogs:product 3"/>
    <n v="8.99"/>
    <n v="62"/>
    <n v="557.38"/>
    <s v="cogs"/>
    <x v="3"/>
    <x v="1"/>
    <n v="2"/>
  </r>
  <r>
    <x v="410"/>
    <s v="marketing"/>
    <s v="NA"/>
    <s v="NA"/>
    <n v="112.01"/>
    <s v="marketing"/>
    <x v="0"/>
    <x v="1"/>
    <n v="2"/>
  </r>
  <r>
    <x v="410"/>
    <s v="net sales:product 1"/>
    <n v="9.99"/>
    <n v="9"/>
    <n v="89.91"/>
    <s v="net sales"/>
    <x v="1"/>
    <x v="1"/>
    <n v="2"/>
  </r>
  <r>
    <x v="410"/>
    <s v="net sales:product 2"/>
    <n v="24.99"/>
    <n v="6"/>
    <n v="149.94"/>
    <s v="net sales"/>
    <x v="2"/>
    <x v="1"/>
    <n v="2"/>
  </r>
  <r>
    <x v="410"/>
    <s v="net sales:product 3"/>
    <n v="12.49"/>
    <n v="62"/>
    <n v="774.38"/>
    <s v="net sales"/>
    <x v="3"/>
    <x v="1"/>
    <n v="2"/>
  </r>
  <r>
    <x v="410"/>
    <s v="payroll"/>
    <s v="NA"/>
    <s v="NA"/>
    <n v="1200"/>
    <s v="payroll"/>
    <x v="0"/>
    <x v="1"/>
    <n v="2"/>
  </r>
  <r>
    <x v="411"/>
    <s v="cogs:product 1"/>
    <n v="5.49"/>
    <n v="76"/>
    <n v="417.24"/>
    <s v="cogs"/>
    <x v="1"/>
    <x v="1"/>
    <n v="2"/>
  </r>
  <r>
    <x v="411"/>
    <s v="cogs:product 2"/>
    <n v="19.989999999999998"/>
    <n v="6"/>
    <n v="119.94"/>
    <s v="cogs"/>
    <x v="2"/>
    <x v="1"/>
    <n v="2"/>
  </r>
  <r>
    <x v="411"/>
    <s v="cogs:product 3"/>
    <n v="8.99"/>
    <n v="0"/>
    <n v="0"/>
    <s v="cogs"/>
    <x v="3"/>
    <x v="1"/>
    <n v="2"/>
  </r>
  <r>
    <x v="411"/>
    <s v="interest"/>
    <s v="NA"/>
    <s v="NA"/>
    <n v="1243.76"/>
    <s v="interest"/>
    <x v="0"/>
    <x v="1"/>
    <n v="2"/>
  </r>
  <r>
    <x v="411"/>
    <s v="marketing"/>
    <s v="NA"/>
    <s v="NA"/>
    <n v="120.07000000000001"/>
    <s v="marketing"/>
    <x v="0"/>
    <x v="1"/>
    <n v="2"/>
  </r>
  <r>
    <x v="411"/>
    <s v="net sales:product 1"/>
    <n v="9.99"/>
    <n v="76"/>
    <n v="759.24"/>
    <s v="net sales"/>
    <x v="1"/>
    <x v="1"/>
    <n v="2"/>
  </r>
  <r>
    <x v="411"/>
    <s v="net sales:product 2"/>
    <n v="24.99"/>
    <n v="6"/>
    <n v="149.94"/>
    <s v="net sales"/>
    <x v="2"/>
    <x v="1"/>
    <n v="2"/>
  </r>
  <r>
    <x v="411"/>
    <s v="net sales:product 3"/>
    <n v="12.49"/>
    <n v="0"/>
    <n v="0"/>
    <s v="net sales"/>
    <x v="3"/>
    <x v="1"/>
    <n v="2"/>
  </r>
  <r>
    <x v="411"/>
    <s v="overhead"/>
    <s v="NA"/>
    <s v="NA"/>
    <n v="311.98"/>
    <s v="overhead"/>
    <x v="0"/>
    <x v="1"/>
    <n v="2"/>
  </r>
  <r>
    <x v="412"/>
    <s v="cogs:product 1"/>
    <n v="5.49"/>
    <n v="7"/>
    <n v="38.43"/>
    <s v="cogs"/>
    <x v="1"/>
    <x v="1"/>
    <n v="2"/>
  </r>
  <r>
    <x v="412"/>
    <s v="cogs:product 2"/>
    <n v="19.989999999999998"/>
    <n v="6"/>
    <n v="119.94"/>
    <s v="cogs"/>
    <x v="2"/>
    <x v="1"/>
    <n v="2"/>
  </r>
  <r>
    <x v="412"/>
    <s v="cogs:product 3"/>
    <n v="8.99"/>
    <n v="246"/>
    <n v="2211.54"/>
    <s v="cogs"/>
    <x v="3"/>
    <x v="1"/>
    <n v="2"/>
  </r>
  <r>
    <x v="412"/>
    <s v="marketing"/>
    <s v="NA"/>
    <s v="NA"/>
    <n v="112.97"/>
    <s v="marketing"/>
    <x v="0"/>
    <x v="1"/>
    <n v="2"/>
  </r>
  <r>
    <x v="412"/>
    <s v="net sales:product 1"/>
    <n v="9.99"/>
    <n v="7"/>
    <n v="69.930000000000007"/>
    <s v="net sales"/>
    <x v="1"/>
    <x v="1"/>
    <n v="2"/>
  </r>
  <r>
    <x v="412"/>
    <s v="net sales:product 2"/>
    <n v="24.99"/>
    <n v="6"/>
    <n v="149.94"/>
    <s v="net sales"/>
    <x v="2"/>
    <x v="1"/>
    <n v="2"/>
  </r>
  <r>
    <x v="412"/>
    <s v="net sales:product 3"/>
    <n v="12.49"/>
    <n v="246"/>
    <n v="3072.54"/>
    <s v="net sales"/>
    <x v="3"/>
    <x v="1"/>
    <n v="2"/>
  </r>
  <r>
    <x v="413"/>
    <s v="cogs:product 1"/>
    <n v="5.49"/>
    <n v="42"/>
    <n v="230.58"/>
    <s v="cogs"/>
    <x v="1"/>
    <x v="1"/>
    <n v="2"/>
  </r>
  <r>
    <x v="413"/>
    <s v="cogs:product 2"/>
    <n v="19.989999999999998"/>
    <n v="2"/>
    <n v="39.979999999999997"/>
    <s v="cogs"/>
    <x v="2"/>
    <x v="1"/>
    <n v="2"/>
  </r>
  <r>
    <x v="413"/>
    <s v="cogs:product 3"/>
    <n v="8.99"/>
    <n v="191"/>
    <n v="1717.0900000000001"/>
    <s v="cogs"/>
    <x v="3"/>
    <x v="1"/>
    <n v="2"/>
  </r>
  <r>
    <x v="413"/>
    <s v="marketing"/>
    <s v="NA"/>
    <s v="NA"/>
    <n v="113.07000000000001"/>
    <s v="marketing"/>
    <x v="0"/>
    <x v="1"/>
    <n v="2"/>
  </r>
  <r>
    <x v="413"/>
    <s v="net sales:product 1"/>
    <n v="9.99"/>
    <n v="42"/>
    <n v="419.58"/>
    <s v="net sales"/>
    <x v="1"/>
    <x v="1"/>
    <n v="2"/>
  </r>
  <r>
    <x v="413"/>
    <s v="net sales:product 2"/>
    <n v="24.99"/>
    <n v="2"/>
    <n v="49.98"/>
    <s v="net sales"/>
    <x v="2"/>
    <x v="1"/>
    <n v="2"/>
  </r>
  <r>
    <x v="413"/>
    <s v="net sales:product 3"/>
    <n v="12.49"/>
    <n v="191"/>
    <n v="2385.59"/>
    <s v="net sales"/>
    <x v="3"/>
    <x v="1"/>
    <n v="2"/>
  </r>
  <r>
    <x v="414"/>
    <s v="cogs:product 1"/>
    <n v="5.49"/>
    <n v="19"/>
    <n v="104.31"/>
    <s v="cogs"/>
    <x v="1"/>
    <x v="1"/>
    <n v="2"/>
  </r>
  <r>
    <x v="414"/>
    <s v="cogs:product 2"/>
    <n v="19.989999999999998"/>
    <n v="6"/>
    <n v="119.94"/>
    <s v="cogs"/>
    <x v="2"/>
    <x v="1"/>
    <n v="2"/>
  </r>
  <r>
    <x v="414"/>
    <s v="cogs:product 3"/>
    <n v="8.99"/>
    <n v="160"/>
    <n v="1438.4"/>
    <s v="cogs"/>
    <x v="3"/>
    <x v="1"/>
    <n v="2"/>
  </r>
  <r>
    <x v="414"/>
    <s v="marketing"/>
    <s v="NA"/>
    <s v="NA"/>
    <n v="114.07000000000001"/>
    <s v="marketing"/>
    <x v="0"/>
    <x v="1"/>
    <n v="2"/>
  </r>
  <r>
    <x v="414"/>
    <s v="net sales:product 1"/>
    <n v="9.99"/>
    <n v="19"/>
    <n v="189.81"/>
    <s v="net sales"/>
    <x v="1"/>
    <x v="1"/>
    <n v="2"/>
  </r>
  <r>
    <x v="414"/>
    <s v="net sales:product 2"/>
    <n v="24.99"/>
    <n v="6"/>
    <n v="149.94"/>
    <s v="net sales"/>
    <x v="2"/>
    <x v="1"/>
    <n v="2"/>
  </r>
  <r>
    <x v="414"/>
    <s v="net sales:product 3"/>
    <n v="12.49"/>
    <n v="160"/>
    <n v="1998.4"/>
    <s v="net sales"/>
    <x v="3"/>
    <x v="1"/>
    <n v="2"/>
  </r>
  <r>
    <x v="415"/>
    <s v="cogs:product 1"/>
    <n v="5.49"/>
    <n v="43"/>
    <n v="236.07000000000002"/>
    <s v="cogs"/>
    <x v="1"/>
    <x v="1"/>
    <n v="2"/>
  </r>
  <r>
    <x v="415"/>
    <s v="cogs:product 2"/>
    <n v="19.989999999999998"/>
    <n v="7"/>
    <n v="139.92999999999998"/>
    <s v="cogs"/>
    <x v="2"/>
    <x v="1"/>
    <n v="2"/>
  </r>
  <r>
    <x v="415"/>
    <s v="cogs:product 3"/>
    <n v="8.99"/>
    <n v="149"/>
    <n v="1339.51"/>
    <s v="cogs"/>
    <x v="3"/>
    <x v="1"/>
    <n v="2"/>
  </r>
  <r>
    <x v="415"/>
    <s v="marketing"/>
    <s v="NA"/>
    <s v="NA"/>
    <n v="105.99000000000001"/>
    <s v="marketing"/>
    <x v="0"/>
    <x v="1"/>
    <n v="2"/>
  </r>
  <r>
    <x v="415"/>
    <s v="net sales:product 1"/>
    <n v="9.99"/>
    <n v="43"/>
    <n v="429.57"/>
    <s v="net sales"/>
    <x v="1"/>
    <x v="1"/>
    <n v="2"/>
  </r>
  <r>
    <x v="415"/>
    <s v="net sales:product 2"/>
    <n v="24.99"/>
    <n v="7"/>
    <n v="174.92999999999998"/>
    <s v="net sales"/>
    <x v="2"/>
    <x v="1"/>
    <n v="2"/>
  </r>
  <r>
    <x v="415"/>
    <s v="net sales:product 3"/>
    <n v="12.49"/>
    <n v="149"/>
    <n v="1861.01"/>
    <s v="net sales"/>
    <x v="3"/>
    <x v="1"/>
    <n v="2"/>
  </r>
  <r>
    <x v="416"/>
    <s v="cogs:product 1"/>
    <n v="5.49"/>
    <n v="21"/>
    <n v="115.29"/>
    <s v="cogs"/>
    <x v="1"/>
    <x v="1"/>
    <n v="2"/>
  </r>
  <r>
    <x v="416"/>
    <s v="cogs:product 2"/>
    <n v="19.989999999999998"/>
    <n v="4"/>
    <n v="79.959999999999994"/>
    <s v="cogs"/>
    <x v="2"/>
    <x v="1"/>
    <n v="2"/>
  </r>
  <r>
    <x v="416"/>
    <s v="cogs:product 3"/>
    <n v="8.99"/>
    <n v="187"/>
    <n v="1681.13"/>
    <s v="cogs"/>
    <x v="3"/>
    <x v="1"/>
    <n v="2"/>
  </r>
  <r>
    <x v="416"/>
    <s v="marketing"/>
    <s v="NA"/>
    <s v="NA"/>
    <n v="107.03"/>
    <s v="marketing"/>
    <x v="0"/>
    <x v="1"/>
    <n v="2"/>
  </r>
  <r>
    <x v="416"/>
    <s v="net sales:product 1"/>
    <n v="9.99"/>
    <n v="21"/>
    <n v="209.79"/>
    <s v="net sales"/>
    <x v="1"/>
    <x v="1"/>
    <n v="2"/>
  </r>
  <r>
    <x v="416"/>
    <s v="net sales:product 2"/>
    <n v="24.99"/>
    <n v="4"/>
    <n v="99.96"/>
    <s v="net sales"/>
    <x v="2"/>
    <x v="1"/>
    <n v="2"/>
  </r>
  <r>
    <x v="416"/>
    <s v="net sales:product 3"/>
    <n v="12.49"/>
    <n v="187"/>
    <n v="2335.63"/>
    <s v="net sales"/>
    <x v="3"/>
    <x v="1"/>
    <n v="2"/>
  </r>
  <r>
    <x v="417"/>
    <s v="cogs:product 1"/>
    <n v="5.49"/>
    <n v="30"/>
    <n v="164.70000000000002"/>
    <s v="cogs"/>
    <x v="1"/>
    <x v="1"/>
    <n v="2"/>
  </r>
  <r>
    <x v="417"/>
    <s v="cogs:product 2"/>
    <n v="19.989999999999998"/>
    <n v="7"/>
    <n v="139.92999999999998"/>
    <s v="cogs"/>
    <x v="2"/>
    <x v="1"/>
    <n v="2"/>
  </r>
  <r>
    <x v="417"/>
    <s v="cogs:product 3"/>
    <n v="8.99"/>
    <n v="119"/>
    <n v="1069.81"/>
    <s v="cogs"/>
    <x v="3"/>
    <x v="1"/>
    <n v="2"/>
  </r>
  <r>
    <x v="417"/>
    <s v="marketing"/>
    <s v="NA"/>
    <s v="NA"/>
    <n v="103.07000000000001"/>
    <s v="marketing"/>
    <x v="0"/>
    <x v="1"/>
    <n v="2"/>
  </r>
  <r>
    <x v="417"/>
    <s v="net sales:product 1"/>
    <n v="9.99"/>
    <n v="30"/>
    <n v="299.7"/>
    <s v="net sales"/>
    <x v="1"/>
    <x v="1"/>
    <n v="2"/>
  </r>
  <r>
    <x v="417"/>
    <s v="net sales:product 2"/>
    <n v="24.99"/>
    <n v="7"/>
    <n v="174.92999999999998"/>
    <s v="net sales"/>
    <x v="2"/>
    <x v="1"/>
    <n v="2"/>
  </r>
  <r>
    <x v="417"/>
    <s v="net sales:product 3"/>
    <n v="12.49"/>
    <n v="119"/>
    <n v="1486.31"/>
    <s v="net sales"/>
    <x v="3"/>
    <x v="1"/>
    <n v="2"/>
  </r>
  <r>
    <x v="418"/>
    <s v="cogs:product 1"/>
    <n v="5.49"/>
    <n v="71"/>
    <n v="389.79"/>
    <s v="cogs"/>
    <x v="1"/>
    <x v="1"/>
    <n v="2"/>
  </r>
  <r>
    <x v="418"/>
    <s v="cogs:product 2"/>
    <n v="19.989999999999998"/>
    <n v="9"/>
    <n v="179.91"/>
    <s v="cogs"/>
    <x v="2"/>
    <x v="1"/>
    <n v="2"/>
  </r>
  <r>
    <x v="418"/>
    <s v="cogs:product 3"/>
    <n v="8.99"/>
    <n v="124"/>
    <n v="1114.76"/>
    <s v="cogs"/>
    <x v="3"/>
    <x v="1"/>
    <n v="2"/>
  </r>
  <r>
    <x v="418"/>
    <s v="marketing"/>
    <s v="NA"/>
    <s v="NA"/>
    <n v="117.02"/>
    <s v="marketing"/>
    <x v="0"/>
    <x v="1"/>
    <n v="2"/>
  </r>
  <r>
    <x v="418"/>
    <s v="net sales:product 1"/>
    <n v="9.99"/>
    <n v="71"/>
    <n v="709.29"/>
    <s v="net sales"/>
    <x v="1"/>
    <x v="1"/>
    <n v="2"/>
  </r>
  <r>
    <x v="418"/>
    <s v="net sales:product 2"/>
    <n v="24.99"/>
    <n v="9"/>
    <n v="224.91"/>
    <s v="net sales"/>
    <x v="2"/>
    <x v="1"/>
    <n v="2"/>
  </r>
  <r>
    <x v="418"/>
    <s v="net sales:product 3"/>
    <n v="12.49"/>
    <n v="124"/>
    <n v="1548.76"/>
    <s v="net sales"/>
    <x v="3"/>
    <x v="1"/>
    <n v="2"/>
  </r>
  <r>
    <x v="419"/>
    <s v="cogs:product 1"/>
    <n v="5.49"/>
    <n v="86"/>
    <n v="472.14000000000004"/>
    <s v="cogs"/>
    <x v="1"/>
    <x v="1"/>
    <n v="2"/>
  </r>
  <r>
    <x v="419"/>
    <s v="cogs:product 2"/>
    <n v="19.989999999999998"/>
    <n v="2"/>
    <n v="39.979999999999997"/>
    <s v="cogs"/>
    <x v="2"/>
    <x v="1"/>
    <n v="2"/>
  </r>
  <r>
    <x v="419"/>
    <s v="cogs:product 3"/>
    <n v="8.99"/>
    <n v="15"/>
    <n v="134.85"/>
    <s v="cogs"/>
    <x v="3"/>
    <x v="1"/>
    <n v="2"/>
  </r>
  <r>
    <x v="419"/>
    <s v="marketing"/>
    <s v="NA"/>
    <s v="NA"/>
    <n v="105.94"/>
    <s v="marketing"/>
    <x v="0"/>
    <x v="1"/>
    <n v="2"/>
  </r>
  <r>
    <x v="419"/>
    <s v="net sales:product 1"/>
    <n v="9.99"/>
    <n v="86"/>
    <n v="859.14"/>
    <s v="net sales"/>
    <x v="1"/>
    <x v="1"/>
    <n v="2"/>
  </r>
  <r>
    <x v="419"/>
    <s v="net sales:product 2"/>
    <n v="24.99"/>
    <n v="2"/>
    <n v="49.98"/>
    <s v="net sales"/>
    <x v="2"/>
    <x v="1"/>
    <n v="2"/>
  </r>
  <r>
    <x v="419"/>
    <s v="net sales:product 3"/>
    <n v="12.49"/>
    <n v="15"/>
    <n v="187.35"/>
    <s v="net sales"/>
    <x v="3"/>
    <x v="1"/>
    <n v="2"/>
  </r>
  <r>
    <x v="420"/>
    <s v="cogs:product 1"/>
    <n v="5.49"/>
    <n v="35"/>
    <n v="192.15"/>
    <s v="cogs"/>
    <x v="1"/>
    <x v="1"/>
    <n v="2"/>
  </r>
  <r>
    <x v="420"/>
    <s v="cogs:product 2"/>
    <n v="19.989999999999998"/>
    <n v="5"/>
    <n v="99.949999999999989"/>
    <s v="cogs"/>
    <x v="2"/>
    <x v="1"/>
    <n v="2"/>
  </r>
  <r>
    <x v="420"/>
    <s v="cogs:product 3"/>
    <n v="8.99"/>
    <n v="151"/>
    <n v="1357.49"/>
    <s v="cogs"/>
    <x v="3"/>
    <x v="1"/>
    <n v="2"/>
  </r>
  <r>
    <x v="420"/>
    <s v="marketing"/>
    <s v="NA"/>
    <s v="NA"/>
    <n v="117.94"/>
    <s v="marketing"/>
    <x v="0"/>
    <x v="1"/>
    <n v="2"/>
  </r>
  <r>
    <x v="420"/>
    <s v="net sales:product 1"/>
    <n v="9.99"/>
    <n v="35"/>
    <n v="349.65000000000003"/>
    <s v="net sales"/>
    <x v="1"/>
    <x v="1"/>
    <n v="2"/>
  </r>
  <r>
    <x v="420"/>
    <s v="net sales:product 2"/>
    <n v="24.99"/>
    <n v="5"/>
    <n v="124.94999999999999"/>
    <s v="net sales"/>
    <x v="2"/>
    <x v="1"/>
    <n v="2"/>
  </r>
  <r>
    <x v="420"/>
    <s v="net sales:product 3"/>
    <n v="12.49"/>
    <n v="151"/>
    <n v="1885.99"/>
    <s v="net sales"/>
    <x v="3"/>
    <x v="1"/>
    <n v="2"/>
  </r>
  <r>
    <x v="421"/>
    <s v="cogs:product 1"/>
    <n v="5.49"/>
    <n v="34"/>
    <n v="186.66"/>
    <s v="cogs"/>
    <x v="1"/>
    <x v="1"/>
    <n v="2"/>
  </r>
  <r>
    <x v="421"/>
    <s v="cogs:product 2"/>
    <n v="19.989999999999998"/>
    <n v="0"/>
    <n v="0"/>
    <s v="cogs"/>
    <x v="2"/>
    <x v="1"/>
    <n v="2"/>
  </r>
  <r>
    <x v="421"/>
    <s v="cogs:product 3"/>
    <n v="8.99"/>
    <n v="78"/>
    <n v="701.22"/>
    <s v="cogs"/>
    <x v="3"/>
    <x v="1"/>
    <n v="2"/>
  </r>
  <r>
    <x v="421"/>
    <s v="marketing"/>
    <s v="NA"/>
    <s v="NA"/>
    <n v="106.03"/>
    <s v="marketing"/>
    <x v="0"/>
    <x v="1"/>
    <n v="2"/>
  </r>
  <r>
    <x v="421"/>
    <s v="net sales:product 1"/>
    <n v="9.99"/>
    <n v="34"/>
    <n v="339.66"/>
    <s v="net sales"/>
    <x v="1"/>
    <x v="1"/>
    <n v="2"/>
  </r>
  <r>
    <x v="421"/>
    <s v="net sales:product 2"/>
    <n v="24.99"/>
    <n v="0"/>
    <n v="0"/>
    <s v="net sales"/>
    <x v="2"/>
    <x v="1"/>
    <n v="2"/>
  </r>
  <r>
    <x v="421"/>
    <s v="net sales:product 3"/>
    <n v="12.49"/>
    <n v="78"/>
    <n v="974.22"/>
    <s v="net sales"/>
    <x v="3"/>
    <x v="1"/>
    <n v="2"/>
  </r>
  <r>
    <x v="422"/>
    <s v="cogs:product 1"/>
    <n v="5.49"/>
    <n v="44"/>
    <n v="241.56"/>
    <s v="cogs"/>
    <x v="1"/>
    <x v="1"/>
    <n v="2"/>
  </r>
  <r>
    <x v="422"/>
    <s v="cogs:product 2"/>
    <n v="19.989999999999998"/>
    <n v="7"/>
    <n v="139.92999999999998"/>
    <s v="cogs"/>
    <x v="2"/>
    <x v="1"/>
    <n v="2"/>
  </r>
  <r>
    <x v="422"/>
    <s v="cogs:product 3"/>
    <n v="8.99"/>
    <n v="116"/>
    <n v="1042.8399999999999"/>
    <s v="cogs"/>
    <x v="3"/>
    <x v="1"/>
    <n v="2"/>
  </r>
  <r>
    <x v="422"/>
    <s v="marketing"/>
    <s v="NA"/>
    <s v="NA"/>
    <n v="116.02"/>
    <s v="marketing"/>
    <x v="0"/>
    <x v="1"/>
    <n v="2"/>
  </r>
  <r>
    <x v="422"/>
    <s v="net sales:product 1"/>
    <n v="9.99"/>
    <n v="44"/>
    <n v="439.56"/>
    <s v="net sales"/>
    <x v="1"/>
    <x v="1"/>
    <n v="2"/>
  </r>
  <r>
    <x v="422"/>
    <s v="net sales:product 2"/>
    <n v="24.99"/>
    <n v="7"/>
    <n v="174.92999999999998"/>
    <s v="net sales"/>
    <x v="2"/>
    <x v="1"/>
    <n v="2"/>
  </r>
  <r>
    <x v="422"/>
    <s v="net sales:product 3"/>
    <n v="12.49"/>
    <n v="116"/>
    <n v="1448.84"/>
    <s v="net sales"/>
    <x v="3"/>
    <x v="1"/>
    <n v="2"/>
  </r>
  <r>
    <x v="423"/>
    <s v="cogs:product 1"/>
    <n v="5.49"/>
    <n v="47"/>
    <n v="258.03000000000003"/>
    <s v="cogs"/>
    <x v="1"/>
    <x v="1"/>
    <n v="2"/>
  </r>
  <r>
    <x v="423"/>
    <s v="cogs:product 2"/>
    <n v="19.989999999999998"/>
    <n v="3"/>
    <n v="59.97"/>
    <s v="cogs"/>
    <x v="2"/>
    <x v="1"/>
    <n v="2"/>
  </r>
  <r>
    <x v="423"/>
    <s v="cogs:product 3"/>
    <n v="8.99"/>
    <n v="0"/>
    <n v="0"/>
    <s v="cogs"/>
    <x v="3"/>
    <x v="1"/>
    <n v="2"/>
  </r>
  <r>
    <x v="423"/>
    <s v="marketing"/>
    <s v="NA"/>
    <s v="NA"/>
    <n v="108.91"/>
    <s v="marketing"/>
    <x v="0"/>
    <x v="1"/>
    <n v="2"/>
  </r>
  <r>
    <x v="423"/>
    <s v="net sales:product 1"/>
    <n v="9.99"/>
    <n v="47"/>
    <n v="469.53000000000003"/>
    <s v="net sales"/>
    <x v="1"/>
    <x v="1"/>
    <n v="2"/>
  </r>
  <r>
    <x v="423"/>
    <s v="net sales:product 2"/>
    <n v="24.99"/>
    <n v="3"/>
    <n v="74.97"/>
    <s v="net sales"/>
    <x v="2"/>
    <x v="1"/>
    <n v="2"/>
  </r>
  <r>
    <x v="423"/>
    <s v="net sales:product 3"/>
    <n v="12.49"/>
    <n v="0"/>
    <n v="0"/>
    <s v="net sales"/>
    <x v="3"/>
    <x v="1"/>
    <n v="2"/>
  </r>
  <r>
    <x v="424"/>
    <s v="cogs:product 1"/>
    <n v="5.49"/>
    <n v="28"/>
    <n v="153.72"/>
    <s v="cogs"/>
    <x v="1"/>
    <x v="1"/>
    <n v="2"/>
  </r>
  <r>
    <x v="424"/>
    <s v="cogs:product 2"/>
    <n v="19.989999999999998"/>
    <n v="0"/>
    <n v="0"/>
    <s v="cogs"/>
    <x v="2"/>
    <x v="1"/>
    <n v="2"/>
  </r>
  <r>
    <x v="424"/>
    <s v="cogs:product 3"/>
    <n v="8.99"/>
    <n v="53"/>
    <n v="476.47"/>
    <s v="cogs"/>
    <x v="3"/>
    <x v="1"/>
    <n v="2"/>
  </r>
  <r>
    <x v="424"/>
    <s v="marketing"/>
    <s v="NA"/>
    <s v="NA"/>
    <n v="106.04"/>
    <s v="marketing"/>
    <x v="0"/>
    <x v="1"/>
    <n v="2"/>
  </r>
  <r>
    <x v="424"/>
    <s v="net sales:product 1"/>
    <n v="9.99"/>
    <n v="28"/>
    <n v="279.72000000000003"/>
    <s v="net sales"/>
    <x v="1"/>
    <x v="1"/>
    <n v="2"/>
  </r>
  <r>
    <x v="424"/>
    <s v="net sales:product 2"/>
    <n v="24.99"/>
    <n v="0"/>
    <n v="0"/>
    <s v="net sales"/>
    <x v="2"/>
    <x v="1"/>
    <n v="2"/>
  </r>
  <r>
    <x v="424"/>
    <s v="net sales:product 3"/>
    <n v="12.49"/>
    <n v="53"/>
    <n v="661.97"/>
    <s v="net sales"/>
    <x v="3"/>
    <x v="1"/>
    <n v="2"/>
  </r>
  <r>
    <x v="424"/>
    <s v="payroll"/>
    <s v="NA"/>
    <s v="NA"/>
    <n v="1200"/>
    <s v="payroll"/>
    <x v="0"/>
    <x v="1"/>
    <n v="2"/>
  </r>
  <r>
    <x v="425"/>
    <s v="amortization"/>
    <s v="NA"/>
    <s v="NA"/>
    <n v="50"/>
    <s v="amortization"/>
    <x v="0"/>
    <x v="1"/>
    <n v="3"/>
  </r>
  <r>
    <x v="425"/>
    <s v="cogs:product 1"/>
    <n v="5.49"/>
    <n v="72"/>
    <n v="395.28000000000003"/>
    <s v="cogs"/>
    <x v="1"/>
    <x v="1"/>
    <n v="3"/>
  </r>
  <r>
    <x v="425"/>
    <s v="cogs:product 2"/>
    <n v="19.989999999999998"/>
    <n v="1"/>
    <n v="19.989999999999998"/>
    <s v="cogs"/>
    <x v="2"/>
    <x v="1"/>
    <n v="3"/>
  </r>
  <r>
    <x v="425"/>
    <s v="cogs:product 3"/>
    <n v="8.99"/>
    <n v="87"/>
    <n v="782.13"/>
    <s v="cogs"/>
    <x v="3"/>
    <x v="1"/>
    <n v="3"/>
  </r>
  <r>
    <x v="425"/>
    <s v="marketing"/>
    <s v="NA"/>
    <s v="NA"/>
    <n v="112.05"/>
    <s v="marketing"/>
    <x v="0"/>
    <x v="1"/>
    <n v="3"/>
  </r>
  <r>
    <x v="425"/>
    <s v="net sales:product 1"/>
    <n v="9.99"/>
    <n v="72"/>
    <n v="719.28"/>
    <s v="net sales"/>
    <x v="1"/>
    <x v="1"/>
    <n v="3"/>
  </r>
  <r>
    <x v="425"/>
    <s v="net sales:product 2"/>
    <n v="24.99"/>
    <n v="1"/>
    <n v="24.99"/>
    <s v="net sales"/>
    <x v="2"/>
    <x v="1"/>
    <n v="3"/>
  </r>
  <r>
    <x v="425"/>
    <s v="net sales:product 3"/>
    <n v="12.49"/>
    <n v="87"/>
    <n v="1086.6300000000001"/>
    <s v="net sales"/>
    <x v="3"/>
    <x v="1"/>
    <n v="3"/>
  </r>
  <r>
    <x v="425"/>
    <s v="overhead"/>
    <s v="NA"/>
    <s v="NA"/>
    <n v="2000"/>
    <s v="overhead"/>
    <x v="0"/>
    <x v="1"/>
    <n v="3"/>
  </r>
  <r>
    <x v="426"/>
    <s v="cogs:product 1"/>
    <n v="5.49"/>
    <n v="88"/>
    <n v="483.12"/>
    <s v="cogs"/>
    <x v="1"/>
    <x v="1"/>
    <n v="3"/>
  </r>
  <r>
    <x v="426"/>
    <s v="cogs:product 2"/>
    <n v="19.989999999999998"/>
    <n v="4"/>
    <n v="79.959999999999994"/>
    <s v="cogs"/>
    <x v="2"/>
    <x v="1"/>
    <n v="3"/>
  </r>
  <r>
    <x v="426"/>
    <s v="cogs:product 3"/>
    <n v="8.99"/>
    <n v="148"/>
    <n v="1330.52"/>
    <s v="cogs"/>
    <x v="3"/>
    <x v="1"/>
    <n v="3"/>
  </r>
  <r>
    <x v="426"/>
    <s v="marketing"/>
    <s v="NA"/>
    <s v="NA"/>
    <n v="112.08"/>
    <s v="marketing"/>
    <x v="0"/>
    <x v="1"/>
    <n v="3"/>
  </r>
  <r>
    <x v="426"/>
    <s v="net sales:product 1"/>
    <n v="9.99"/>
    <n v="88"/>
    <n v="879.12"/>
    <s v="net sales"/>
    <x v="1"/>
    <x v="1"/>
    <n v="3"/>
  </r>
  <r>
    <x v="426"/>
    <s v="net sales:product 2"/>
    <n v="24.99"/>
    <n v="4"/>
    <n v="99.96"/>
    <s v="net sales"/>
    <x v="2"/>
    <x v="1"/>
    <n v="3"/>
  </r>
  <r>
    <x v="426"/>
    <s v="net sales:product 3"/>
    <n v="12.49"/>
    <n v="148"/>
    <n v="1848.52"/>
    <s v="net sales"/>
    <x v="3"/>
    <x v="1"/>
    <n v="3"/>
  </r>
  <r>
    <x v="427"/>
    <s v="cogs:product 1"/>
    <n v="5.49"/>
    <n v="41"/>
    <n v="225.09"/>
    <s v="cogs"/>
    <x v="1"/>
    <x v="1"/>
    <n v="3"/>
  </r>
  <r>
    <x v="427"/>
    <s v="cogs:product 2"/>
    <n v="19.989999999999998"/>
    <n v="1"/>
    <n v="19.989999999999998"/>
    <s v="cogs"/>
    <x v="2"/>
    <x v="1"/>
    <n v="3"/>
  </r>
  <r>
    <x v="427"/>
    <s v="cogs:product 3"/>
    <n v="8.99"/>
    <n v="65"/>
    <n v="584.35"/>
    <s v="cogs"/>
    <x v="3"/>
    <x v="1"/>
    <n v="3"/>
  </r>
  <r>
    <x v="427"/>
    <s v="marketing"/>
    <s v="NA"/>
    <s v="NA"/>
    <n v="113.94"/>
    <s v="marketing"/>
    <x v="0"/>
    <x v="1"/>
    <n v="3"/>
  </r>
  <r>
    <x v="427"/>
    <s v="net sales:product 1"/>
    <n v="9.99"/>
    <n v="41"/>
    <n v="409.59000000000003"/>
    <s v="net sales"/>
    <x v="1"/>
    <x v="1"/>
    <n v="3"/>
  </r>
  <r>
    <x v="427"/>
    <s v="net sales:product 2"/>
    <n v="24.99"/>
    <n v="1"/>
    <n v="24.99"/>
    <s v="net sales"/>
    <x v="2"/>
    <x v="1"/>
    <n v="3"/>
  </r>
  <r>
    <x v="427"/>
    <s v="net sales:product 3"/>
    <n v="12.49"/>
    <n v="65"/>
    <n v="811.85"/>
    <s v="net sales"/>
    <x v="3"/>
    <x v="1"/>
    <n v="3"/>
  </r>
  <r>
    <x v="428"/>
    <s v="cogs:product 1"/>
    <n v="5.49"/>
    <n v="3"/>
    <n v="16.47"/>
    <s v="cogs"/>
    <x v="1"/>
    <x v="1"/>
    <n v="3"/>
  </r>
  <r>
    <x v="428"/>
    <s v="cogs:product 2"/>
    <n v="19.989999999999998"/>
    <n v="3"/>
    <n v="59.97"/>
    <s v="cogs"/>
    <x v="2"/>
    <x v="1"/>
    <n v="3"/>
  </r>
  <r>
    <x v="428"/>
    <s v="cogs:product 3"/>
    <n v="8.99"/>
    <n v="0"/>
    <n v="0"/>
    <s v="cogs"/>
    <x v="3"/>
    <x v="1"/>
    <n v="3"/>
  </r>
  <r>
    <x v="428"/>
    <s v="marketing"/>
    <s v="NA"/>
    <s v="NA"/>
    <n v="114.07000000000001"/>
    <s v="marketing"/>
    <x v="0"/>
    <x v="1"/>
    <n v="3"/>
  </r>
  <r>
    <x v="428"/>
    <s v="net sales:product 1"/>
    <n v="9.99"/>
    <n v="3"/>
    <n v="29.97"/>
    <s v="net sales"/>
    <x v="1"/>
    <x v="1"/>
    <n v="3"/>
  </r>
  <r>
    <x v="428"/>
    <s v="net sales:product 2"/>
    <n v="24.99"/>
    <n v="3"/>
    <n v="74.97"/>
    <s v="net sales"/>
    <x v="2"/>
    <x v="1"/>
    <n v="3"/>
  </r>
  <r>
    <x v="428"/>
    <s v="net sales:product 3"/>
    <n v="12.49"/>
    <n v="0"/>
    <n v="0"/>
    <s v="net sales"/>
    <x v="3"/>
    <x v="1"/>
    <n v="3"/>
  </r>
  <r>
    <x v="429"/>
    <s v="cogs:product 1"/>
    <n v="5.49"/>
    <n v="46"/>
    <n v="252.54000000000002"/>
    <s v="cogs"/>
    <x v="1"/>
    <x v="1"/>
    <n v="3"/>
  </r>
  <r>
    <x v="429"/>
    <s v="cogs:product 2"/>
    <n v="19.989999999999998"/>
    <n v="1"/>
    <n v="19.989999999999998"/>
    <s v="cogs"/>
    <x v="2"/>
    <x v="1"/>
    <n v="3"/>
  </r>
  <r>
    <x v="429"/>
    <s v="cogs:product 3"/>
    <n v="8.99"/>
    <n v="226"/>
    <n v="2031.74"/>
    <s v="cogs"/>
    <x v="3"/>
    <x v="1"/>
    <n v="3"/>
  </r>
  <r>
    <x v="429"/>
    <s v="marketing"/>
    <s v="NA"/>
    <s v="NA"/>
    <n v="101.95"/>
    <s v="marketing"/>
    <x v="0"/>
    <x v="1"/>
    <n v="3"/>
  </r>
  <r>
    <x v="429"/>
    <s v="net sales:product 1"/>
    <n v="9.99"/>
    <n v="46"/>
    <n v="459.54"/>
    <s v="net sales"/>
    <x v="1"/>
    <x v="1"/>
    <n v="3"/>
  </r>
  <r>
    <x v="429"/>
    <s v="net sales:product 2"/>
    <n v="24.99"/>
    <n v="1"/>
    <n v="24.99"/>
    <s v="net sales"/>
    <x v="2"/>
    <x v="1"/>
    <n v="3"/>
  </r>
  <r>
    <x v="429"/>
    <s v="net sales:product 3"/>
    <n v="12.49"/>
    <n v="226"/>
    <n v="2822.7400000000002"/>
    <s v="net sales"/>
    <x v="3"/>
    <x v="1"/>
    <n v="3"/>
  </r>
  <r>
    <x v="430"/>
    <s v="cogs:product 1"/>
    <n v="5.49"/>
    <n v="90"/>
    <n v="494.1"/>
    <s v="cogs"/>
    <x v="1"/>
    <x v="1"/>
    <n v="3"/>
  </r>
  <r>
    <x v="430"/>
    <s v="cogs:product 2"/>
    <n v="19.989999999999998"/>
    <n v="1"/>
    <n v="19.989999999999998"/>
    <s v="cogs"/>
    <x v="2"/>
    <x v="1"/>
    <n v="3"/>
  </r>
  <r>
    <x v="430"/>
    <s v="cogs:product 3"/>
    <n v="8.99"/>
    <n v="2"/>
    <n v="17.98"/>
    <s v="cogs"/>
    <x v="3"/>
    <x v="1"/>
    <n v="3"/>
  </r>
  <r>
    <x v="430"/>
    <s v="marketing"/>
    <s v="NA"/>
    <s v="NA"/>
    <n v="109.93"/>
    <s v="marketing"/>
    <x v="0"/>
    <x v="1"/>
    <n v="3"/>
  </r>
  <r>
    <x v="430"/>
    <s v="net sales:product 1"/>
    <n v="9.99"/>
    <n v="90"/>
    <n v="899.1"/>
    <s v="net sales"/>
    <x v="1"/>
    <x v="1"/>
    <n v="3"/>
  </r>
  <r>
    <x v="430"/>
    <s v="net sales:product 2"/>
    <n v="24.99"/>
    <n v="1"/>
    <n v="24.99"/>
    <s v="net sales"/>
    <x v="2"/>
    <x v="1"/>
    <n v="3"/>
  </r>
  <r>
    <x v="430"/>
    <s v="net sales:product 3"/>
    <n v="12.49"/>
    <n v="2"/>
    <n v="24.98"/>
    <s v="net sales"/>
    <x v="3"/>
    <x v="1"/>
    <n v="3"/>
  </r>
  <r>
    <x v="431"/>
    <s v="cogs:product 1"/>
    <n v="5.49"/>
    <n v="49"/>
    <n v="269.01"/>
    <s v="cogs"/>
    <x v="1"/>
    <x v="1"/>
    <n v="3"/>
  </r>
  <r>
    <x v="431"/>
    <s v="cogs:product 2"/>
    <n v="19.989999999999998"/>
    <n v="5"/>
    <n v="99.949999999999989"/>
    <s v="cogs"/>
    <x v="2"/>
    <x v="1"/>
    <n v="3"/>
  </r>
  <r>
    <x v="431"/>
    <s v="cogs:product 3"/>
    <n v="8.99"/>
    <n v="44"/>
    <n v="395.56"/>
    <s v="cogs"/>
    <x v="3"/>
    <x v="1"/>
    <n v="3"/>
  </r>
  <r>
    <x v="431"/>
    <s v="marketing"/>
    <s v="NA"/>
    <s v="NA"/>
    <n v="102.91"/>
    <s v="marketing"/>
    <x v="0"/>
    <x v="1"/>
    <n v="3"/>
  </r>
  <r>
    <x v="431"/>
    <s v="net sales:product 1"/>
    <n v="9.99"/>
    <n v="49"/>
    <n v="489.51"/>
    <s v="net sales"/>
    <x v="1"/>
    <x v="1"/>
    <n v="3"/>
  </r>
  <r>
    <x v="431"/>
    <s v="net sales:product 2"/>
    <n v="24.99"/>
    <n v="5"/>
    <n v="124.94999999999999"/>
    <s v="net sales"/>
    <x v="2"/>
    <x v="1"/>
    <n v="3"/>
  </r>
  <r>
    <x v="431"/>
    <s v="net sales:product 3"/>
    <n v="12.49"/>
    <n v="44"/>
    <n v="549.56000000000006"/>
    <s v="net sales"/>
    <x v="3"/>
    <x v="1"/>
    <n v="3"/>
  </r>
  <r>
    <x v="432"/>
    <s v="cogs:product 1"/>
    <n v="5.49"/>
    <n v="26"/>
    <n v="142.74"/>
    <s v="cogs"/>
    <x v="1"/>
    <x v="1"/>
    <n v="3"/>
  </r>
  <r>
    <x v="432"/>
    <s v="cogs:product 2"/>
    <n v="19.989999999999998"/>
    <n v="2"/>
    <n v="39.979999999999997"/>
    <s v="cogs"/>
    <x v="2"/>
    <x v="1"/>
    <n v="3"/>
  </r>
  <r>
    <x v="432"/>
    <s v="cogs:product 3"/>
    <n v="8.99"/>
    <n v="107"/>
    <n v="961.93000000000006"/>
    <s v="cogs"/>
    <x v="3"/>
    <x v="1"/>
    <n v="3"/>
  </r>
  <r>
    <x v="432"/>
    <s v="marketing"/>
    <s v="NA"/>
    <s v="NA"/>
    <n v="103.08"/>
    <s v="marketing"/>
    <x v="0"/>
    <x v="1"/>
    <n v="3"/>
  </r>
  <r>
    <x v="432"/>
    <s v="net sales:product 1"/>
    <n v="9.99"/>
    <n v="26"/>
    <n v="259.74"/>
    <s v="net sales"/>
    <x v="1"/>
    <x v="1"/>
    <n v="3"/>
  </r>
  <r>
    <x v="432"/>
    <s v="net sales:product 2"/>
    <n v="24.99"/>
    <n v="2"/>
    <n v="49.98"/>
    <s v="net sales"/>
    <x v="2"/>
    <x v="1"/>
    <n v="3"/>
  </r>
  <r>
    <x v="432"/>
    <s v="net sales:product 3"/>
    <n v="12.49"/>
    <n v="107"/>
    <n v="1336.43"/>
    <s v="net sales"/>
    <x v="3"/>
    <x v="1"/>
    <n v="3"/>
  </r>
  <r>
    <x v="433"/>
    <s v="cogs:product 1"/>
    <n v="5.49"/>
    <n v="73"/>
    <n v="400.77000000000004"/>
    <s v="cogs"/>
    <x v="1"/>
    <x v="1"/>
    <n v="3"/>
  </r>
  <r>
    <x v="433"/>
    <s v="cogs:product 2"/>
    <n v="19.989999999999998"/>
    <n v="0"/>
    <n v="0"/>
    <s v="cogs"/>
    <x v="2"/>
    <x v="1"/>
    <n v="3"/>
  </r>
  <r>
    <x v="433"/>
    <s v="cogs:product 3"/>
    <n v="8.99"/>
    <n v="74"/>
    <n v="665.26"/>
    <s v="cogs"/>
    <x v="3"/>
    <x v="1"/>
    <n v="3"/>
  </r>
  <r>
    <x v="433"/>
    <s v="marketing"/>
    <s v="NA"/>
    <s v="NA"/>
    <n v="112.08"/>
    <s v="marketing"/>
    <x v="0"/>
    <x v="1"/>
    <n v="3"/>
  </r>
  <r>
    <x v="433"/>
    <s v="net sales:product 1"/>
    <n v="9.99"/>
    <n v="73"/>
    <n v="729.27"/>
    <s v="net sales"/>
    <x v="1"/>
    <x v="1"/>
    <n v="3"/>
  </r>
  <r>
    <x v="433"/>
    <s v="net sales:product 2"/>
    <n v="24.99"/>
    <n v="0"/>
    <n v="0"/>
    <s v="net sales"/>
    <x v="2"/>
    <x v="1"/>
    <n v="3"/>
  </r>
  <r>
    <x v="433"/>
    <s v="net sales:product 3"/>
    <n v="12.49"/>
    <n v="74"/>
    <n v="924.26"/>
    <s v="net sales"/>
    <x v="3"/>
    <x v="1"/>
    <n v="3"/>
  </r>
  <r>
    <x v="434"/>
    <s v="cogs:product 1"/>
    <n v="5.49"/>
    <n v="72"/>
    <n v="395.28000000000003"/>
    <s v="cogs"/>
    <x v="1"/>
    <x v="1"/>
    <n v="3"/>
  </r>
  <r>
    <x v="434"/>
    <s v="cogs:product 2"/>
    <n v="19.989999999999998"/>
    <n v="3"/>
    <n v="59.97"/>
    <s v="cogs"/>
    <x v="2"/>
    <x v="1"/>
    <n v="3"/>
  </r>
  <r>
    <x v="434"/>
    <s v="cogs:product 3"/>
    <n v="8.99"/>
    <n v="99"/>
    <n v="890.01"/>
    <s v="cogs"/>
    <x v="3"/>
    <x v="1"/>
    <n v="3"/>
  </r>
  <r>
    <x v="434"/>
    <s v="marketing"/>
    <s v="NA"/>
    <s v="NA"/>
    <n v="120.05"/>
    <s v="marketing"/>
    <x v="0"/>
    <x v="1"/>
    <n v="3"/>
  </r>
  <r>
    <x v="434"/>
    <s v="net sales:product 1"/>
    <n v="9.99"/>
    <n v="72"/>
    <n v="719.28"/>
    <s v="net sales"/>
    <x v="1"/>
    <x v="1"/>
    <n v="3"/>
  </r>
  <r>
    <x v="434"/>
    <s v="net sales:product 2"/>
    <n v="24.99"/>
    <n v="3"/>
    <n v="74.97"/>
    <s v="net sales"/>
    <x v="2"/>
    <x v="1"/>
    <n v="3"/>
  </r>
  <r>
    <x v="434"/>
    <s v="net sales:product 3"/>
    <n v="12.49"/>
    <n v="99"/>
    <n v="1236.51"/>
    <s v="net sales"/>
    <x v="3"/>
    <x v="1"/>
    <n v="3"/>
  </r>
  <r>
    <x v="435"/>
    <s v="cogs:product 1"/>
    <n v="5.49"/>
    <n v="21"/>
    <n v="115.29"/>
    <s v="cogs"/>
    <x v="1"/>
    <x v="1"/>
    <n v="3"/>
  </r>
  <r>
    <x v="435"/>
    <s v="cogs:product 2"/>
    <n v="19.989999999999998"/>
    <n v="4"/>
    <n v="79.959999999999994"/>
    <s v="cogs"/>
    <x v="2"/>
    <x v="1"/>
    <n v="3"/>
  </r>
  <r>
    <x v="435"/>
    <s v="cogs:product 3"/>
    <n v="8.99"/>
    <n v="95"/>
    <n v="854.05000000000007"/>
    <s v="cogs"/>
    <x v="3"/>
    <x v="1"/>
    <n v="3"/>
  </r>
  <r>
    <x v="435"/>
    <s v="marketing"/>
    <s v="NA"/>
    <s v="NA"/>
    <n v="105.06"/>
    <s v="marketing"/>
    <x v="0"/>
    <x v="1"/>
    <n v="3"/>
  </r>
  <r>
    <x v="435"/>
    <s v="net sales:product 1"/>
    <n v="9.99"/>
    <n v="21"/>
    <n v="209.79"/>
    <s v="net sales"/>
    <x v="1"/>
    <x v="1"/>
    <n v="3"/>
  </r>
  <r>
    <x v="435"/>
    <s v="net sales:product 2"/>
    <n v="24.99"/>
    <n v="4"/>
    <n v="99.96"/>
    <s v="net sales"/>
    <x v="2"/>
    <x v="1"/>
    <n v="3"/>
  </r>
  <r>
    <x v="435"/>
    <s v="net sales:product 3"/>
    <n v="12.49"/>
    <n v="95"/>
    <n v="1186.55"/>
    <s v="net sales"/>
    <x v="3"/>
    <x v="1"/>
    <n v="3"/>
  </r>
  <r>
    <x v="436"/>
    <s v="cogs:product 1"/>
    <n v="5.49"/>
    <n v="71"/>
    <n v="389.79"/>
    <s v="cogs"/>
    <x v="1"/>
    <x v="1"/>
    <n v="3"/>
  </r>
  <r>
    <x v="436"/>
    <s v="cogs:product 2"/>
    <n v="19.989999999999998"/>
    <n v="4"/>
    <n v="79.959999999999994"/>
    <s v="cogs"/>
    <x v="2"/>
    <x v="1"/>
    <n v="3"/>
  </r>
  <r>
    <x v="436"/>
    <s v="cogs:product 3"/>
    <n v="8.99"/>
    <n v="148"/>
    <n v="1330.52"/>
    <s v="cogs"/>
    <x v="3"/>
    <x v="1"/>
    <n v="3"/>
  </r>
  <r>
    <x v="436"/>
    <s v="marketing"/>
    <s v="NA"/>
    <s v="NA"/>
    <n v="114.96000000000001"/>
    <s v="marketing"/>
    <x v="0"/>
    <x v="1"/>
    <n v="3"/>
  </r>
  <r>
    <x v="436"/>
    <s v="net sales:product 1"/>
    <n v="9.99"/>
    <n v="71"/>
    <n v="709.29"/>
    <s v="net sales"/>
    <x v="1"/>
    <x v="1"/>
    <n v="3"/>
  </r>
  <r>
    <x v="436"/>
    <s v="net sales:product 2"/>
    <n v="24.99"/>
    <n v="4"/>
    <n v="99.96"/>
    <s v="net sales"/>
    <x v="2"/>
    <x v="1"/>
    <n v="3"/>
  </r>
  <r>
    <x v="436"/>
    <s v="net sales:product 3"/>
    <n v="12.49"/>
    <n v="148"/>
    <n v="1848.52"/>
    <s v="net sales"/>
    <x v="3"/>
    <x v="1"/>
    <n v="3"/>
  </r>
  <r>
    <x v="437"/>
    <s v="cogs:product 1"/>
    <n v="5.49"/>
    <n v="41"/>
    <n v="225.09"/>
    <s v="cogs"/>
    <x v="1"/>
    <x v="1"/>
    <n v="3"/>
  </r>
  <r>
    <x v="437"/>
    <s v="cogs:product 2"/>
    <n v="19.989999999999998"/>
    <n v="7"/>
    <n v="139.92999999999998"/>
    <s v="cogs"/>
    <x v="2"/>
    <x v="1"/>
    <n v="3"/>
  </r>
  <r>
    <x v="437"/>
    <s v="cogs:product 3"/>
    <n v="8.99"/>
    <n v="121"/>
    <n v="1087.79"/>
    <s v="cogs"/>
    <x v="3"/>
    <x v="1"/>
    <n v="3"/>
  </r>
  <r>
    <x v="437"/>
    <s v="marketing"/>
    <s v="NA"/>
    <s v="NA"/>
    <n v="104.91"/>
    <s v="marketing"/>
    <x v="0"/>
    <x v="1"/>
    <n v="3"/>
  </r>
  <r>
    <x v="437"/>
    <s v="net sales:product 1"/>
    <n v="9.99"/>
    <n v="41"/>
    <n v="409.59000000000003"/>
    <s v="net sales"/>
    <x v="1"/>
    <x v="1"/>
    <n v="3"/>
  </r>
  <r>
    <x v="437"/>
    <s v="net sales:product 2"/>
    <n v="24.99"/>
    <n v="7"/>
    <n v="174.92999999999998"/>
    <s v="net sales"/>
    <x v="2"/>
    <x v="1"/>
    <n v="3"/>
  </r>
  <r>
    <x v="437"/>
    <s v="net sales:product 3"/>
    <n v="12.49"/>
    <n v="121"/>
    <n v="1511.29"/>
    <s v="net sales"/>
    <x v="3"/>
    <x v="1"/>
    <n v="3"/>
  </r>
  <r>
    <x v="438"/>
    <s v="cogs:product 1"/>
    <n v="5.49"/>
    <n v="19"/>
    <n v="104.31"/>
    <s v="cogs"/>
    <x v="1"/>
    <x v="1"/>
    <n v="3"/>
  </r>
  <r>
    <x v="438"/>
    <s v="cogs:product 2"/>
    <n v="19.989999999999998"/>
    <n v="0"/>
    <n v="0"/>
    <s v="cogs"/>
    <x v="2"/>
    <x v="1"/>
    <n v="3"/>
  </r>
  <r>
    <x v="438"/>
    <s v="cogs:product 3"/>
    <n v="8.99"/>
    <n v="181"/>
    <n v="1627.19"/>
    <s v="cogs"/>
    <x v="3"/>
    <x v="1"/>
    <n v="3"/>
  </r>
  <r>
    <x v="438"/>
    <s v="marketing"/>
    <s v="NA"/>
    <s v="NA"/>
    <n v="104.97"/>
    <s v="marketing"/>
    <x v="0"/>
    <x v="1"/>
    <n v="3"/>
  </r>
  <r>
    <x v="438"/>
    <s v="net sales:product 1"/>
    <n v="9.99"/>
    <n v="19"/>
    <n v="189.81"/>
    <s v="net sales"/>
    <x v="1"/>
    <x v="1"/>
    <n v="3"/>
  </r>
  <r>
    <x v="438"/>
    <s v="net sales:product 2"/>
    <n v="24.99"/>
    <n v="0"/>
    <n v="0"/>
    <s v="net sales"/>
    <x v="2"/>
    <x v="1"/>
    <n v="3"/>
  </r>
  <r>
    <x v="438"/>
    <s v="net sales:product 3"/>
    <n v="12.49"/>
    <n v="181"/>
    <n v="2260.69"/>
    <s v="net sales"/>
    <x v="3"/>
    <x v="1"/>
    <n v="3"/>
  </r>
  <r>
    <x v="438"/>
    <s v="payroll"/>
    <s v="NA"/>
    <s v="NA"/>
    <n v="1200"/>
    <s v="payroll"/>
    <x v="0"/>
    <x v="1"/>
    <n v="3"/>
  </r>
  <r>
    <x v="439"/>
    <s v="cogs:product 1"/>
    <n v="5.49"/>
    <n v="12"/>
    <n v="65.88"/>
    <s v="cogs"/>
    <x v="1"/>
    <x v="1"/>
    <n v="3"/>
  </r>
  <r>
    <x v="439"/>
    <s v="cogs:product 2"/>
    <n v="19.989999999999998"/>
    <n v="9"/>
    <n v="179.91"/>
    <s v="cogs"/>
    <x v="2"/>
    <x v="1"/>
    <n v="3"/>
  </r>
  <r>
    <x v="439"/>
    <s v="cogs:product 3"/>
    <n v="8.99"/>
    <n v="212"/>
    <n v="1905.88"/>
    <s v="cogs"/>
    <x v="3"/>
    <x v="1"/>
    <n v="3"/>
  </r>
  <r>
    <x v="439"/>
    <s v="interest"/>
    <s v="NA"/>
    <s v="NA"/>
    <n v="1215.8399999999999"/>
    <s v="interest"/>
    <x v="0"/>
    <x v="1"/>
    <n v="3"/>
  </r>
  <r>
    <x v="439"/>
    <s v="marketing"/>
    <s v="NA"/>
    <s v="NA"/>
    <n v="119.09"/>
    <s v="marketing"/>
    <x v="0"/>
    <x v="1"/>
    <n v="3"/>
  </r>
  <r>
    <x v="439"/>
    <s v="net sales:product 1"/>
    <n v="9.99"/>
    <n v="12"/>
    <n v="119.88"/>
    <s v="net sales"/>
    <x v="1"/>
    <x v="1"/>
    <n v="3"/>
  </r>
  <r>
    <x v="439"/>
    <s v="net sales:product 2"/>
    <n v="24.99"/>
    <n v="9"/>
    <n v="224.91"/>
    <s v="net sales"/>
    <x v="2"/>
    <x v="1"/>
    <n v="3"/>
  </r>
  <r>
    <x v="439"/>
    <s v="net sales:product 3"/>
    <n v="12.49"/>
    <n v="212"/>
    <n v="2647.88"/>
    <s v="net sales"/>
    <x v="3"/>
    <x v="1"/>
    <n v="3"/>
  </r>
  <r>
    <x v="439"/>
    <s v="overhead"/>
    <s v="NA"/>
    <s v="NA"/>
    <n v="303.95999999999998"/>
    <s v="overhead"/>
    <x v="0"/>
    <x v="1"/>
    <n v="3"/>
  </r>
  <r>
    <x v="440"/>
    <s v="cogs:product 1"/>
    <n v="5.49"/>
    <n v="82"/>
    <n v="450.18"/>
    <s v="cogs"/>
    <x v="1"/>
    <x v="1"/>
    <n v="3"/>
  </r>
  <r>
    <x v="440"/>
    <s v="cogs:product 2"/>
    <n v="19.989999999999998"/>
    <n v="4"/>
    <n v="79.959999999999994"/>
    <s v="cogs"/>
    <x v="2"/>
    <x v="1"/>
    <n v="3"/>
  </r>
  <r>
    <x v="440"/>
    <s v="cogs:product 3"/>
    <n v="8.99"/>
    <n v="165"/>
    <n v="1483.3500000000001"/>
    <s v="cogs"/>
    <x v="3"/>
    <x v="1"/>
    <n v="3"/>
  </r>
  <r>
    <x v="440"/>
    <s v="marketing"/>
    <s v="NA"/>
    <s v="NA"/>
    <n v="107.91"/>
    <s v="marketing"/>
    <x v="0"/>
    <x v="1"/>
    <n v="3"/>
  </r>
  <r>
    <x v="440"/>
    <s v="net sales:product 1"/>
    <n v="9.99"/>
    <n v="82"/>
    <n v="819.18000000000006"/>
    <s v="net sales"/>
    <x v="1"/>
    <x v="1"/>
    <n v="3"/>
  </r>
  <r>
    <x v="440"/>
    <s v="net sales:product 2"/>
    <n v="24.99"/>
    <n v="4"/>
    <n v="99.96"/>
    <s v="net sales"/>
    <x v="2"/>
    <x v="1"/>
    <n v="3"/>
  </r>
  <r>
    <x v="440"/>
    <s v="net sales:product 3"/>
    <n v="12.49"/>
    <n v="165"/>
    <n v="2060.85"/>
    <s v="net sales"/>
    <x v="3"/>
    <x v="1"/>
    <n v="3"/>
  </r>
  <r>
    <x v="441"/>
    <s v="cogs:product 1"/>
    <n v="5.49"/>
    <n v="72"/>
    <n v="395.28000000000003"/>
    <s v="cogs"/>
    <x v="1"/>
    <x v="1"/>
    <n v="3"/>
  </r>
  <r>
    <x v="441"/>
    <s v="cogs:product 2"/>
    <n v="19.989999999999998"/>
    <n v="2"/>
    <n v="39.979999999999997"/>
    <s v="cogs"/>
    <x v="2"/>
    <x v="1"/>
    <n v="3"/>
  </r>
  <r>
    <x v="441"/>
    <s v="cogs:product 3"/>
    <n v="8.99"/>
    <n v="19"/>
    <n v="170.81"/>
    <s v="cogs"/>
    <x v="3"/>
    <x v="1"/>
    <n v="3"/>
  </r>
  <r>
    <x v="441"/>
    <s v="marketing"/>
    <s v="NA"/>
    <s v="NA"/>
    <n v="112.92"/>
    <s v="marketing"/>
    <x v="0"/>
    <x v="1"/>
    <n v="3"/>
  </r>
  <r>
    <x v="441"/>
    <s v="net sales:product 1"/>
    <n v="9.99"/>
    <n v="72"/>
    <n v="719.28"/>
    <s v="net sales"/>
    <x v="1"/>
    <x v="1"/>
    <n v="3"/>
  </r>
  <r>
    <x v="441"/>
    <s v="net sales:product 2"/>
    <n v="24.99"/>
    <n v="2"/>
    <n v="49.98"/>
    <s v="net sales"/>
    <x v="2"/>
    <x v="1"/>
    <n v="3"/>
  </r>
  <r>
    <x v="441"/>
    <s v="net sales:product 3"/>
    <n v="12.49"/>
    <n v="19"/>
    <n v="237.31"/>
    <s v="net sales"/>
    <x v="3"/>
    <x v="1"/>
    <n v="3"/>
  </r>
  <r>
    <x v="442"/>
    <s v="cogs:product 1"/>
    <n v="5.49"/>
    <n v="96"/>
    <n v="527.04"/>
    <s v="cogs"/>
    <x v="1"/>
    <x v="1"/>
    <n v="3"/>
  </r>
  <r>
    <x v="442"/>
    <s v="cogs:product 2"/>
    <n v="19.989999999999998"/>
    <n v="6"/>
    <n v="119.94"/>
    <s v="cogs"/>
    <x v="2"/>
    <x v="1"/>
    <n v="3"/>
  </r>
  <r>
    <x v="442"/>
    <s v="cogs:product 3"/>
    <n v="8.99"/>
    <n v="230"/>
    <n v="2067.7000000000003"/>
    <s v="cogs"/>
    <x v="3"/>
    <x v="1"/>
    <n v="3"/>
  </r>
  <r>
    <x v="442"/>
    <s v="marketing"/>
    <s v="NA"/>
    <s v="NA"/>
    <n v="101.06"/>
    <s v="marketing"/>
    <x v="0"/>
    <x v="1"/>
    <n v="3"/>
  </r>
  <r>
    <x v="442"/>
    <s v="net sales:product 1"/>
    <n v="9.99"/>
    <n v="96"/>
    <n v="959.04"/>
    <s v="net sales"/>
    <x v="1"/>
    <x v="1"/>
    <n v="3"/>
  </r>
  <r>
    <x v="442"/>
    <s v="net sales:product 2"/>
    <n v="24.99"/>
    <n v="6"/>
    <n v="149.94"/>
    <s v="net sales"/>
    <x v="2"/>
    <x v="1"/>
    <n v="3"/>
  </r>
  <r>
    <x v="442"/>
    <s v="net sales:product 3"/>
    <n v="12.49"/>
    <n v="230"/>
    <n v="2872.7000000000003"/>
    <s v="net sales"/>
    <x v="3"/>
    <x v="1"/>
    <n v="3"/>
  </r>
  <r>
    <x v="443"/>
    <s v="cogs:product 1"/>
    <n v="5.49"/>
    <n v="53"/>
    <n v="290.97000000000003"/>
    <s v="cogs"/>
    <x v="1"/>
    <x v="1"/>
    <n v="3"/>
  </r>
  <r>
    <x v="443"/>
    <s v="cogs:product 2"/>
    <n v="19.989999999999998"/>
    <n v="2"/>
    <n v="39.979999999999997"/>
    <s v="cogs"/>
    <x v="2"/>
    <x v="1"/>
    <n v="3"/>
  </r>
  <r>
    <x v="443"/>
    <s v="cogs:product 3"/>
    <n v="8.99"/>
    <n v="127"/>
    <n v="1141.73"/>
    <s v="cogs"/>
    <x v="3"/>
    <x v="1"/>
    <n v="3"/>
  </r>
  <r>
    <x v="443"/>
    <s v="marketing"/>
    <s v="NA"/>
    <s v="NA"/>
    <n v="114.07000000000001"/>
    <s v="marketing"/>
    <x v="0"/>
    <x v="1"/>
    <n v="3"/>
  </r>
  <r>
    <x v="443"/>
    <s v="net sales:product 1"/>
    <n v="9.99"/>
    <n v="53"/>
    <n v="529.47"/>
    <s v="net sales"/>
    <x v="1"/>
    <x v="1"/>
    <n v="3"/>
  </r>
  <r>
    <x v="443"/>
    <s v="net sales:product 2"/>
    <n v="24.99"/>
    <n v="2"/>
    <n v="49.98"/>
    <s v="net sales"/>
    <x v="2"/>
    <x v="1"/>
    <n v="3"/>
  </r>
  <r>
    <x v="443"/>
    <s v="net sales:product 3"/>
    <n v="12.49"/>
    <n v="127"/>
    <n v="1586.23"/>
    <s v="net sales"/>
    <x v="3"/>
    <x v="1"/>
    <n v="3"/>
  </r>
  <r>
    <x v="444"/>
    <s v="cogs:product 1"/>
    <n v="5.49"/>
    <n v="45"/>
    <n v="247.05"/>
    <s v="cogs"/>
    <x v="1"/>
    <x v="1"/>
    <n v="3"/>
  </r>
  <r>
    <x v="444"/>
    <s v="cogs:product 2"/>
    <n v="19.989999999999998"/>
    <n v="0"/>
    <n v="0"/>
    <s v="cogs"/>
    <x v="2"/>
    <x v="1"/>
    <n v="3"/>
  </r>
  <r>
    <x v="444"/>
    <s v="cogs:product 3"/>
    <n v="8.99"/>
    <n v="246"/>
    <n v="2211.54"/>
    <s v="cogs"/>
    <x v="3"/>
    <x v="1"/>
    <n v="3"/>
  </r>
  <r>
    <x v="444"/>
    <s v="marketing"/>
    <s v="NA"/>
    <s v="NA"/>
    <n v="118.91"/>
    <s v="marketing"/>
    <x v="0"/>
    <x v="1"/>
    <n v="3"/>
  </r>
  <r>
    <x v="444"/>
    <s v="net sales:product 1"/>
    <n v="9.99"/>
    <n v="45"/>
    <n v="449.55"/>
    <s v="net sales"/>
    <x v="1"/>
    <x v="1"/>
    <n v="3"/>
  </r>
  <r>
    <x v="444"/>
    <s v="net sales:product 2"/>
    <n v="24.99"/>
    <n v="0"/>
    <n v="0"/>
    <s v="net sales"/>
    <x v="2"/>
    <x v="1"/>
    <n v="3"/>
  </r>
  <r>
    <x v="444"/>
    <s v="net sales:product 3"/>
    <n v="12.49"/>
    <n v="246"/>
    <n v="3072.54"/>
    <s v="net sales"/>
    <x v="3"/>
    <x v="1"/>
    <n v="3"/>
  </r>
  <r>
    <x v="445"/>
    <s v="cogs:product 1"/>
    <n v="5.49"/>
    <n v="6"/>
    <n v="32.94"/>
    <s v="cogs"/>
    <x v="1"/>
    <x v="1"/>
    <n v="3"/>
  </r>
  <r>
    <x v="445"/>
    <s v="cogs:product 2"/>
    <n v="19.989999999999998"/>
    <n v="7"/>
    <n v="139.92999999999998"/>
    <s v="cogs"/>
    <x v="2"/>
    <x v="1"/>
    <n v="3"/>
  </r>
  <r>
    <x v="445"/>
    <s v="cogs:product 3"/>
    <n v="8.99"/>
    <n v="6"/>
    <n v="53.94"/>
    <s v="cogs"/>
    <x v="3"/>
    <x v="1"/>
    <n v="3"/>
  </r>
  <r>
    <x v="445"/>
    <s v="marketing"/>
    <s v="NA"/>
    <s v="NA"/>
    <n v="106.08"/>
    <s v="marketing"/>
    <x v="0"/>
    <x v="1"/>
    <n v="3"/>
  </r>
  <r>
    <x v="445"/>
    <s v="net sales:product 1"/>
    <n v="9.99"/>
    <n v="6"/>
    <n v="59.94"/>
    <s v="net sales"/>
    <x v="1"/>
    <x v="1"/>
    <n v="3"/>
  </r>
  <r>
    <x v="445"/>
    <s v="net sales:product 2"/>
    <n v="24.99"/>
    <n v="7"/>
    <n v="174.92999999999998"/>
    <s v="net sales"/>
    <x v="2"/>
    <x v="1"/>
    <n v="3"/>
  </r>
  <r>
    <x v="445"/>
    <s v="net sales:product 3"/>
    <n v="12.49"/>
    <n v="6"/>
    <n v="74.94"/>
    <s v="net sales"/>
    <x v="3"/>
    <x v="1"/>
    <n v="3"/>
  </r>
  <r>
    <x v="446"/>
    <s v="cogs:product 1"/>
    <n v="5.49"/>
    <n v="47"/>
    <n v="258.03000000000003"/>
    <s v="cogs"/>
    <x v="1"/>
    <x v="1"/>
    <n v="3"/>
  </r>
  <r>
    <x v="446"/>
    <s v="cogs:product 2"/>
    <n v="19.989999999999998"/>
    <n v="9"/>
    <n v="179.91"/>
    <s v="cogs"/>
    <x v="2"/>
    <x v="1"/>
    <n v="3"/>
  </r>
  <r>
    <x v="446"/>
    <s v="cogs:product 3"/>
    <n v="8.99"/>
    <n v="50"/>
    <n v="449.5"/>
    <s v="cogs"/>
    <x v="3"/>
    <x v="1"/>
    <n v="3"/>
  </r>
  <r>
    <x v="446"/>
    <s v="marketing"/>
    <s v="NA"/>
    <s v="NA"/>
    <n v="110.98"/>
    <s v="marketing"/>
    <x v="0"/>
    <x v="1"/>
    <n v="3"/>
  </r>
  <r>
    <x v="446"/>
    <s v="net sales:product 1"/>
    <n v="9.99"/>
    <n v="47"/>
    <n v="469.53000000000003"/>
    <s v="net sales"/>
    <x v="1"/>
    <x v="1"/>
    <n v="3"/>
  </r>
  <r>
    <x v="446"/>
    <s v="net sales:product 2"/>
    <n v="24.99"/>
    <n v="9"/>
    <n v="224.91"/>
    <s v="net sales"/>
    <x v="2"/>
    <x v="1"/>
    <n v="3"/>
  </r>
  <r>
    <x v="446"/>
    <s v="net sales:product 3"/>
    <n v="12.49"/>
    <n v="50"/>
    <n v="624.5"/>
    <s v="net sales"/>
    <x v="3"/>
    <x v="1"/>
    <n v="3"/>
  </r>
  <r>
    <x v="447"/>
    <s v="cogs:product 1"/>
    <n v="5.49"/>
    <n v="44"/>
    <n v="241.56"/>
    <s v="cogs"/>
    <x v="1"/>
    <x v="1"/>
    <n v="3"/>
  </r>
  <r>
    <x v="447"/>
    <s v="cogs:product 2"/>
    <n v="19.989999999999998"/>
    <n v="8"/>
    <n v="159.91999999999999"/>
    <s v="cogs"/>
    <x v="2"/>
    <x v="1"/>
    <n v="3"/>
  </r>
  <r>
    <x v="447"/>
    <s v="cogs:product 3"/>
    <n v="8.99"/>
    <n v="65"/>
    <n v="584.35"/>
    <s v="cogs"/>
    <x v="3"/>
    <x v="1"/>
    <n v="3"/>
  </r>
  <r>
    <x v="447"/>
    <s v="marketing"/>
    <s v="NA"/>
    <s v="NA"/>
    <n v="118.02"/>
    <s v="marketing"/>
    <x v="0"/>
    <x v="1"/>
    <n v="3"/>
  </r>
  <r>
    <x v="447"/>
    <s v="net sales:product 1"/>
    <n v="9.99"/>
    <n v="44"/>
    <n v="439.56"/>
    <s v="net sales"/>
    <x v="1"/>
    <x v="1"/>
    <n v="3"/>
  </r>
  <r>
    <x v="447"/>
    <s v="net sales:product 2"/>
    <n v="24.99"/>
    <n v="8"/>
    <n v="199.92"/>
    <s v="net sales"/>
    <x v="2"/>
    <x v="1"/>
    <n v="3"/>
  </r>
  <r>
    <x v="447"/>
    <s v="net sales:product 3"/>
    <n v="12.49"/>
    <n v="65"/>
    <n v="811.85"/>
    <s v="net sales"/>
    <x v="3"/>
    <x v="1"/>
    <n v="3"/>
  </r>
  <r>
    <x v="448"/>
    <s v="cogs:product 1"/>
    <n v="5.49"/>
    <n v="86"/>
    <n v="472.14000000000004"/>
    <s v="cogs"/>
    <x v="1"/>
    <x v="1"/>
    <n v="3"/>
  </r>
  <r>
    <x v="448"/>
    <s v="cogs:product 2"/>
    <n v="19.989999999999998"/>
    <n v="5"/>
    <n v="99.949999999999989"/>
    <s v="cogs"/>
    <x v="2"/>
    <x v="1"/>
    <n v="3"/>
  </r>
  <r>
    <x v="448"/>
    <s v="cogs:product 3"/>
    <n v="8.99"/>
    <n v="177"/>
    <n v="1591.23"/>
    <s v="cogs"/>
    <x v="3"/>
    <x v="1"/>
    <n v="3"/>
  </r>
  <r>
    <x v="448"/>
    <s v="marketing"/>
    <s v="NA"/>
    <s v="NA"/>
    <n v="115"/>
    <s v="marketing"/>
    <x v="0"/>
    <x v="1"/>
    <n v="3"/>
  </r>
  <r>
    <x v="448"/>
    <s v="net sales:product 1"/>
    <n v="9.99"/>
    <n v="86"/>
    <n v="859.14"/>
    <s v="net sales"/>
    <x v="1"/>
    <x v="1"/>
    <n v="3"/>
  </r>
  <r>
    <x v="448"/>
    <s v="net sales:product 2"/>
    <n v="24.99"/>
    <n v="5"/>
    <n v="124.94999999999999"/>
    <s v="net sales"/>
    <x v="2"/>
    <x v="1"/>
    <n v="3"/>
  </r>
  <r>
    <x v="448"/>
    <s v="net sales:product 3"/>
    <n v="12.49"/>
    <n v="177"/>
    <n v="2210.73"/>
    <s v="net sales"/>
    <x v="3"/>
    <x v="1"/>
    <n v="3"/>
  </r>
  <r>
    <x v="449"/>
    <s v="cogs:product 1"/>
    <n v="5.49"/>
    <n v="7"/>
    <n v="38.43"/>
    <s v="cogs"/>
    <x v="1"/>
    <x v="1"/>
    <n v="3"/>
  </r>
  <r>
    <x v="449"/>
    <s v="cogs:product 2"/>
    <n v="19.989999999999998"/>
    <n v="1"/>
    <n v="19.989999999999998"/>
    <s v="cogs"/>
    <x v="2"/>
    <x v="1"/>
    <n v="3"/>
  </r>
  <r>
    <x v="449"/>
    <s v="cogs:product 3"/>
    <n v="8.99"/>
    <n v="237"/>
    <n v="2130.63"/>
    <s v="cogs"/>
    <x v="3"/>
    <x v="1"/>
    <n v="3"/>
  </r>
  <r>
    <x v="449"/>
    <s v="marketing"/>
    <s v="NA"/>
    <s v="NA"/>
    <n v="104.04"/>
    <s v="marketing"/>
    <x v="0"/>
    <x v="1"/>
    <n v="3"/>
  </r>
  <r>
    <x v="449"/>
    <s v="net sales:product 1"/>
    <n v="9.99"/>
    <n v="7"/>
    <n v="69.930000000000007"/>
    <s v="net sales"/>
    <x v="1"/>
    <x v="1"/>
    <n v="3"/>
  </r>
  <r>
    <x v="449"/>
    <s v="net sales:product 2"/>
    <n v="24.99"/>
    <n v="1"/>
    <n v="24.99"/>
    <s v="net sales"/>
    <x v="2"/>
    <x v="1"/>
    <n v="3"/>
  </r>
  <r>
    <x v="449"/>
    <s v="net sales:product 3"/>
    <n v="12.49"/>
    <n v="237"/>
    <n v="2960.13"/>
    <s v="net sales"/>
    <x v="3"/>
    <x v="1"/>
    <n v="3"/>
  </r>
  <r>
    <x v="450"/>
    <s v="cogs:product 1"/>
    <n v="5.49"/>
    <n v="87"/>
    <n v="477.63"/>
    <s v="cogs"/>
    <x v="1"/>
    <x v="1"/>
    <n v="3"/>
  </r>
  <r>
    <x v="450"/>
    <s v="cogs:product 2"/>
    <n v="19.989999999999998"/>
    <n v="6"/>
    <n v="119.94"/>
    <s v="cogs"/>
    <x v="2"/>
    <x v="1"/>
    <n v="3"/>
  </r>
  <r>
    <x v="450"/>
    <s v="cogs:product 3"/>
    <n v="8.99"/>
    <n v="75"/>
    <n v="674.25"/>
    <s v="cogs"/>
    <x v="3"/>
    <x v="1"/>
    <n v="3"/>
  </r>
  <r>
    <x v="450"/>
    <s v="marketing"/>
    <s v="NA"/>
    <s v="NA"/>
    <n v="109.91"/>
    <s v="marketing"/>
    <x v="0"/>
    <x v="1"/>
    <n v="3"/>
  </r>
  <r>
    <x v="450"/>
    <s v="net sales:product 1"/>
    <n v="9.99"/>
    <n v="87"/>
    <n v="869.13"/>
    <s v="net sales"/>
    <x v="1"/>
    <x v="1"/>
    <n v="3"/>
  </r>
  <r>
    <x v="450"/>
    <s v="net sales:product 2"/>
    <n v="24.99"/>
    <n v="6"/>
    <n v="149.94"/>
    <s v="net sales"/>
    <x v="2"/>
    <x v="1"/>
    <n v="3"/>
  </r>
  <r>
    <x v="450"/>
    <s v="net sales:product 3"/>
    <n v="12.49"/>
    <n v="75"/>
    <n v="936.75"/>
    <s v="net sales"/>
    <x v="3"/>
    <x v="1"/>
    <n v="3"/>
  </r>
  <r>
    <x v="451"/>
    <s v="cogs:product 1"/>
    <n v="5.49"/>
    <n v="64"/>
    <n v="351.36"/>
    <s v="cogs"/>
    <x v="1"/>
    <x v="1"/>
    <n v="3"/>
  </r>
  <r>
    <x v="451"/>
    <s v="cogs:product 2"/>
    <n v="19.989999999999998"/>
    <n v="0"/>
    <n v="0"/>
    <s v="cogs"/>
    <x v="2"/>
    <x v="1"/>
    <n v="3"/>
  </r>
  <r>
    <x v="451"/>
    <s v="cogs:product 3"/>
    <n v="8.99"/>
    <n v="1"/>
    <n v="8.99"/>
    <s v="cogs"/>
    <x v="3"/>
    <x v="1"/>
    <n v="3"/>
  </r>
  <r>
    <x v="451"/>
    <s v="marketing"/>
    <s v="NA"/>
    <s v="NA"/>
    <n v="119.99000000000001"/>
    <s v="marketing"/>
    <x v="0"/>
    <x v="1"/>
    <n v="3"/>
  </r>
  <r>
    <x v="451"/>
    <s v="net sales:product 1"/>
    <n v="9.99"/>
    <n v="64"/>
    <n v="639.36"/>
    <s v="net sales"/>
    <x v="1"/>
    <x v="1"/>
    <n v="3"/>
  </r>
  <r>
    <x v="451"/>
    <s v="net sales:product 2"/>
    <n v="24.99"/>
    <n v="0"/>
    <n v="0"/>
    <s v="net sales"/>
    <x v="2"/>
    <x v="1"/>
    <n v="3"/>
  </r>
  <r>
    <x v="451"/>
    <s v="net sales:product 3"/>
    <n v="12.49"/>
    <n v="1"/>
    <n v="12.49"/>
    <s v="net sales"/>
    <x v="3"/>
    <x v="1"/>
    <n v="3"/>
  </r>
  <r>
    <x v="452"/>
    <s v="cogs:product 1"/>
    <n v="5.49"/>
    <n v="60"/>
    <n v="329.40000000000003"/>
    <s v="cogs"/>
    <x v="1"/>
    <x v="1"/>
    <n v="3"/>
  </r>
  <r>
    <x v="452"/>
    <s v="cogs:product 2"/>
    <n v="19.989999999999998"/>
    <n v="2"/>
    <n v="39.979999999999997"/>
    <s v="cogs"/>
    <x v="2"/>
    <x v="1"/>
    <n v="3"/>
  </r>
  <r>
    <x v="452"/>
    <s v="cogs:product 3"/>
    <n v="8.99"/>
    <n v="215"/>
    <n v="1932.8500000000001"/>
    <s v="cogs"/>
    <x v="3"/>
    <x v="1"/>
    <n v="3"/>
  </r>
  <r>
    <x v="452"/>
    <s v="marketing"/>
    <s v="NA"/>
    <s v="NA"/>
    <n v="114.05"/>
    <s v="marketing"/>
    <x v="0"/>
    <x v="1"/>
    <n v="3"/>
  </r>
  <r>
    <x v="452"/>
    <s v="net sales:product 1"/>
    <n v="9.99"/>
    <n v="60"/>
    <n v="599.4"/>
    <s v="net sales"/>
    <x v="1"/>
    <x v="1"/>
    <n v="3"/>
  </r>
  <r>
    <x v="452"/>
    <s v="net sales:product 2"/>
    <n v="24.99"/>
    <n v="2"/>
    <n v="49.98"/>
    <s v="net sales"/>
    <x v="2"/>
    <x v="1"/>
    <n v="3"/>
  </r>
  <r>
    <x v="452"/>
    <s v="net sales:product 3"/>
    <n v="12.49"/>
    <n v="215"/>
    <n v="2685.35"/>
    <s v="net sales"/>
    <x v="3"/>
    <x v="1"/>
    <n v="3"/>
  </r>
  <r>
    <x v="452"/>
    <s v="payroll"/>
    <s v="NA"/>
    <s v="NA"/>
    <n v="1200"/>
    <s v="payroll"/>
    <x v="0"/>
    <x v="1"/>
    <n v="3"/>
  </r>
  <r>
    <x v="453"/>
    <s v="cogs:product 1"/>
    <n v="5.49"/>
    <n v="19"/>
    <n v="104.31"/>
    <s v="cogs"/>
    <x v="1"/>
    <x v="1"/>
    <n v="3"/>
  </r>
  <r>
    <x v="453"/>
    <s v="cogs:product 2"/>
    <n v="19.989999999999998"/>
    <n v="9"/>
    <n v="179.91"/>
    <s v="cogs"/>
    <x v="2"/>
    <x v="1"/>
    <n v="3"/>
  </r>
  <r>
    <x v="453"/>
    <s v="cogs:product 3"/>
    <n v="8.99"/>
    <n v="209"/>
    <n v="1878.91"/>
    <s v="cogs"/>
    <x v="3"/>
    <x v="1"/>
    <n v="3"/>
  </r>
  <r>
    <x v="453"/>
    <s v="marketing"/>
    <s v="NA"/>
    <s v="NA"/>
    <n v="109.07000000000001"/>
    <s v="marketing"/>
    <x v="0"/>
    <x v="1"/>
    <n v="3"/>
  </r>
  <r>
    <x v="453"/>
    <s v="net sales:product 1"/>
    <n v="9.99"/>
    <n v="19"/>
    <n v="189.81"/>
    <s v="net sales"/>
    <x v="1"/>
    <x v="1"/>
    <n v="3"/>
  </r>
  <r>
    <x v="453"/>
    <s v="net sales:product 2"/>
    <n v="24.99"/>
    <n v="9"/>
    <n v="224.91"/>
    <s v="net sales"/>
    <x v="2"/>
    <x v="1"/>
    <n v="3"/>
  </r>
  <r>
    <x v="453"/>
    <s v="net sales:product 3"/>
    <n v="12.49"/>
    <n v="209"/>
    <n v="2610.41"/>
    <s v="net sales"/>
    <x v="3"/>
    <x v="1"/>
    <n v="3"/>
  </r>
  <r>
    <x v="454"/>
    <s v="cogs:product 1"/>
    <n v="5.49"/>
    <n v="41"/>
    <n v="225.09"/>
    <s v="cogs"/>
    <x v="1"/>
    <x v="1"/>
    <n v="3"/>
  </r>
  <r>
    <x v="454"/>
    <s v="cogs:product 2"/>
    <n v="19.989999999999998"/>
    <n v="4"/>
    <n v="79.959999999999994"/>
    <s v="cogs"/>
    <x v="2"/>
    <x v="1"/>
    <n v="3"/>
  </r>
  <r>
    <x v="454"/>
    <s v="cogs:product 3"/>
    <n v="8.99"/>
    <n v="24"/>
    <n v="215.76"/>
    <s v="cogs"/>
    <x v="3"/>
    <x v="1"/>
    <n v="3"/>
  </r>
  <r>
    <x v="454"/>
    <s v="marketing"/>
    <s v="NA"/>
    <s v="NA"/>
    <n v="112.01"/>
    <s v="marketing"/>
    <x v="0"/>
    <x v="1"/>
    <n v="3"/>
  </r>
  <r>
    <x v="454"/>
    <s v="net sales:product 1"/>
    <n v="9.99"/>
    <n v="41"/>
    <n v="409.59000000000003"/>
    <s v="net sales"/>
    <x v="1"/>
    <x v="1"/>
    <n v="3"/>
  </r>
  <r>
    <x v="454"/>
    <s v="net sales:product 2"/>
    <n v="24.99"/>
    <n v="4"/>
    <n v="99.96"/>
    <s v="net sales"/>
    <x v="2"/>
    <x v="1"/>
    <n v="3"/>
  </r>
  <r>
    <x v="454"/>
    <s v="net sales:product 3"/>
    <n v="12.49"/>
    <n v="24"/>
    <n v="299.76"/>
    <s v="net sales"/>
    <x v="3"/>
    <x v="1"/>
    <n v="3"/>
  </r>
  <r>
    <x v="455"/>
    <s v="cogs:product 1"/>
    <n v="5.49"/>
    <n v="97"/>
    <n v="532.53"/>
    <s v="cogs"/>
    <x v="1"/>
    <x v="1"/>
    <n v="3"/>
  </r>
  <r>
    <x v="455"/>
    <s v="cogs:product 2"/>
    <n v="19.989999999999998"/>
    <n v="2"/>
    <n v="39.979999999999997"/>
    <s v="cogs"/>
    <x v="2"/>
    <x v="1"/>
    <n v="3"/>
  </r>
  <r>
    <x v="455"/>
    <s v="cogs:product 3"/>
    <n v="8.99"/>
    <n v="93"/>
    <n v="836.07"/>
    <s v="cogs"/>
    <x v="3"/>
    <x v="1"/>
    <n v="3"/>
  </r>
  <r>
    <x v="455"/>
    <s v="marketing"/>
    <s v="NA"/>
    <s v="NA"/>
    <n v="109.91"/>
    <s v="marketing"/>
    <x v="0"/>
    <x v="1"/>
    <n v="3"/>
  </r>
  <r>
    <x v="455"/>
    <s v="net sales:product 1"/>
    <n v="9.99"/>
    <n v="97"/>
    <n v="969.03"/>
    <s v="net sales"/>
    <x v="1"/>
    <x v="1"/>
    <n v="3"/>
  </r>
  <r>
    <x v="455"/>
    <s v="net sales:product 2"/>
    <n v="24.99"/>
    <n v="2"/>
    <n v="49.98"/>
    <s v="net sales"/>
    <x v="2"/>
    <x v="1"/>
    <n v="3"/>
  </r>
  <r>
    <x v="455"/>
    <s v="net sales:product 3"/>
    <n v="12.49"/>
    <n v="93"/>
    <n v="1161.57"/>
    <s v="net sales"/>
    <x v="3"/>
    <x v="1"/>
    <n v="3"/>
  </r>
  <r>
    <x v="456"/>
    <s v="amortization"/>
    <s v="NA"/>
    <s v="NA"/>
    <n v="50"/>
    <s v="amortization"/>
    <x v="0"/>
    <x v="1"/>
    <n v="4"/>
  </r>
  <r>
    <x v="456"/>
    <s v="cogs:product 1"/>
    <n v="5.49"/>
    <n v="16"/>
    <n v="87.84"/>
    <s v="cogs"/>
    <x v="1"/>
    <x v="1"/>
    <n v="4"/>
  </r>
  <r>
    <x v="456"/>
    <s v="cogs:product 2"/>
    <n v="19.989999999999998"/>
    <n v="0"/>
    <n v="0"/>
    <s v="cogs"/>
    <x v="2"/>
    <x v="1"/>
    <n v="4"/>
  </r>
  <r>
    <x v="456"/>
    <s v="cogs:product 3"/>
    <n v="8.99"/>
    <n v="56"/>
    <n v="503.44"/>
    <s v="cogs"/>
    <x v="3"/>
    <x v="1"/>
    <n v="4"/>
  </r>
  <r>
    <x v="456"/>
    <s v="marketing"/>
    <s v="NA"/>
    <s v="NA"/>
    <n v="110.05"/>
    <s v="marketing"/>
    <x v="0"/>
    <x v="1"/>
    <n v="4"/>
  </r>
  <r>
    <x v="456"/>
    <s v="net sales:product 1"/>
    <n v="9.99"/>
    <n v="16"/>
    <n v="159.84"/>
    <s v="net sales"/>
    <x v="1"/>
    <x v="1"/>
    <n v="4"/>
  </r>
  <r>
    <x v="456"/>
    <s v="net sales:product 2"/>
    <n v="24.99"/>
    <n v="0"/>
    <n v="0"/>
    <s v="net sales"/>
    <x v="2"/>
    <x v="1"/>
    <n v="4"/>
  </r>
  <r>
    <x v="456"/>
    <s v="net sales:product 3"/>
    <n v="12.49"/>
    <n v="56"/>
    <n v="699.44"/>
    <s v="net sales"/>
    <x v="3"/>
    <x v="1"/>
    <n v="4"/>
  </r>
  <r>
    <x v="456"/>
    <s v="overhead"/>
    <s v="NA"/>
    <s v="NA"/>
    <n v="2000"/>
    <s v="overhead"/>
    <x v="0"/>
    <x v="1"/>
    <n v="4"/>
  </r>
  <r>
    <x v="457"/>
    <s v="cogs:product 1"/>
    <n v="5.49"/>
    <n v="43"/>
    <n v="236.07000000000002"/>
    <s v="cogs"/>
    <x v="1"/>
    <x v="1"/>
    <n v="4"/>
  </r>
  <r>
    <x v="457"/>
    <s v="cogs:product 2"/>
    <n v="19.989999999999998"/>
    <n v="1"/>
    <n v="19.989999999999998"/>
    <s v="cogs"/>
    <x v="2"/>
    <x v="1"/>
    <n v="4"/>
  </r>
  <r>
    <x v="457"/>
    <s v="cogs:product 3"/>
    <n v="8.99"/>
    <n v="29"/>
    <n v="260.70999999999998"/>
    <s v="cogs"/>
    <x v="3"/>
    <x v="1"/>
    <n v="4"/>
  </r>
  <r>
    <x v="457"/>
    <s v="marketing"/>
    <s v="NA"/>
    <s v="NA"/>
    <n v="119.03"/>
    <s v="marketing"/>
    <x v="0"/>
    <x v="1"/>
    <n v="4"/>
  </r>
  <r>
    <x v="457"/>
    <s v="net sales:product 1"/>
    <n v="9.99"/>
    <n v="43"/>
    <n v="429.57"/>
    <s v="net sales"/>
    <x v="1"/>
    <x v="1"/>
    <n v="4"/>
  </r>
  <r>
    <x v="457"/>
    <s v="net sales:product 2"/>
    <n v="24.99"/>
    <n v="1"/>
    <n v="24.99"/>
    <s v="net sales"/>
    <x v="2"/>
    <x v="1"/>
    <n v="4"/>
  </r>
  <r>
    <x v="457"/>
    <s v="net sales:product 3"/>
    <n v="12.49"/>
    <n v="29"/>
    <n v="362.21"/>
    <s v="net sales"/>
    <x v="3"/>
    <x v="1"/>
    <n v="4"/>
  </r>
  <r>
    <x v="458"/>
    <s v="cogs:product 1"/>
    <n v="5.49"/>
    <n v="54"/>
    <n v="296.46000000000004"/>
    <s v="cogs"/>
    <x v="1"/>
    <x v="1"/>
    <n v="4"/>
  </r>
  <r>
    <x v="458"/>
    <s v="cogs:product 2"/>
    <n v="19.989999999999998"/>
    <n v="0"/>
    <n v="0"/>
    <s v="cogs"/>
    <x v="2"/>
    <x v="1"/>
    <n v="4"/>
  </r>
  <r>
    <x v="458"/>
    <s v="cogs:product 3"/>
    <n v="8.99"/>
    <n v="13"/>
    <n v="116.87"/>
    <s v="cogs"/>
    <x v="3"/>
    <x v="1"/>
    <n v="4"/>
  </r>
  <r>
    <x v="458"/>
    <s v="marketing"/>
    <s v="NA"/>
    <s v="NA"/>
    <n v="117.93"/>
    <s v="marketing"/>
    <x v="0"/>
    <x v="1"/>
    <n v="4"/>
  </r>
  <r>
    <x v="458"/>
    <s v="net sales:product 1"/>
    <n v="9.99"/>
    <n v="54"/>
    <n v="539.46"/>
    <s v="net sales"/>
    <x v="1"/>
    <x v="1"/>
    <n v="4"/>
  </r>
  <r>
    <x v="458"/>
    <s v="net sales:product 2"/>
    <n v="24.99"/>
    <n v="0"/>
    <n v="0"/>
    <s v="net sales"/>
    <x v="2"/>
    <x v="1"/>
    <n v="4"/>
  </r>
  <r>
    <x v="458"/>
    <s v="net sales:product 3"/>
    <n v="12.49"/>
    <n v="13"/>
    <n v="162.37"/>
    <s v="net sales"/>
    <x v="3"/>
    <x v="1"/>
    <n v="4"/>
  </r>
  <r>
    <x v="459"/>
    <s v="cogs:product 1"/>
    <n v="5.49"/>
    <n v="43"/>
    <n v="236.07000000000002"/>
    <s v="cogs"/>
    <x v="1"/>
    <x v="1"/>
    <n v="4"/>
  </r>
  <r>
    <x v="459"/>
    <s v="cogs:product 2"/>
    <n v="19.989999999999998"/>
    <n v="6"/>
    <n v="119.94"/>
    <s v="cogs"/>
    <x v="2"/>
    <x v="1"/>
    <n v="4"/>
  </r>
  <r>
    <x v="459"/>
    <s v="cogs:product 3"/>
    <n v="8.99"/>
    <n v="229"/>
    <n v="2058.71"/>
    <s v="cogs"/>
    <x v="3"/>
    <x v="1"/>
    <n v="4"/>
  </r>
  <r>
    <x v="459"/>
    <s v="marketing"/>
    <s v="NA"/>
    <s v="NA"/>
    <n v="101.96000000000001"/>
    <s v="marketing"/>
    <x v="0"/>
    <x v="1"/>
    <n v="4"/>
  </r>
  <r>
    <x v="459"/>
    <s v="net sales:product 1"/>
    <n v="9.99"/>
    <n v="43"/>
    <n v="429.57"/>
    <s v="net sales"/>
    <x v="1"/>
    <x v="1"/>
    <n v="4"/>
  </r>
  <r>
    <x v="459"/>
    <s v="net sales:product 2"/>
    <n v="24.99"/>
    <n v="6"/>
    <n v="149.94"/>
    <s v="net sales"/>
    <x v="2"/>
    <x v="1"/>
    <n v="4"/>
  </r>
  <r>
    <x v="459"/>
    <s v="net sales:product 3"/>
    <n v="12.49"/>
    <n v="229"/>
    <n v="2860.21"/>
    <s v="net sales"/>
    <x v="3"/>
    <x v="1"/>
    <n v="4"/>
  </r>
  <r>
    <x v="460"/>
    <s v="cogs:product 1"/>
    <n v="5.49"/>
    <n v="52"/>
    <n v="285.48"/>
    <s v="cogs"/>
    <x v="1"/>
    <x v="1"/>
    <n v="4"/>
  </r>
  <r>
    <x v="460"/>
    <s v="cogs:product 2"/>
    <n v="19.989999999999998"/>
    <n v="4"/>
    <n v="79.959999999999994"/>
    <s v="cogs"/>
    <x v="2"/>
    <x v="1"/>
    <n v="4"/>
  </r>
  <r>
    <x v="460"/>
    <s v="cogs:product 3"/>
    <n v="8.99"/>
    <n v="245"/>
    <n v="2202.5500000000002"/>
    <s v="cogs"/>
    <x v="3"/>
    <x v="1"/>
    <n v="4"/>
  </r>
  <r>
    <x v="460"/>
    <s v="marketing"/>
    <s v="NA"/>
    <s v="NA"/>
    <n v="99.990000000000009"/>
    <s v="marketing"/>
    <x v="0"/>
    <x v="1"/>
    <n v="4"/>
  </r>
  <r>
    <x v="460"/>
    <s v="net sales:product 1"/>
    <n v="9.99"/>
    <n v="52"/>
    <n v="519.48"/>
    <s v="net sales"/>
    <x v="1"/>
    <x v="1"/>
    <n v="4"/>
  </r>
  <r>
    <x v="460"/>
    <s v="net sales:product 2"/>
    <n v="24.99"/>
    <n v="4"/>
    <n v="99.96"/>
    <s v="net sales"/>
    <x v="2"/>
    <x v="1"/>
    <n v="4"/>
  </r>
  <r>
    <x v="460"/>
    <s v="net sales:product 3"/>
    <n v="12.49"/>
    <n v="245"/>
    <n v="3060.05"/>
    <s v="net sales"/>
    <x v="3"/>
    <x v="1"/>
    <n v="4"/>
  </r>
  <r>
    <x v="461"/>
    <s v="cogs:product 1"/>
    <n v="5.49"/>
    <n v="80"/>
    <n v="439.20000000000005"/>
    <s v="cogs"/>
    <x v="1"/>
    <x v="1"/>
    <n v="4"/>
  </r>
  <r>
    <x v="461"/>
    <s v="cogs:product 2"/>
    <n v="19.989999999999998"/>
    <n v="7"/>
    <n v="139.92999999999998"/>
    <s v="cogs"/>
    <x v="2"/>
    <x v="1"/>
    <n v="4"/>
  </r>
  <r>
    <x v="461"/>
    <s v="cogs:product 3"/>
    <n v="8.99"/>
    <n v="207"/>
    <n v="1860.93"/>
    <s v="cogs"/>
    <x v="3"/>
    <x v="1"/>
    <n v="4"/>
  </r>
  <r>
    <x v="461"/>
    <s v="marketing"/>
    <s v="NA"/>
    <s v="NA"/>
    <n v="116"/>
    <s v="marketing"/>
    <x v="0"/>
    <x v="1"/>
    <n v="4"/>
  </r>
  <r>
    <x v="461"/>
    <s v="net sales:product 1"/>
    <n v="9.99"/>
    <n v="80"/>
    <n v="799.2"/>
    <s v="net sales"/>
    <x v="1"/>
    <x v="1"/>
    <n v="4"/>
  </r>
  <r>
    <x v="461"/>
    <s v="net sales:product 2"/>
    <n v="24.99"/>
    <n v="7"/>
    <n v="174.92999999999998"/>
    <s v="net sales"/>
    <x v="2"/>
    <x v="1"/>
    <n v="4"/>
  </r>
  <r>
    <x v="461"/>
    <s v="net sales:product 3"/>
    <n v="12.49"/>
    <n v="207"/>
    <n v="2585.4299999999998"/>
    <s v="net sales"/>
    <x v="3"/>
    <x v="1"/>
    <n v="4"/>
  </r>
  <r>
    <x v="462"/>
    <s v="cogs:product 1"/>
    <n v="5.49"/>
    <n v="54"/>
    <n v="296.46000000000004"/>
    <s v="cogs"/>
    <x v="1"/>
    <x v="1"/>
    <n v="4"/>
  </r>
  <r>
    <x v="462"/>
    <s v="cogs:product 2"/>
    <n v="19.989999999999998"/>
    <n v="6"/>
    <n v="119.94"/>
    <s v="cogs"/>
    <x v="2"/>
    <x v="1"/>
    <n v="4"/>
  </r>
  <r>
    <x v="462"/>
    <s v="cogs:product 3"/>
    <n v="8.99"/>
    <n v="114"/>
    <n v="1024.8600000000001"/>
    <s v="cogs"/>
    <x v="3"/>
    <x v="1"/>
    <n v="4"/>
  </r>
  <r>
    <x v="462"/>
    <s v="marketing"/>
    <s v="NA"/>
    <s v="NA"/>
    <n v="111.07000000000001"/>
    <s v="marketing"/>
    <x v="0"/>
    <x v="1"/>
    <n v="4"/>
  </r>
  <r>
    <x v="462"/>
    <s v="net sales:product 1"/>
    <n v="9.99"/>
    <n v="54"/>
    <n v="539.46"/>
    <s v="net sales"/>
    <x v="1"/>
    <x v="1"/>
    <n v="4"/>
  </r>
  <r>
    <x v="462"/>
    <s v="net sales:product 2"/>
    <n v="24.99"/>
    <n v="6"/>
    <n v="149.94"/>
    <s v="net sales"/>
    <x v="2"/>
    <x v="1"/>
    <n v="4"/>
  </r>
  <r>
    <x v="462"/>
    <s v="net sales:product 3"/>
    <n v="12.49"/>
    <n v="114"/>
    <n v="1423.8600000000001"/>
    <s v="net sales"/>
    <x v="3"/>
    <x v="1"/>
    <n v="4"/>
  </r>
  <r>
    <x v="463"/>
    <s v="cogs:product 1"/>
    <n v="5.49"/>
    <n v="88"/>
    <n v="483.12"/>
    <s v="cogs"/>
    <x v="1"/>
    <x v="1"/>
    <n v="4"/>
  </r>
  <r>
    <x v="463"/>
    <s v="cogs:product 2"/>
    <n v="19.989999999999998"/>
    <n v="6"/>
    <n v="119.94"/>
    <s v="cogs"/>
    <x v="2"/>
    <x v="1"/>
    <n v="4"/>
  </r>
  <r>
    <x v="463"/>
    <s v="cogs:product 3"/>
    <n v="8.99"/>
    <n v="226"/>
    <n v="2031.74"/>
    <s v="cogs"/>
    <x v="3"/>
    <x v="1"/>
    <n v="4"/>
  </r>
  <r>
    <x v="463"/>
    <s v="marketing"/>
    <s v="NA"/>
    <s v="NA"/>
    <n v="109.96000000000001"/>
    <s v="marketing"/>
    <x v="0"/>
    <x v="1"/>
    <n v="4"/>
  </r>
  <r>
    <x v="463"/>
    <s v="net sales:product 1"/>
    <n v="9.99"/>
    <n v="88"/>
    <n v="879.12"/>
    <s v="net sales"/>
    <x v="1"/>
    <x v="1"/>
    <n v="4"/>
  </r>
  <r>
    <x v="463"/>
    <s v="net sales:product 2"/>
    <n v="24.99"/>
    <n v="6"/>
    <n v="149.94"/>
    <s v="net sales"/>
    <x v="2"/>
    <x v="1"/>
    <n v="4"/>
  </r>
  <r>
    <x v="463"/>
    <s v="net sales:product 3"/>
    <n v="12.49"/>
    <n v="226"/>
    <n v="2822.7400000000002"/>
    <s v="net sales"/>
    <x v="3"/>
    <x v="1"/>
    <n v="4"/>
  </r>
  <r>
    <x v="464"/>
    <s v="cogs:product 1"/>
    <n v="5.49"/>
    <n v="67"/>
    <n v="367.83000000000004"/>
    <s v="cogs"/>
    <x v="1"/>
    <x v="1"/>
    <n v="4"/>
  </r>
  <r>
    <x v="464"/>
    <s v="cogs:product 2"/>
    <n v="19.989999999999998"/>
    <n v="3"/>
    <n v="59.97"/>
    <s v="cogs"/>
    <x v="2"/>
    <x v="1"/>
    <n v="4"/>
  </r>
  <r>
    <x v="464"/>
    <s v="cogs:product 3"/>
    <n v="8.99"/>
    <n v="67"/>
    <n v="602.33000000000004"/>
    <s v="cogs"/>
    <x v="3"/>
    <x v="1"/>
    <n v="4"/>
  </r>
  <r>
    <x v="464"/>
    <s v="marketing"/>
    <s v="NA"/>
    <s v="NA"/>
    <n v="114.94"/>
    <s v="marketing"/>
    <x v="0"/>
    <x v="1"/>
    <n v="4"/>
  </r>
  <r>
    <x v="464"/>
    <s v="net sales:product 1"/>
    <n v="9.99"/>
    <n v="67"/>
    <n v="669.33"/>
    <s v="net sales"/>
    <x v="1"/>
    <x v="1"/>
    <n v="4"/>
  </r>
  <r>
    <x v="464"/>
    <s v="net sales:product 2"/>
    <n v="24.99"/>
    <n v="3"/>
    <n v="74.97"/>
    <s v="net sales"/>
    <x v="2"/>
    <x v="1"/>
    <n v="4"/>
  </r>
  <r>
    <x v="464"/>
    <s v="net sales:product 3"/>
    <n v="12.49"/>
    <n v="67"/>
    <n v="836.83"/>
    <s v="net sales"/>
    <x v="3"/>
    <x v="1"/>
    <n v="4"/>
  </r>
  <r>
    <x v="465"/>
    <s v="cogs:product 1"/>
    <n v="5.49"/>
    <n v="99"/>
    <n v="543.51"/>
    <s v="cogs"/>
    <x v="1"/>
    <x v="1"/>
    <n v="4"/>
  </r>
  <r>
    <x v="465"/>
    <s v="cogs:product 2"/>
    <n v="19.989999999999998"/>
    <n v="1"/>
    <n v="19.989999999999998"/>
    <s v="cogs"/>
    <x v="2"/>
    <x v="1"/>
    <n v="4"/>
  </r>
  <r>
    <x v="465"/>
    <s v="cogs:product 3"/>
    <n v="8.99"/>
    <n v="162"/>
    <n v="1456.38"/>
    <s v="cogs"/>
    <x v="3"/>
    <x v="1"/>
    <n v="4"/>
  </r>
  <r>
    <x v="465"/>
    <s v="marketing"/>
    <s v="NA"/>
    <s v="NA"/>
    <n v="106.97"/>
    <s v="marketing"/>
    <x v="0"/>
    <x v="1"/>
    <n v="4"/>
  </r>
  <r>
    <x v="465"/>
    <s v="net sales:product 1"/>
    <n v="9.99"/>
    <n v="99"/>
    <n v="989.01"/>
    <s v="net sales"/>
    <x v="1"/>
    <x v="1"/>
    <n v="4"/>
  </r>
  <r>
    <x v="465"/>
    <s v="net sales:product 2"/>
    <n v="24.99"/>
    <n v="1"/>
    <n v="24.99"/>
    <s v="net sales"/>
    <x v="2"/>
    <x v="1"/>
    <n v="4"/>
  </r>
  <r>
    <x v="465"/>
    <s v="net sales:product 3"/>
    <n v="12.49"/>
    <n v="162"/>
    <n v="2023.38"/>
    <s v="net sales"/>
    <x v="3"/>
    <x v="1"/>
    <n v="4"/>
  </r>
  <r>
    <x v="466"/>
    <s v="cogs:product 1"/>
    <n v="5.49"/>
    <n v="78"/>
    <n v="428.22"/>
    <s v="cogs"/>
    <x v="1"/>
    <x v="1"/>
    <n v="4"/>
  </r>
  <r>
    <x v="466"/>
    <s v="cogs:product 2"/>
    <n v="19.989999999999998"/>
    <n v="4"/>
    <n v="79.959999999999994"/>
    <s v="cogs"/>
    <x v="2"/>
    <x v="1"/>
    <n v="4"/>
  </r>
  <r>
    <x v="466"/>
    <s v="cogs:product 3"/>
    <n v="8.99"/>
    <n v="148"/>
    <n v="1330.52"/>
    <s v="cogs"/>
    <x v="3"/>
    <x v="1"/>
    <n v="4"/>
  </r>
  <r>
    <x v="466"/>
    <s v="marketing"/>
    <s v="NA"/>
    <s v="NA"/>
    <n v="103.98"/>
    <s v="marketing"/>
    <x v="0"/>
    <x v="1"/>
    <n v="4"/>
  </r>
  <r>
    <x v="466"/>
    <s v="net sales:product 1"/>
    <n v="9.99"/>
    <n v="78"/>
    <n v="779.22"/>
    <s v="net sales"/>
    <x v="1"/>
    <x v="1"/>
    <n v="4"/>
  </r>
  <r>
    <x v="466"/>
    <s v="net sales:product 2"/>
    <n v="24.99"/>
    <n v="4"/>
    <n v="99.96"/>
    <s v="net sales"/>
    <x v="2"/>
    <x v="1"/>
    <n v="4"/>
  </r>
  <r>
    <x v="466"/>
    <s v="net sales:product 3"/>
    <n v="12.49"/>
    <n v="148"/>
    <n v="1848.52"/>
    <s v="net sales"/>
    <x v="3"/>
    <x v="1"/>
    <n v="4"/>
  </r>
  <r>
    <x v="466"/>
    <s v="payroll"/>
    <s v="NA"/>
    <s v="NA"/>
    <n v="1200"/>
    <s v="payroll"/>
    <x v="0"/>
    <x v="1"/>
    <n v="4"/>
  </r>
  <r>
    <x v="467"/>
    <s v="cogs:product 1"/>
    <n v="5.49"/>
    <n v="22"/>
    <n v="120.78"/>
    <s v="cogs"/>
    <x v="1"/>
    <x v="1"/>
    <n v="4"/>
  </r>
  <r>
    <x v="467"/>
    <s v="cogs:product 2"/>
    <n v="19.989999999999998"/>
    <n v="8"/>
    <n v="159.91999999999999"/>
    <s v="cogs"/>
    <x v="2"/>
    <x v="1"/>
    <n v="4"/>
  </r>
  <r>
    <x v="467"/>
    <s v="cogs:product 3"/>
    <n v="8.99"/>
    <n v="13"/>
    <n v="116.87"/>
    <s v="cogs"/>
    <x v="3"/>
    <x v="1"/>
    <n v="4"/>
  </r>
  <r>
    <x v="467"/>
    <s v="marketing"/>
    <s v="NA"/>
    <s v="NA"/>
    <n v="112.98"/>
    <s v="marketing"/>
    <x v="0"/>
    <x v="1"/>
    <n v="4"/>
  </r>
  <r>
    <x v="467"/>
    <s v="net sales:product 1"/>
    <n v="9.99"/>
    <n v="22"/>
    <n v="219.78"/>
    <s v="net sales"/>
    <x v="1"/>
    <x v="1"/>
    <n v="4"/>
  </r>
  <r>
    <x v="467"/>
    <s v="net sales:product 2"/>
    <n v="24.99"/>
    <n v="8"/>
    <n v="199.92"/>
    <s v="net sales"/>
    <x v="2"/>
    <x v="1"/>
    <n v="4"/>
  </r>
  <r>
    <x v="467"/>
    <s v="net sales:product 3"/>
    <n v="12.49"/>
    <n v="13"/>
    <n v="162.37"/>
    <s v="net sales"/>
    <x v="3"/>
    <x v="1"/>
    <n v="4"/>
  </r>
  <r>
    <x v="468"/>
    <s v="cogs:product 1"/>
    <n v="5.49"/>
    <n v="32"/>
    <n v="175.68"/>
    <s v="cogs"/>
    <x v="1"/>
    <x v="1"/>
    <n v="4"/>
  </r>
  <r>
    <x v="468"/>
    <s v="cogs:product 2"/>
    <n v="19.989999999999998"/>
    <n v="3"/>
    <n v="59.97"/>
    <s v="cogs"/>
    <x v="2"/>
    <x v="1"/>
    <n v="4"/>
  </r>
  <r>
    <x v="468"/>
    <s v="cogs:product 3"/>
    <n v="8.99"/>
    <n v="68"/>
    <n v="611.32000000000005"/>
    <s v="cogs"/>
    <x v="3"/>
    <x v="1"/>
    <n v="4"/>
  </r>
  <r>
    <x v="468"/>
    <s v="marketing"/>
    <s v="NA"/>
    <s v="NA"/>
    <n v="116.08"/>
    <s v="marketing"/>
    <x v="0"/>
    <x v="1"/>
    <n v="4"/>
  </r>
  <r>
    <x v="468"/>
    <s v="net sales:product 1"/>
    <n v="9.99"/>
    <n v="32"/>
    <n v="319.68"/>
    <s v="net sales"/>
    <x v="1"/>
    <x v="1"/>
    <n v="4"/>
  </r>
  <r>
    <x v="468"/>
    <s v="net sales:product 2"/>
    <n v="24.99"/>
    <n v="3"/>
    <n v="74.97"/>
    <s v="net sales"/>
    <x v="2"/>
    <x v="1"/>
    <n v="4"/>
  </r>
  <r>
    <x v="468"/>
    <s v="net sales:product 3"/>
    <n v="12.49"/>
    <n v="68"/>
    <n v="849.32"/>
    <s v="net sales"/>
    <x v="3"/>
    <x v="1"/>
    <n v="4"/>
  </r>
  <r>
    <x v="469"/>
    <s v="cogs:product 1"/>
    <n v="5.49"/>
    <n v="70"/>
    <n v="384.3"/>
    <s v="cogs"/>
    <x v="1"/>
    <x v="1"/>
    <n v="4"/>
  </r>
  <r>
    <x v="469"/>
    <s v="cogs:product 2"/>
    <n v="19.989999999999998"/>
    <n v="8"/>
    <n v="159.91999999999999"/>
    <s v="cogs"/>
    <x v="2"/>
    <x v="1"/>
    <n v="4"/>
  </r>
  <r>
    <x v="469"/>
    <s v="cogs:product 3"/>
    <n v="8.99"/>
    <n v="14"/>
    <n v="125.86"/>
    <s v="cogs"/>
    <x v="3"/>
    <x v="1"/>
    <n v="4"/>
  </r>
  <r>
    <x v="469"/>
    <s v="marketing"/>
    <s v="NA"/>
    <s v="NA"/>
    <n v="112.92"/>
    <s v="marketing"/>
    <x v="0"/>
    <x v="1"/>
    <n v="4"/>
  </r>
  <r>
    <x v="469"/>
    <s v="net sales:product 1"/>
    <n v="9.99"/>
    <n v="70"/>
    <n v="699.30000000000007"/>
    <s v="net sales"/>
    <x v="1"/>
    <x v="1"/>
    <n v="4"/>
  </r>
  <r>
    <x v="469"/>
    <s v="net sales:product 2"/>
    <n v="24.99"/>
    <n v="8"/>
    <n v="199.92"/>
    <s v="net sales"/>
    <x v="2"/>
    <x v="1"/>
    <n v="4"/>
  </r>
  <r>
    <x v="469"/>
    <s v="net sales:product 3"/>
    <n v="12.49"/>
    <n v="14"/>
    <n v="174.86"/>
    <s v="net sales"/>
    <x v="3"/>
    <x v="1"/>
    <n v="4"/>
  </r>
  <r>
    <x v="470"/>
    <s v="cogs:product 1"/>
    <n v="5.49"/>
    <n v="99"/>
    <n v="543.51"/>
    <s v="cogs"/>
    <x v="1"/>
    <x v="1"/>
    <n v="4"/>
  </r>
  <r>
    <x v="470"/>
    <s v="cogs:product 2"/>
    <n v="19.989999999999998"/>
    <n v="7"/>
    <n v="139.92999999999998"/>
    <s v="cogs"/>
    <x v="2"/>
    <x v="1"/>
    <n v="4"/>
  </r>
  <r>
    <x v="470"/>
    <s v="cogs:product 3"/>
    <n v="8.99"/>
    <n v="248"/>
    <n v="2229.52"/>
    <s v="cogs"/>
    <x v="3"/>
    <x v="1"/>
    <n v="4"/>
  </r>
  <r>
    <x v="470"/>
    <s v="interest"/>
    <s v="NA"/>
    <s v="NA"/>
    <n v="1265.1199999999999"/>
    <s v="interest"/>
    <x v="0"/>
    <x v="1"/>
    <n v="4"/>
  </r>
  <r>
    <x v="470"/>
    <s v="marketing"/>
    <s v="NA"/>
    <s v="NA"/>
    <n v="103.98"/>
    <s v="marketing"/>
    <x v="0"/>
    <x v="1"/>
    <n v="4"/>
  </r>
  <r>
    <x v="470"/>
    <s v="net sales:product 1"/>
    <n v="9.99"/>
    <n v="99"/>
    <n v="989.01"/>
    <s v="net sales"/>
    <x v="1"/>
    <x v="1"/>
    <n v="4"/>
  </r>
  <r>
    <x v="470"/>
    <s v="net sales:product 2"/>
    <n v="24.99"/>
    <n v="7"/>
    <n v="174.92999999999998"/>
    <s v="net sales"/>
    <x v="2"/>
    <x v="1"/>
    <n v="4"/>
  </r>
  <r>
    <x v="470"/>
    <s v="net sales:product 3"/>
    <n v="12.49"/>
    <n v="248"/>
    <n v="3097.52"/>
    <s v="net sales"/>
    <x v="3"/>
    <x v="1"/>
    <n v="4"/>
  </r>
  <r>
    <x v="470"/>
    <s v="overhead"/>
    <s v="NA"/>
    <s v="NA"/>
    <n v="313.02999999999997"/>
    <s v="overhead"/>
    <x v="0"/>
    <x v="1"/>
    <n v="4"/>
  </r>
  <r>
    <x v="471"/>
    <s v="cogs:product 1"/>
    <n v="5.49"/>
    <n v="32"/>
    <n v="175.68"/>
    <s v="cogs"/>
    <x v="1"/>
    <x v="1"/>
    <n v="4"/>
  </r>
  <r>
    <x v="471"/>
    <s v="cogs:product 2"/>
    <n v="19.989999999999998"/>
    <n v="0"/>
    <n v="0"/>
    <s v="cogs"/>
    <x v="2"/>
    <x v="1"/>
    <n v="4"/>
  </r>
  <r>
    <x v="471"/>
    <s v="cogs:product 3"/>
    <n v="8.99"/>
    <n v="121"/>
    <n v="1087.79"/>
    <s v="cogs"/>
    <x v="3"/>
    <x v="1"/>
    <n v="4"/>
  </r>
  <r>
    <x v="471"/>
    <s v="marketing"/>
    <s v="NA"/>
    <s v="NA"/>
    <n v="119.98"/>
    <s v="marketing"/>
    <x v="0"/>
    <x v="1"/>
    <n v="4"/>
  </r>
  <r>
    <x v="471"/>
    <s v="net sales:product 1"/>
    <n v="9.99"/>
    <n v="32"/>
    <n v="319.68"/>
    <s v="net sales"/>
    <x v="1"/>
    <x v="1"/>
    <n v="4"/>
  </r>
  <r>
    <x v="471"/>
    <s v="net sales:product 2"/>
    <n v="24.99"/>
    <n v="0"/>
    <n v="0"/>
    <s v="net sales"/>
    <x v="2"/>
    <x v="1"/>
    <n v="4"/>
  </r>
  <r>
    <x v="471"/>
    <s v="net sales:product 3"/>
    <n v="12.49"/>
    <n v="121"/>
    <n v="1511.29"/>
    <s v="net sales"/>
    <x v="3"/>
    <x v="1"/>
    <n v="4"/>
  </r>
  <r>
    <x v="472"/>
    <s v="cogs:product 1"/>
    <n v="5.49"/>
    <n v="71"/>
    <n v="389.79"/>
    <s v="cogs"/>
    <x v="1"/>
    <x v="1"/>
    <n v="4"/>
  </r>
  <r>
    <x v="472"/>
    <s v="cogs:product 2"/>
    <n v="19.989999999999998"/>
    <n v="5"/>
    <n v="99.949999999999989"/>
    <s v="cogs"/>
    <x v="2"/>
    <x v="1"/>
    <n v="4"/>
  </r>
  <r>
    <x v="472"/>
    <s v="cogs:product 3"/>
    <n v="8.99"/>
    <n v="248"/>
    <n v="2229.52"/>
    <s v="cogs"/>
    <x v="3"/>
    <x v="1"/>
    <n v="4"/>
  </r>
  <r>
    <x v="472"/>
    <s v="marketing"/>
    <s v="NA"/>
    <s v="NA"/>
    <n v="104.03"/>
    <s v="marketing"/>
    <x v="0"/>
    <x v="1"/>
    <n v="4"/>
  </r>
  <r>
    <x v="472"/>
    <s v="net sales:product 1"/>
    <n v="9.99"/>
    <n v="71"/>
    <n v="709.29"/>
    <s v="net sales"/>
    <x v="1"/>
    <x v="1"/>
    <n v="4"/>
  </r>
  <r>
    <x v="472"/>
    <s v="net sales:product 2"/>
    <n v="24.99"/>
    <n v="5"/>
    <n v="124.94999999999999"/>
    <s v="net sales"/>
    <x v="2"/>
    <x v="1"/>
    <n v="4"/>
  </r>
  <r>
    <x v="472"/>
    <s v="net sales:product 3"/>
    <n v="12.49"/>
    <n v="248"/>
    <n v="3097.52"/>
    <s v="net sales"/>
    <x v="3"/>
    <x v="1"/>
    <n v="4"/>
  </r>
  <r>
    <x v="473"/>
    <s v="cogs:product 1"/>
    <n v="5.49"/>
    <n v="94"/>
    <n v="516.06000000000006"/>
    <s v="cogs"/>
    <x v="1"/>
    <x v="1"/>
    <n v="4"/>
  </r>
  <r>
    <x v="473"/>
    <s v="cogs:product 2"/>
    <n v="19.989999999999998"/>
    <n v="1"/>
    <n v="19.989999999999998"/>
    <s v="cogs"/>
    <x v="2"/>
    <x v="1"/>
    <n v="4"/>
  </r>
  <r>
    <x v="473"/>
    <s v="cogs:product 3"/>
    <n v="8.99"/>
    <n v="201"/>
    <n v="1806.99"/>
    <s v="cogs"/>
    <x v="3"/>
    <x v="1"/>
    <n v="4"/>
  </r>
  <r>
    <x v="473"/>
    <s v="marketing"/>
    <s v="NA"/>
    <s v="NA"/>
    <n v="111.04"/>
    <s v="marketing"/>
    <x v="0"/>
    <x v="1"/>
    <n v="4"/>
  </r>
  <r>
    <x v="473"/>
    <s v="net sales:product 1"/>
    <n v="9.99"/>
    <n v="94"/>
    <n v="939.06000000000006"/>
    <s v="net sales"/>
    <x v="1"/>
    <x v="1"/>
    <n v="4"/>
  </r>
  <r>
    <x v="473"/>
    <s v="net sales:product 2"/>
    <n v="24.99"/>
    <n v="1"/>
    <n v="24.99"/>
    <s v="net sales"/>
    <x v="2"/>
    <x v="1"/>
    <n v="4"/>
  </r>
  <r>
    <x v="473"/>
    <s v="net sales:product 3"/>
    <n v="12.49"/>
    <n v="201"/>
    <n v="2510.4900000000002"/>
    <s v="net sales"/>
    <x v="3"/>
    <x v="1"/>
    <n v="4"/>
  </r>
  <r>
    <x v="474"/>
    <s v="cogs:product 1"/>
    <n v="5.49"/>
    <n v="50"/>
    <n v="274.5"/>
    <s v="cogs"/>
    <x v="1"/>
    <x v="1"/>
    <n v="4"/>
  </r>
  <r>
    <x v="474"/>
    <s v="cogs:product 2"/>
    <n v="19.989999999999998"/>
    <n v="2"/>
    <n v="39.979999999999997"/>
    <s v="cogs"/>
    <x v="2"/>
    <x v="1"/>
    <n v="4"/>
  </r>
  <r>
    <x v="474"/>
    <s v="cogs:product 3"/>
    <n v="8.99"/>
    <n v="56"/>
    <n v="503.44"/>
    <s v="cogs"/>
    <x v="3"/>
    <x v="1"/>
    <n v="4"/>
  </r>
  <r>
    <x v="474"/>
    <s v="marketing"/>
    <s v="NA"/>
    <s v="NA"/>
    <n v="113.04"/>
    <s v="marketing"/>
    <x v="0"/>
    <x v="1"/>
    <n v="4"/>
  </r>
  <r>
    <x v="474"/>
    <s v="net sales:product 1"/>
    <n v="9.99"/>
    <n v="50"/>
    <n v="499.5"/>
    <s v="net sales"/>
    <x v="1"/>
    <x v="1"/>
    <n v="4"/>
  </r>
  <r>
    <x v="474"/>
    <s v="net sales:product 2"/>
    <n v="24.99"/>
    <n v="2"/>
    <n v="49.98"/>
    <s v="net sales"/>
    <x v="2"/>
    <x v="1"/>
    <n v="4"/>
  </r>
  <r>
    <x v="474"/>
    <s v="net sales:product 3"/>
    <n v="12.49"/>
    <n v="56"/>
    <n v="699.44"/>
    <s v="net sales"/>
    <x v="3"/>
    <x v="1"/>
    <n v="4"/>
  </r>
  <r>
    <x v="475"/>
    <s v="cogs:product 1"/>
    <n v="5.49"/>
    <n v="35"/>
    <n v="192.15"/>
    <s v="cogs"/>
    <x v="1"/>
    <x v="1"/>
    <n v="4"/>
  </r>
  <r>
    <x v="475"/>
    <s v="cogs:product 2"/>
    <n v="19.989999999999998"/>
    <n v="2"/>
    <n v="39.979999999999997"/>
    <s v="cogs"/>
    <x v="2"/>
    <x v="1"/>
    <n v="4"/>
  </r>
  <r>
    <x v="475"/>
    <s v="cogs:product 3"/>
    <n v="8.99"/>
    <n v="79"/>
    <n v="710.21"/>
    <s v="cogs"/>
    <x v="3"/>
    <x v="1"/>
    <n v="4"/>
  </r>
  <r>
    <x v="475"/>
    <s v="marketing"/>
    <s v="NA"/>
    <s v="NA"/>
    <n v="113.95"/>
    <s v="marketing"/>
    <x v="0"/>
    <x v="1"/>
    <n v="4"/>
  </r>
  <r>
    <x v="475"/>
    <s v="net sales:product 1"/>
    <n v="9.99"/>
    <n v="35"/>
    <n v="349.65000000000003"/>
    <s v="net sales"/>
    <x v="1"/>
    <x v="1"/>
    <n v="4"/>
  </r>
  <r>
    <x v="475"/>
    <s v="net sales:product 2"/>
    <n v="24.99"/>
    <n v="2"/>
    <n v="49.98"/>
    <s v="net sales"/>
    <x v="2"/>
    <x v="1"/>
    <n v="4"/>
  </r>
  <r>
    <x v="475"/>
    <s v="net sales:product 3"/>
    <n v="12.49"/>
    <n v="79"/>
    <n v="986.71"/>
    <s v="net sales"/>
    <x v="3"/>
    <x v="1"/>
    <n v="4"/>
  </r>
  <r>
    <x v="476"/>
    <s v="cogs:product 1"/>
    <n v="5.49"/>
    <n v="48"/>
    <n v="263.52"/>
    <s v="cogs"/>
    <x v="1"/>
    <x v="1"/>
    <n v="4"/>
  </r>
  <r>
    <x v="476"/>
    <s v="cogs:product 2"/>
    <n v="19.989999999999998"/>
    <n v="1"/>
    <n v="19.989999999999998"/>
    <s v="cogs"/>
    <x v="2"/>
    <x v="1"/>
    <n v="4"/>
  </r>
  <r>
    <x v="476"/>
    <s v="cogs:product 3"/>
    <n v="8.99"/>
    <n v="167"/>
    <n v="1501.33"/>
    <s v="cogs"/>
    <x v="3"/>
    <x v="1"/>
    <n v="4"/>
  </r>
  <r>
    <x v="476"/>
    <s v="marketing"/>
    <s v="NA"/>
    <s v="NA"/>
    <n v="108"/>
    <s v="marketing"/>
    <x v="0"/>
    <x v="1"/>
    <n v="4"/>
  </r>
  <r>
    <x v="476"/>
    <s v="net sales:product 1"/>
    <n v="9.99"/>
    <n v="48"/>
    <n v="479.52"/>
    <s v="net sales"/>
    <x v="1"/>
    <x v="1"/>
    <n v="4"/>
  </r>
  <r>
    <x v="476"/>
    <s v="net sales:product 2"/>
    <n v="24.99"/>
    <n v="1"/>
    <n v="24.99"/>
    <s v="net sales"/>
    <x v="2"/>
    <x v="1"/>
    <n v="4"/>
  </r>
  <r>
    <x v="476"/>
    <s v="net sales:product 3"/>
    <n v="12.49"/>
    <n v="167"/>
    <n v="2085.83"/>
    <s v="net sales"/>
    <x v="3"/>
    <x v="1"/>
    <n v="4"/>
  </r>
  <r>
    <x v="477"/>
    <s v="cogs:product 1"/>
    <n v="5.49"/>
    <n v="96"/>
    <n v="527.04"/>
    <s v="cogs"/>
    <x v="1"/>
    <x v="1"/>
    <n v="4"/>
  </r>
  <r>
    <x v="477"/>
    <s v="cogs:product 2"/>
    <n v="19.989999999999998"/>
    <n v="7"/>
    <n v="139.92999999999998"/>
    <s v="cogs"/>
    <x v="2"/>
    <x v="1"/>
    <n v="4"/>
  </r>
  <r>
    <x v="477"/>
    <s v="cogs:product 3"/>
    <n v="8.99"/>
    <n v="34"/>
    <n v="305.66000000000003"/>
    <s v="cogs"/>
    <x v="3"/>
    <x v="1"/>
    <n v="4"/>
  </r>
  <r>
    <x v="477"/>
    <s v="marketing"/>
    <s v="NA"/>
    <s v="NA"/>
    <n v="118.04"/>
    <s v="marketing"/>
    <x v="0"/>
    <x v="1"/>
    <n v="4"/>
  </r>
  <r>
    <x v="477"/>
    <s v="net sales:product 1"/>
    <n v="9.99"/>
    <n v="96"/>
    <n v="959.04"/>
    <s v="net sales"/>
    <x v="1"/>
    <x v="1"/>
    <n v="4"/>
  </r>
  <r>
    <x v="477"/>
    <s v="net sales:product 2"/>
    <n v="24.99"/>
    <n v="7"/>
    <n v="174.92999999999998"/>
    <s v="net sales"/>
    <x v="2"/>
    <x v="1"/>
    <n v="4"/>
  </r>
  <r>
    <x v="477"/>
    <s v="net sales:product 3"/>
    <n v="12.49"/>
    <n v="34"/>
    <n v="424.66"/>
    <s v="net sales"/>
    <x v="3"/>
    <x v="1"/>
    <n v="4"/>
  </r>
  <r>
    <x v="478"/>
    <s v="cogs:product 1"/>
    <n v="5.49"/>
    <n v="94"/>
    <n v="516.06000000000006"/>
    <s v="cogs"/>
    <x v="1"/>
    <x v="1"/>
    <n v="4"/>
  </r>
  <r>
    <x v="478"/>
    <s v="cogs:product 2"/>
    <n v="19.989999999999998"/>
    <n v="7"/>
    <n v="139.92999999999998"/>
    <s v="cogs"/>
    <x v="2"/>
    <x v="1"/>
    <n v="4"/>
  </r>
  <r>
    <x v="478"/>
    <s v="cogs:product 3"/>
    <n v="8.99"/>
    <n v="36"/>
    <n v="323.64"/>
    <s v="cogs"/>
    <x v="3"/>
    <x v="1"/>
    <n v="4"/>
  </r>
  <r>
    <x v="478"/>
    <s v="marketing"/>
    <s v="NA"/>
    <s v="NA"/>
    <n v="110.02"/>
    <s v="marketing"/>
    <x v="0"/>
    <x v="1"/>
    <n v="4"/>
  </r>
  <r>
    <x v="478"/>
    <s v="net sales:product 1"/>
    <n v="9.99"/>
    <n v="94"/>
    <n v="939.06000000000006"/>
    <s v="net sales"/>
    <x v="1"/>
    <x v="1"/>
    <n v="4"/>
  </r>
  <r>
    <x v="478"/>
    <s v="net sales:product 2"/>
    <n v="24.99"/>
    <n v="7"/>
    <n v="174.92999999999998"/>
    <s v="net sales"/>
    <x v="2"/>
    <x v="1"/>
    <n v="4"/>
  </r>
  <r>
    <x v="478"/>
    <s v="net sales:product 3"/>
    <n v="12.49"/>
    <n v="36"/>
    <n v="449.64"/>
    <s v="net sales"/>
    <x v="3"/>
    <x v="1"/>
    <n v="4"/>
  </r>
  <r>
    <x v="479"/>
    <s v="cogs:product 1"/>
    <n v="5.49"/>
    <n v="95"/>
    <n v="521.55000000000007"/>
    <s v="cogs"/>
    <x v="1"/>
    <x v="1"/>
    <n v="4"/>
  </r>
  <r>
    <x v="479"/>
    <s v="cogs:product 2"/>
    <n v="19.989999999999998"/>
    <n v="4"/>
    <n v="79.959999999999994"/>
    <s v="cogs"/>
    <x v="2"/>
    <x v="1"/>
    <n v="4"/>
  </r>
  <r>
    <x v="479"/>
    <s v="cogs:product 3"/>
    <n v="8.99"/>
    <n v="246"/>
    <n v="2211.54"/>
    <s v="cogs"/>
    <x v="3"/>
    <x v="1"/>
    <n v="4"/>
  </r>
  <r>
    <x v="479"/>
    <s v="marketing"/>
    <s v="NA"/>
    <s v="NA"/>
    <n v="106.02"/>
    <s v="marketing"/>
    <x v="0"/>
    <x v="1"/>
    <n v="4"/>
  </r>
  <r>
    <x v="479"/>
    <s v="net sales:product 1"/>
    <n v="9.99"/>
    <n v="95"/>
    <n v="949.05000000000007"/>
    <s v="net sales"/>
    <x v="1"/>
    <x v="1"/>
    <n v="4"/>
  </r>
  <r>
    <x v="479"/>
    <s v="net sales:product 2"/>
    <n v="24.99"/>
    <n v="4"/>
    <n v="99.96"/>
    <s v="net sales"/>
    <x v="2"/>
    <x v="1"/>
    <n v="4"/>
  </r>
  <r>
    <x v="479"/>
    <s v="net sales:product 3"/>
    <n v="12.49"/>
    <n v="246"/>
    <n v="3072.54"/>
    <s v="net sales"/>
    <x v="3"/>
    <x v="1"/>
    <n v="4"/>
  </r>
  <r>
    <x v="480"/>
    <s v="cogs:product 1"/>
    <n v="5.49"/>
    <n v="5"/>
    <n v="27.450000000000003"/>
    <s v="cogs"/>
    <x v="1"/>
    <x v="1"/>
    <n v="4"/>
  </r>
  <r>
    <x v="480"/>
    <s v="cogs:product 2"/>
    <n v="19.989999999999998"/>
    <n v="6"/>
    <n v="119.94"/>
    <s v="cogs"/>
    <x v="2"/>
    <x v="1"/>
    <n v="4"/>
  </r>
  <r>
    <x v="480"/>
    <s v="cogs:product 3"/>
    <n v="8.99"/>
    <n v="138"/>
    <n v="1240.6200000000001"/>
    <s v="cogs"/>
    <x v="3"/>
    <x v="1"/>
    <n v="4"/>
  </r>
  <r>
    <x v="480"/>
    <s v="marketing"/>
    <s v="NA"/>
    <s v="NA"/>
    <n v="118"/>
    <s v="marketing"/>
    <x v="0"/>
    <x v="1"/>
    <n v="4"/>
  </r>
  <r>
    <x v="480"/>
    <s v="net sales:product 1"/>
    <n v="9.99"/>
    <n v="5"/>
    <n v="49.95"/>
    <s v="net sales"/>
    <x v="1"/>
    <x v="1"/>
    <n v="4"/>
  </r>
  <r>
    <x v="480"/>
    <s v="net sales:product 2"/>
    <n v="24.99"/>
    <n v="6"/>
    <n v="149.94"/>
    <s v="net sales"/>
    <x v="2"/>
    <x v="1"/>
    <n v="4"/>
  </r>
  <r>
    <x v="480"/>
    <s v="net sales:product 3"/>
    <n v="12.49"/>
    <n v="138"/>
    <n v="1723.6200000000001"/>
    <s v="net sales"/>
    <x v="3"/>
    <x v="1"/>
    <n v="4"/>
  </r>
  <r>
    <x v="480"/>
    <s v="payroll"/>
    <s v="NA"/>
    <s v="NA"/>
    <n v="1200"/>
    <s v="payroll"/>
    <x v="0"/>
    <x v="1"/>
    <n v="4"/>
  </r>
  <r>
    <x v="481"/>
    <s v="cogs:product 1"/>
    <n v="5.49"/>
    <n v="61"/>
    <n v="334.89"/>
    <s v="cogs"/>
    <x v="1"/>
    <x v="1"/>
    <n v="4"/>
  </r>
  <r>
    <x v="481"/>
    <s v="cogs:product 2"/>
    <n v="19.989999999999998"/>
    <n v="2"/>
    <n v="39.979999999999997"/>
    <s v="cogs"/>
    <x v="2"/>
    <x v="1"/>
    <n v="4"/>
  </r>
  <r>
    <x v="481"/>
    <s v="cogs:product 3"/>
    <n v="8.99"/>
    <n v="240"/>
    <n v="2157.6"/>
    <s v="cogs"/>
    <x v="3"/>
    <x v="1"/>
    <n v="4"/>
  </r>
  <r>
    <x v="481"/>
    <s v="marketing"/>
    <s v="NA"/>
    <s v="NA"/>
    <n v="100.01"/>
    <s v="marketing"/>
    <x v="0"/>
    <x v="1"/>
    <n v="4"/>
  </r>
  <r>
    <x v="481"/>
    <s v="net sales:product 1"/>
    <n v="9.99"/>
    <n v="61"/>
    <n v="609.39"/>
    <s v="net sales"/>
    <x v="1"/>
    <x v="1"/>
    <n v="4"/>
  </r>
  <r>
    <x v="481"/>
    <s v="net sales:product 2"/>
    <n v="24.99"/>
    <n v="2"/>
    <n v="49.98"/>
    <s v="net sales"/>
    <x v="2"/>
    <x v="1"/>
    <n v="4"/>
  </r>
  <r>
    <x v="481"/>
    <s v="net sales:product 3"/>
    <n v="12.49"/>
    <n v="240"/>
    <n v="2997.6"/>
    <s v="net sales"/>
    <x v="3"/>
    <x v="1"/>
    <n v="4"/>
  </r>
  <r>
    <x v="482"/>
    <s v="cogs:product 1"/>
    <n v="5.49"/>
    <n v="53"/>
    <n v="290.97000000000003"/>
    <s v="cogs"/>
    <x v="1"/>
    <x v="1"/>
    <n v="4"/>
  </r>
  <r>
    <x v="482"/>
    <s v="cogs:product 2"/>
    <n v="19.989999999999998"/>
    <n v="4"/>
    <n v="79.959999999999994"/>
    <s v="cogs"/>
    <x v="2"/>
    <x v="1"/>
    <n v="4"/>
  </r>
  <r>
    <x v="482"/>
    <s v="cogs:product 3"/>
    <n v="8.99"/>
    <n v="15"/>
    <n v="134.85"/>
    <s v="cogs"/>
    <x v="3"/>
    <x v="1"/>
    <n v="4"/>
  </r>
  <r>
    <x v="482"/>
    <s v="marketing"/>
    <s v="NA"/>
    <s v="NA"/>
    <n v="115.08"/>
    <s v="marketing"/>
    <x v="0"/>
    <x v="1"/>
    <n v="4"/>
  </r>
  <r>
    <x v="482"/>
    <s v="net sales:product 1"/>
    <n v="9.99"/>
    <n v="53"/>
    <n v="529.47"/>
    <s v="net sales"/>
    <x v="1"/>
    <x v="1"/>
    <n v="4"/>
  </r>
  <r>
    <x v="482"/>
    <s v="net sales:product 2"/>
    <n v="24.99"/>
    <n v="4"/>
    <n v="99.96"/>
    <s v="net sales"/>
    <x v="2"/>
    <x v="1"/>
    <n v="4"/>
  </r>
  <r>
    <x v="482"/>
    <s v="net sales:product 3"/>
    <n v="12.49"/>
    <n v="15"/>
    <n v="187.35"/>
    <s v="net sales"/>
    <x v="3"/>
    <x v="1"/>
    <n v="4"/>
  </r>
  <r>
    <x v="483"/>
    <s v="cogs:product 1"/>
    <n v="5.49"/>
    <n v="29"/>
    <n v="159.21"/>
    <s v="cogs"/>
    <x v="1"/>
    <x v="1"/>
    <n v="4"/>
  </r>
  <r>
    <x v="483"/>
    <s v="cogs:product 2"/>
    <n v="19.989999999999998"/>
    <n v="8"/>
    <n v="159.91999999999999"/>
    <s v="cogs"/>
    <x v="2"/>
    <x v="1"/>
    <n v="4"/>
  </r>
  <r>
    <x v="483"/>
    <s v="cogs:product 3"/>
    <n v="8.99"/>
    <n v="105"/>
    <n v="943.95"/>
    <s v="cogs"/>
    <x v="3"/>
    <x v="1"/>
    <n v="4"/>
  </r>
  <r>
    <x v="483"/>
    <s v="marketing"/>
    <s v="NA"/>
    <s v="NA"/>
    <n v="110.93"/>
    <s v="marketing"/>
    <x v="0"/>
    <x v="1"/>
    <n v="4"/>
  </r>
  <r>
    <x v="483"/>
    <s v="net sales:product 1"/>
    <n v="9.99"/>
    <n v="29"/>
    <n v="289.70999999999998"/>
    <s v="net sales"/>
    <x v="1"/>
    <x v="1"/>
    <n v="4"/>
  </r>
  <r>
    <x v="483"/>
    <s v="net sales:product 2"/>
    <n v="24.99"/>
    <n v="8"/>
    <n v="199.92"/>
    <s v="net sales"/>
    <x v="2"/>
    <x v="1"/>
    <n v="4"/>
  </r>
  <r>
    <x v="483"/>
    <s v="net sales:product 3"/>
    <n v="12.49"/>
    <n v="105"/>
    <n v="1311.45"/>
    <s v="net sales"/>
    <x v="3"/>
    <x v="1"/>
    <n v="4"/>
  </r>
  <r>
    <x v="484"/>
    <s v="cogs:product 1"/>
    <n v="5.49"/>
    <n v="77"/>
    <n v="422.73"/>
    <s v="cogs"/>
    <x v="1"/>
    <x v="1"/>
    <n v="4"/>
  </r>
  <r>
    <x v="484"/>
    <s v="cogs:product 2"/>
    <n v="19.989999999999998"/>
    <n v="4"/>
    <n v="79.959999999999994"/>
    <s v="cogs"/>
    <x v="2"/>
    <x v="1"/>
    <n v="4"/>
  </r>
  <r>
    <x v="484"/>
    <s v="cogs:product 3"/>
    <n v="8.99"/>
    <n v="0"/>
    <n v="0"/>
    <s v="cogs"/>
    <x v="3"/>
    <x v="1"/>
    <n v="4"/>
  </r>
  <r>
    <x v="484"/>
    <s v="marketing"/>
    <s v="NA"/>
    <s v="NA"/>
    <n v="116.08"/>
    <s v="marketing"/>
    <x v="0"/>
    <x v="1"/>
    <n v="4"/>
  </r>
  <r>
    <x v="484"/>
    <s v="net sales:product 1"/>
    <n v="9.99"/>
    <n v="77"/>
    <n v="769.23"/>
    <s v="net sales"/>
    <x v="1"/>
    <x v="1"/>
    <n v="4"/>
  </r>
  <r>
    <x v="484"/>
    <s v="net sales:product 2"/>
    <n v="24.99"/>
    <n v="4"/>
    <n v="99.96"/>
    <s v="net sales"/>
    <x v="2"/>
    <x v="1"/>
    <n v="4"/>
  </r>
  <r>
    <x v="484"/>
    <s v="net sales:product 3"/>
    <n v="12.49"/>
    <n v="0"/>
    <n v="0"/>
    <s v="net sales"/>
    <x v="3"/>
    <x v="1"/>
    <n v="4"/>
  </r>
  <r>
    <x v="485"/>
    <s v="cogs:product 1"/>
    <n v="5.49"/>
    <n v="63"/>
    <n v="345.87"/>
    <s v="cogs"/>
    <x v="1"/>
    <x v="1"/>
    <n v="4"/>
  </r>
  <r>
    <x v="485"/>
    <s v="cogs:product 2"/>
    <n v="19.989999999999998"/>
    <n v="4"/>
    <n v="79.959999999999994"/>
    <s v="cogs"/>
    <x v="2"/>
    <x v="1"/>
    <n v="4"/>
  </r>
  <r>
    <x v="485"/>
    <s v="cogs:product 3"/>
    <n v="8.99"/>
    <n v="64"/>
    <n v="575.36"/>
    <s v="cogs"/>
    <x v="3"/>
    <x v="1"/>
    <n v="4"/>
  </r>
  <r>
    <x v="485"/>
    <s v="marketing"/>
    <s v="NA"/>
    <s v="NA"/>
    <n v="118.94"/>
    <s v="marketing"/>
    <x v="0"/>
    <x v="1"/>
    <n v="4"/>
  </r>
  <r>
    <x v="485"/>
    <s v="net sales:product 1"/>
    <n v="9.99"/>
    <n v="63"/>
    <n v="629.37"/>
    <s v="net sales"/>
    <x v="1"/>
    <x v="1"/>
    <n v="4"/>
  </r>
  <r>
    <x v="485"/>
    <s v="net sales:product 2"/>
    <n v="24.99"/>
    <n v="4"/>
    <n v="99.96"/>
    <s v="net sales"/>
    <x v="2"/>
    <x v="1"/>
    <n v="4"/>
  </r>
  <r>
    <x v="485"/>
    <s v="net sales:product 3"/>
    <n v="12.49"/>
    <n v="64"/>
    <n v="799.36"/>
    <s v="net sales"/>
    <x v="3"/>
    <x v="1"/>
    <n v="4"/>
  </r>
  <r>
    <x v="486"/>
    <s v="amortization"/>
    <s v="NA"/>
    <s v="NA"/>
    <n v="50"/>
    <s v="amortization"/>
    <x v="0"/>
    <x v="1"/>
    <n v="5"/>
  </r>
  <r>
    <x v="486"/>
    <s v="cogs:product 1"/>
    <n v="5.49"/>
    <n v="60"/>
    <n v="329.40000000000003"/>
    <s v="cogs"/>
    <x v="1"/>
    <x v="1"/>
    <n v="5"/>
  </r>
  <r>
    <x v="486"/>
    <s v="cogs:product 2"/>
    <n v="19.989999999999998"/>
    <n v="1"/>
    <n v="19.989999999999998"/>
    <s v="cogs"/>
    <x v="2"/>
    <x v="1"/>
    <n v="5"/>
  </r>
  <r>
    <x v="486"/>
    <s v="cogs:product 3"/>
    <n v="8.99"/>
    <n v="10"/>
    <n v="89.9"/>
    <s v="cogs"/>
    <x v="3"/>
    <x v="1"/>
    <n v="5"/>
  </r>
  <r>
    <x v="486"/>
    <s v="marketing"/>
    <s v="NA"/>
    <s v="NA"/>
    <n v="109.07000000000001"/>
    <s v="marketing"/>
    <x v="0"/>
    <x v="1"/>
    <n v="5"/>
  </r>
  <r>
    <x v="486"/>
    <s v="net sales:product 1"/>
    <n v="9.99"/>
    <n v="60"/>
    <n v="599.4"/>
    <s v="net sales"/>
    <x v="1"/>
    <x v="1"/>
    <n v="5"/>
  </r>
  <r>
    <x v="486"/>
    <s v="net sales:product 2"/>
    <n v="24.99"/>
    <n v="1"/>
    <n v="24.99"/>
    <s v="net sales"/>
    <x v="2"/>
    <x v="1"/>
    <n v="5"/>
  </r>
  <r>
    <x v="486"/>
    <s v="net sales:product 3"/>
    <n v="12.49"/>
    <n v="10"/>
    <n v="124.9"/>
    <s v="net sales"/>
    <x v="3"/>
    <x v="1"/>
    <n v="5"/>
  </r>
  <r>
    <x v="486"/>
    <s v="overhead"/>
    <s v="NA"/>
    <s v="NA"/>
    <n v="2000"/>
    <s v="overhead"/>
    <x v="0"/>
    <x v="1"/>
    <n v="5"/>
  </r>
  <r>
    <x v="487"/>
    <s v="cogs:product 1"/>
    <n v="5.49"/>
    <n v="17"/>
    <n v="93.33"/>
    <s v="cogs"/>
    <x v="1"/>
    <x v="1"/>
    <n v="5"/>
  </r>
  <r>
    <x v="487"/>
    <s v="cogs:product 2"/>
    <n v="19.989999999999998"/>
    <n v="3"/>
    <n v="59.97"/>
    <s v="cogs"/>
    <x v="2"/>
    <x v="1"/>
    <n v="5"/>
  </r>
  <r>
    <x v="487"/>
    <s v="cogs:product 3"/>
    <n v="8.99"/>
    <n v="160"/>
    <n v="1438.4"/>
    <s v="cogs"/>
    <x v="3"/>
    <x v="1"/>
    <n v="5"/>
  </r>
  <r>
    <x v="487"/>
    <s v="marketing"/>
    <s v="NA"/>
    <s v="NA"/>
    <n v="105.92"/>
    <s v="marketing"/>
    <x v="0"/>
    <x v="1"/>
    <n v="5"/>
  </r>
  <r>
    <x v="487"/>
    <s v="net sales:product 1"/>
    <n v="9.99"/>
    <n v="17"/>
    <n v="169.83"/>
    <s v="net sales"/>
    <x v="1"/>
    <x v="1"/>
    <n v="5"/>
  </r>
  <r>
    <x v="487"/>
    <s v="net sales:product 2"/>
    <n v="24.99"/>
    <n v="3"/>
    <n v="74.97"/>
    <s v="net sales"/>
    <x v="2"/>
    <x v="1"/>
    <n v="5"/>
  </r>
  <r>
    <x v="487"/>
    <s v="net sales:product 3"/>
    <n v="12.49"/>
    <n v="160"/>
    <n v="1998.4"/>
    <s v="net sales"/>
    <x v="3"/>
    <x v="1"/>
    <n v="5"/>
  </r>
  <r>
    <x v="488"/>
    <s v="cogs:product 1"/>
    <n v="5.49"/>
    <n v="36"/>
    <n v="197.64000000000001"/>
    <s v="cogs"/>
    <x v="1"/>
    <x v="1"/>
    <n v="5"/>
  </r>
  <r>
    <x v="488"/>
    <s v="cogs:product 2"/>
    <n v="19.989999999999998"/>
    <n v="4"/>
    <n v="79.959999999999994"/>
    <s v="cogs"/>
    <x v="2"/>
    <x v="1"/>
    <n v="5"/>
  </r>
  <r>
    <x v="488"/>
    <s v="cogs:product 3"/>
    <n v="8.99"/>
    <n v="171"/>
    <n v="1537.29"/>
    <s v="cogs"/>
    <x v="3"/>
    <x v="1"/>
    <n v="5"/>
  </r>
  <r>
    <x v="488"/>
    <s v="marketing"/>
    <s v="NA"/>
    <s v="NA"/>
    <n v="105"/>
    <s v="marketing"/>
    <x v="0"/>
    <x v="1"/>
    <n v="5"/>
  </r>
  <r>
    <x v="488"/>
    <s v="net sales:product 1"/>
    <n v="9.99"/>
    <n v="36"/>
    <n v="359.64"/>
    <s v="net sales"/>
    <x v="1"/>
    <x v="1"/>
    <n v="5"/>
  </r>
  <r>
    <x v="488"/>
    <s v="net sales:product 2"/>
    <n v="24.99"/>
    <n v="4"/>
    <n v="99.96"/>
    <s v="net sales"/>
    <x v="2"/>
    <x v="1"/>
    <n v="5"/>
  </r>
  <r>
    <x v="488"/>
    <s v="net sales:product 3"/>
    <n v="12.49"/>
    <n v="171"/>
    <n v="2135.79"/>
    <s v="net sales"/>
    <x v="3"/>
    <x v="1"/>
    <n v="5"/>
  </r>
  <r>
    <x v="489"/>
    <s v="cogs:product 1"/>
    <n v="5.49"/>
    <n v="96"/>
    <n v="527.04"/>
    <s v="cogs"/>
    <x v="1"/>
    <x v="1"/>
    <n v="5"/>
  </r>
  <r>
    <x v="489"/>
    <s v="cogs:product 2"/>
    <n v="19.989999999999998"/>
    <n v="8"/>
    <n v="159.91999999999999"/>
    <s v="cogs"/>
    <x v="2"/>
    <x v="1"/>
    <n v="5"/>
  </r>
  <r>
    <x v="489"/>
    <s v="cogs:product 3"/>
    <n v="8.99"/>
    <n v="126"/>
    <n v="1132.74"/>
    <s v="cogs"/>
    <x v="3"/>
    <x v="1"/>
    <n v="5"/>
  </r>
  <r>
    <x v="489"/>
    <s v="marketing"/>
    <s v="NA"/>
    <s v="NA"/>
    <n v="106.92"/>
    <s v="marketing"/>
    <x v="0"/>
    <x v="1"/>
    <n v="5"/>
  </r>
  <r>
    <x v="489"/>
    <s v="net sales:product 1"/>
    <n v="9.99"/>
    <n v="96"/>
    <n v="959.04"/>
    <s v="net sales"/>
    <x v="1"/>
    <x v="1"/>
    <n v="5"/>
  </r>
  <r>
    <x v="489"/>
    <s v="net sales:product 2"/>
    <n v="24.99"/>
    <n v="8"/>
    <n v="199.92"/>
    <s v="net sales"/>
    <x v="2"/>
    <x v="1"/>
    <n v="5"/>
  </r>
  <r>
    <x v="489"/>
    <s v="net sales:product 3"/>
    <n v="12.49"/>
    <n v="126"/>
    <n v="1573.74"/>
    <s v="net sales"/>
    <x v="3"/>
    <x v="1"/>
    <n v="5"/>
  </r>
  <r>
    <x v="490"/>
    <s v="cogs:product 1"/>
    <n v="5.49"/>
    <n v="9"/>
    <n v="49.410000000000004"/>
    <s v="cogs"/>
    <x v="1"/>
    <x v="1"/>
    <n v="5"/>
  </r>
  <r>
    <x v="490"/>
    <s v="cogs:product 2"/>
    <n v="19.989999999999998"/>
    <n v="1"/>
    <n v="19.989999999999998"/>
    <s v="cogs"/>
    <x v="2"/>
    <x v="1"/>
    <n v="5"/>
  </r>
  <r>
    <x v="490"/>
    <s v="cogs:product 3"/>
    <n v="8.99"/>
    <n v="0"/>
    <n v="0"/>
    <s v="cogs"/>
    <x v="3"/>
    <x v="1"/>
    <n v="5"/>
  </r>
  <r>
    <x v="490"/>
    <s v="marketing"/>
    <s v="NA"/>
    <s v="NA"/>
    <n v="120.05"/>
    <s v="marketing"/>
    <x v="0"/>
    <x v="1"/>
    <n v="5"/>
  </r>
  <r>
    <x v="490"/>
    <s v="net sales:product 1"/>
    <n v="9.99"/>
    <n v="9"/>
    <n v="89.91"/>
    <s v="net sales"/>
    <x v="1"/>
    <x v="1"/>
    <n v="5"/>
  </r>
  <r>
    <x v="490"/>
    <s v="net sales:product 2"/>
    <n v="24.99"/>
    <n v="1"/>
    <n v="24.99"/>
    <s v="net sales"/>
    <x v="2"/>
    <x v="1"/>
    <n v="5"/>
  </r>
  <r>
    <x v="490"/>
    <s v="net sales:product 3"/>
    <n v="12.49"/>
    <n v="0"/>
    <n v="0"/>
    <s v="net sales"/>
    <x v="3"/>
    <x v="1"/>
    <n v="5"/>
  </r>
  <r>
    <x v="491"/>
    <s v="cogs:product 1"/>
    <n v="5.49"/>
    <n v="34"/>
    <n v="186.66"/>
    <s v="cogs"/>
    <x v="1"/>
    <x v="1"/>
    <n v="5"/>
  </r>
  <r>
    <x v="491"/>
    <s v="cogs:product 2"/>
    <n v="19.989999999999998"/>
    <n v="6"/>
    <n v="119.94"/>
    <s v="cogs"/>
    <x v="2"/>
    <x v="1"/>
    <n v="5"/>
  </r>
  <r>
    <x v="491"/>
    <s v="cogs:product 3"/>
    <n v="8.99"/>
    <n v="34"/>
    <n v="305.66000000000003"/>
    <s v="cogs"/>
    <x v="3"/>
    <x v="1"/>
    <n v="5"/>
  </r>
  <r>
    <x v="491"/>
    <s v="marketing"/>
    <s v="NA"/>
    <s v="NA"/>
    <n v="112.03"/>
    <s v="marketing"/>
    <x v="0"/>
    <x v="1"/>
    <n v="5"/>
  </r>
  <r>
    <x v="491"/>
    <s v="net sales:product 1"/>
    <n v="9.99"/>
    <n v="34"/>
    <n v="339.66"/>
    <s v="net sales"/>
    <x v="1"/>
    <x v="1"/>
    <n v="5"/>
  </r>
  <r>
    <x v="491"/>
    <s v="net sales:product 2"/>
    <n v="24.99"/>
    <n v="6"/>
    <n v="149.94"/>
    <s v="net sales"/>
    <x v="2"/>
    <x v="1"/>
    <n v="5"/>
  </r>
  <r>
    <x v="491"/>
    <s v="net sales:product 3"/>
    <n v="12.49"/>
    <n v="34"/>
    <n v="424.66"/>
    <s v="net sales"/>
    <x v="3"/>
    <x v="1"/>
    <n v="5"/>
  </r>
  <r>
    <x v="492"/>
    <s v="cogs:product 1"/>
    <n v="5.49"/>
    <n v="90"/>
    <n v="494.1"/>
    <s v="cogs"/>
    <x v="1"/>
    <x v="1"/>
    <n v="5"/>
  </r>
  <r>
    <x v="492"/>
    <s v="cogs:product 2"/>
    <n v="19.989999999999998"/>
    <n v="8"/>
    <n v="159.91999999999999"/>
    <s v="cogs"/>
    <x v="2"/>
    <x v="1"/>
    <n v="5"/>
  </r>
  <r>
    <x v="492"/>
    <s v="cogs:product 3"/>
    <n v="8.99"/>
    <n v="208"/>
    <n v="1869.92"/>
    <s v="cogs"/>
    <x v="3"/>
    <x v="1"/>
    <n v="5"/>
  </r>
  <r>
    <x v="492"/>
    <s v="marketing"/>
    <s v="NA"/>
    <s v="NA"/>
    <n v="106.09"/>
    <s v="marketing"/>
    <x v="0"/>
    <x v="1"/>
    <n v="5"/>
  </r>
  <r>
    <x v="492"/>
    <s v="net sales:product 1"/>
    <n v="9.99"/>
    <n v="90"/>
    <n v="899.1"/>
    <s v="net sales"/>
    <x v="1"/>
    <x v="1"/>
    <n v="5"/>
  </r>
  <r>
    <x v="492"/>
    <s v="net sales:product 2"/>
    <n v="24.99"/>
    <n v="8"/>
    <n v="199.92"/>
    <s v="net sales"/>
    <x v="2"/>
    <x v="1"/>
    <n v="5"/>
  </r>
  <r>
    <x v="492"/>
    <s v="net sales:product 3"/>
    <n v="12.49"/>
    <n v="208"/>
    <n v="2597.92"/>
    <s v="net sales"/>
    <x v="3"/>
    <x v="1"/>
    <n v="5"/>
  </r>
  <r>
    <x v="493"/>
    <s v="cogs:product 1"/>
    <n v="5.49"/>
    <n v="80"/>
    <n v="439.20000000000005"/>
    <s v="cogs"/>
    <x v="1"/>
    <x v="1"/>
    <n v="5"/>
  </r>
  <r>
    <x v="493"/>
    <s v="cogs:product 2"/>
    <n v="19.989999999999998"/>
    <n v="0"/>
    <n v="0"/>
    <s v="cogs"/>
    <x v="2"/>
    <x v="1"/>
    <n v="5"/>
  </r>
  <r>
    <x v="493"/>
    <s v="cogs:product 3"/>
    <n v="8.99"/>
    <n v="228"/>
    <n v="2049.7200000000003"/>
    <s v="cogs"/>
    <x v="3"/>
    <x v="1"/>
    <n v="5"/>
  </r>
  <r>
    <x v="493"/>
    <s v="marketing"/>
    <s v="NA"/>
    <s v="NA"/>
    <n v="116.10000000000001"/>
    <s v="marketing"/>
    <x v="0"/>
    <x v="1"/>
    <n v="5"/>
  </r>
  <r>
    <x v="493"/>
    <s v="net sales:product 1"/>
    <n v="9.99"/>
    <n v="80"/>
    <n v="799.2"/>
    <s v="net sales"/>
    <x v="1"/>
    <x v="1"/>
    <n v="5"/>
  </r>
  <r>
    <x v="493"/>
    <s v="net sales:product 2"/>
    <n v="24.99"/>
    <n v="0"/>
    <n v="0"/>
    <s v="net sales"/>
    <x v="2"/>
    <x v="1"/>
    <n v="5"/>
  </r>
  <r>
    <x v="493"/>
    <s v="net sales:product 3"/>
    <n v="12.49"/>
    <n v="228"/>
    <n v="2847.7200000000003"/>
    <s v="net sales"/>
    <x v="3"/>
    <x v="1"/>
    <n v="5"/>
  </r>
  <r>
    <x v="494"/>
    <s v="cogs:product 1"/>
    <n v="5.49"/>
    <n v="33"/>
    <n v="181.17000000000002"/>
    <s v="cogs"/>
    <x v="1"/>
    <x v="1"/>
    <n v="5"/>
  </r>
  <r>
    <x v="494"/>
    <s v="cogs:product 2"/>
    <n v="19.989999999999998"/>
    <n v="1"/>
    <n v="19.989999999999998"/>
    <s v="cogs"/>
    <x v="2"/>
    <x v="1"/>
    <n v="5"/>
  </r>
  <r>
    <x v="494"/>
    <s v="cogs:product 3"/>
    <n v="8.99"/>
    <n v="155"/>
    <n v="1393.45"/>
    <s v="cogs"/>
    <x v="3"/>
    <x v="1"/>
    <n v="5"/>
  </r>
  <r>
    <x v="494"/>
    <s v="marketing"/>
    <s v="NA"/>
    <s v="NA"/>
    <n v="110.03"/>
    <s v="marketing"/>
    <x v="0"/>
    <x v="1"/>
    <n v="5"/>
  </r>
  <r>
    <x v="494"/>
    <s v="net sales:product 1"/>
    <n v="9.99"/>
    <n v="33"/>
    <n v="329.67"/>
    <s v="net sales"/>
    <x v="1"/>
    <x v="1"/>
    <n v="5"/>
  </r>
  <r>
    <x v="494"/>
    <s v="net sales:product 2"/>
    <n v="24.99"/>
    <n v="1"/>
    <n v="24.99"/>
    <s v="net sales"/>
    <x v="2"/>
    <x v="1"/>
    <n v="5"/>
  </r>
  <r>
    <x v="494"/>
    <s v="net sales:product 3"/>
    <n v="12.49"/>
    <n v="155"/>
    <n v="1935.95"/>
    <s v="net sales"/>
    <x v="3"/>
    <x v="1"/>
    <n v="5"/>
  </r>
  <r>
    <x v="494"/>
    <s v="payroll"/>
    <s v="NA"/>
    <s v="NA"/>
    <n v="1200"/>
    <s v="payroll"/>
    <x v="0"/>
    <x v="1"/>
    <n v="5"/>
  </r>
  <r>
    <x v="495"/>
    <s v="cogs:product 1"/>
    <n v="5.49"/>
    <n v="54"/>
    <n v="296.46000000000004"/>
    <s v="cogs"/>
    <x v="1"/>
    <x v="1"/>
    <n v="5"/>
  </r>
  <r>
    <x v="495"/>
    <s v="cogs:product 2"/>
    <n v="19.989999999999998"/>
    <n v="1"/>
    <n v="19.989999999999998"/>
    <s v="cogs"/>
    <x v="2"/>
    <x v="1"/>
    <n v="5"/>
  </r>
  <r>
    <x v="495"/>
    <s v="cogs:product 3"/>
    <n v="8.99"/>
    <n v="0"/>
    <n v="0"/>
    <s v="cogs"/>
    <x v="3"/>
    <x v="1"/>
    <n v="5"/>
  </r>
  <r>
    <x v="495"/>
    <s v="marketing"/>
    <s v="NA"/>
    <s v="NA"/>
    <n v="109.9"/>
    <s v="marketing"/>
    <x v="0"/>
    <x v="1"/>
    <n v="5"/>
  </r>
  <r>
    <x v="495"/>
    <s v="net sales:product 1"/>
    <n v="9.99"/>
    <n v="54"/>
    <n v="539.46"/>
    <s v="net sales"/>
    <x v="1"/>
    <x v="1"/>
    <n v="5"/>
  </r>
  <r>
    <x v="495"/>
    <s v="net sales:product 2"/>
    <n v="24.99"/>
    <n v="1"/>
    <n v="24.99"/>
    <s v="net sales"/>
    <x v="2"/>
    <x v="1"/>
    <n v="5"/>
  </r>
  <r>
    <x v="495"/>
    <s v="net sales:product 3"/>
    <n v="12.49"/>
    <n v="0"/>
    <n v="0"/>
    <s v="net sales"/>
    <x v="3"/>
    <x v="1"/>
    <n v="5"/>
  </r>
  <r>
    <x v="496"/>
    <s v="cogs:product 1"/>
    <n v="5.49"/>
    <n v="72"/>
    <n v="395.28000000000003"/>
    <s v="cogs"/>
    <x v="1"/>
    <x v="1"/>
    <n v="5"/>
  </r>
  <r>
    <x v="496"/>
    <s v="cogs:product 2"/>
    <n v="19.989999999999998"/>
    <n v="5"/>
    <n v="99.949999999999989"/>
    <s v="cogs"/>
    <x v="2"/>
    <x v="1"/>
    <n v="5"/>
  </r>
  <r>
    <x v="496"/>
    <s v="cogs:product 3"/>
    <n v="8.99"/>
    <n v="149"/>
    <n v="1339.51"/>
    <s v="cogs"/>
    <x v="3"/>
    <x v="1"/>
    <n v="5"/>
  </r>
  <r>
    <x v="496"/>
    <s v="marketing"/>
    <s v="NA"/>
    <s v="NA"/>
    <n v="115.08"/>
    <s v="marketing"/>
    <x v="0"/>
    <x v="1"/>
    <n v="5"/>
  </r>
  <r>
    <x v="496"/>
    <s v="net sales:product 1"/>
    <n v="9.99"/>
    <n v="72"/>
    <n v="719.28"/>
    <s v="net sales"/>
    <x v="1"/>
    <x v="1"/>
    <n v="5"/>
  </r>
  <r>
    <x v="496"/>
    <s v="net sales:product 2"/>
    <n v="24.99"/>
    <n v="5"/>
    <n v="124.94999999999999"/>
    <s v="net sales"/>
    <x v="2"/>
    <x v="1"/>
    <n v="5"/>
  </r>
  <r>
    <x v="496"/>
    <s v="net sales:product 3"/>
    <n v="12.49"/>
    <n v="149"/>
    <n v="1861.01"/>
    <s v="net sales"/>
    <x v="3"/>
    <x v="1"/>
    <n v="5"/>
  </r>
  <r>
    <x v="497"/>
    <s v="cogs:product 1"/>
    <n v="5.49"/>
    <n v="45"/>
    <n v="247.05"/>
    <s v="cogs"/>
    <x v="1"/>
    <x v="1"/>
    <n v="5"/>
  </r>
  <r>
    <x v="497"/>
    <s v="cogs:product 2"/>
    <n v="19.989999999999998"/>
    <n v="3"/>
    <n v="59.97"/>
    <s v="cogs"/>
    <x v="2"/>
    <x v="1"/>
    <n v="5"/>
  </r>
  <r>
    <x v="497"/>
    <s v="cogs:product 3"/>
    <n v="8.99"/>
    <n v="115"/>
    <n v="1033.8500000000001"/>
    <s v="cogs"/>
    <x v="3"/>
    <x v="1"/>
    <n v="5"/>
  </r>
  <r>
    <x v="497"/>
    <s v="marketing"/>
    <s v="NA"/>
    <s v="NA"/>
    <n v="110.94"/>
    <s v="marketing"/>
    <x v="0"/>
    <x v="1"/>
    <n v="5"/>
  </r>
  <r>
    <x v="497"/>
    <s v="net sales:product 1"/>
    <n v="9.99"/>
    <n v="45"/>
    <n v="449.55"/>
    <s v="net sales"/>
    <x v="1"/>
    <x v="1"/>
    <n v="5"/>
  </r>
  <r>
    <x v="497"/>
    <s v="net sales:product 2"/>
    <n v="24.99"/>
    <n v="3"/>
    <n v="74.97"/>
    <s v="net sales"/>
    <x v="2"/>
    <x v="1"/>
    <n v="5"/>
  </r>
  <r>
    <x v="497"/>
    <s v="net sales:product 3"/>
    <n v="12.49"/>
    <n v="115"/>
    <n v="1436.3500000000001"/>
    <s v="net sales"/>
    <x v="3"/>
    <x v="1"/>
    <n v="5"/>
  </r>
  <r>
    <x v="498"/>
    <s v="cogs:product 1"/>
    <n v="5.49"/>
    <n v="38"/>
    <n v="208.62"/>
    <s v="cogs"/>
    <x v="1"/>
    <x v="1"/>
    <n v="5"/>
  </r>
  <r>
    <x v="498"/>
    <s v="cogs:product 2"/>
    <n v="19.989999999999998"/>
    <n v="2"/>
    <n v="39.979999999999997"/>
    <s v="cogs"/>
    <x v="2"/>
    <x v="1"/>
    <n v="5"/>
  </r>
  <r>
    <x v="498"/>
    <s v="cogs:product 3"/>
    <n v="8.99"/>
    <n v="179"/>
    <n v="1609.21"/>
    <s v="cogs"/>
    <x v="3"/>
    <x v="1"/>
    <n v="5"/>
  </r>
  <r>
    <x v="498"/>
    <s v="marketing"/>
    <s v="NA"/>
    <s v="NA"/>
    <n v="106.92"/>
    <s v="marketing"/>
    <x v="0"/>
    <x v="1"/>
    <n v="5"/>
  </r>
  <r>
    <x v="498"/>
    <s v="net sales:product 1"/>
    <n v="9.99"/>
    <n v="38"/>
    <n v="379.62"/>
    <s v="net sales"/>
    <x v="1"/>
    <x v="1"/>
    <n v="5"/>
  </r>
  <r>
    <x v="498"/>
    <s v="net sales:product 2"/>
    <n v="24.99"/>
    <n v="2"/>
    <n v="49.98"/>
    <s v="net sales"/>
    <x v="2"/>
    <x v="1"/>
    <n v="5"/>
  </r>
  <r>
    <x v="498"/>
    <s v="net sales:product 3"/>
    <n v="12.49"/>
    <n v="179"/>
    <n v="2235.71"/>
    <s v="net sales"/>
    <x v="3"/>
    <x v="1"/>
    <n v="5"/>
  </r>
  <r>
    <x v="499"/>
    <s v="cogs:product 1"/>
    <n v="5.49"/>
    <n v="7"/>
    <n v="38.43"/>
    <s v="cogs"/>
    <x v="1"/>
    <x v="1"/>
    <n v="5"/>
  </r>
  <r>
    <x v="499"/>
    <s v="cogs:product 2"/>
    <n v="19.989999999999998"/>
    <n v="4"/>
    <n v="79.959999999999994"/>
    <s v="cogs"/>
    <x v="2"/>
    <x v="1"/>
    <n v="5"/>
  </r>
  <r>
    <x v="499"/>
    <s v="cogs:product 3"/>
    <n v="8.99"/>
    <n v="145"/>
    <n v="1303.55"/>
    <s v="cogs"/>
    <x v="3"/>
    <x v="1"/>
    <n v="5"/>
  </r>
  <r>
    <x v="499"/>
    <s v="marketing"/>
    <s v="NA"/>
    <s v="NA"/>
    <n v="110.97"/>
    <s v="marketing"/>
    <x v="0"/>
    <x v="1"/>
    <n v="5"/>
  </r>
  <r>
    <x v="499"/>
    <s v="net sales:product 1"/>
    <n v="9.99"/>
    <n v="7"/>
    <n v="69.930000000000007"/>
    <s v="net sales"/>
    <x v="1"/>
    <x v="1"/>
    <n v="5"/>
  </r>
  <r>
    <x v="499"/>
    <s v="net sales:product 2"/>
    <n v="24.99"/>
    <n v="4"/>
    <n v="99.96"/>
    <s v="net sales"/>
    <x v="2"/>
    <x v="1"/>
    <n v="5"/>
  </r>
  <r>
    <x v="499"/>
    <s v="net sales:product 3"/>
    <n v="12.49"/>
    <n v="145"/>
    <n v="1811.05"/>
    <s v="net sales"/>
    <x v="3"/>
    <x v="1"/>
    <n v="5"/>
  </r>
  <r>
    <x v="500"/>
    <s v="cogs:product 1"/>
    <n v="5.49"/>
    <n v="88"/>
    <n v="483.12"/>
    <s v="cogs"/>
    <x v="1"/>
    <x v="1"/>
    <n v="5"/>
  </r>
  <r>
    <x v="500"/>
    <s v="cogs:product 2"/>
    <n v="19.989999999999998"/>
    <n v="1"/>
    <n v="19.989999999999998"/>
    <s v="cogs"/>
    <x v="2"/>
    <x v="1"/>
    <n v="5"/>
  </r>
  <r>
    <x v="500"/>
    <s v="cogs:product 3"/>
    <n v="8.99"/>
    <n v="239"/>
    <n v="2148.61"/>
    <s v="cogs"/>
    <x v="3"/>
    <x v="1"/>
    <n v="5"/>
  </r>
  <r>
    <x v="500"/>
    <s v="interest"/>
    <s v="NA"/>
    <s v="NA"/>
    <n v="1237.28"/>
    <s v="interest"/>
    <x v="0"/>
    <x v="1"/>
    <n v="5"/>
  </r>
  <r>
    <x v="500"/>
    <s v="marketing"/>
    <s v="NA"/>
    <s v="NA"/>
    <n v="116.93"/>
    <s v="marketing"/>
    <x v="0"/>
    <x v="1"/>
    <n v="5"/>
  </r>
  <r>
    <x v="500"/>
    <s v="net sales:product 1"/>
    <n v="9.99"/>
    <n v="88"/>
    <n v="879.12"/>
    <s v="net sales"/>
    <x v="1"/>
    <x v="1"/>
    <n v="5"/>
  </r>
  <r>
    <x v="500"/>
    <s v="net sales:product 2"/>
    <n v="24.99"/>
    <n v="1"/>
    <n v="24.99"/>
    <s v="net sales"/>
    <x v="2"/>
    <x v="1"/>
    <n v="5"/>
  </r>
  <r>
    <x v="500"/>
    <s v="net sales:product 3"/>
    <n v="12.49"/>
    <n v="239"/>
    <n v="2985.11"/>
    <s v="net sales"/>
    <x v="3"/>
    <x v="1"/>
    <n v="5"/>
  </r>
  <r>
    <x v="500"/>
    <s v="overhead"/>
    <s v="NA"/>
    <s v="NA"/>
    <n v="309.32"/>
    <s v="overhead"/>
    <x v="0"/>
    <x v="1"/>
    <n v="5"/>
  </r>
  <r>
    <x v="501"/>
    <s v="cogs:product 1"/>
    <n v="5.49"/>
    <n v="72"/>
    <n v="395.28000000000003"/>
    <s v="cogs"/>
    <x v="1"/>
    <x v="1"/>
    <n v="5"/>
  </r>
  <r>
    <x v="501"/>
    <s v="cogs:product 2"/>
    <n v="19.989999999999998"/>
    <n v="4"/>
    <n v="79.959999999999994"/>
    <s v="cogs"/>
    <x v="2"/>
    <x v="1"/>
    <n v="5"/>
  </r>
  <r>
    <x v="501"/>
    <s v="cogs:product 3"/>
    <n v="8.99"/>
    <n v="157"/>
    <n v="1411.43"/>
    <s v="cogs"/>
    <x v="3"/>
    <x v="1"/>
    <n v="5"/>
  </r>
  <r>
    <x v="501"/>
    <s v="marketing"/>
    <s v="NA"/>
    <s v="NA"/>
    <n v="115.91"/>
    <s v="marketing"/>
    <x v="0"/>
    <x v="1"/>
    <n v="5"/>
  </r>
  <r>
    <x v="501"/>
    <s v="net sales:product 1"/>
    <n v="9.99"/>
    <n v="72"/>
    <n v="719.28"/>
    <s v="net sales"/>
    <x v="1"/>
    <x v="1"/>
    <n v="5"/>
  </r>
  <r>
    <x v="501"/>
    <s v="net sales:product 2"/>
    <n v="24.99"/>
    <n v="4"/>
    <n v="99.96"/>
    <s v="net sales"/>
    <x v="2"/>
    <x v="1"/>
    <n v="5"/>
  </r>
  <r>
    <x v="501"/>
    <s v="net sales:product 3"/>
    <n v="12.49"/>
    <n v="157"/>
    <n v="1960.93"/>
    <s v="net sales"/>
    <x v="3"/>
    <x v="1"/>
    <n v="5"/>
  </r>
  <r>
    <x v="502"/>
    <s v="cogs:product 1"/>
    <n v="5.49"/>
    <n v="20"/>
    <n v="109.80000000000001"/>
    <s v="cogs"/>
    <x v="1"/>
    <x v="1"/>
    <n v="5"/>
  </r>
  <r>
    <x v="502"/>
    <s v="cogs:product 2"/>
    <n v="19.989999999999998"/>
    <n v="4"/>
    <n v="79.959999999999994"/>
    <s v="cogs"/>
    <x v="2"/>
    <x v="1"/>
    <n v="5"/>
  </r>
  <r>
    <x v="502"/>
    <s v="cogs:product 3"/>
    <n v="8.99"/>
    <n v="148"/>
    <n v="1330.52"/>
    <s v="cogs"/>
    <x v="3"/>
    <x v="1"/>
    <n v="5"/>
  </r>
  <r>
    <x v="502"/>
    <s v="marketing"/>
    <s v="NA"/>
    <s v="NA"/>
    <n v="112.07000000000001"/>
    <s v="marketing"/>
    <x v="0"/>
    <x v="1"/>
    <n v="5"/>
  </r>
  <r>
    <x v="502"/>
    <s v="net sales:product 1"/>
    <n v="9.99"/>
    <n v="20"/>
    <n v="199.8"/>
    <s v="net sales"/>
    <x v="1"/>
    <x v="1"/>
    <n v="5"/>
  </r>
  <r>
    <x v="502"/>
    <s v="net sales:product 2"/>
    <n v="24.99"/>
    <n v="4"/>
    <n v="99.96"/>
    <s v="net sales"/>
    <x v="2"/>
    <x v="1"/>
    <n v="5"/>
  </r>
  <r>
    <x v="502"/>
    <s v="net sales:product 3"/>
    <n v="12.49"/>
    <n v="148"/>
    <n v="1848.52"/>
    <s v="net sales"/>
    <x v="3"/>
    <x v="1"/>
    <n v="5"/>
  </r>
  <r>
    <x v="503"/>
    <s v="cogs:product 1"/>
    <n v="5.49"/>
    <n v="45"/>
    <n v="247.05"/>
    <s v="cogs"/>
    <x v="1"/>
    <x v="1"/>
    <n v="5"/>
  </r>
  <r>
    <x v="503"/>
    <s v="cogs:product 2"/>
    <n v="19.989999999999998"/>
    <n v="3"/>
    <n v="59.97"/>
    <s v="cogs"/>
    <x v="2"/>
    <x v="1"/>
    <n v="5"/>
  </r>
  <r>
    <x v="503"/>
    <s v="cogs:product 3"/>
    <n v="8.99"/>
    <n v="0"/>
    <n v="0"/>
    <s v="cogs"/>
    <x v="3"/>
    <x v="1"/>
    <n v="5"/>
  </r>
  <r>
    <x v="503"/>
    <s v="marketing"/>
    <s v="NA"/>
    <s v="NA"/>
    <n v="101.98"/>
    <s v="marketing"/>
    <x v="0"/>
    <x v="1"/>
    <n v="5"/>
  </r>
  <r>
    <x v="503"/>
    <s v="net sales:product 1"/>
    <n v="9.99"/>
    <n v="45"/>
    <n v="449.55"/>
    <s v="net sales"/>
    <x v="1"/>
    <x v="1"/>
    <n v="5"/>
  </r>
  <r>
    <x v="503"/>
    <s v="net sales:product 2"/>
    <n v="24.99"/>
    <n v="3"/>
    <n v="74.97"/>
    <s v="net sales"/>
    <x v="2"/>
    <x v="1"/>
    <n v="5"/>
  </r>
  <r>
    <x v="503"/>
    <s v="net sales:product 3"/>
    <n v="12.49"/>
    <n v="0"/>
    <n v="0"/>
    <s v="net sales"/>
    <x v="3"/>
    <x v="1"/>
    <n v="5"/>
  </r>
  <r>
    <x v="504"/>
    <s v="cogs:product 1"/>
    <n v="5.49"/>
    <n v="8"/>
    <n v="43.92"/>
    <s v="cogs"/>
    <x v="1"/>
    <x v="1"/>
    <n v="5"/>
  </r>
  <r>
    <x v="504"/>
    <s v="cogs:product 2"/>
    <n v="19.989999999999998"/>
    <n v="9"/>
    <n v="179.91"/>
    <s v="cogs"/>
    <x v="2"/>
    <x v="1"/>
    <n v="5"/>
  </r>
  <r>
    <x v="504"/>
    <s v="cogs:product 3"/>
    <n v="8.99"/>
    <n v="5"/>
    <n v="44.95"/>
    <s v="cogs"/>
    <x v="3"/>
    <x v="1"/>
    <n v="5"/>
  </r>
  <r>
    <x v="504"/>
    <s v="marketing"/>
    <s v="NA"/>
    <s v="NA"/>
    <n v="103.01"/>
    <s v="marketing"/>
    <x v="0"/>
    <x v="1"/>
    <n v="5"/>
  </r>
  <r>
    <x v="504"/>
    <s v="net sales:product 1"/>
    <n v="9.99"/>
    <n v="8"/>
    <n v="79.92"/>
    <s v="net sales"/>
    <x v="1"/>
    <x v="1"/>
    <n v="5"/>
  </r>
  <r>
    <x v="504"/>
    <s v="net sales:product 2"/>
    <n v="24.99"/>
    <n v="9"/>
    <n v="224.91"/>
    <s v="net sales"/>
    <x v="2"/>
    <x v="1"/>
    <n v="5"/>
  </r>
  <r>
    <x v="504"/>
    <s v="net sales:product 3"/>
    <n v="12.49"/>
    <n v="5"/>
    <n v="62.45"/>
    <s v="net sales"/>
    <x v="3"/>
    <x v="1"/>
    <n v="5"/>
  </r>
  <r>
    <x v="505"/>
    <s v="cogs:product 1"/>
    <n v="5.49"/>
    <n v="34"/>
    <n v="186.66"/>
    <s v="cogs"/>
    <x v="1"/>
    <x v="1"/>
    <n v="5"/>
  </r>
  <r>
    <x v="505"/>
    <s v="cogs:product 2"/>
    <n v="19.989999999999998"/>
    <n v="3"/>
    <n v="59.97"/>
    <s v="cogs"/>
    <x v="2"/>
    <x v="1"/>
    <n v="5"/>
  </r>
  <r>
    <x v="505"/>
    <s v="cogs:product 3"/>
    <n v="8.99"/>
    <n v="0"/>
    <n v="0"/>
    <s v="cogs"/>
    <x v="3"/>
    <x v="1"/>
    <n v="5"/>
  </r>
  <r>
    <x v="505"/>
    <s v="marketing"/>
    <s v="NA"/>
    <s v="NA"/>
    <n v="119"/>
    <s v="marketing"/>
    <x v="0"/>
    <x v="1"/>
    <n v="5"/>
  </r>
  <r>
    <x v="505"/>
    <s v="net sales:product 1"/>
    <n v="9.99"/>
    <n v="34"/>
    <n v="339.66"/>
    <s v="net sales"/>
    <x v="1"/>
    <x v="1"/>
    <n v="5"/>
  </r>
  <r>
    <x v="505"/>
    <s v="net sales:product 2"/>
    <n v="24.99"/>
    <n v="3"/>
    <n v="74.97"/>
    <s v="net sales"/>
    <x v="2"/>
    <x v="1"/>
    <n v="5"/>
  </r>
  <r>
    <x v="505"/>
    <s v="net sales:product 3"/>
    <n v="12.49"/>
    <n v="0"/>
    <n v="0"/>
    <s v="net sales"/>
    <x v="3"/>
    <x v="1"/>
    <n v="5"/>
  </r>
  <r>
    <x v="506"/>
    <s v="cogs:product 1"/>
    <n v="5.49"/>
    <n v="18"/>
    <n v="98.820000000000007"/>
    <s v="cogs"/>
    <x v="1"/>
    <x v="1"/>
    <n v="5"/>
  </r>
  <r>
    <x v="506"/>
    <s v="cogs:product 2"/>
    <n v="19.989999999999998"/>
    <n v="0"/>
    <n v="0"/>
    <s v="cogs"/>
    <x v="2"/>
    <x v="1"/>
    <n v="5"/>
  </r>
  <r>
    <x v="506"/>
    <s v="cogs:product 3"/>
    <n v="8.99"/>
    <n v="230"/>
    <n v="2067.7000000000003"/>
    <s v="cogs"/>
    <x v="3"/>
    <x v="1"/>
    <n v="5"/>
  </r>
  <r>
    <x v="506"/>
    <s v="marketing"/>
    <s v="NA"/>
    <s v="NA"/>
    <n v="103.07000000000001"/>
    <s v="marketing"/>
    <x v="0"/>
    <x v="1"/>
    <n v="5"/>
  </r>
  <r>
    <x v="506"/>
    <s v="net sales:product 1"/>
    <n v="9.99"/>
    <n v="18"/>
    <n v="179.82"/>
    <s v="net sales"/>
    <x v="1"/>
    <x v="1"/>
    <n v="5"/>
  </r>
  <r>
    <x v="506"/>
    <s v="net sales:product 2"/>
    <n v="24.99"/>
    <n v="0"/>
    <n v="0"/>
    <s v="net sales"/>
    <x v="2"/>
    <x v="1"/>
    <n v="5"/>
  </r>
  <r>
    <x v="506"/>
    <s v="net sales:product 3"/>
    <n v="12.49"/>
    <n v="230"/>
    <n v="2872.7000000000003"/>
    <s v="net sales"/>
    <x v="3"/>
    <x v="1"/>
    <n v="5"/>
  </r>
  <r>
    <x v="507"/>
    <s v="cogs:product 1"/>
    <n v="5.49"/>
    <n v="21"/>
    <n v="115.29"/>
    <s v="cogs"/>
    <x v="1"/>
    <x v="1"/>
    <n v="5"/>
  </r>
  <r>
    <x v="507"/>
    <s v="cogs:product 2"/>
    <n v="19.989999999999998"/>
    <n v="7"/>
    <n v="139.92999999999998"/>
    <s v="cogs"/>
    <x v="2"/>
    <x v="1"/>
    <n v="5"/>
  </r>
  <r>
    <x v="507"/>
    <s v="cogs:product 3"/>
    <n v="8.99"/>
    <n v="77"/>
    <n v="692.23"/>
    <s v="cogs"/>
    <x v="3"/>
    <x v="1"/>
    <n v="5"/>
  </r>
  <r>
    <x v="507"/>
    <s v="marketing"/>
    <s v="NA"/>
    <s v="NA"/>
    <n v="117.07000000000001"/>
    <s v="marketing"/>
    <x v="0"/>
    <x v="1"/>
    <n v="5"/>
  </r>
  <r>
    <x v="507"/>
    <s v="net sales:product 1"/>
    <n v="9.99"/>
    <n v="21"/>
    <n v="209.79"/>
    <s v="net sales"/>
    <x v="1"/>
    <x v="1"/>
    <n v="5"/>
  </r>
  <r>
    <x v="507"/>
    <s v="net sales:product 2"/>
    <n v="24.99"/>
    <n v="7"/>
    <n v="174.92999999999998"/>
    <s v="net sales"/>
    <x v="2"/>
    <x v="1"/>
    <n v="5"/>
  </r>
  <r>
    <x v="507"/>
    <s v="net sales:product 3"/>
    <n v="12.49"/>
    <n v="77"/>
    <n v="961.73"/>
    <s v="net sales"/>
    <x v="3"/>
    <x v="1"/>
    <n v="5"/>
  </r>
  <r>
    <x v="508"/>
    <s v="cogs:product 1"/>
    <n v="5.49"/>
    <n v="85"/>
    <n v="466.65000000000003"/>
    <s v="cogs"/>
    <x v="1"/>
    <x v="1"/>
    <n v="5"/>
  </r>
  <r>
    <x v="508"/>
    <s v="cogs:product 2"/>
    <n v="19.989999999999998"/>
    <n v="7"/>
    <n v="139.92999999999998"/>
    <s v="cogs"/>
    <x v="2"/>
    <x v="1"/>
    <n v="5"/>
  </r>
  <r>
    <x v="508"/>
    <s v="cogs:product 3"/>
    <n v="8.99"/>
    <n v="81"/>
    <n v="728.19"/>
    <s v="cogs"/>
    <x v="3"/>
    <x v="1"/>
    <n v="5"/>
  </r>
  <r>
    <x v="508"/>
    <s v="marketing"/>
    <s v="NA"/>
    <s v="NA"/>
    <n v="117.99000000000001"/>
    <s v="marketing"/>
    <x v="0"/>
    <x v="1"/>
    <n v="5"/>
  </r>
  <r>
    <x v="508"/>
    <s v="net sales:product 1"/>
    <n v="9.99"/>
    <n v="85"/>
    <n v="849.15"/>
    <s v="net sales"/>
    <x v="1"/>
    <x v="1"/>
    <n v="5"/>
  </r>
  <r>
    <x v="508"/>
    <s v="net sales:product 2"/>
    <n v="24.99"/>
    <n v="7"/>
    <n v="174.92999999999998"/>
    <s v="net sales"/>
    <x v="2"/>
    <x v="1"/>
    <n v="5"/>
  </r>
  <r>
    <x v="508"/>
    <s v="net sales:product 3"/>
    <n v="12.49"/>
    <n v="81"/>
    <n v="1011.69"/>
    <s v="net sales"/>
    <x v="3"/>
    <x v="1"/>
    <n v="5"/>
  </r>
  <r>
    <x v="508"/>
    <s v="payroll"/>
    <s v="NA"/>
    <s v="NA"/>
    <n v="1200"/>
    <s v="payroll"/>
    <x v="0"/>
    <x v="1"/>
    <n v="5"/>
  </r>
  <r>
    <x v="509"/>
    <s v="cogs:product 1"/>
    <n v="5.49"/>
    <n v="79"/>
    <n v="433.71000000000004"/>
    <s v="cogs"/>
    <x v="1"/>
    <x v="1"/>
    <n v="5"/>
  </r>
  <r>
    <x v="509"/>
    <s v="cogs:product 2"/>
    <n v="19.989999999999998"/>
    <n v="6"/>
    <n v="119.94"/>
    <s v="cogs"/>
    <x v="2"/>
    <x v="1"/>
    <n v="5"/>
  </r>
  <r>
    <x v="509"/>
    <s v="cogs:product 3"/>
    <n v="8.99"/>
    <n v="48"/>
    <n v="431.52"/>
    <s v="cogs"/>
    <x v="3"/>
    <x v="1"/>
    <n v="5"/>
  </r>
  <r>
    <x v="509"/>
    <s v="marketing"/>
    <s v="NA"/>
    <s v="NA"/>
    <n v="114.09"/>
    <s v="marketing"/>
    <x v="0"/>
    <x v="1"/>
    <n v="5"/>
  </r>
  <r>
    <x v="509"/>
    <s v="net sales:product 1"/>
    <n v="9.99"/>
    <n v="79"/>
    <n v="789.21"/>
    <s v="net sales"/>
    <x v="1"/>
    <x v="1"/>
    <n v="5"/>
  </r>
  <r>
    <x v="509"/>
    <s v="net sales:product 2"/>
    <n v="24.99"/>
    <n v="6"/>
    <n v="149.94"/>
    <s v="net sales"/>
    <x v="2"/>
    <x v="1"/>
    <n v="5"/>
  </r>
  <r>
    <x v="509"/>
    <s v="net sales:product 3"/>
    <n v="12.49"/>
    <n v="48"/>
    <n v="599.52"/>
    <s v="net sales"/>
    <x v="3"/>
    <x v="1"/>
    <n v="5"/>
  </r>
  <r>
    <x v="510"/>
    <s v="cogs:product 1"/>
    <n v="5.49"/>
    <n v="21"/>
    <n v="115.29"/>
    <s v="cogs"/>
    <x v="1"/>
    <x v="1"/>
    <n v="5"/>
  </r>
  <r>
    <x v="510"/>
    <s v="cogs:product 2"/>
    <n v="19.989999999999998"/>
    <n v="4"/>
    <n v="79.959999999999994"/>
    <s v="cogs"/>
    <x v="2"/>
    <x v="1"/>
    <n v="5"/>
  </r>
  <r>
    <x v="510"/>
    <s v="cogs:product 3"/>
    <n v="8.99"/>
    <n v="246"/>
    <n v="2211.54"/>
    <s v="cogs"/>
    <x v="3"/>
    <x v="1"/>
    <n v="5"/>
  </r>
  <r>
    <x v="510"/>
    <s v="marketing"/>
    <s v="NA"/>
    <s v="NA"/>
    <n v="118.04"/>
    <s v="marketing"/>
    <x v="0"/>
    <x v="1"/>
    <n v="5"/>
  </r>
  <r>
    <x v="510"/>
    <s v="net sales:product 1"/>
    <n v="9.99"/>
    <n v="21"/>
    <n v="209.79"/>
    <s v="net sales"/>
    <x v="1"/>
    <x v="1"/>
    <n v="5"/>
  </r>
  <r>
    <x v="510"/>
    <s v="net sales:product 2"/>
    <n v="24.99"/>
    <n v="4"/>
    <n v="99.96"/>
    <s v="net sales"/>
    <x v="2"/>
    <x v="1"/>
    <n v="5"/>
  </r>
  <r>
    <x v="510"/>
    <s v="net sales:product 3"/>
    <n v="12.49"/>
    <n v="246"/>
    <n v="3072.54"/>
    <s v="net sales"/>
    <x v="3"/>
    <x v="1"/>
    <n v="5"/>
  </r>
  <r>
    <x v="511"/>
    <s v="cogs:product 1"/>
    <n v="5.49"/>
    <n v="9"/>
    <n v="49.410000000000004"/>
    <s v="cogs"/>
    <x v="1"/>
    <x v="1"/>
    <n v="5"/>
  </r>
  <r>
    <x v="511"/>
    <s v="cogs:product 2"/>
    <n v="19.989999999999998"/>
    <n v="2"/>
    <n v="39.979999999999997"/>
    <s v="cogs"/>
    <x v="2"/>
    <x v="1"/>
    <n v="5"/>
  </r>
  <r>
    <x v="511"/>
    <s v="cogs:product 3"/>
    <n v="8.99"/>
    <n v="215"/>
    <n v="1932.8500000000001"/>
    <s v="cogs"/>
    <x v="3"/>
    <x v="1"/>
    <n v="5"/>
  </r>
  <r>
    <x v="511"/>
    <s v="marketing"/>
    <s v="NA"/>
    <s v="NA"/>
    <n v="100.96000000000001"/>
    <s v="marketing"/>
    <x v="0"/>
    <x v="1"/>
    <n v="5"/>
  </r>
  <r>
    <x v="511"/>
    <s v="net sales:product 1"/>
    <n v="9.99"/>
    <n v="9"/>
    <n v="89.91"/>
    <s v="net sales"/>
    <x v="1"/>
    <x v="1"/>
    <n v="5"/>
  </r>
  <r>
    <x v="511"/>
    <s v="net sales:product 2"/>
    <n v="24.99"/>
    <n v="2"/>
    <n v="49.98"/>
    <s v="net sales"/>
    <x v="2"/>
    <x v="1"/>
    <n v="5"/>
  </r>
  <r>
    <x v="511"/>
    <s v="net sales:product 3"/>
    <n v="12.49"/>
    <n v="215"/>
    <n v="2685.35"/>
    <s v="net sales"/>
    <x v="3"/>
    <x v="1"/>
    <n v="5"/>
  </r>
  <r>
    <x v="512"/>
    <s v="cogs:product 1"/>
    <n v="5.49"/>
    <n v="88"/>
    <n v="483.12"/>
    <s v="cogs"/>
    <x v="1"/>
    <x v="1"/>
    <n v="5"/>
  </r>
  <r>
    <x v="512"/>
    <s v="cogs:product 2"/>
    <n v="19.989999999999998"/>
    <n v="4"/>
    <n v="79.959999999999994"/>
    <s v="cogs"/>
    <x v="2"/>
    <x v="1"/>
    <n v="5"/>
  </r>
  <r>
    <x v="512"/>
    <s v="cogs:product 3"/>
    <n v="8.99"/>
    <n v="153"/>
    <n v="1375.47"/>
    <s v="cogs"/>
    <x v="3"/>
    <x v="1"/>
    <n v="5"/>
  </r>
  <r>
    <x v="512"/>
    <s v="marketing"/>
    <s v="NA"/>
    <s v="NA"/>
    <n v="111.02"/>
    <s v="marketing"/>
    <x v="0"/>
    <x v="1"/>
    <n v="5"/>
  </r>
  <r>
    <x v="512"/>
    <s v="net sales:product 1"/>
    <n v="9.99"/>
    <n v="88"/>
    <n v="879.12"/>
    <s v="net sales"/>
    <x v="1"/>
    <x v="1"/>
    <n v="5"/>
  </r>
  <r>
    <x v="512"/>
    <s v="net sales:product 2"/>
    <n v="24.99"/>
    <n v="4"/>
    <n v="99.96"/>
    <s v="net sales"/>
    <x v="2"/>
    <x v="1"/>
    <n v="5"/>
  </r>
  <r>
    <x v="512"/>
    <s v="net sales:product 3"/>
    <n v="12.49"/>
    <n v="153"/>
    <n v="1910.97"/>
    <s v="net sales"/>
    <x v="3"/>
    <x v="1"/>
    <n v="5"/>
  </r>
  <r>
    <x v="513"/>
    <s v="cogs:product 1"/>
    <n v="5.49"/>
    <n v="9"/>
    <n v="49.410000000000004"/>
    <s v="cogs"/>
    <x v="1"/>
    <x v="1"/>
    <n v="5"/>
  </r>
  <r>
    <x v="513"/>
    <s v="cogs:product 2"/>
    <n v="19.989999999999998"/>
    <n v="5"/>
    <n v="99.949999999999989"/>
    <s v="cogs"/>
    <x v="2"/>
    <x v="1"/>
    <n v="5"/>
  </r>
  <r>
    <x v="513"/>
    <s v="cogs:product 3"/>
    <n v="8.99"/>
    <n v="226"/>
    <n v="2031.74"/>
    <s v="cogs"/>
    <x v="3"/>
    <x v="1"/>
    <n v="5"/>
  </r>
  <r>
    <x v="513"/>
    <s v="marketing"/>
    <s v="NA"/>
    <s v="NA"/>
    <n v="103.91"/>
    <s v="marketing"/>
    <x v="0"/>
    <x v="1"/>
    <n v="5"/>
  </r>
  <r>
    <x v="513"/>
    <s v="net sales:product 1"/>
    <n v="9.99"/>
    <n v="9"/>
    <n v="89.91"/>
    <s v="net sales"/>
    <x v="1"/>
    <x v="1"/>
    <n v="5"/>
  </r>
  <r>
    <x v="513"/>
    <s v="net sales:product 2"/>
    <n v="24.99"/>
    <n v="5"/>
    <n v="124.94999999999999"/>
    <s v="net sales"/>
    <x v="2"/>
    <x v="1"/>
    <n v="5"/>
  </r>
  <r>
    <x v="513"/>
    <s v="net sales:product 3"/>
    <n v="12.49"/>
    <n v="226"/>
    <n v="2822.7400000000002"/>
    <s v="net sales"/>
    <x v="3"/>
    <x v="1"/>
    <n v="5"/>
  </r>
  <r>
    <x v="514"/>
    <s v="cogs:product 1"/>
    <n v="5.49"/>
    <n v="20"/>
    <n v="109.80000000000001"/>
    <s v="cogs"/>
    <x v="1"/>
    <x v="1"/>
    <n v="5"/>
  </r>
  <r>
    <x v="514"/>
    <s v="cogs:product 2"/>
    <n v="19.989999999999998"/>
    <n v="8"/>
    <n v="159.91999999999999"/>
    <s v="cogs"/>
    <x v="2"/>
    <x v="1"/>
    <n v="5"/>
  </r>
  <r>
    <x v="514"/>
    <s v="cogs:product 3"/>
    <n v="8.99"/>
    <n v="56"/>
    <n v="503.44"/>
    <s v="cogs"/>
    <x v="3"/>
    <x v="1"/>
    <n v="5"/>
  </r>
  <r>
    <x v="514"/>
    <s v="marketing"/>
    <s v="NA"/>
    <s v="NA"/>
    <n v="118.98"/>
    <s v="marketing"/>
    <x v="0"/>
    <x v="1"/>
    <n v="5"/>
  </r>
  <r>
    <x v="514"/>
    <s v="net sales:product 1"/>
    <n v="9.99"/>
    <n v="20"/>
    <n v="199.8"/>
    <s v="net sales"/>
    <x v="1"/>
    <x v="1"/>
    <n v="5"/>
  </r>
  <r>
    <x v="514"/>
    <s v="net sales:product 2"/>
    <n v="24.99"/>
    <n v="8"/>
    <n v="199.92"/>
    <s v="net sales"/>
    <x v="2"/>
    <x v="1"/>
    <n v="5"/>
  </r>
  <r>
    <x v="514"/>
    <s v="net sales:product 3"/>
    <n v="12.49"/>
    <n v="56"/>
    <n v="699.44"/>
    <s v="net sales"/>
    <x v="3"/>
    <x v="1"/>
    <n v="5"/>
  </r>
  <r>
    <x v="515"/>
    <s v="cogs:product 1"/>
    <n v="5.49"/>
    <n v="56"/>
    <n v="307.44"/>
    <s v="cogs"/>
    <x v="1"/>
    <x v="1"/>
    <n v="5"/>
  </r>
  <r>
    <x v="515"/>
    <s v="cogs:product 2"/>
    <n v="19.989999999999998"/>
    <n v="1"/>
    <n v="19.989999999999998"/>
    <s v="cogs"/>
    <x v="2"/>
    <x v="1"/>
    <n v="5"/>
  </r>
  <r>
    <x v="515"/>
    <s v="cogs:product 3"/>
    <n v="8.99"/>
    <n v="46"/>
    <n v="413.54"/>
    <s v="cogs"/>
    <x v="3"/>
    <x v="1"/>
    <n v="5"/>
  </r>
  <r>
    <x v="515"/>
    <s v="marketing"/>
    <s v="NA"/>
    <s v="NA"/>
    <n v="117.07000000000001"/>
    <s v="marketing"/>
    <x v="0"/>
    <x v="1"/>
    <n v="5"/>
  </r>
  <r>
    <x v="515"/>
    <s v="net sales:product 1"/>
    <n v="9.99"/>
    <n v="56"/>
    <n v="559.44000000000005"/>
    <s v="net sales"/>
    <x v="1"/>
    <x v="1"/>
    <n v="5"/>
  </r>
  <r>
    <x v="515"/>
    <s v="net sales:product 2"/>
    <n v="24.99"/>
    <n v="1"/>
    <n v="24.99"/>
    <s v="net sales"/>
    <x v="2"/>
    <x v="1"/>
    <n v="5"/>
  </r>
  <r>
    <x v="515"/>
    <s v="net sales:product 3"/>
    <n v="12.49"/>
    <n v="46"/>
    <n v="574.54"/>
    <s v="net sales"/>
    <x v="3"/>
    <x v="1"/>
    <n v="5"/>
  </r>
  <r>
    <x v="516"/>
    <s v="cogs:product 1"/>
    <n v="5.49"/>
    <n v="13"/>
    <n v="71.37"/>
    <s v="cogs"/>
    <x v="1"/>
    <x v="1"/>
    <n v="5"/>
  </r>
  <r>
    <x v="516"/>
    <s v="cogs:product 2"/>
    <n v="19.989999999999998"/>
    <n v="0"/>
    <n v="0"/>
    <s v="cogs"/>
    <x v="2"/>
    <x v="1"/>
    <n v="5"/>
  </r>
  <r>
    <x v="516"/>
    <s v="cogs:product 3"/>
    <n v="8.99"/>
    <n v="225"/>
    <n v="2022.75"/>
    <s v="cogs"/>
    <x v="3"/>
    <x v="1"/>
    <n v="5"/>
  </r>
  <r>
    <x v="516"/>
    <s v="marketing"/>
    <s v="NA"/>
    <s v="NA"/>
    <n v="111.96000000000001"/>
    <s v="marketing"/>
    <x v="0"/>
    <x v="1"/>
    <n v="5"/>
  </r>
  <r>
    <x v="516"/>
    <s v="net sales:product 1"/>
    <n v="9.99"/>
    <n v="13"/>
    <n v="129.87"/>
    <s v="net sales"/>
    <x v="1"/>
    <x v="1"/>
    <n v="5"/>
  </r>
  <r>
    <x v="516"/>
    <s v="net sales:product 2"/>
    <n v="24.99"/>
    <n v="0"/>
    <n v="0"/>
    <s v="net sales"/>
    <x v="2"/>
    <x v="1"/>
    <n v="5"/>
  </r>
  <r>
    <x v="516"/>
    <s v="net sales:product 3"/>
    <n v="12.49"/>
    <n v="225"/>
    <n v="2810.25"/>
    <s v="net sales"/>
    <x v="3"/>
    <x v="1"/>
    <n v="5"/>
  </r>
  <r>
    <x v="517"/>
    <s v="amortization"/>
    <s v="NA"/>
    <s v="NA"/>
    <n v="50"/>
    <s v="amortization"/>
    <x v="0"/>
    <x v="1"/>
    <n v="6"/>
  </r>
  <r>
    <x v="517"/>
    <s v="cogs:product 1"/>
    <n v="5.49"/>
    <n v="40"/>
    <n v="219.60000000000002"/>
    <s v="cogs"/>
    <x v="1"/>
    <x v="1"/>
    <n v="6"/>
  </r>
  <r>
    <x v="517"/>
    <s v="cogs:product 2"/>
    <n v="19.989999999999998"/>
    <n v="0"/>
    <n v="0"/>
    <s v="cogs"/>
    <x v="2"/>
    <x v="1"/>
    <n v="6"/>
  </r>
  <r>
    <x v="517"/>
    <s v="cogs:product 3"/>
    <n v="8.99"/>
    <n v="69"/>
    <n v="620.31000000000006"/>
    <s v="cogs"/>
    <x v="3"/>
    <x v="1"/>
    <n v="6"/>
  </r>
  <r>
    <x v="517"/>
    <s v="marketing"/>
    <s v="NA"/>
    <s v="NA"/>
    <n v="105.08"/>
    <s v="marketing"/>
    <x v="0"/>
    <x v="1"/>
    <n v="6"/>
  </r>
  <r>
    <x v="517"/>
    <s v="net sales:product 1"/>
    <n v="9.99"/>
    <n v="40"/>
    <n v="399.6"/>
    <s v="net sales"/>
    <x v="1"/>
    <x v="1"/>
    <n v="6"/>
  </r>
  <r>
    <x v="517"/>
    <s v="net sales:product 2"/>
    <n v="24.99"/>
    <n v="0"/>
    <n v="0"/>
    <s v="net sales"/>
    <x v="2"/>
    <x v="1"/>
    <n v="6"/>
  </r>
  <r>
    <x v="517"/>
    <s v="net sales:product 3"/>
    <n v="12.49"/>
    <n v="69"/>
    <n v="861.81000000000006"/>
    <s v="net sales"/>
    <x v="3"/>
    <x v="1"/>
    <n v="6"/>
  </r>
  <r>
    <x v="517"/>
    <s v="overhead"/>
    <s v="NA"/>
    <s v="NA"/>
    <n v="2000"/>
    <s v="overhead"/>
    <x v="0"/>
    <x v="1"/>
    <n v="6"/>
  </r>
  <r>
    <x v="518"/>
    <s v="cogs:product 1"/>
    <n v="5.49"/>
    <n v="97"/>
    <n v="532.53"/>
    <s v="cogs"/>
    <x v="1"/>
    <x v="1"/>
    <n v="6"/>
  </r>
  <r>
    <x v="518"/>
    <s v="cogs:product 2"/>
    <n v="19.989999999999998"/>
    <n v="4"/>
    <n v="79.959999999999994"/>
    <s v="cogs"/>
    <x v="2"/>
    <x v="1"/>
    <n v="6"/>
  </r>
  <r>
    <x v="518"/>
    <s v="cogs:product 3"/>
    <n v="8.99"/>
    <n v="99"/>
    <n v="890.01"/>
    <s v="cogs"/>
    <x v="3"/>
    <x v="1"/>
    <n v="6"/>
  </r>
  <r>
    <x v="518"/>
    <s v="marketing"/>
    <s v="NA"/>
    <s v="NA"/>
    <n v="106.04"/>
    <s v="marketing"/>
    <x v="0"/>
    <x v="1"/>
    <n v="6"/>
  </r>
  <r>
    <x v="518"/>
    <s v="net sales:product 1"/>
    <n v="9.99"/>
    <n v="97"/>
    <n v="969.03"/>
    <s v="net sales"/>
    <x v="1"/>
    <x v="1"/>
    <n v="6"/>
  </r>
  <r>
    <x v="518"/>
    <s v="net sales:product 2"/>
    <n v="24.99"/>
    <n v="4"/>
    <n v="99.96"/>
    <s v="net sales"/>
    <x v="2"/>
    <x v="1"/>
    <n v="6"/>
  </r>
  <r>
    <x v="518"/>
    <s v="net sales:product 3"/>
    <n v="12.49"/>
    <n v="99"/>
    <n v="1236.51"/>
    <s v="net sales"/>
    <x v="3"/>
    <x v="1"/>
    <n v="6"/>
  </r>
  <r>
    <x v="519"/>
    <s v="cogs:product 1"/>
    <n v="5.49"/>
    <n v="13"/>
    <n v="71.37"/>
    <s v="cogs"/>
    <x v="1"/>
    <x v="1"/>
    <n v="6"/>
  </r>
  <r>
    <x v="519"/>
    <s v="cogs:product 2"/>
    <n v="19.989999999999998"/>
    <n v="2"/>
    <n v="39.979999999999997"/>
    <s v="cogs"/>
    <x v="2"/>
    <x v="1"/>
    <n v="6"/>
  </r>
  <r>
    <x v="519"/>
    <s v="cogs:product 3"/>
    <n v="8.99"/>
    <n v="248"/>
    <n v="2229.52"/>
    <s v="cogs"/>
    <x v="3"/>
    <x v="1"/>
    <n v="6"/>
  </r>
  <r>
    <x v="519"/>
    <s v="marketing"/>
    <s v="NA"/>
    <s v="NA"/>
    <n v="111.94"/>
    <s v="marketing"/>
    <x v="0"/>
    <x v="1"/>
    <n v="6"/>
  </r>
  <r>
    <x v="519"/>
    <s v="net sales:product 1"/>
    <n v="9.99"/>
    <n v="13"/>
    <n v="129.87"/>
    <s v="net sales"/>
    <x v="1"/>
    <x v="1"/>
    <n v="6"/>
  </r>
  <r>
    <x v="519"/>
    <s v="net sales:product 2"/>
    <n v="24.99"/>
    <n v="2"/>
    <n v="49.98"/>
    <s v="net sales"/>
    <x v="2"/>
    <x v="1"/>
    <n v="6"/>
  </r>
  <r>
    <x v="519"/>
    <s v="net sales:product 3"/>
    <n v="12.49"/>
    <n v="248"/>
    <n v="3097.52"/>
    <s v="net sales"/>
    <x v="3"/>
    <x v="1"/>
    <n v="6"/>
  </r>
  <r>
    <x v="520"/>
    <s v="cogs:product 1"/>
    <n v="5.49"/>
    <n v="25"/>
    <n v="137.25"/>
    <s v="cogs"/>
    <x v="1"/>
    <x v="1"/>
    <n v="6"/>
  </r>
  <r>
    <x v="520"/>
    <s v="cogs:product 2"/>
    <n v="19.989999999999998"/>
    <n v="3"/>
    <n v="59.97"/>
    <s v="cogs"/>
    <x v="2"/>
    <x v="1"/>
    <n v="6"/>
  </r>
  <r>
    <x v="520"/>
    <s v="cogs:product 3"/>
    <n v="8.99"/>
    <n v="24"/>
    <n v="215.76"/>
    <s v="cogs"/>
    <x v="3"/>
    <x v="1"/>
    <n v="6"/>
  </r>
  <r>
    <x v="520"/>
    <s v="marketing"/>
    <s v="NA"/>
    <s v="NA"/>
    <n v="118.98"/>
    <s v="marketing"/>
    <x v="0"/>
    <x v="1"/>
    <n v="6"/>
  </r>
  <r>
    <x v="520"/>
    <s v="net sales:product 1"/>
    <n v="9.99"/>
    <n v="25"/>
    <n v="249.75"/>
    <s v="net sales"/>
    <x v="1"/>
    <x v="1"/>
    <n v="6"/>
  </r>
  <r>
    <x v="520"/>
    <s v="net sales:product 2"/>
    <n v="24.99"/>
    <n v="3"/>
    <n v="74.97"/>
    <s v="net sales"/>
    <x v="2"/>
    <x v="1"/>
    <n v="6"/>
  </r>
  <r>
    <x v="520"/>
    <s v="net sales:product 3"/>
    <n v="12.49"/>
    <n v="24"/>
    <n v="299.76"/>
    <s v="net sales"/>
    <x v="3"/>
    <x v="1"/>
    <n v="6"/>
  </r>
  <r>
    <x v="521"/>
    <s v="cogs:product 1"/>
    <n v="5.49"/>
    <n v="36"/>
    <n v="197.64000000000001"/>
    <s v="cogs"/>
    <x v="1"/>
    <x v="1"/>
    <n v="6"/>
  </r>
  <r>
    <x v="521"/>
    <s v="cogs:product 2"/>
    <n v="19.989999999999998"/>
    <n v="5"/>
    <n v="99.949999999999989"/>
    <s v="cogs"/>
    <x v="2"/>
    <x v="1"/>
    <n v="6"/>
  </r>
  <r>
    <x v="521"/>
    <s v="cogs:product 3"/>
    <n v="8.99"/>
    <n v="211"/>
    <n v="1896.89"/>
    <s v="cogs"/>
    <x v="3"/>
    <x v="1"/>
    <n v="6"/>
  </r>
  <r>
    <x v="521"/>
    <s v="marketing"/>
    <s v="NA"/>
    <s v="NA"/>
    <n v="116.99000000000001"/>
    <s v="marketing"/>
    <x v="0"/>
    <x v="1"/>
    <n v="6"/>
  </r>
  <r>
    <x v="521"/>
    <s v="net sales:product 1"/>
    <n v="9.99"/>
    <n v="36"/>
    <n v="359.64"/>
    <s v="net sales"/>
    <x v="1"/>
    <x v="1"/>
    <n v="6"/>
  </r>
  <r>
    <x v="521"/>
    <s v="net sales:product 2"/>
    <n v="24.99"/>
    <n v="5"/>
    <n v="124.94999999999999"/>
    <s v="net sales"/>
    <x v="2"/>
    <x v="1"/>
    <n v="6"/>
  </r>
  <r>
    <x v="521"/>
    <s v="net sales:product 3"/>
    <n v="12.49"/>
    <n v="211"/>
    <n v="2635.39"/>
    <s v="net sales"/>
    <x v="3"/>
    <x v="1"/>
    <n v="6"/>
  </r>
  <r>
    <x v="522"/>
    <s v="cogs:product 1"/>
    <n v="5.49"/>
    <n v="64"/>
    <n v="351.36"/>
    <s v="cogs"/>
    <x v="1"/>
    <x v="1"/>
    <n v="6"/>
  </r>
  <r>
    <x v="522"/>
    <s v="cogs:product 2"/>
    <n v="19.989999999999998"/>
    <n v="4"/>
    <n v="79.959999999999994"/>
    <s v="cogs"/>
    <x v="2"/>
    <x v="1"/>
    <n v="6"/>
  </r>
  <r>
    <x v="522"/>
    <s v="cogs:product 3"/>
    <n v="8.99"/>
    <n v="114"/>
    <n v="1024.8600000000001"/>
    <s v="cogs"/>
    <x v="3"/>
    <x v="1"/>
    <n v="6"/>
  </r>
  <r>
    <x v="522"/>
    <s v="marketing"/>
    <s v="NA"/>
    <s v="NA"/>
    <n v="110.92"/>
    <s v="marketing"/>
    <x v="0"/>
    <x v="1"/>
    <n v="6"/>
  </r>
  <r>
    <x v="522"/>
    <s v="net sales:product 1"/>
    <n v="9.99"/>
    <n v="64"/>
    <n v="639.36"/>
    <s v="net sales"/>
    <x v="1"/>
    <x v="1"/>
    <n v="6"/>
  </r>
  <r>
    <x v="522"/>
    <s v="net sales:product 2"/>
    <n v="24.99"/>
    <n v="4"/>
    <n v="99.96"/>
    <s v="net sales"/>
    <x v="2"/>
    <x v="1"/>
    <n v="6"/>
  </r>
  <r>
    <x v="522"/>
    <s v="net sales:product 3"/>
    <n v="12.49"/>
    <n v="114"/>
    <n v="1423.8600000000001"/>
    <s v="net sales"/>
    <x v="3"/>
    <x v="1"/>
    <n v="6"/>
  </r>
  <r>
    <x v="522"/>
    <s v="payroll"/>
    <s v="NA"/>
    <s v="NA"/>
    <n v="1200"/>
    <s v="payroll"/>
    <x v="0"/>
    <x v="1"/>
    <n v="6"/>
  </r>
  <r>
    <x v="523"/>
    <s v="cogs:product 1"/>
    <n v="5.49"/>
    <n v="8"/>
    <n v="43.92"/>
    <s v="cogs"/>
    <x v="1"/>
    <x v="1"/>
    <n v="6"/>
  </r>
  <r>
    <x v="523"/>
    <s v="cogs:product 2"/>
    <n v="19.989999999999998"/>
    <n v="5"/>
    <n v="99.949999999999989"/>
    <s v="cogs"/>
    <x v="2"/>
    <x v="1"/>
    <n v="6"/>
  </r>
  <r>
    <x v="523"/>
    <s v="cogs:product 3"/>
    <n v="8.99"/>
    <n v="59"/>
    <n v="530.41"/>
    <s v="cogs"/>
    <x v="3"/>
    <x v="1"/>
    <n v="6"/>
  </r>
  <r>
    <x v="523"/>
    <s v="marketing"/>
    <s v="NA"/>
    <s v="NA"/>
    <n v="111.95"/>
    <s v="marketing"/>
    <x v="0"/>
    <x v="1"/>
    <n v="6"/>
  </r>
  <r>
    <x v="523"/>
    <s v="net sales:product 1"/>
    <n v="9.99"/>
    <n v="8"/>
    <n v="79.92"/>
    <s v="net sales"/>
    <x v="1"/>
    <x v="1"/>
    <n v="6"/>
  </r>
  <r>
    <x v="523"/>
    <s v="net sales:product 2"/>
    <n v="24.99"/>
    <n v="5"/>
    <n v="124.94999999999999"/>
    <s v="net sales"/>
    <x v="2"/>
    <x v="1"/>
    <n v="6"/>
  </r>
  <r>
    <x v="523"/>
    <s v="net sales:product 3"/>
    <n v="12.49"/>
    <n v="59"/>
    <n v="736.91"/>
    <s v="net sales"/>
    <x v="3"/>
    <x v="1"/>
    <n v="6"/>
  </r>
  <r>
    <x v="524"/>
    <s v="cogs:product 1"/>
    <n v="5.49"/>
    <n v="45"/>
    <n v="247.05"/>
    <s v="cogs"/>
    <x v="1"/>
    <x v="1"/>
    <n v="6"/>
  </r>
  <r>
    <x v="524"/>
    <s v="cogs:product 2"/>
    <n v="19.989999999999998"/>
    <n v="1"/>
    <n v="19.989999999999998"/>
    <s v="cogs"/>
    <x v="2"/>
    <x v="1"/>
    <n v="6"/>
  </r>
  <r>
    <x v="524"/>
    <s v="cogs:product 3"/>
    <n v="8.99"/>
    <n v="17"/>
    <n v="152.83000000000001"/>
    <s v="cogs"/>
    <x v="3"/>
    <x v="1"/>
    <n v="6"/>
  </r>
  <r>
    <x v="524"/>
    <s v="marketing"/>
    <s v="NA"/>
    <s v="NA"/>
    <n v="120.08"/>
    <s v="marketing"/>
    <x v="0"/>
    <x v="1"/>
    <n v="6"/>
  </r>
  <r>
    <x v="524"/>
    <s v="net sales:product 1"/>
    <n v="9.99"/>
    <n v="45"/>
    <n v="449.55"/>
    <s v="net sales"/>
    <x v="1"/>
    <x v="1"/>
    <n v="6"/>
  </r>
  <r>
    <x v="524"/>
    <s v="net sales:product 2"/>
    <n v="24.99"/>
    <n v="1"/>
    <n v="24.99"/>
    <s v="net sales"/>
    <x v="2"/>
    <x v="1"/>
    <n v="6"/>
  </r>
  <r>
    <x v="524"/>
    <s v="net sales:product 3"/>
    <n v="12.49"/>
    <n v="17"/>
    <n v="212.33"/>
    <s v="net sales"/>
    <x v="3"/>
    <x v="1"/>
    <n v="6"/>
  </r>
  <r>
    <x v="525"/>
    <s v="cogs:product 1"/>
    <n v="5.49"/>
    <n v="19"/>
    <n v="104.31"/>
    <s v="cogs"/>
    <x v="1"/>
    <x v="1"/>
    <n v="6"/>
  </r>
  <r>
    <x v="525"/>
    <s v="cogs:product 2"/>
    <n v="19.989999999999998"/>
    <n v="2"/>
    <n v="39.979999999999997"/>
    <s v="cogs"/>
    <x v="2"/>
    <x v="1"/>
    <n v="6"/>
  </r>
  <r>
    <x v="525"/>
    <s v="cogs:product 3"/>
    <n v="8.99"/>
    <n v="103"/>
    <n v="925.97"/>
    <s v="cogs"/>
    <x v="3"/>
    <x v="1"/>
    <n v="6"/>
  </r>
  <r>
    <x v="525"/>
    <s v="marketing"/>
    <s v="NA"/>
    <s v="NA"/>
    <n v="107"/>
    <s v="marketing"/>
    <x v="0"/>
    <x v="1"/>
    <n v="6"/>
  </r>
  <r>
    <x v="525"/>
    <s v="net sales:product 1"/>
    <n v="9.99"/>
    <n v="19"/>
    <n v="189.81"/>
    <s v="net sales"/>
    <x v="1"/>
    <x v="1"/>
    <n v="6"/>
  </r>
  <r>
    <x v="525"/>
    <s v="net sales:product 2"/>
    <n v="24.99"/>
    <n v="2"/>
    <n v="49.98"/>
    <s v="net sales"/>
    <x v="2"/>
    <x v="1"/>
    <n v="6"/>
  </r>
  <r>
    <x v="525"/>
    <s v="net sales:product 3"/>
    <n v="12.49"/>
    <n v="103"/>
    <n v="1286.47"/>
    <s v="net sales"/>
    <x v="3"/>
    <x v="1"/>
    <n v="6"/>
  </r>
  <r>
    <x v="526"/>
    <s v="cogs:product 1"/>
    <n v="5.49"/>
    <n v="47"/>
    <n v="258.03000000000003"/>
    <s v="cogs"/>
    <x v="1"/>
    <x v="1"/>
    <n v="6"/>
  </r>
  <r>
    <x v="526"/>
    <s v="cogs:product 2"/>
    <n v="19.989999999999998"/>
    <n v="6"/>
    <n v="119.94"/>
    <s v="cogs"/>
    <x v="2"/>
    <x v="1"/>
    <n v="6"/>
  </r>
  <r>
    <x v="526"/>
    <s v="cogs:product 3"/>
    <n v="8.99"/>
    <n v="74"/>
    <n v="665.26"/>
    <s v="cogs"/>
    <x v="3"/>
    <x v="1"/>
    <n v="6"/>
  </r>
  <r>
    <x v="526"/>
    <s v="marketing"/>
    <s v="NA"/>
    <s v="NA"/>
    <n v="105.09"/>
    <s v="marketing"/>
    <x v="0"/>
    <x v="1"/>
    <n v="6"/>
  </r>
  <r>
    <x v="526"/>
    <s v="net sales:product 1"/>
    <n v="9.99"/>
    <n v="47"/>
    <n v="469.53000000000003"/>
    <s v="net sales"/>
    <x v="1"/>
    <x v="1"/>
    <n v="6"/>
  </r>
  <r>
    <x v="526"/>
    <s v="net sales:product 2"/>
    <n v="24.99"/>
    <n v="6"/>
    <n v="149.94"/>
    <s v="net sales"/>
    <x v="2"/>
    <x v="1"/>
    <n v="6"/>
  </r>
  <r>
    <x v="526"/>
    <s v="net sales:product 3"/>
    <n v="12.49"/>
    <n v="74"/>
    <n v="924.26"/>
    <s v="net sales"/>
    <x v="3"/>
    <x v="1"/>
    <n v="6"/>
  </r>
  <r>
    <x v="527"/>
    <s v="cogs:product 1"/>
    <n v="5.49"/>
    <n v="76"/>
    <n v="417.24"/>
    <s v="cogs"/>
    <x v="1"/>
    <x v="1"/>
    <n v="6"/>
  </r>
  <r>
    <x v="527"/>
    <s v="cogs:product 2"/>
    <n v="19.989999999999998"/>
    <n v="3"/>
    <n v="59.97"/>
    <s v="cogs"/>
    <x v="2"/>
    <x v="1"/>
    <n v="6"/>
  </r>
  <r>
    <x v="527"/>
    <s v="cogs:product 3"/>
    <n v="8.99"/>
    <n v="112"/>
    <n v="1006.88"/>
    <s v="cogs"/>
    <x v="3"/>
    <x v="1"/>
    <n v="6"/>
  </r>
  <r>
    <x v="527"/>
    <s v="marketing"/>
    <s v="NA"/>
    <s v="NA"/>
    <n v="116.91"/>
    <s v="marketing"/>
    <x v="0"/>
    <x v="1"/>
    <n v="6"/>
  </r>
  <r>
    <x v="527"/>
    <s v="net sales:product 1"/>
    <n v="9.99"/>
    <n v="76"/>
    <n v="759.24"/>
    <s v="net sales"/>
    <x v="1"/>
    <x v="1"/>
    <n v="6"/>
  </r>
  <r>
    <x v="527"/>
    <s v="net sales:product 2"/>
    <n v="24.99"/>
    <n v="3"/>
    <n v="74.97"/>
    <s v="net sales"/>
    <x v="2"/>
    <x v="1"/>
    <n v="6"/>
  </r>
  <r>
    <x v="527"/>
    <s v="net sales:product 3"/>
    <n v="12.49"/>
    <n v="112"/>
    <n v="1398.88"/>
    <s v="net sales"/>
    <x v="3"/>
    <x v="1"/>
    <n v="6"/>
  </r>
  <r>
    <x v="528"/>
    <s v="cogs:product 1"/>
    <n v="5.49"/>
    <n v="43"/>
    <n v="236.07000000000002"/>
    <s v="cogs"/>
    <x v="1"/>
    <x v="1"/>
    <n v="6"/>
  </r>
  <r>
    <x v="528"/>
    <s v="cogs:product 2"/>
    <n v="19.989999999999998"/>
    <n v="8"/>
    <n v="159.91999999999999"/>
    <s v="cogs"/>
    <x v="2"/>
    <x v="1"/>
    <n v="6"/>
  </r>
  <r>
    <x v="528"/>
    <s v="cogs:product 3"/>
    <n v="8.99"/>
    <n v="190"/>
    <n v="1708.1000000000001"/>
    <s v="cogs"/>
    <x v="3"/>
    <x v="1"/>
    <n v="6"/>
  </r>
  <r>
    <x v="528"/>
    <s v="marketing"/>
    <s v="NA"/>
    <s v="NA"/>
    <n v="106.08"/>
    <s v="marketing"/>
    <x v="0"/>
    <x v="1"/>
    <n v="6"/>
  </r>
  <r>
    <x v="528"/>
    <s v="net sales:product 1"/>
    <n v="9.99"/>
    <n v="43"/>
    <n v="429.57"/>
    <s v="net sales"/>
    <x v="1"/>
    <x v="1"/>
    <n v="6"/>
  </r>
  <r>
    <x v="528"/>
    <s v="net sales:product 2"/>
    <n v="24.99"/>
    <n v="8"/>
    <n v="199.92"/>
    <s v="net sales"/>
    <x v="2"/>
    <x v="1"/>
    <n v="6"/>
  </r>
  <r>
    <x v="528"/>
    <s v="net sales:product 3"/>
    <n v="12.49"/>
    <n v="190"/>
    <n v="2373.1"/>
    <s v="net sales"/>
    <x v="3"/>
    <x v="1"/>
    <n v="6"/>
  </r>
  <r>
    <x v="529"/>
    <s v="cogs:product 1"/>
    <n v="5.49"/>
    <n v="74"/>
    <n v="406.26"/>
    <s v="cogs"/>
    <x v="1"/>
    <x v="1"/>
    <n v="6"/>
  </r>
  <r>
    <x v="529"/>
    <s v="cogs:product 2"/>
    <n v="19.989999999999998"/>
    <n v="3"/>
    <n v="59.97"/>
    <s v="cogs"/>
    <x v="2"/>
    <x v="1"/>
    <n v="6"/>
  </r>
  <r>
    <x v="529"/>
    <s v="cogs:product 3"/>
    <n v="8.99"/>
    <n v="0"/>
    <n v="0"/>
    <s v="cogs"/>
    <x v="3"/>
    <x v="1"/>
    <n v="6"/>
  </r>
  <r>
    <x v="529"/>
    <s v="marketing"/>
    <s v="NA"/>
    <s v="NA"/>
    <n v="110.08"/>
    <s v="marketing"/>
    <x v="0"/>
    <x v="1"/>
    <n v="6"/>
  </r>
  <r>
    <x v="529"/>
    <s v="net sales:product 1"/>
    <n v="9.99"/>
    <n v="74"/>
    <n v="739.26"/>
    <s v="net sales"/>
    <x v="1"/>
    <x v="1"/>
    <n v="6"/>
  </r>
  <r>
    <x v="529"/>
    <s v="net sales:product 2"/>
    <n v="24.99"/>
    <n v="3"/>
    <n v="74.97"/>
    <s v="net sales"/>
    <x v="2"/>
    <x v="1"/>
    <n v="6"/>
  </r>
  <r>
    <x v="529"/>
    <s v="net sales:product 3"/>
    <n v="12.49"/>
    <n v="0"/>
    <n v="0"/>
    <s v="net sales"/>
    <x v="3"/>
    <x v="1"/>
    <n v="6"/>
  </r>
  <r>
    <x v="530"/>
    <s v="cogs:product 1"/>
    <n v="5.49"/>
    <n v="33"/>
    <n v="181.17000000000002"/>
    <s v="cogs"/>
    <x v="1"/>
    <x v="1"/>
    <n v="6"/>
  </r>
  <r>
    <x v="530"/>
    <s v="cogs:product 2"/>
    <n v="19.989999999999998"/>
    <n v="1"/>
    <n v="19.989999999999998"/>
    <s v="cogs"/>
    <x v="2"/>
    <x v="1"/>
    <n v="6"/>
  </r>
  <r>
    <x v="530"/>
    <s v="cogs:product 3"/>
    <n v="8.99"/>
    <n v="77"/>
    <n v="692.23"/>
    <s v="cogs"/>
    <x v="3"/>
    <x v="1"/>
    <n v="6"/>
  </r>
  <r>
    <x v="530"/>
    <s v="marketing"/>
    <s v="NA"/>
    <s v="NA"/>
    <n v="114.07000000000001"/>
    <s v="marketing"/>
    <x v="0"/>
    <x v="1"/>
    <n v="6"/>
  </r>
  <r>
    <x v="530"/>
    <s v="net sales:product 1"/>
    <n v="9.99"/>
    <n v="33"/>
    <n v="329.67"/>
    <s v="net sales"/>
    <x v="1"/>
    <x v="1"/>
    <n v="6"/>
  </r>
  <r>
    <x v="530"/>
    <s v="net sales:product 2"/>
    <n v="24.99"/>
    <n v="1"/>
    <n v="24.99"/>
    <s v="net sales"/>
    <x v="2"/>
    <x v="1"/>
    <n v="6"/>
  </r>
  <r>
    <x v="530"/>
    <s v="net sales:product 3"/>
    <n v="12.49"/>
    <n v="77"/>
    <n v="961.73"/>
    <s v="net sales"/>
    <x v="3"/>
    <x v="1"/>
    <n v="6"/>
  </r>
  <r>
    <x v="531"/>
    <s v="cogs:product 1"/>
    <n v="5.49"/>
    <n v="37"/>
    <n v="203.13"/>
    <s v="cogs"/>
    <x v="1"/>
    <x v="1"/>
    <n v="6"/>
  </r>
  <r>
    <x v="531"/>
    <s v="cogs:product 2"/>
    <n v="19.989999999999998"/>
    <n v="1"/>
    <n v="19.989999999999998"/>
    <s v="cogs"/>
    <x v="2"/>
    <x v="1"/>
    <n v="6"/>
  </r>
  <r>
    <x v="531"/>
    <s v="cogs:product 3"/>
    <n v="8.99"/>
    <n v="12"/>
    <n v="107.88"/>
    <s v="cogs"/>
    <x v="3"/>
    <x v="1"/>
    <n v="6"/>
  </r>
  <r>
    <x v="531"/>
    <s v="interest"/>
    <s v="NA"/>
    <s v="NA"/>
    <n v="1260.8"/>
    <s v="interest"/>
    <x v="0"/>
    <x v="1"/>
    <n v="6"/>
  </r>
  <r>
    <x v="531"/>
    <s v="marketing"/>
    <s v="NA"/>
    <s v="NA"/>
    <n v="105.93"/>
    <s v="marketing"/>
    <x v="0"/>
    <x v="1"/>
    <n v="6"/>
  </r>
  <r>
    <x v="531"/>
    <s v="net sales:product 1"/>
    <n v="9.99"/>
    <n v="37"/>
    <n v="369.63"/>
    <s v="net sales"/>
    <x v="1"/>
    <x v="1"/>
    <n v="6"/>
  </r>
  <r>
    <x v="531"/>
    <s v="net sales:product 2"/>
    <n v="24.99"/>
    <n v="1"/>
    <n v="24.99"/>
    <s v="net sales"/>
    <x v="2"/>
    <x v="1"/>
    <n v="6"/>
  </r>
  <r>
    <x v="531"/>
    <s v="net sales:product 3"/>
    <n v="12.49"/>
    <n v="12"/>
    <n v="149.88"/>
    <s v="net sales"/>
    <x v="3"/>
    <x v="1"/>
    <n v="6"/>
  </r>
  <r>
    <x v="531"/>
    <s v="overhead"/>
    <s v="NA"/>
    <s v="NA"/>
    <n v="320.56"/>
    <s v="overhead"/>
    <x v="0"/>
    <x v="1"/>
    <n v="6"/>
  </r>
  <r>
    <x v="532"/>
    <s v="cogs:product 1"/>
    <n v="5.49"/>
    <n v="79"/>
    <n v="433.71000000000004"/>
    <s v="cogs"/>
    <x v="1"/>
    <x v="1"/>
    <n v="6"/>
  </r>
  <r>
    <x v="532"/>
    <s v="cogs:product 2"/>
    <n v="19.989999999999998"/>
    <n v="5"/>
    <n v="99.949999999999989"/>
    <s v="cogs"/>
    <x v="2"/>
    <x v="1"/>
    <n v="6"/>
  </r>
  <r>
    <x v="532"/>
    <s v="cogs:product 3"/>
    <n v="8.99"/>
    <n v="238"/>
    <n v="2139.62"/>
    <s v="cogs"/>
    <x v="3"/>
    <x v="1"/>
    <n v="6"/>
  </r>
  <r>
    <x v="532"/>
    <s v="marketing"/>
    <s v="NA"/>
    <s v="NA"/>
    <n v="104.91"/>
    <s v="marketing"/>
    <x v="0"/>
    <x v="1"/>
    <n v="6"/>
  </r>
  <r>
    <x v="532"/>
    <s v="net sales:product 1"/>
    <n v="9.99"/>
    <n v="79"/>
    <n v="789.21"/>
    <s v="net sales"/>
    <x v="1"/>
    <x v="1"/>
    <n v="6"/>
  </r>
  <r>
    <x v="532"/>
    <s v="net sales:product 2"/>
    <n v="24.99"/>
    <n v="5"/>
    <n v="124.94999999999999"/>
    <s v="net sales"/>
    <x v="2"/>
    <x v="1"/>
    <n v="6"/>
  </r>
  <r>
    <x v="532"/>
    <s v="net sales:product 3"/>
    <n v="12.49"/>
    <n v="238"/>
    <n v="2972.62"/>
    <s v="net sales"/>
    <x v="3"/>
    <x v="1"/>
    <n v="6"/>
  </r>
  <r>
    <x v="533"/>
    <s v="cogs:product 1"/>
    <n v="5.49"/>
    <n v="0"/>
    <n v="0"/>
    <s v="cogs"/>
    <x v="1"/>
    <x v="1"/>
    <n v="6"/>
  </r>
  <r>
    <x v="533"/>
    <s v="cogs:product 2"/>
    <n v="19.989999999999998"/>
    <n v="6"/>
    <n v="119.94"/>
    <s v="cogs"/>
    <x v="2"/>
    <x v="1"/>
    <n v="6"/>
  </r>
  <r>
    <x v="533"/>
    <s v="cogs:product 3"/>
    <n v="8.99"/>
    <n v="168"/>
    <n v="1510.32"/>
    <s v="cogs"/>
    <x v="3"/>
    <x v="1"/>
    <n v="6"/>
  </r>
  <r>
    <x v="533"/>
    <s v="marketing"/>
    <s v="NA"/>
    <s v="NA"/>
    <n v="114.91"/>
    <s v="marketing"/>
    <x v="0"/>
    <x v="1"/>
    <n v="6"/>
  </r>
  <r>
    <x v="533"/>
    <s v="net sales:product 1"/>
    <n v="9.99"/>
    <n v="0"/>
    <n v="0"/>
    <s v="net sales"/>
    <x v="1"/>
    <x v="1"/>
    <n v="6"/>
  </r>
  <r>
    <x v="533"/>
    <s v="net sales:product 2"/>
    <n v="24.99"/>
    <n v="6"/>
    <n v="149.94"/>
    <s v="net sales"/>
    <x v="2"/>
    <x v="1"/>
    <n v="6"/>
  </r>
  <r>
    <x v="533"/>
    <s v="net sales:product 3"/>
    <n v="12.49"/>
    <n v="168"/>
    <n v="2098.3200000000002"/>
    <s v="net sales"/>
    <x v="3"/>
    <x v="1"/>
    <n v="6"/>
  </r>
  <r>
    <x v="534"/>
    <s v="cogs:product 1"/>
    <n v="5.49"/>
    <n v="28"/>
    <n v="153.72"/>
    <s v="cogs"/>
    <x v="1"/>
    <x v="1"/>
    <n v="6"/>
  </r>
  <r>
    <x v="534"/>
    <s v="cogs:product 2"/>
    <n v="19.989999999999998"/>
    <n v="3"/>
    <n v="59.97"/>
    <s v="cogs"/>
    <x v="2"/>
    <x v="1"/>
    <n v="6"/>
  </r>
  <r>
    <x v="534"/>
    <s v="cogs:product 3"/>
    <n v="8.99"/>
    <n v="232"/>
    <n v="2085.6799999999998"/>
    <s v="cogs"/>
    <x v="3"/>
    <x v="1"/>
    <n v="6"/>
  </r>
  <r>
    <x v="534"/>
    <s v="marketing"/>
    <s v="NA"/>
    <s v="NA"/>
    <n v="109.03"/>
    <s v="marketing"/>
    <x v="0"/>
    <x v="1"/>
    <n v="6"/>
  </r>
  <r>
    <x v="534"/>
    <s v="net sales:product 1"/>
    <n v="9.99"/>
    <n v="28"/>
    <n v="279.72000000000003"/>
    <s v="net sales"/>
    <x v="1"/>
    <x v="1"/>
    <n v="6"/>
  </r>
  <r>
    <x v="534"/>
    <s v="net sales:product 2"/>
    <n v="24.99"/>
    <n v="3"/>
    <n v="74.97"/>
    <s v="net sales"/>
    <x v="2"/>
    <x v="1"/>
    <n v="6"/>
  </r>
  <r>
    <x v="534"/>
    <s v="net sales:product 3"/>
    <n v="12.49"/>
    <n v="232"/>
    <n v="2897.68"/>
    <s v="net sales"/>
    <x v="3"/>
    <x v="1"/>
    <n v="6"/>
  </r>
  <r>
    <x v="535"/>
    <s v="cogs:product 1"/>
    <n v="5.49"/>
    <n v="94"/>
    <n v="516.06000000000006"/>
    <s v="cogs"/>
    <x v="1"/>
    <x v="1"/>
    <n v="6"/>
  </r>
  <r>
    <x v="535"/>
    <s v="cogs:product 2"/>
    <n v="19.989999999999998"/>
    <n v="1"/>
    <n v="19.989999999999998"/>
    <s v="cogs"/>
    <x v="2"/>
    <x v="1"/>
    <n v="6"/>
  </r>
  <r>
    <x v="535"/>
    <s v="cogs:product 3"/>
    <n v="8.99"/>
    <n v="46"/>
    <n v="413.54"/>
    <s v="cogs"/>
    <x v="3"/>
    <x v="1"/>
    <n v="6"/>
  </r>
  <r>
    <x v="535"/>
    <s v="marketing"/>
    <s v="NA"/>
    <s v="NA"/>
    <n v="116.03"/>
    <s v="marketing"/>
    <x v="0"/>
    <x v="1"/>
    <n v="6"/>
  </r>
  <r>
    <x v="535"/>
    <s v="net sales:product 1"/>
    <n v="9.99"/>
    <n v="94"/>
    <n v="939.06000000000006"/>
    <s v="net sales"/>
    <x v="1"/>
    <x v="1"/>
    <n v="6"/>
  </r>
  <r>
    <x v="535"/>
    <s v="net sales:product 2"/>
    <n v="24.99"/>
    <n v="1"/>
    <n v="24.99"/>
    <s v="net sales"/>
    <x v="2"/>
    <x v="1"/>
    <n v="6"/>
  </r>
  <r>
    <x v="535"/>
    <s v="net sales:product 3"/>
    <n v="12.49"/>
    <n v="46"/>
    <n v="574.54"/>
    <s v="net sales"/>
    <x v="3"/>
    <x v="1"/>
    <n v="6"/>
  </r>
  <r>
    <x v="536"/>
    <s v="cogs:product 1"/>
    <n v="5.49"/>
    <n v="35"/>
    <n v="192.15"/>
    <s v="cogs"/>
    <x v="1"/>
    <x v="1"/>
    <n v="6"/>
  </r>
  <r>
    <x v="536"/>
    <s v="cogs:product 2"/>
    <n v="19.989999999999998"/>
    <n v="7"/>
    <n v="139.92999999999998"/>
    <s v="cogs"/>
    <x v="2"/>
    <x v="1"/>
    <n v="6"/>
  </r>
  <r>
    <x v="536"/>
    <s v="cogs:product 3"/>
    <n v="8.99"/>
    <n v="61"/>
    <n v="548.39"/>
    <s v="cogs"/>
    <x v="3"/>
    <x v="1"/>
    <n v="6"/>
  </r>
  <r>
    <x v="536"/>
    <s v="marketing"/>
    <s v="NA"/>
    <s v="NA"/>
    <n v="100.91"/>
    <s v="marketing"/>
    <x v="0"/>
    <x v="1"/>
    <n v="6"/>
  </r>
  <r>
    <x v="536"/>
    <s v="net sales:product 1"/>
    <n v="9.99"/>
    <n v="35"/>
    <n v="349.65000000000003"/>
    <s v="net sales"/>
    <x v="1"/>
    <x v="1"/>
    <n v="6"/>
  </r>
  <r>
    <x v="536"/>
    <s v="net sales:product 2"/>
    <n v="24.99"/>
    <n v="7"/>
    <n v="174.92999999999998"/>
    <s v="net sales"/>
    <x v="2"/>
    <x v="1"/>
    <n v="6"/>
  </r>
  <r>
    <x v="536"/>
    <s v="net sales:product 3"/>
    <n v="12.49"/>
    <n v="61"/>
    <n v="761.89"/>
    <s v="net sales"/>
    <x v="3"/>
    <x v="1"/>
    <n v="6"/>
  </r>
  <r>
    <x v="536"/>
    <s v="payroll"/>
    <s v="NA"/>
    <s v="NA"/>
    <n v="1200"/>
    <s v="payroll"/>
    <x v="0"/>
    <x v="1"/>
    <n v="6"/>
  </r>
  <r>
    <x v="537"/>
    <s v="cogs:product 1"/>
    <n v="5.49"/>
    <n v="28"/>
    <n v="153.72"/>
    <s v="cogs"/>
    <x v="1"/>
    <x v="1"/>
    <n v="6"/>
  </r>
  <r>
    <x v="537"/>
    <s v="cogs:product 2"/>
    <n v="19.989999999999998"/>
    <n v="0"/>
    <n v="0"/>
    <s v="cogs"/>
    <x v="2"/>
    <x v="1"/>
    <n v="6"/>
  </r>
  <r>
    <x v="537"/>
    <s v="cogs:product 3"/>
    <n v="8.99"/>
    <n v="134"/>
    <n v="1204.6600000000001"/>
    <s v="cogs"/>
    <x v="3"/>
    <x v="1"/>
    <n v="6"/>
  </r>
  <r>
    <x v="537"/>
    <s v="marketing"/>
    <s v="NA"/>
    <s v="NA"/>
    <n v="110.93"/>
    <s v="marketing"/>
    <x v="0"/>
    <x v="1"/>
    <n v="6"/>
  </r>
  <r>
    <x v="537"/>
    <s v="net sales:product 1"/>
    <n v="9.99"/>
    <n v="28"/>
    <n v="279.72000000000003"/>
    <s v="net sales"/>
    <x v="1"/>
    <x v="1"/>
    <n v="6"/>
  </r>
  <r>
    <x v="537"/>
    <s v="net sales:product 2"/>
    <n v="24.99"/>
    <n v="0"/>
    <n v="0"/>
    <s v="net sales"/>
    <x v="2"/>
    <x v="1"/>
    <n v="6"/>
  </r>
  <r>
    <x v="537"/>
    <s v="net sales:product 3"/>
    <n v="12.49"/>
    <n v="134"/>
    <n v="1673.66"/>
    <s v="net sales"/>
    <x v="3"/>
    <x v="1"/>
    <n v="6"/>
  </r>
  <r>
    <x v="538"/>
    <s v="cogs:product 1"/>
    <n v="5.49"/>
    <n v="22"/>
    <n v="120.78"/>
    <s v="cogs"/>
    <x v="1"/>
    <x v="1"/>
    <n v="6"/>
  </r>
  <r>
    <x v="538"/>
    <s v="cogs:product 2"/>
    <n v="19.989999999999998"/>
    <n v="8"/>
    <n v="159.91999999999999"/>
    <s v="cogs"/>
    <x v="2"/>
    <x v="1"/>
    <n v="6"/>
  </r>
  <r>
    <x v="538"/>
    <s v="cogs:product 3"/>
    <n v="8.99"/>
    <n v="137"/>
    <n v="1231.6300000000001"/>
    <s v="cogs"/>
    <x v="3"/>
    <x v="1"/>
    <n v="6"/>
  </r>
  <r>
    <x v="538"/>
    <s v="marketing"/>
    <s v="NA"/>
    <s v="NA"/>
    <n v="118.05"/>
    <s v="marketing"/>
    <x v="0"/>
    <x v="1"/>
    <n v="6"/>
  </r>
  <r>
    <x v="538"/>
    <s v="net sales:product 1"/>
    <n v="9.99"/>
    <n v="22"/>
    <n v="219.78"/>
    <s v="net sales"/>
    <x v="1"/>
    <x v="1"/>
    <n v="6"/>
  </r>
  <r>
    <x v="538"/>
    <s v="net sales:product 2"/>
    <n v="24.99"/>
    <n v="8"/>
    <n v="199.92"/>
    <s v="net sales"/>
    <x v="2"/>
    <x v="1"/>
    <n v="6"/>
  </r>
  <r>
    <x v="538"/>
    <s v="net sales:product 3"/>
    <n v="12.49"/>
    <n v="137"/>
    <n v="1711.13"/>
    <s v="net sales"/>
    <x v="3"/>
    <x v="1"/>
    <n v="6"/>
  </r>
  <r>
    <x v="539"/>
    <s v="cogs:product 1"/>
    <n v="5.49"/>
    <n v="5"/>
    <n v="27.450000000000003"/>
    <s v="cogs"/>
    <x v="1"/>
    <x v="1"/>
    <n v="6"/>
  </r>
  <r>
    <x v="539"/>
    <s v="cogs:product 2"/>
    <n v="19.989999999999998"/>
    <n v="3"/>
    <n v="59.97"/>
    <s v="cogs"/>
    <x v="2"/>
    <x v="1"/>
    <n v="6"/>
  </r>
  <r>
    <x v="539"/>
    <s v="cogs:product 3"/>
    <n v="8.99"/>
    <n v="91"/>
    <n v="818.09"/>
    <s v="cogs"/>
    <x v="3"/>
    <x v="1"/>
    <n v="6"/>
  </r>
  <r>
    <x v="539"/>
    <s v="marketing"/>
    <s v="NA"/>
    <s v="NA"/>
    <n v="117.02"/>
    <s v="marketing"/>
    <x v="0"/>
    <x v="1"/>
    <n v="6"/>
  </r>
  <r>
    <x v="539"/>
    <s v="net sales:product 1"/>
    <n v="9.99"/>
    <n v="5"/>
    <n v="49.95"/>
    <s v="net sales"/>
    <x v="1"/>
    <x v="1"/>
    <n v="6"/>
  </r>
  <r>
    <x v="539"/>
    <s v="net sales:product 2"/>
    <n v="24.99"/>
    <n v="3"/>
    <n v="74.97"/>
    <s v="net sales"/>
    <x v="2"/>
    <x v="1"/>
    <n v="6"/>
  </r>
  <r>
    <x v="539"/>
    <s v="net sales:product 3"/>
    <n v="12.49"/>
    <n v="91"/>
    <n v="1136.5899999999999"/>
    <s v="net sales"/>
    <x v="3"/>
    <x v="1"/>
    <n v="6"/>
  </r>
  <r>
    <x v="540"/>
    <s v="cogs:product 1"/>
    <n v="5.49"/>
    <n v="33"/>
    <n v="181.17000000000002"/>
    <s v="cogs"/>
    <x v="1"/>
    <x v="1"/>
    <n v="6"/>
  </r>
  <r>
    <x v="540"/>
    <s v="cogs:product 2"/>
    <n v="19.989999999999998"/>
    <n v="1"/>
    <n v="19.989999999999998"/>
    <s v="cogs"/>
    <x v="2"/>
    <x v="1"/>
    <n v="6"/>
  </r>
  <r>
    <x v="540"/>
    <s v="cogs:product 3"/>
    <n v="8.99"/>
    <n v="44"/>
    <n v="395.56"/>
    <s v="cogs"/>
    <x v="3"/>
    <x v="1"/>
    <n v="6"/>
  </r>
  <r>
    <x v="540"/>
    <s v="marketing"/>
    <s v="NA"/>
    <s v="NA"/>
    <n v="116.91"/>
    <s v="marketing"/>
    <x v="0"/>
    <x v="1"/>
    <n v="6"/>
  </r>
  <r>
    <x v="540"/>
    <s v="net sales:product 1"/>
    <n v="9.99"/>
    <n v="33"/>
    <n v="329.67"/>
    <s v="net sales"/>
    <x v="1"/>
    <x v="1"/>
    <n v="6"/>
  </r>
  <r>
    <x v="540"/>
    <s v="net sales:product 2"/>
    <n v="24.99"/>
    <n v="1"/>
    <n v="24.99"/>
    <s v="net sales"/>
    <x v="2"/>
    <x v="1"/>
    <n v="6"/>
  </r>
  <r>
    <x v="540"/>
    <s v="net sales:product 3"/>
    <n v="12.49"/>
    <n v="44"/>
    <n v="549.56000000000006"/>
    <s v="net sales"/>
    <x v="3"/>
    <x v="1"/>
    <n v="6"/>
  </r>
  <r>
    <x v="541"/>
    <s v="cogs:product 1"/>
    <n v="5.49"/>
    <n v="64"/>
    <n v="351.36"/>
    <s v="cogs"/>
    <x v="1"/>
    <x v="1"/>
    <n v="6"/>
  </r>
  <r>
    <x v="541"/>
    <s v="cogs:product 2"/>
    <n v="19.989999999999998"/>
    <n v="7"/>
    <n v="139.92999999999998"/>
    <s v="cogs"/>
    <x v="2"/>
    <x v="1"/>
    <n v="6"/>
  </r>
  <r>
    <x v="541"/>
    <s v="cogs:product 3"/>
    <n v="8.99"/>
    <n v="153"/>
    <n v="1375.47"/>
    <s v="cogs"/>
    <x v="3"/>
    <x v="1"/>
    <n v="6"/>
  </r>
  <r>
    <x v="541"/>
    <s v="marketing"/>
    <s v="NA"/>
    <s v="NA"/>
    <n v="106.10000000000001"/>
    <s v="marketing"/>
    <x v="0"/>
    <x v="1"/>
    <n v="6"/>
  </r>
  <r>
    <x v="541"/>
    <s v="net sales:product 1"/>
    <n v="9.99"/>
    <n v="64"/>
    <n v="639.36"/>
    <s v="net sales"/>
    <x v="1"/>
    <x v="1"/>
    <n v="6"/>
  </r>
  <r>
    <x v="541"/>
    <s v="net sales:product 2"/>
    <n v="24.99"/>
    <n v="7"/>
    <n v="174.92999999999998"/>
    <s v="net sales"/>
    <x v="2"/>
    <x v="1"/>
    <n v="6"/>
  </r>
  <r>
    <x v="541"/>
    <s v="net sales:product 3"/>
    <n v="12.49"/>
    <n v="153"/>
    <n v="1910.97"/>
    <s v="net sales"/>
    <x v="3"/>
    <x v="1"/>
    <n v="6"/>
  </r>
  <r>
    <x v="542"/>
    <s v="cogs:product 1"/>
    <n v="5.49"/>
    <n v="32"/>
    <n v="175.68"/>
    <s v="cogs"/>
    <x v="1"/>
    <x v="1"/>
    <n v="6"/>
  </r>
  <r>
    <x v="542"/>
    <s v="cogs:product 2"/>
    <n v="19.989999999999998"/>
    <n v="8"/>
    <n v="159.91999999999999"/>
    <s v="cogs"/>
    <x v="2"/>
    <x v="1"/>
    <n v="6"/>
  </r>
  <r>
    <x v="542"/>
    <s v="cogs:product 3"/>
    <n v="8.99"/>
    <n v="169"/>
    <n v="1519.31"/>
    <s v="cogs"/>
    <x v="3"/>
    <x v="1"/>
    <n v="6"/>
  </r>
  <r>
    <x v="542"/>
    <s v="marketing"/>
    <s v="NA"/>
    <s v="NA"/>
    <n v="104.01"/>
    <s v="marketing"/>
    <x v="0"/>
    <x v="1"/>
    <n v="6"/>
  </r>
  <r>
    <x v="542"/>
    <s v="net sales:product 1"/>
    <n v="9.99"/>
    <n v="32"/>
    <n v="319.68"/>
    <s v="net sales"/>
    <x v="1"/>
    <x v="1"/>
    <n v="6"/>
  </r>
  <r>
    <x v="542"/>
    <s v="net sales:product 2"/>
    <n v="24.99"/>
    <n v="8"/>
    <n v="199.92"/>
    <s v="net sales"/>
    <x v="2"/>
    <x v="1"/>
    <n v="6"/>
  </r>
  <r>
    <x v="542"/>
    <s v="net sales:product 3"/>
    <n v="12.49"/>
    <n v="169"/>
    <n v="2110.81"/>
    <s v="net sales"/>
    <x v="3"/>
    <x v="1"/>
    <n v="6"/>
  </r>
  <r>
    <x v="543"/>
    <s v="cogs:product 1"/>
    <n v="5.49"/>
    <n v="19"/>
    <n v="104.31"/>
    <s v="cogs"/>
    <x v="1"/>
    <x v="1"/>
    <n v="6"/>
  </r>
  <r>
    <x v="543"/>
    <s v="cogs:product 2"/>
    <n v="19.989999999999998"/>
    <n v="1"/>
    <n v="19.989999999999998"/>
    <s v="cogs"/>
    <x v="2"/>
    <x v="1"/>
    <n v="6"/>
  </r>
  <r>
    <x v="543"/>
    <s v="cogs:product 3"/>
    <n v="8.99"/>
    <n v="75"/>
    <n v="674.25"/>
    <s v="cogs"/>
    <x v="3"/>
    <x v="1"/>
    <n v="6"/>
  </r>
  <r>
    <x v="543"/>
    <s v="marketing"/>
    <s v="NA"/>
    <s v="NA"/>
    <n v="116.99000000000001"/>
    <s v="marketing"/>
    <x v="0"/>
    <x v="1"/>
    <n v="6"/>
  </r>
  <r>
    <x v="543"/>
    <s v="net sales:product 1"/>
    <n v="9.99"/>
    <n v="19"/>
    <n v="189.81"/>
    <s v="net sales"/>
    <x v="1"/>
    <x v="1"/>
    <n v="6"/>
  </r>
  <r>
    <x v="543"/>
    <s v="net sales:product 2"/>
    <n v="24.99"/>
    <n v="1"/>
    <n v="24.99"/>
    <s v="net sales"/>
    <x v="2"/>
    <x v="1"/>
    <n v="6"/>
  </r>
  <r>
    <x v="543"/>
    <s v="net sales:product 3"/>
    <n v="12.49"/>
    <n v="75"/>
    <n v="936.75"/>
    <s v="net sales"/>
    <x v="3"/>
    <x v="1"/>
    <n v="6"/>
  </r>
  <r>
    <x v="544"/>
    <s v="cogs:product 1"/>
    <n v="5.49"/>
    <n v="63"/>
    <n v="345.87"/>
    <s v="cogs"/>
    <x v="1"/>
    <x v="1"/>
    <n v="6"/>
  </r>
  <r>
    <x v="544"/>
    <s v="cogs:product 2"/>
    <n v="19.989999999999998"/>
    <n v="9"/>
    <n v="179.91"/>
    <s v="cogs"/>
    <x v="2"/>
    <x v="1"/>
    <n v="6"/>
  </r>
  <r>
    <x v="544"/>
    <s v="cogs:product 3"/>
    <n v="8.99"/>
    <n v="178"/>
    <n v="1600.22"/>
    <s v="cogs"/>
    <x v="3"/>
    <x v="1"/>
    <n v="6"/>
  </r>
  <r>
    <x v="544"/>
    <s v="marketing"/>
    <s v="NA"/>
    <s v="NA"/>
    <n v="114.92"/>
    <s v="marketing"/>
    <x v="0"/>
    <x v="1"/>
    <n v="6"/>
  </r>
  <r>
    <x v="544"/>
    <s v="net sales:product 1"/>
    <n v="9.99"/>
    <n v="63"/>
    <n v="629.37"/>
    <s v="net sales"/>
    <x v="1"/>
    <x v="1"/>
    <n v="6"/>
  </r>
  <r>
    <x v="544"/>
    <s v="net sales:product 2"/>
    <n v="24.99"/>
    <n v="9"/>
    <n v="224.91"/>
    <s v="net sales"/>
    <x v="2"/>
    <x v="1"/>
    <n v="6"/>
  </r>
  <r>
    <x v="544"/>
    <s v="net sales:product 3"/>
    <n v="12.49"/>
    <n v="178"/>
    <n v="2223.2200000000003"/>
    <s v="net sales"/>
    <x v="3"/>
    <x v="1"/>
    <n v="6"/>
  </r>
  <r>
    <x v="545"/>
    <s v="cogs:product 1"/>
    <n v="5.49"/>
    <n v="41"/>
    <n v="225.09"/>
    <s v="cogs"/>
    <x v="1"/>
    <x v="1"/>
    <n v="6"/>
  </r>
  <r>
    <x v="545"/>
    <s v="cogs:product 2"/>
    <n v="19.989999999999998"/>
    <n v="1"/>
    <n v="19.989999999999998"/>
    <s v="cogs"/>
    <x v="2"/>
    <x v="1"/>
    <n v="6"/>
  </r>
  <r>
    <x v="545"/>
    <s v="cogs:product 3"/>
    <n v="8.99"/>
    <n v="35"/>
    <n v="314.65000000000003"/>
    <s v="cogs"/>
    <x v="3"/>
    <x v="1"/>
    <n v="6"/>
  </r>
  <r>
    <x v="545"/>
    <s v="marketing"/>
    <s v="NA"/>
    <s v="NA"/>
    <n v="112.95"/>
    <s v="marketing"/>
    <x v="0"/>
    <x v="1"/>
    <n v="6"/>
  </r>
  <r>
    <x v="545"/>
    <s v="net sales:product 1"/>
    <n v="9.99"/>
    <n v="41"/>
    <n v="409.59000000000003"/>
    <s v="net sales"/>
    <x v="1"/>
    <x v="1"/>
    <n v="6"/>
  </r>
  <r>
    <x v="545"/>
    <s v="net sales:product 2"/>
    <n v="24.99"/>
    <n v="1"/>
    <n v="24.99"/>
    <s v="net sales"/>
    <x v="2"/>
    <x v="1"/>
    <n v="6"/>
  </r>
  <r>
    <x v="545"/>
    <s v="net sales:product 3"/>
    <n v="12.49"/>
    <n v="35"/>
    <n v="437.15000000000003"/>
    <s v="net sales"/>
    <x v="3"/>
    <x v="1"/>
    <n v="6"/>
  </r>
  <r>
    <x v="546"/>
    <s v="cogs:product 1"/>
    <n v="5.49"/>
    <n v="23"/>
    <n v="126.27000000000001"/>
    <s v="cogs"/>
    <x v="1"/>
    <x v="1"/>
    <n v="6"/>
  </r>
  <r>
    <x v="546"/>
    <s v="cogs:product 2"/>
    <n v="19.989999999999998"/>
    <n v="0"/>
    <n v="0"/>
    <s v="cogs"/>
    <x v="2"/>
    <x v="1"/>
    <n v="6"/>
  </r>
  <r>
    <x v="546"/>
    <s v="cogs:product 3"/>
    <n v="8.99"/>
    <n v="193"/>
    <n v="1735.07"/>
    <s v="cogs"/>
    <x v="3"/>
    <x v="1"/>
    <n v="6"/>
  </r>
  <r>
    <x v="546"/>
    <s v="marketing"/>
    <s v="NA"/>
    <s v="NA"/>
    <n v="101.93"/>
    <s v="marketing"/>
    <x v="0"/>
    <x v="1"/>
    <n v="6"/>
  </r>
  <r>
    <x v="546"/>
    <s v="net sales:product 1"/>
    <n v="9.99"/>
    <n v="23"/>
    <n v="229.77"/>
    <s v="net sales"/>
    <x v="1"/>
    <x v="1"/>
    <n v="6"/>
  </r>
  <r>
    <x v="546"/>
    <s v="net sales:product 2"/>
    <n v="24.99"/>
    <n v="0"/>
    <n v="0"/>
    <s v="net sales"/>
    <x v="2"/>
    <x v="1"/>
    <n v="6"/>
  </r>
  <r>
    <x v="546"/>
    <s v="net sales:product 3"/>
    <n v="12.49"/>
    <n v="193"/>
    <n v="2410.5700000000002"/>
    <s v="net sales"/>
    <x v="3"/>
    <x v="1"/>
    <n v="6"/>
  </r>
  <r>
    <x v="547"/>
    <s v="amortization"/>
    <s v="NA"/>
    <s v="NA"/>
    <n v="50"/>
    <s v="amortization"/>
    <x v="0"/>
    <x v="1"/>
    <n v="7"/>
  </r>
  <r>
    <x v="547"/>
    <s v="cogs:product 1"/>
    <n v="5.49"/>
    <n v="88"/>
    <n v="483.12"/>
    <s v="cogs"/>
    <x v="1"/>
    <x v="1"/>
    <n v="7"/>
  </r>
  <r>
    <x v="547"/>
    <s v="cogs:product 2"/>
    <n v="19.989999999999998"/>
    <n v="5"/>
    <n v="99.949999999999989"/>
    <s v="cogs"/>
    <x v="2"/>
    <x v="1"/>
    <n v="7"/>
  </r>
  <r>
    <x v="547"/>
    <s v="cogs:product 3"/>
    <n v="8.99"/>
    <n v="233"/>
    <n v="2094.67"/>
    <s v="cogs"/>
    <x v="3"/>
    <x v="1"/>
    <n v="7"/>
  </r>
  <r>
    <x v="547"/>
    <s v="marketing"/>
    <s v="NA"/>
    <s v="NA"/>
    <n v="110.91"/>
    <s v="marketing"/>
    <x v="0"/>
    <x v="1"/>
    <n v="7"/>
  </r>
  <r>
    <x v="547"/>
    <s v="net sales:product 1"/>
    <n v="9.99"/>
    <n v="88"/>
    <n v="879.12"/>
    <s v="net sales"/>
    <x v="1"/>
    <x v="1"/>
    <n v="7"/>
  </r>
  <r>
    <x v="547"/>
    <s v="net sales:product 2"/>
    <n v="24.99"/>
    <n v="5"/>
    <n v="124.94999999999999"/>
    <s v="net sales"/>
    <x v="2"/>
    <x v="1"/>
    <n v="7"/>
  </r>
  <r>
    <x v="547"/>
    <s v="net sales:product 3"/>
    <n v="12.49"/>
    <n v="233"/>
    <n v="2910.17"/>
    <s v="net sales"/>
    <x v="3"/>
    <x v="1"/>
    <n v="7"/>
  </r>
  <r>
    <x v="547"/>
    <s v="overhead"/>
    <s v="NA"/>
    <s v="NA"/>
    <n v="2000"/>
    <s v="overhead"/>
    <x v="0"/>
    <x v="1"/>
    <n v="7"/>
  </r>
  <r>
    <x v="548"/>
    <s v="cogs:product 1"/>
    <n v="5.49"/>
    <n v="25"/>
    <n v="137.25"/>
    <s v="cogs"/>
    <x v="1"/>
    <x v="1"/>
    <n v="7"/>
  </r>
  <r>
    <x v="548"/>
    <s v="cogs:product 2"/>
    <n v="19.989999999999998"/>
    <n v="4"/>
    <n v="79.959999999999994"/>
    <s v="cogs"/>
    <x v="2"/>
    <x v="1"/>
    <n v="7"/>
  </r>
  <r>
    <x v="548"/>
    <s v="cogs:product 3"/>
    <n v="8.99"/>
    <n v="209"/>
    <n v="1878.91"/>
    <s v="cogs"/>
    <x v="3"/>
    <x v="1"/>
    <n v="7"/>
  </r>
  <r>
    <x v="548"/>
    <s v="marketing"/>
    <s v="NA"/>
    <s v="NA"/>
    <n v="120.03"/>
    <s v="marketing"/>
    <x v="0"/>
    <x v="1"/>
    <n v="7"/>
  </r>
  <r>
    <x v="548"/>
    <s v="net sales:product 1"/>
    <n v="9.99"/>
    <n v="25"/>
    <n v="249.75"/>
    <s v="net sales"/>
    <x v="1"/>
    <x v="1"/>
    <n v="7"/>
  </r>
  <r>
    <x v="548"/>
    <s v="net sales:product 2"/>
    <n v="24.99"/>
    <n v="4"/>
    <n v="99.96"/>
    <s v="net sales"/>
    <x v="2"/>
    <x v="1"/>
    <n v="7"/>
  </r>
  <r>
    <x v="548"/>
    <s v="net sales:product 3"/>
    <n v="12.49"/>
    <n v="209"/>
    <n v="2610.41"/>
    <s v="net sales"/>
    <x v="3"/>
    <x v="1"/>
    <n v="7"/>
  </r>
  <r>
    <x v="549"/>
    <s v="cogs:product 1"/>
    <n v="5.49"/>
    <n v="29"/>
    <n v="159.21"/>
    <s v="cogs"/>
    <x v="1"/>
    <x v="1"/>
    <n v="7"/>
  </r>
  <r>
    <x v="549"/>
    <s v="cogs:product 2"/>
    <n v="19.989999999999998"/>
    <n v="3"/>
    <n v="59.97"/>
    <s v="cogs"/>
    <x v="2"/>
    <x v="1"/>
    <n v="7"/>
  </r>
  <r>
    <x v="549"/>
    <s v="cogs:product 3"/>
    <n v="8.99"/>
    <n v="58"/>
    <n v="521.41999999999996"/>
    <s v="cogs"/>
    <x v="3"/>
    <x v="1"/>
    <n v="7"/>
  </r>
  <r>
    <x v="549"/>
    <s v="marketing"/>
    <s v="NA"/>
    <s v="NA"/>
    <n v="115.04"/>
    <s v="marketing"/>
    <x v="0"/>
    <x v="1"/>
    <n v="7"/>
  </r>
  <r>
    <x v="549"/>
    <s v="net sales:product 1"/>
    <n v="9.99"/>
    <n v="29"/>
    <n v="289.70999999999998"/>
    <s v="net sales"/>
    <x v="1"/>
    <x v="1"/>
    <n v="7"/>
  </r>
  <r>
    <x v="549"/>
    <s v="net sales:product 2"/>
    <n v="24.99"/>
    <n v="3"/>
    <n v="74.97"/>
    <s v="net sales"/>
    <x v="2"/>
    <x v="1"/>
    <n v="7"/>
  </r>
  <r>
    <x v="549"/>
    <s v="net sales:product 3"/>
    <n v="12.49"/>
    <n v="58"/>
    <n v="724.42"/>
    <s v="net sales"/>
    <x v="3"/>
    <x v="1"/>
    <n v="7"/>
  </r>
  <r>
    <x v="550"/>
    <s v="cogs:product 1"/>
    <n v="5.49"/>
    <n v="5"/>
    <n v="27.450000000000003"/>
    <s v="cogs"/>
    <x v="1"/>
    <x v="1"/>
    <n v="7"/>
  </r>
  <r>
    <x v="550"/>
    <s v="cogs:product 2"/>
    <n v="19.989999999999998"/>
    <n v="0"/>
    <n v="0"/>
    <s v="cogs"/>
    <x v="2"/>
    <x v="1"/>
    <n v="7"/>
  </r>
  <r>
    <x v="550"/>
    <s v="cogs:product 3"/>
    <n v="8.99"/>
    <n v="233"/>
    <n v="2094.67"/>
    <s v="cogs"/>
    <x v="3"/>
    <x v="1"/>
    <n v="7"/>
  </r>
  <r>
    <x v="550"/>
    <s v="marketing"/>
    <s v="NA"/>
    <s v="NA"/>
    <n v="115.10000000000001"/>
    <s v="marketing"/>
    <x v="0"/>
    <x v="1"/>
    <n v="7"/>
  </r>
  <r>
    <x v="550"/>
    <s v="net sales:product 1"/>
    <n v="9.99"/>
    <n v="5"/>
    <n v="49.95"/>
    <s v="net sales"/>
    <x v="1"/>
    <x v="1"/>
    <n v="7"/>
  </r>
  <r>
    <x v="550"/>
    <s v="net sales:product 2"/>
    <n v="24.99"/>
    <n v="0"/>
    <n v="0"/>
    <s v="net sales"/>
    <x v="2"/>
    <x v="1"/>
    <n v="7"/>
  </r>
  <r>
    <x v="550"/>
    <s v="net sales:product 3"/>
    <n v="12.49"/>
    <n v="233"/>
    <n v="2910.17"/>
    <s v="net sales"/>
    <x v="3"/>
    <x v="1"/>
    <n v="7"/>
  </r>
  <r>
    <x v="550"/>
    <s v="payroll"/>
    <s v="NA"/>
    <s v="NA"/>
    <n v="1200"/>
    <s v="payroll"/>
    <x v="0"/>
    <x v="1"/>
    <n v="7"/>
  </r>
  <r>
    <x v="551"/>
    <s v="cogs:product 1"/>
    <n v="5.49"/>
    <n v="98"/>
    <n v="538.02"/>
    <s v="cogs"/>
    <x v="1"/>
    <x v="1"/>
    <n v="7"/>
  </r>
  <r>
    <x v="551"/>
    <s v="cogs:product 2"/>
    <n v="19.989999999999998"/>
    <n v="6"/>
    <n v="119.94"/>
    <s v="cogs"/>
    <x v="2"/>
    <x v="1"/>
    <n v="7"/>
  </r>
  <r>
    <x v="551"/>
    <s v="cogs:product 3"/>
    <n v="8.99"/>
    <n v="121"/>
    <n v="1087.79"/>
    <s v="cogs"/>
    <x v="3"/>
    <x v="1"/>
    <n v="7"/>
  </r>
  <r>
    <x v="551"/>
    <s v="marketing"/>
    <s v="NA"/>
    <s v="NA"/>
    <n v="101.05"/>
    <s v="marketing"/>
    <x v="0"/>
    <x v="1"/>
    <n v="7"/>
  </r>
  <r>
    <x v="551"/>
    <s v="net sales:product 1"/>
    <n v="9.99"/>
    <n v="98"/>
    <n v="979.02"/>
    <s v="net sales"/>
    <x v="1"/>
    <x v="1"/>
    <n v="7"/>
  </r>
  <r>
    <x v="551"/>
    <s v="net sales:product 2"/>
    <n v="24.99"/>
    <n v="6"/>
    <n v="149.94"/>
    <s v="net sales"/>
    <x v="2"/>
    <x v="1"/>
    <n v="7"/>
  </r>
  <r>
    <x v="551"/>
    <s v="net sales:product 3"/>
    <n v="12.49"/>
    <n v="121"/>
    <n v="1511.29"/>
    <s v="net sales"/>
    <x v="3"/>
    <x v="1"/>
    <n v="7"/>
  </r>
  <r>
    <x v="552"/>
    <s v="cogs:product 1"/>
    <n v="5.49"/>
    <n v="27"/>
    <n v="148.23000000000002"/>
    <s v="cogs"/>
    <x v="1"/>
    <x v="1"/>
    <n v="7"/>
  </r>
  <r>
    <x v="552"/>
    <s v="cogs:product 2"/>
    <n v="19.989999999999998"/>
    <n v="8"/>
    <n v="159.91999999999999"/>
    <s v="cogs"/>
    <x v="2"/>
    <x v="1"/>
    <n v="7"/>
  </r>
  <r>
    <x v="552"/>
    <s v="cogs:product 3"/>
    <n v="8.99"/>
    <n v="217"/>
    <n v="1950.8300000000002"/>
    <s v="cogs"/>
    <x v="3"/>
    <x v="1"/>
    <n v="7"/>
  </r>
  <r>
    <x v="552"/>
    <s v="marketing"/>
    <s v="NA"/>
    <s v="NA"/>
    <n v="116.06"/>
    <s v="marketing"/>
    <x v="0"/>
    <x v="1"/>
    <n v="7"/>
  </r>
  <r>
    <x v="552"/>
    <s v="net sales:product 1"/>
    <n v="9.99"/>
    <n v="27"/>
    <n v="269.73"/>
    <s v="net sales"/>
    <x v="1"/>
    <x v="1"/>
    <n v="7"/>
  </r>
  <r>
    <x v="552"/>
    <s v="net sales:product 2"/>
    <n v="24.99"/>
    <n v="8"/>
    <n v="199.92"/>
    <s v="net sales"/>
    <x v="2"/>
    <x v="1"/>
    <n v="7"/>
  </r>
  <r>
    <x v="552"/>
    <s v="net sales:product 3"/>
    <n v="12.49"/>
    <n v="217"/>
    <n v="2710.33"/>
    <s v="net sales"/>
    <x v="3"/>
    <x v="1"/>
    <n v="7"/>
  </r>
  <r>
    <x v="553"/>
    <s v="cogs:product 1"/>
    <n v="5.49"/>
    <n v="78"/>
    <n v="428.22"/>
    <s v="cogs"/>
    <x v="1"/>
    <x v="1"/>
    <n v="7"/>
  </r>
  <r>
    <x v="553"/>
    <s v="cogs:product 2"/>
    <n v="19.989999999999998"/>
    <n v="4"/>
    <n v="79.959999999999994"/>
    <s v="cogs"/>
    <x v="2"/>
    <x v="1"/>
    <n v="7"/>
  </r>
  <r>
    <x v="553"/>
    <s v="cogs:product 3"/>
    <n v="8.99"/>
    <n v="95"/>
    <n v="854.05000000000007"/>
    <s v="cogs"/>
    <x v="3"/>
    <x v="1"/>
    <n v="7"/>
  </r>
  <r>
    <x v="553"/>
    <s v="marketing"/>
    <s v="NA"/>
    <s v="NA"/>
    <n v="114.91"/>
    <s v="marketing"/>
    <x v="0"/>
    <x v="1"/>
    <n v="7"/>
  </r>
  <r>
    <x v="553"/>
    <s v="net sales:product 1"/>
    <n v="9.99"/>
    <n v="78"/>
    <n v="779.22"/>
    <s v="net sales"/>
    <x v="1"/>
    <x v="1"/>
    <n v="7"/>
  </r>
  <r>
    <x v="553"/>
    <s v="net sales:product 2"/>
    <n v="24.99"/>
    <n v="4"/>
    <n v="99.96"/>
    <s v="net sales"/>
    <x v="2"/>
    <x v="1"/>
    <n v="7"/>
  </r>
  <r>
    <x v="553"/>
    <s v="net sales:product 3"/>
    <n v="12.49"/>
    <n v="95"/>
    <n v="1186.55"/>
    <s v="net sales"/>
    <x v="3"/>
    <x v="1"/>
    <n v="7"/>
  </r>
  <r>
    <x v="554"/>
    <s v="cogs:product 1"/>
    <n v="5.49"/>
    <n v="62"/>
    <n v="340.38"/>
    <s v="cogs"/>
    <x v="1"/>
    <x v="1"/>
    <n v="7"/>
  </r>
  <r>
    <x v="554"/>
    <s v="cogs:product 2"/>
    <n v="19.989999999999998"/>
    <n v="6"/>
    <n v="119.94"/>
    <s v="cogs"/>
    <x v="2"/>
    <x v="1"/>
    <n v="7"/>
  </r>
  <r>
    <x v="554"/>
    <s v="cogs:product 3"/>
    <n v="8.99"/>
    <n v="128"/>
    <n v="1150.72"/>
    <s v="cogs"/>
    <x v="3"/>
    <x v="1"/>
    <n v="7"/>
  </r>
  <r>
    <x v="554"/>
    <s v="marketing"/>
    <s v="NA"/>
    <s v="NA"/>
    <n v="111.99000000000001"/>
    <s v="marketing"/>
    <x v="0"/>
    <x v="1"/>
    <n v="7"/>
  </r>
  <r>
    <x v="554"/>
    <s v="net sales:product 1"/>
    <n v="9.99"/>
    <n v="62"/>
    <n v="619.38"/>
    <s v="net sales"/>
    <x v="1"/>
    <x v="1"/>
    <n v="7"/>
  </r>
  <r>
    <x v="554"/>
    <s v="net sales:product 2"/>
    <n v="24.99"/>
    <n v="6"/>
    <n v="149.94"/>
    <s v="net sales"/>
    <x v="2"/>
    <x v="1"/>
    <n v="7"/>
  </r>
  <r>
    <x v="554"/>
    <s v="net sales:product 3"/>
    <n v="12.49"/>
    <n v="128"/>
    <n v="1598.72"/>
    <s v="net sales"/>
    <x v="3"/>
    <x v="1"/>
    <n v="7"/>
  </r>
  <r>
    <x v="555"/>
    <s v="cogs:product 1"/>
    <n v="5.49"/>
    <n v="50"/>
    <n v="274.5"/>
    <s v="cogs"/>
    <x v="1"/>
    <x v="1"/>
    <n v="7"/>
  </r>
  <r>
    <x v="555"/>
    <s v="cogs:product 2"/>
    <n v="19.989999999999998"/>
    <n v="5"/>
    <n v="99.949999999999989"/>
    <s v="cogs"/>
    <x v="2"/>
    <x v="1"/>
    <n v="7"/>
  </r>
  <r>
    <x v="555"/>
    <s v="cogs:product 3"/>
    <n v="8.99"/>
    <n v="204"/>
    <n v="1833.96"/>
    <s v="cogs"/>
    <x v="3"/>
    <x v="1"/>
    <n v="7"/>
  </r>
  <r>
    <x v="555"/>
    <s v="marketing"/>
    <s v="NA"/>
    <s v="NA"/>
    <n v="107.99000000000001"/>
    <s v="marketing"/>
    <x v="0"/>
    <x v="1"/>
    <n v="7"/>
  </r>
  <r>
    <x v="555"/>
    <s v="net sales:product 1"/>
    <n v="9.99"/>
    <n v="50"/>
    <n v="499.5"/>
    <s v="net sales"/>
    <x v="1"/>
    <x v="1"/>
    <n v="7"/>
  </r>
  <r>
    <x v="555"/>
    <s v="net sales:product 2"/>
    <n v="24.99"/>
    <n v="5"/>
    <n v="124.94999999999999"/>
    <s v="net sales"/>
    <x v="2"/>
    <x v="1"/>
    <n v="7"/>
  </r>
  <r>
    <x v="555"/>
    <s v="net sales:product 3"/>
    <n v="12.49"/>
    <n v="204"/>
    <n v="2547.96"/>
    <s v="net sales"/>
    <x v="3"/>
    <x v="1"/>
    <n v="7"/>
  </r>
  <r>
    <x v="556"/>
    <s v="cogs:product 1"/>
    <n v="5.49"/>
    <n v="52"/>
    <n v="285.48"/>
    <s v="cogs"/>
    <x v="1"/>
    <x v="1"/>
    <n v="7"/>
  </r>
  <r>
    <x v="556"/>
    <s v="cogs:product 2"/>
    <n v="19.989999999999998"/>
    <n v="6"/>
    <n v="119.94"/>
    <s v="cogs"/>
    <x v="2"/>
    <x v="1"/>
    <n v="7"/>
  </r>
  <r>
    <x v="556"/>
    <s v="cogs:product 3"/>
    <n v="8.99"/>
    <n v="0"/>
    <n v="0"/>
    <s v="cogs"/>
    <x v="3"/>
    <x v="1"/>
    <n v="7"/>
  </r>
  <r>
    <x v="556"/>
    <s v="marketing"/>
    <s v="NA"/>
    <s v="NA"/>
    <n v="100.02"/>
    <s v="marketing"/>
    <x v="0"/>
    <x v="1"/>
    <n v="7"/>
  </r>
  <r>
    <x v="556"/>
    <s v="net sales:product 1"/>
    <n v="9.99"/>
    <n v="52"/>
    <n v="519.48"/>
    <s v="net sales"/>
    <x v="1"/>
    <x v="1"/>
    <n v="7"/>
  </r>
  <r>
    <x v="556"/>
    <s v="net sales:product 2"/>
    <n v="24.99"/>
    <n v="6"/>
    <n v="149.94"/>
    <s v="net sales"/>
    <x v="2"/>
    <x v="1"/>
    <n v="7"/>
  </r>
  <r>
    <x v="556"/>
    <s v="net sales:product 3"/>
    <n v="12.49"/>
    <n v="0"/>
    <n v="0"/>
    <s v="net sales"/>
    <x v="3"/>
    <x v="1"/>
    <n v="7"/>
  </r>
  <r>
    <x v="557"/>
    <s v="cogs:product 1"/>
    <n v="5.49"/>
    <n v="12"/>
    <n v="65.88"/>
    <s v="cogs"/>
    <x v="1"/>
    <x v="1"/>
    <n v="7"/>
  </r>
  <r>
    <x v="557"/>
    <s v="cogs:product 2"/>
    <n v="19.989999999999998"/>
    <n v="6"/>
    <n v="119.94"/>
    <s v="cogs"/>
    <x v="2"/>
    <x v="1"/>
    <n v="7"/>
  </r>
  <r>
    <x v="557"/>
    <s v="cogs:product 3"/>
    <n v="8.99"/>
    <n v="15"/>
    <n v="134.85"/>
    <s v="cogs"/>
    <x v="3"/>
    <x v="1"/>
    <n v="7"/>
  </r>
  <r>
    <x v="557"/>
    <s v="marketing"/>
    <s v="NA"/>
    <s v="NA"/>
    <n v="106.93"/>
    <s v="marketing"/>
    <x v="0"/>
    <x v="1"/>
    <n v="7"/>
  </r>
  <r>
    <x v="557"/>
    <s v="net sales:product 1"/>
    <n v="9.99"/>
    <n v="12"/>
    <n v="119.88"/>
    <s v="net sales"/>
    <x v="1"/>
    <x v="1"/>
    <n v="7"/>
  </r>
  <r>
    <x v="557"/>
    <s v="net sales:product 2"/>
    <n v="24.99"/>
    <n v="6"/>
    <n v="149.94"/>
    <s v="net sales"/>
    <x v="2"/>
    <x v="1"/>
    <n v="7"/>
  </r>
  <r>
    <x v="557"/>
    <s v="net sales:product 3"/>
    <n v="12.49"/>
    <n v="15"/>
    <n v="187.35"/>
    <s v="net sales"/>
    <x v="3"/>
    <x v="1"/>
    <n v="7"/>
  </r>
  <r>
    <x v="558"/>
    <s v="cogs:product 1"/>
    <n v="5.49"/>
    <n v="76"/>
    <n v="417.24"/>
    <s v="cogs"/>
    <x v="1"/>
    <x v="1"/>
    <n v="7"/>
  </r>
  <r>
    <x v="558"/>
    <s v="cogs:product 2"/>
    <n v="19.989999999999998"/>
    <n v="1"/>
    <n v="19.989999999999998"/>
    <s v="cogs"/>
    <x v="2"/>
    <x v="1"/>
    <n v="7"/>
  </r>
  <r>
    <x v="558"/>
    <s v="cogs:product 3"/>
    <n v="8.99"/>
    <n v="217"/>
    <n v="1950.8300000000002"/>
    <s v="cogs"/>
    <x v="3"/>
    <x v="1"/>
    <n v="7"/>
  </r>
  <r>
    <x v="558"/>
    <s v="marketing"/>
    <s v="NA"/>
    <s v="NA"/>
    <n v="117.92"/>
    <s v="marketing"/>
    <x v="0"/>
    <x v="1"/>
    <n v="7"/>
  </r>
  <r>
    <x v="558"/>
    <s v="net sales:product 1"/>
    <n v="9.99"/>
    <n v="76"/>
    <n v="759.24"/>
    <s v="net sales"/>
    <x v="1"/>
    <x v="1"/>
    <n v="7"/>
  </r>
  <r>
    <x v="558"/>
    <s v="net sales:product 2"/>
    <n v="24.99"/>
    <n v="1"/>
    <n v="24.99"/>
    <s v="net sales"/>
    <x v="2"/>
    <x v="1"/>
    <n v="7"/>
  </r>
  <r>
    <x v="558"/>
    <s v="net sales:product 3"/>
    <n v="12.49"/>
    <n v="217"/>
    <n v="2710.33"/>
    <s v="net sales"/>
    <x v="3"/>
    <x v="1"/>
    <n v="7"/>
  </r>
  <r>
    <x v="559"/>
    <s v="cogs:product 1"/>
    <n v="5.49"/>
    <n v="68"/>
    <n v="373.32"/>
    <s v="cogs"/>
    <x v="1"/>
    <x v="1"/>
    <n v="7"/>
  </r>
  <r>
    <x v="559"/>
    <s v="cogs:product 2"/>
    <n v="19.989999999999998"/>
    <n v="7"/>
    <n v="139.92999999999998"/>
    <s v="cogs"/>
    <x v="2"/>
    <x v="1"/>
    <n v="7"/>
  </r>
  <r>
    <x v="559"/>
    <s v="cogs:product 3"/>
    <n v="8.99"/>
    <n v="14"/>
    <n v="125.86"/>
    <s v="cogs"/>
    <x v="3"/>
    <x v="1"/>
    <n v="7"/>
  </r>
  <r>
    <x v="559"/>
    <s v="marketing"/>
    <s v="NA"/>
    <s v="NA"/>
    <n v="106.09"/>
    <s v="marketing"/>
    <x v="0"/>
    <x v="1"/>
    <n v="7"/>
  </r>
  <r>
    <x v="559"/>
    <s v="net sales:product 1"/>
    <n v="9.99"/>
    <n v="68"/>
    <n v="679.32"/>
    <s v="net sales"/>
    <x v="1"/>
    <x v="1"/>
    <n v="7"/>
  </r>
  <r>
    <x v="559"/>
    <s v="net sales:product 2"/>
    <n v="24.99"/>
    <n v="7"/>
    <n v="174.92999999999998"/>
    <s v="net sales"/>
    <x v="2"/>
    <x v="1"/>
    <n v="7"/>
  </r>
  <r>
    <x v="559"/>
    <s v="net sales:product 3"/>
    <n v="12.49"/>
    <n v="14"/>
    <n v="174.86"/>
    <s v="net sales"/>
    <x v="3"/>
    <x v="1"/>
    <n v="7"/>
  </r>
  <r>
    <x v="560"/>
    <s v="cogs:product 1"/>
    <n v="5.49"/>
    <n v="86"/>
    <n v="472.14000000000004"/>
    <s v="cogs"/>
    <x v="1"/>
    <x v="1"/>
    <n v="7"/>
  </r>
  <r>
    <x v="560"/>
    <s v="cogs:product 2"/>
    <n v="19.989999999999998"/>
    <n v="5"/>
    <n v="99.949999999999989"/>
    <s v="cogs"/>
    <x v="2"/>
    <x v="1"/>
    <n v="7"/>
  </r>
  <r>
    <x v="560"/>
    <s v="cogs:product 3"/>
    <n v="8.99"/>
    <n v="100"/>
    <n v="899"/>
    <s v="cogs"/>
    <x v="3"/>
    <x v="1"/>
    <n v="7"/>
  </r>
  <r>
    <x v="560"/>
    <s v="marketing"/>
    <s v="NA"/>
    <s v="NA"/>
    <n v="103.10000000000001"/>
    <s v="marketing"/>
    <x v="0"/>
    <x v="1"/>
    <n v="7"/>
  </r>
  <r>
    <x v="560"/>
    <s v="net sales:product 1"/>
    <n v="9.99"/>
    <n v="86"/>
    <n v="859.14"/>
    <s v="net sales"/>
    <x v="1"/>
    <x v="1"/>
    <n v="7"/>
  </r>
  <r>
    <x v="560"/>
    <s v="net sales:product 2"/>
    <n v="24.99"/>
    <n v="5"/>
    <n v="124.94999999999999"/>
    <s v="net sales"/>
    <x v="2"/>
    <x v="1"/>
    <n v="7"/>
  </r>
  <r>
    <x v="560"/>
    <s v="net sales:product 3"/>
    <n v="12.49"/>
    <n v="100"/>
    <n v="1249"/>
    <s v="net sales"/>
    <x v="3"/>
    <x v="1"/>
    <n v="7"/>
  </r>
  <r>
    <x v="561"/>
    <s v="cogs:product 1"/>
    <n v="5.49"/>
    <n v="18"/>
    <n v="98.820000000000007"/>
    <s v="cogs"/>
    <x v="1"/>
    <x v="1"/>
    <n v="7"/>
  </r>
  <r>
    <x v="561"/>
    <s v="cogs:product 2"/>
    <n v="19.989999999999998"/>
    <n v="4"/>
    <n v="79.959999999999994"/>
    <s v="cogs"/>
    <x v="2"/>
    <x v="1"/>
    <n v="7"/>
  </r>
  <r>
    <x v="561"/>
    <s v="cogs:product 3"/>
    <n v="8.99"/>
    <n v="23"/>
    <n v="206.77"/>
    <s v="cogs"/>
    <x v="3"/>
    <x v="1"/>
    <n v="7"/>
  </r>
  <r>
    <x v="561"/>
    <s v="interest"/>
    <s v="NA"/>
    <s v="NA"/>
    <n v="1233"/>
    <s v="interest"/>
    <x v="0"/>
    <x v="1"/>
    <n v="7"/>
  </r>
  <r>
    <x v="561"/>
    <s v="marketing"/>
    <s v="NA"/>
    <s v="NA"/>
    <n v="108.02"/>
    <s v="marketing"/>
    <x v="0"/>
    <x v="1"/>
    <n v="7"/>
  </r>
  <r>
    <x v="561"/>
    <s v="net sales:product 1"/>
    <n v="9.99"/>
    <n v="18"/>
    <n v="179.82"/>
    <s v="net sales"/>
    <x v="1"/>
    <x v="1"/>
    <n v="7"/>
  </r>
  <r>
    <x v="561"/>
    <s v="net sales:product 2"/>
    <n v="24.99"/>
    <n v="4"/>
    <n v="99.96"/>
    <s v="net sales"/>
    <x v="2"/>
    <x v="1"/>
    <n v="7"/>
  </r>
  <r>
    <x v="561"/>
    <s v="net sales:product 3"/>
    <n v="12.49"/>
    <n v="23"/>
    <n v="287.27"/>
    <s v="net sales"/>
    <x v="3"/>
    <x v="1"/>
    <n v="7"/>
  </r>
  <r>
    <x v="561"/>
    <s v="overhead"/>
    <s v="NA"/>
    <s v="NA"/>
    <n v="308.25"/>
    <s v="overhead"/>
    <x v="0"/>
    <x v="1"/>
    <n v="7"/>
  </r>
  <r>
    <x v="562"/>
    <s v="cogs:product 1"/>
    <n v="5.49"/>
    <n v="49"/>
    <n v="269.01"/>
    <s v="cogs"/>
    <x v="1"/>
    <x v="1"/>
    <n v="7"/>
  </r>
  <r>
    <x v="562"/>
    <s v="cogs:product 2"/>
    <n v="19.989999999999998"/>
    <n v="0"/>
    <n v="0"/>
    <s v="cogs"/>
    <x v="2"/>
    <x v="1"/>
    <n v="7"/>
  </r>
  <r>
    <x v="562"/>
    <s v="cogs:product 3"/>
    <n v="8.99"/>
    <n v="132"/>
    <n v="1186.68"/>
    <s v="cogs"/>
    <x v="3"/>
    <x v="1"/>
    <n v="7"/>
  </r>
  <r>
    <x v="562"/>
    <s v="marketing"/>
    <s v="NA"/>
    <s v="NA"/>
    <n v="116.94"/>
    <s v="marketing"/>
    <x v="0"/>
    <x v="1"/>
    <n v="7"/>
  </r>
  <r>
    <x v="562"/>
    <s v="net sales:product 1"/>
    <n v="9.99"/>
    <n v="49"/>
    <n v="489.51"/>
    <s v="net sales"/>
    <x v="1"/>
    <x v="1"/>
    <n v="7"/>
  </r>
  <r>
    <x v="562"/>
    <s v="net sales:product 2"/>
    <n v="24.99"/>
    <n v="0"/>
    <n v="0"/>
    <s v="net sales"/>
    <x v="2"/>
    <x v="1"/>
    <n v="7"/>
  </r>
  <r>
    <x v="562"/>
    <s v="net sales:product 3"/>
    <n v="12.49"/>
    <n v="132"/>
    <n v="1648.68"/>
    <s v="net sales"/>
    <x v="3"/>
    <x v="1"/>
    <n v="7"/>
  </r>
  <r>
    <x v="563"/>
    <s v="cogs:product 1"/>
    <n v="5.49"/>
    <n v="27"/>
    <n v="148.23000000000002"/>
    <s v="cogs"/>
    <x v="1"/>
    <x v="1"/>
    <n v="7"/>
  </r>
  <r>
    <x v="563"/>
    <s v="cogs:product 2"/>
    <n v="19.989999999999998"/>
    <n v="2"/>
    <n v="39.979999999999997"/>
    <s v="cogs"/>
    <x v="2"/>
    <x v="1"/>
    <n v="7"/>
  </r>
  <r>
    <x v="563"/>
    <s v="cogs:product 3"/>
    <n v="8.99"/>
    <n v="165"/>
    <n v="1483.3500000000001"/>
    <s v="cogs"/>
    <x v="3"/>
    <x v="1"/>
    <n v="7"/>
  </r>
  <r>
    <x v="563"/>
    <s v="marketing"/>
    <s v="NA"/>
    <s v="NA"/>
    <n v="118.06"/>
    <s v="marketing"/>
    <x v="0"/>
    <x v="1"/>
    <n v="7"/>
  </r>
  <r>
    <x v="563"/>
    <s v="net sales:product 1"/>
    <n v="9.99"/>
    <n v="27"/>
    <n v="269.73"/>
    <s v="net sales"/>
    <x v="1"/>
    <x v="1"/>
    <n v="7"/>
  </r>
  <r>
    <x v="563"/>
    <s v="net sales:product 2"/>
    <n v="24.99"/>
    <n v="2"/>
    <n v="49.98"/>
    <s v="net sales"/>
    <x v="2"/>
    <x v="1"/>
    <n v="7"/>
  </r>
  <r>
    <x v="563"/>
    <s v="net sales:product 3"/>
    <n v="12.49"/>
    <n v="165"/>
    <n v="2060.85"/>
    <s v="net sales"/>
    <x v="3"/>
    <x v="1"/>
    <n v="7"/>
  </r>
  <r>
    <x v="564"/>
    <s v="cogs:product 1"/>
    <n v="5.49"/>
    <n v="99"/>
    <n v="543.51"/>
    <s v="cogs"/>
    <x v="1"/>
    <x v="1"/>
    <n v="7"/>
  </r>
  <r>
    <x v="564"/>
    <s v="cogs:product 2"/>
    <n v="19.989999999999998"/>
    <n v="0"/>
    <n v="0"/>
    <s v="cogs"/>
    <x v="2"/>
    <x v="1"/>
    <n v="7"/>
  </r>
  <r>
    <x v="564"/>
    <s v="cogs:product 3"/>
    <n v="8.99"/>
    <n v="208"/>
    <n v="1869.92"/>
    <s v="cogs"/>
    <x v="3"/>
    <x v="1"/>
    <n v="7"/>
  </r>
  <r>
    <x v="564"/>
    <s v="marketing"/>
    <s v="NA"/>
    <s v="NA"/>
    <n v="109.09"/>
    <s v="marketing"/>
    <x v="0"/>
    <x v="1"/>
    <n v="7"/>
  </r>
  <r>
    <x v="564"/>
    <s v="net sales:product 1"/>
    <n v="9.99"/>
    <n v="99"/>
    <n v="989.01"/>
    <s v="net sales"/>
    <x v="1"/>
    <x v="1"/>
    <n v="7"/>
  </r>
  <r>
    <x v="564"/>
    <s v="net sales:product 2"/>
    <n v="24.99"/>
    <n v="0"/>
    <n v="0"/>
    <s v="net sales"/>
    <x v="2"/>
    <x v="1"/>
    <n v="7"/>
  </r>
  <r>
    <x v="564"/>
    <s v="net sales:product 3"/>
    <n v="12.49"/>
    <n v="208"/>
    <n v="2597.92"/>
    <s v="net sales"/>
    <x v="3"/>
    <x v="1"/>
    <n v="7"/>
  </r>
  <r>
    <x v="564"/>
    <s v="payroll"/>
    <s v="NA"/>
    <s v="NA"/>
    <n v="1200"/>
    <s v="payroll"/>
    <x v="0"/>
    <x v="1"/>
    <n v="7"/>
  </r>
  <r>
    <x v="565"/>
    <s v="cogs:product 1"/>
    <n v="5.49"/>
    <n v="52"/>
    <n v="285.48"/>
    <s v="cogs"/>
    <x v="1"/>
    <x v="1"/>
    <n v="7"/>
  </r>
  <r>
    <x v="565"/>
    <s v="cogs:product 2"/>
    <n v="19.989999999999998"/>
    <n v="5"/>
    <n v="99.949999999999989"/>
    <s v="cogs"/>
    <x v="2"/>
    <x v="1"/>
    <n v="7"/>
  </r>
  <r>
    <x v="565"/>
    <s v="cogs:product 3"/>
    <n v="8.99"/>
    <n v="151"/>
    <n v="1357.49"/>
    <s v="cogs"/>
    <x v="3"/>
    <x v="1"/>
    <n v="7"/>
  </r>
  <r>
    <x v="565"/>
    <s v="marketing"/>
    <s v="NA"/>
    <s v="NA"/>
    <n v="118.06"/>
    <s v="marketing"/>
    <x v="0"/>
    <x v="1"/>
    <n v="7"/>
  </r>
  <r>
    <x v="565"/>
    <s v="net sales:product 1"/>
    <n v="9.99"/>
    <n v="52"/>
    <n v="519.48"/>
    <s v="net sales"/>
    <x v="1"/>
    <x v="1"/>
    <n v="7"/>
  </r>
  <r>
    <x v="565"/>
    <s v="net sales:product 2"/>
    <n v="24.99"/>
    <n v="5"/>
    <n v="124.94999999999999"/>
    <s v="net sales"/>
    <x v="2"/>
    <x v="1"/>
    <n v="7"/>
  </r>
  <r>
    <x v="565"/>
    <s v="net sales:product 3"/>
    <n v="12.49"/>
    <n v="151"/>
    <n v="1885.99"/>
    <s v="net sales"/>
    <x v="3"/>
    <x v="1"/>
    <n v="7"/>
  </r>
  <r>
    <x v="566"/>
    <s v="cogs:product 1"/>
    <n v="5.49"/>
    <n v="10"/>
    <n v="54.900000000000006"/>
    <s v="cogs"/>
    <x v="1"/>
    <x v="1"/>
    <n v="7"/>
  </r>
  <r>
    <x v="566"/>
    <s v="cogs:product 2"/>
    <n v="19.989999999999998"/>
    <n v="7"/>
    <n v="139.92999999999998"/>
    <s v="cogs"/>
    <x v="2"/>
    <x v="1"/>
    <n v="7"/>
  </r>
  <r>
    <x v="566"/>
    <s v="cogs:product 3"/>
    <n v="8.99"/>
    <n v="151"/>
    <n v="1357.49"/>
    <s v="cogs"/>
    <x v="3"/>
    <x v="1"/>
    <n v="7"/>
  </r>
  <r>
    <x v="566"/>
    <s v="marketing"/>
    <s v="NA"/>
    <s v="NA"/>
    <n v="111.93"/>
    <s v="marketing"/>
    <x v="0"/>
    <x v="1"/>
    <n v="7"/>
  </r>
  <r>
    <x v="566"/>
    <s v="net sales:product 1"/>
    <n v="9.99"/>
    <n v="10"/>
    <n v="99.9"/>
    <s v="net sales"/>
    <x v="1"/>
    <x v="1"/>
    <n v="7"/>
  </r>
  <r>
    <x v="566"/>
    <s v="net sales:product 2"/>
    <n v="24.99"/>
    <n v="7"/>
    <n v="174.92999999999998"/>
    <s v="net sales"/>
    <x v="2"/>
    <x v="1"/>
    <n v="7"/>
  </r>
  <r>
    <x v="566"/>
    <s v="net sales:product 3"/>
    <n v="12.49"/>
    <n v="151"/>
    <n v="1885.99"/>
    <s v="net sales"/>
    <x v="3"/>
    <x v="1"/>
    <n v="7"/>
  </r>
  <r>
    <x v="567"/>
    <s v="cogs:product 1"/>
    <n v="5.49"/>
    <n v="86"/>
    <n v="472.14000000000004"/>
    <s v="cogs"/>
    <x v="1"/>
    <x v="1"/>
    <n v="7"/>
  </r>
  <r>
    <x v="567"/>
    <s v="cogs:product 2"/>
    <n v="19.989999999999998"/>
    <n v="4"/>
    <n v="79.959999999999994"/>
    <s v="cogs"/>
    <x v="2"/>
    <x v="1"/>
    <n v="7"/>
  </r>
  <r>
    <x v="567"/>
    <s v="cogs:product 3"/>
    <n v="8.99"/>
    <n v="161"/>
    <n v="1447.39"/>
    <s v="cogs"/>
    <x v="3"/>
    <x v="1"/>
    <n v="7"/>
  </r>
  <r>
    <x v="567"/>
    <s v="marketing"/>
    <s v="NA"/>
    <s v="NA"/>
    <n v="111.97"/>
    <s v="marketing"/>
    <x v="0"/>
    <x v="1"/>
    <n v="7"/>
  </r>
  <r>
    <x v="567"/>
    <s v="net sales:product 1"/>
    <n v="9.99"/>
    <n v="86"/>
    <n v="859.14"/>
    <s v="net sales"/>
    <x v="1"/>
    <x v="1"/>
    <n v="7"/>
  </r>
  <r>
    <x v="567"/>
    <s v="net sales:product 2"/>
    <n v="24.99"/>
    <n v="4"/>
    <n v="99.96"/>
    <s v="net sales"/>
    <x v="2"/>
    <x v="1"/>
    <n v="7"/>
  </r>
  <r>
    <x v="567"/>
    <s v="net sales:product 3"/>
    <n v="12.49"/>
    <n v="161"/>
    <n v="2010.89"/>
    <s v="net sales"/>
    <x v="3"/>
    <x v="1"/>
    <n v="7"/>
  </r>
  <r>
    <x v="568"/>
    <s v="cogs:product 1"/>
    <n v="5.49"/>
    <n v="7"/>
    <n v="38.43"/>
    <s v="cogs"/>
    <x v="1"/>
    <x v="1"/>
    <n v="7"/>
  </r>
  <r>
    <x v="568"/>
    <s v="cogs:product 2"/>
    <n v="19.989999999999998"/>
    <n v="9"/>
    <n v="179.91"/>
    <s v="cogs"/>
    <x v="2"/>
    <x v="1"/>
    <n v="7"/>
  </r>
  <r>
    <x v="568"/>
    <s v="cogs:product 3"/>
    <n v="8.99"/>
    <n v="197"/>
    <n v="1771.03"/>
    <s v="cogs"/>
    <x v="3"/>
    <x v="1"/>
    <n v="7"/>
  </r>
  <r>
    <x v="568"/>
    <s v="marketing"/>
    <s v="NA"/>
    <s v="NA"/>
    <n v="119"/>
    <s v="marketing"/>
    <x v="0"/>
    <x v="1"/>
    <n v="7"/>
  </r>
  <r>
    <x v="568"/>
    <s v="net sales:product 1"/>
    <n v="9.99"/>
    <n v="7"/>
    <n v="69.930000000000007"/>
    <s v="net sales"/>
    <x v="1"/>
    <x v="1"/>
    <n v="7"/>
  </r>
  <r>
    <x v="568"/>
    <s v="net sales:product 2"/>
    <n v="24.99"/>
    <n v="9"/>
    <n v="224.91"/>
    <s v="net sales"/>
    <x v="2"/>
    <x v="1"/>
    <n v="7"/>
  </r>
  <r>
    <x v="568"/>
    <s v="net sales:product 3"/>
    <n v="12.49"/>
    <n v="197"/>
    <n v="2460.5300000000002"/>
    <s v="net sales"/>
    <x v="3"/>
    <x v="1"/>
    <n v="7"/>
  </r>
  <r>
    <x v="569"/>
    <s v="cogs:product 1"/>
    <n v="5.49"/>
    <n v="60"/>
    <n v="329.40000000000003"/>
    <s v="cogs"/>
    <x v="1"/>
    <x v="1"/>
    <n v="7"/>
  </r>
  <r>
    <x v="569"/>
    <s v="cogs:product 2"/>
    <n v="19.989999999999998"/>
    <n v="5"/>
    <n v="99.949999999999989"/>
    <s v="cogs"/>
    <x v="2"/>
    <x v="1"/>
    <n v="7"/>
  </r>
  <r>
    <x v="569"/>
    <s v="cogs:product 3"/>
    <n v="8.99"/>
    <n v="47"/>
    <n v="422.53000000000003"/>
    <s v="cogs"/>
    <x v="3"/>
    <x v="1"/>
    <n v="7"/>
  </r>
  <r>
    <x v="569"/>
    <s v="marketing"/>
    <s v="NA"/>
    <s v="NA"/>
    <n v="112.06"/>
    <s v="marketing"/>
    <x v="0"/>
    <x v="1"/>
    <n v="7"/>
  </r>
  <r>
    <x v="569"/>
    <s v="net sales:product 1"/>
    <n v="9.99"/>
    <n v="60"/>
    <n v="599.4"/>
    <s v="net sales"/>
    <x v="1"/>
    <x v="1"/>
    <n v="7"/>
  </r>
  <r>
    <x v="569"/>
    <s v="net sales:product 2"/>
    <n v="24.99"/>
    <n v="5"/>
    <n v="124.94999999999999"/>
    <s v="net sales"/>
    <x v="2"/>
    <x v="1"/>
    <n v="7"/>
  </r>
  <r>
    <x v="569"/>
    <s v="net sales:product 3"/>
    <n v="12.49"/>
    <n v="47"/>
    <n v="587.03"/>
    <s v="net sales"/>
    <x v="3"/>
    <x v="1"/>
    <n v="7"/>
  </r>
  <r>
    <x v="570"/>
    <s v="cogs:product 1"/>
    <n v="5.49"/>
    <n v="4"/>
    <n v="21.96"/>
    <s v="cogs"/>
    <x v="1"/>
    <x v="1"/>
    <n v="7"/>
  </r>
  <r>
    <x v="570"/>
    <s v="cogs:product 2"/>
    <n v="19.989999999999998"/>
    <n v="4"/>
    <n v="79.959999999999994"/>
    <s v="cogs"/>
    <x v="2"/>
    <x v="1"/>
    <n v="7"/>
  </r>
  <r>
    <x v="570"/>
    <s v="cogs:product 3"/>
    <n v="8.99"/>
    <n v="150"/>
    <n v="1348.5"/>
    <s v="cogs"/>
    <x v="3"/>
    <x v="1"/>
    <n v="7"/>
  </r>
  <r>
    <x v="570"/>
    <s v="marketing"/>
    <s v="NA"/>
    <s v="NA"/>
    <n v="104.95"/>
    <s v="marketing"/>
    <x v="0"/>
    <x v="1"/>
    <n v="7"/>
  </r>
  <r>
    <x v="570"/>
    <s v="net sales:product 1"/>
    <n v="9.99"/>
    <n v="4"/>
    <n v="39.96"/>
    <s v="net sales"/>
    <x v="1"/>
    <x v="1"/>
    <n v="7"/>
  </r>
  <r>
    <x v="570"/>
    <s v="net sales:product 2"/>
    <n v="24.99"/>
    <n v="4"/>
    <n v="99.96"/>
    <s v="net sales"/>
    <x v="2"/>
    <x v="1"/>
    <n v="7"/>
  </r>
  <r>
    <x v="570"/>
    <s v="net sales:product 3"/>
    <n v="12.49"/>
    <n v="150"/>
    <n v="1873.5"/>
    <s v="net sales"/>
    <x v="3"/>
    <x v="1"/>
    <n v="7"/>
  </r>
  <r>
    <x v="571"/>
    <s v="cogs:product 1"/>
    <n v="5.49"/>
    <n v="48"/>
    <n v="263.52"/>
    <s v="cogs"/>
    <x v="1"/>
    <x v="1"/>
    <n v="7"/>
  </r>
  <r>
    <x v="571"/>
    <s v="cogs:product 2"/>
    <n v="19.989999999999998"/>
    <n v="7"/>
    <n v="139.92999999999998"/>
    <s v="cogs"/>
    <x v="2"/>
    <x v="1"/>
    <n v="7"/>
  </r>
  <r>
    <x v="571"/>
    <s v="cogs:product 3"/>
    <n v="8.99"/>
    <n v="159"/>
    <n v="1429.41"/>
    <s v="cogs"/>
    <x v="3"/>
    <x v="1"/>
    <n v="7"/>
  </r>
  <r>
    <x v="571"/>
    <s v="marketing"/>
    <s v="NA"/>
    <s v="NA"/>
    <n v="117.95"/>
    <s v="marketing"/>
    <x v="0"/>
    <x v="1"/>
    <n v="7"/>
  </r>
  <r>
    <x v="571"/>
    <s v="net sales:product 1"/>
    <n v="9.99"/>
    <n v="48"/>
    <n v="479.52"/>
    <s v="net sales"/>
    <x v="1"/>
    <x v="1"/>
    <n v="7"/>
  </r>
  <r>
    <x v="571"/>
    <s v="net sales:product 2"/>
    <n v="24.99"/>
    <n v="7"/>
    <n v="174.92999999999998"/>
    <s v="net sales"/>
    <x v="2"/>
    <x v="1"/>
    <n v="7"/>
  </r>
  <r>
    <x v="571"/>
    <s v="net sales:product 3"/>
    <n v="12.49"/>
    <n v="159"/>
    <n v="1985.91"/>
    <s v="net sales"/>
    <x v="3"/>
    <x v="1"/>
    <n v="7"/>
  </r>
  <r>
    <x v="572"/>
    <s v="cogs:product 1"/>
    <n v="5.49"/>
    <n v="16"/>
    <n v="87.84"/>
    <s v="cogs"/>
    <x v="1"/>
    <x v="1"/>
    <n v="7"/>
  </r>
  <r>
    <x v="572"/>
    <s v="cogs:product 2"/>
    <n v="19.989999999999998"/>
    <n v="5"/>
    <n v="99.949999999999989"/>
    <s v="cogs"/>
    <x v="2"/>
    <x v="1"/>
    <n v="7"/>
  </r>
  <r>
    <x v="572"/>
    <s v="cogs:product 3"/>
    <n v="8.99"/>
    <n v="102"/>
    <n v="916.98"/>
    <s v="cogs"/>
    <x v="3"/>
    <x v="1"/>
    <n v="7"/>
  </r>
  <r>
    <x v="572"/>
    <s v="marketing"/>
    <s v="NA"/>
    <s v="NA"/>
    <n v="120.08"/>
    <s v="marketing"/>
    <x v="0"/>
    <x v="1"/>
    <n v="7"/>
  </r>
  <r>
    <x v="572"/>
    <s v="net sales:product 1"/>
    <n v="9.99"/>
    <n v="16"/>
    <n v="159.84"/>
    <s v="net sales"/>
    <x v="1"/>
    <x v="1"/>
    <n v="7"/>
  </r>
  <r>
    <x v="572"/>
    <s v="net sales:product 2"/>
    <n v="24.99"/>
    <n v="5"/>
    <n v="124.94999999999999"/>
    <s v="net sales"/>
    <x v="2"/>
    <x v="1"/>
    <n v="7"/>
  </r>
  <r>
    <x v="572"/>
    <s v="net sales:product 3"/>
    <n v="12.49"/>
    <n v="102"/>
    <n v="1273.98"/>
    <s v="net sales"/>
    <x v="3"/>
    <x v="1"/>
    <n v="7"/>
  </r>
  <r>
    <x v="573"/>
    <s v="cogs:product 1"/>
    <n v="5.49"/>
    <n v="86"/>
    <n v="472.14000000000004"/>
    <s v="cogs"/>
    <x v="1"/>
    <x v="1"/>
    <n v="7"/>
  </r>
  <r>
    <x v="573"/>
    <s v="cogs:product 2"/>
    <n v="19.989999999999998"/>
    <n v="4"/>
    <n v="79.959999999999994"/>
    <s v="cogs"/>
    <x v="2"/>
    <x v="1"/>
    <n v="7"/>
  </r>
  <r>
    <x v="573"/>
    <s v="cogs:product 3"/>
    <n v="8.99"/>
    <n v="192"/>
    <n v="1726.08"/>
    <s v="cogs"/>
    <x v="3"/>
    <x v="1"/>
    <n v="7"/>
  </r>
  <r>
    <x v="573"/>
    <s v="marketing"/>
    <s v="NA"/>
    <s v="NA"/>
    <n v="118.09"/>
    <s v="marketing"/>
    <x v="0"/>
    <x v="1"/>
    <n v="7"/>
  </r>
  <r>
    <x v="573"/>
    <s v="net sales:product 1"/>
    <n v="9.99"/>
    <n v="86"/>
    <n v="859.14"/>
    <s v="net sales"/>
    <x v="1"/>
    <x v="1"/>
    <n v="7"/>
  </r>
  <r>
    <x v="573"/>
    <s v="net sales:product 2"/>
    <n v="24.99"/>
    <n v="4"/>
    <n v="99.96"/>
    <s v="net sales"/>
    <x v="2"/>
    <x v="1"/>
    <n v="7"/>
  </r>
  <r>
    <x v="573"/>
    <s v="net sales:product 3"/>
    <n v="12.49"/>
    <n v="192"/>
    <n v="2398.08"/>
    <s v="net sales"/>
    <x v="3"/>
    <x v="1"/>
    <n v="7"/>
  </r>
  <r>
    <x v="574"/>
    <s v="cogs:product 1"/>
    <n v="5.49"/>
    <n v="37"/>
    <n v="203.13"/>
    <s v="cogs"/>
    <x v="1"/>
    <x v="1"/>
    <n v="7"/>
  </r>
  <r>
    <x v="574"/>
    <s v="cogs:product 2"/>
    <n v="19.989999999999998"/>
    <n v="4"/>
    <n v="79.959999999999994"/>
    <s v="cogs"/>
    <x v="2"/>
    <x v="1"/>
    <n v="7"/>
  </r>
  <r>
    <x v="574"/>
    <s v="cogs:product 3"/>
    <n v="8.99"/>
    <n v="176"/>
    <n v="1582.24"/>
    <s v="cogs"/>
    <x v="3"/>
    <x v="1"/>
    <n v="7"/>
  </r>
  <r>
    <x v="574"/>
    <s v="marketing"/>
    <s v="NA"/>
    <s v="NA"/>
    <n v="106.02"/>
    <s v="marketing"/>
    <x v="0"/>
    <x v="1"/>
    <n v="7"/>
  </r>
  <r>
    <x v="574"/>
    <s v="net sales:product 1"/>
    <n v="9.99"/>
    <n v="37"/>
    <n v="369.63"/>
    <s v="net sales"/>
    <x v="1"/>
    <x v="1"/>
    <n v="7"/>
  </r>
  <r>
    <x v="574"/>
    <s v="net sales:product 2"/>
    <n v="24.99"/>
    <n v="4"/>
    <n v="99.96"/>
    <s v="net sales"/>
    <x v="2"/>
    <x v="1"/>
    <n v="7"/>
  </r>
  <r>
    <x v="574"/>
    <s v="net sales:product 3"/>
    <n v="12.49"/>
    <n v="176"/>
    <n v="2198.2400000000002"/>
    <s v="net sales"/>
    <x v="3"/>
    <x v="1"/>
    <n v="7"/>
  </r>
  <r>
    <x v="575"/>
    <s v="cogs:product 1"/>
    <n v="5.49"/>
    <n v="93"/>
    <n v="510.57"/>
    <s v="cogs"/>
    <x v="1"/>
    <x v="1"/>
    <n v="7"/>
  </r>
  <r>
    <x v="575"/>
    <s v="cogs:product 2"/>
    <n v="19.989999999999998"/>
    <n v="4"/>
    <n v="79.959999999999994"/>
    <s v="cogs"/>
    <x v="2"/>
    <x v="1"/>
    <n v="7"/>
  </r>
  <r>
    <x v="575"/>
    <s v="cogs:product 3"/>
    <n v="8.99"/>
    <n v="225"/>
    <n v="2022.75"/>
    <s v="cogs"/>
    <x v="3"/>
    <x v="1"/>
    <n v="7"/>
  </r>
  <r>
    <x v="575"/>
    <s v="marketing"/>
    <s v="NA"/>
    <s v="NA"/>
    <n v="114.02"/>
    <s v="marketing"/>
    <x v="0"/>
    <x v="1"/>
    <n v="7"/>
  </r>
  <r>
    <x v="575"/>
    <s v="net sales:product 1"/>
    <n v="9.99"/>
    <n v="93"/>
    <n v="929.07"/>
    <s v="net sales"/>
    <x v="1"/>
    <x v="1"/>
    <n v="7"/>
  </r>
  <r>
    <x v="575"/>
    <s v="net sales:product 2"/>
    <n v="24.99"/>
    <n v="4"/>
    <n v="99.96"/>
    <s v="net sales"/>
    <x v="2"/>
    <x v="1"/>
    <n v="7"/>
  </r>
  <r>
    <x v="575"/>
    <s v="net sales:product 3"/>
    <n v="12.49"/>
    <n v="225"/>
    <n v="2810.25"/>
    <s v="net sales"/>
    <x v="3"/>
    <x v="1"/>
    <n v="7"/>
  </r>
  <r>
    <x v="576"/>
    <s v="cogs:product 1"/>
    <n v="5.49"/>
    <n v="82"/>
    <n v="450.18"/>
    <s v="cogs"/>
    <x v="1"/>
    <x v="1"/>
    <n v="7"/>
  </r>
  <r>
    <x v="576"/>
    <s v="cogs:product 2"/>
    <n v="19.989999999999998"/>
    <n v="5"/>
    <n v="99.949999999999989"/>
    <s v="cogs"/>
    <x v="2"/>
    <x v="1"/>
    <n v="7"/>
  </r>
  <r>
    <x v="576"/>
    <s v="cogs:product 3"/>
    <n v="8.99"/>
    <n v="143"/>
    <n v="1285.57"/>
    <s v="cogs"/>
    <x v="3"/>
    <x v="1"/>
    <n v="7"/>
  </r>
  <r>
    <x v="576"/>
    <s v="marketing"/>
    <s v="NA"/>
    <s v="NA"/>
    <n v="116.07000000000001"/>
    <s v="marketing"/>
    <x v="0"/>
    <x v="1"/>
    <n v="7"/>
  </r>
  <r>
    <x v="576"/>
    <s v="net sales:product 1"/>
    <n v="9.99"/>
    <n v="82"/>
    <n v="819.18000000000006"/>
    <s v="net sales"/>
    <x v="1"/>
    <x v="1"/>
    <n v="7"/>
  </r>
  <r>
    <x v="576"/>
    <s v="net sales:product 2"/>
    <n v="24.99"/>
    <n v="5"/>
    <n v="124.94999999999999"/>
    <s v="net sales"/>
    <x v="2"/>
    <x v="1"/>
    <n v="7"/>
  </r>
  <r>
    <x v="576"/>
    <s v="net sales:product 3"/>
    <n v="12.49"/>
    <n v="143"/>
    <n v="1786.07"/>
    <s v="net sales"/>
    <x v="3"/>
    <x v="1"/>
    <n v="7"/>
  </r>
  <r>
    <x v="577"/>
    <s v="cogs:product 1"/>
    <n v="5.49"/>
    <n v="93"/>
    <n v="510.57"/>
    <s v="cogs"/>
    <x v="1"/>
    <x v="1"/>
    <n v="7"/>
  </r>
  <r>
    <x v="577"/>
    <s v="cogs:product 2"/>
    <n v="19.989999999999998"/>
    <n v="8"/>
    <n v="159.91999999999999"/>
    <s v="cogs"/>
    <x v="2"/>
    <x v="1"/>
    <n v="7"/>
  </r>
  <r>
    <x v="577"/>
    <s v="cogs:product 3"/>
    <n v="8.99"/>
    <n v="70"/>
    <n v="629.30000000000007"/>
    <s v="cogs"/>
    <x v="3"/>
    <x v="1"/>
    <n v="7"/>
  </r>
  <r>
    <x v="577"/>
    <s v="marketing"/>
    <s v="NA"/>
    <s v="NA"/>
    <n v="104.9"/>
    <s v="marketing"/>
    <x v="0"/>
    <x v="1"/>
    <n v="7"/>
  </r>
  <r>
    <x v="577"/>
    <s v="net sales:product 1"/>
    <n v="9.99"/>
    <n v="93"/>
    <n v="929.07"/>
    <s v="net sales"/>
    <x v="1"/>
    <x v="1"/>
    <n v="7"/>
  </r>
  <r>
    <x v="577"/>
    <s v="net sales:product 2"/>
    <n v="24.99"/>
    <n v="8"/>
    <n v="199.92"/>
    <s v="net sales"/>
    <x v="2"/>
    <x v="1"/>
    <n v="7"/>
  </r>
  <r>
    <x v="577"/>
    <s v="net sales:product 3"/>
    <n v="12.49"/>
    <n v="70"/>
    <n v="874.30000000000007"/>
    <s v="net sales"/>
    <x v="3"/>
    <x v="1"/>
    <n v="7"/>
  </r>
  <r>
    <x v="578"/>
    <s v="amortization"/>
    <s v="NA"/>
    <s v="NA"/>
    <n v="50"/>
    <s v="amortization"/>
    <x v="0"/>
    <x v="1"/>
    <n v="8"/>
  </r>
  <r>
    <x v="578"/>
    <s v="cogs:product 1"/>
    <n v="5.49"/>
    <n v="62"/>
    <n v="340.38"/>
    <s v="cogs"/>
    <x v="1"/>
    <x v="1"/>
    <n v="8"/>
  </r>
  <r>
    <x v="578"/>
    <s v="cogs:product 2"/>
    <n v="19.989999999999998"/>
    <n v="4"/>
    <n v="79.959999999999994"/>
    <s v="cogs"/>
    <x v="2"/>
    <x v="1"/>
    <n v="8"/>
  </r>
  <r>
    <x v="578"/>
    <s v="cogs:product 3"/>
    <n v="8.99"/>
    <n v="51"/>
    <n v="458.49"/>
    <s v="cogs"/>
    <x v="3"/>
    <x v="1"/>
    <n v="8"/>
  </r>
  <r>
    <x v="578"/>
    <s v="marketing"/>
    <s v="NA"/>
    <s v="NA"/>
    <n v="118.97"/>
    <s v="marketing"/>
    <x v="0"/>
    <x v="1"/>
    <n v="8"/>
  </r>
  <r>
    <x v="578"/>
    <s v="net sales:product 1"/>
    <n v="9.99"/>
    <n v="62"/>
    <n v="619.38"/>
    <s v="net sales"/>
    <x v="1"/>
    <x v="1"/>
    <n v="8"/>
  </r>
  <r>
    <x v="578"/>
    <s v="net sales:product 2"/>
    <n v="24.99"/>
    <n v="4"/>
    <n v="99.96"/>
    <s v="net sales"/>
    <x v="2"/>
    <x v="1"/>
    <n v="8"/>
  </r>
  <r>
    <x v="578"/>
    <s v="net sales:product 3"/>
    <n v="12.49"/>
    <n v="51"/>
    <n v="636.99"/>
    <s v="net sales"/>
    <x v="3"/>
    <x v="1"/>
    <n v="8"/>
  </r>
  <r>
    <x v="578"/>
    <s v="overhead"/>
    <s v="NA"/>
    <s v="NA"/>
    <n v="2000"/>
    <s v="overhead"/>
    <x v="0"/>
    <x v="1"/>
    <n v="8"/>
  </r>
  <r>
    <x v="578"/>
    <s v="payroll"/>
    <s v="NA"/>
    <s v="NA"/>
    <n v="1200"/>
    <s v="payroll"/>
    <x v="0"/>
    <x v="1"/>
    <n v="8"/>
  </r>
  <r>
    <x v="579"/>
    <s v="cogs:product 1"/>
    <n v="5.49"/>
    <n v="93"/>
    <n v="510.57"/>
    <s v="cogs"/>
    <x v="1"/>
    <x v="1"/>
    <n v="8"/>
  </r>
  <r>
    <x v="579"/>
    <s v="cogs:product 2"/>
    <n v="19.989999999999998"/>
    <n v="1"/>
    <n v="19.989999999999998"/>
    <s v="cogs"/>
    <x v="2"/>
    <x v="1"/>
    <n v="8"/>
  </r>
  <r>
    <x v="579"/>
    <s v="cogs:product 3"/>
    <n v="8.99"/>
    <n v="22"/>
    <n v="197.78"/>
    <s v="cogs"/>
    <x v="3"/>
    <x v="1"/>
    <n v="8"/>
  </r>
  <r>
    <x v="579"/>
    <s v="marketing"/>
    <s v="NA"/>
    <s v="NA"/>
    <n v="109.09"/>
    <s v="marketing"/>
    <x v="0"/>
    <x v="1"/>
    <n v="8"/>
  </r>
  <r>
    <x v="579"/>
    <s v="net sales:product 1"/>
    <n v="9.99"/>
    <n v="93"/>
    <n v="929.07"/>
    <s v="net sales"/>
    <x v="1"/>
    <x v="1"/>
    <n v="8"/>
  </r>
  <r>
    <x v="579"/>
    <s v="net sales:product 2"/>
    <n v="24.99"/>
    <n v="1"/>
    <n v="24.99"/>
    <s v="net sales"/>
    <x v="2"/>
    <x v="1"/>
    <n v="8"/>
  </r>
  <r>
    <x v="579"/>
    <s v="net sales:product 3"/>
    <n v="12.49"/>
    <n v="22"/>
    <n v="274.78000000000003"/>
    <s v="net sales"/>
    <x v="3"/>
    <x v="1"/>
    <n v="8"/>
  </r>
  <r>
    <x v="580"/>
    <s v="cogs:product 1"/>
    <n v="5.49"/>
    <n v="73"/>
    <n v="400.77000000000004"/>
    <s v="cogs"/>
    <x v="1"/>
    <x v="1"/>
    <n v="8"/>
  </r>
  <r>
    <x v="580"/>
    <s v="cogs:product 2"/>
    <n v="19.989999999999998"/>
    <n v="1"/>
    <n v="19.989999999999998"/>
    <s v="cogs"/>
    <x v="2"/>
    <x v="1"/>
    <n v="8"/>
  </r>
  <r>
    <x v="580"/>
    <s v="cogs:product 3"/>
    <n v="8.99"/>
    <n v="24"/>
    <n v="215.76"/>
    <s v="cogs"/>
    <x v="3"/>
    <x v="1"/>
    <n v="8"/>
  </r>
  <r>
    <x v="580"/>
    <s v="marketing"/>
    <s v="NA"/>
    <s v="NA"/>
    <n v="107.94"/>
    <s v="marketing"/>
    <x v="0"/>
    <x v="1"/>
    <n v="8"/>
  </r>
  <r>
    <x v="580"/>
    <s v="net sales:product 1"/>
    <n v="9.99"/>
    <n v="73"/>
    <n v="729.27"/>
    <s v="net sales"/>
    <x v="1"/>
    <x v="1"/>
    <n v="8"/>
  </r>
  <r>
    <x v="580"/>
    <s v="net sales:product 2"/>
    <n v="24.99"/>
    <n v="1"/>
    <n v="24.99"/>
    <s v="net sales"/>
    <x v="2"/>
    <x v="1"/>
    <n v="8"/>
  </r>
  <r>
    <x v="580"/>
    <s v="net sales:product 3"/>
    <n v="12.49"/>
    <n v="24"/>
    <n v="299.76"/>
    <s v="net sales"/>
    <x v="3"/>
    <x v="1"/>
    <n v="8"/>
  </r>
  <r>
    <x v="581"/>
    <s v="cogs:product 1"/>
    <n v="5.49"/>
    <n v="81"/>
    <n v="444.69"/>
    <s v="cogs"/>
    <x v="1"/>
    <x v="1"/>
    <n v="8"/>
  </r>
  <r>
    <x v="581"/>
    <s v="cogs:product 2"/>
    <n v="19.989999999999998"/>
    <n v="7"/>
    <n v="139.92999999999998"/>
    <s v="cogs"/>
    <x v="2"/>
    <x v="1"/>
    <n v="8"/>
  </r>
  <r>
    <x v="581"/>
    <s v="cogs:product 3"/>
    <n v="8.99"/>
    <n v="6"/>
    <n v="53.94"/>
    <s v="cogs"/>
    <x v="3"/>
    <x v="1"/>
    <n v="8"/>
  </r>
  <r>
    <x v="581"/>
    <s v="marketing"/>
    <s v="NA"/>
    <s v="NA"/>
    <n v="116.94"/>
    <s v="marketing"/>
    <x v="0"/>
    <x v="1"/>
    <n v="8"/>
  </r>
  <r>
    <x v="581"/>
    <s v="net sales:product 1"/>
    <n v="9.99"/>
    <n v="81"/>
    <n v="809.19"/>
    <s v="net sales"/>
    <x v="1"/>
    <x v="1"/>
    <n v="8"/>
  </r>
  <r>
    <x v="581"/>
    <s v="net sales:product 2"/>
    <n v="24.99"/>
    <n v="7"/>
    <n v="174.92999999999998"/>
    <s v="net sales"/>
    <x v="2"/>
    <x v="1"/>
    <n v="8"/>
  </r>
  <r>
    <x v="581"/>
    <s v="net sales:product 3"/>
    <n v="12.49"/>
    <n v="6"/>
    <n v="74.94"/>
    <s v="net sales"/>
    <x v="3"/>
    <x v="1"/>
    <n v="8"/>
  </r>
  <r>
    <x v="582"/>
    <s v="cogs:product 1"/>
    <n v="5.49"/>
    <n v="93"/>
    <n v="510.57"/>
    <s v="cogs"/>
    <x v="1"/>
    <x v="1"/>
    <n v="8"/>
  </r>
  <r>
    <x v="582"/>
    <s v="cogs:product 2"/>
    <n v="19.989999999999998"/>
    <n v="9"/>
    <n v="179.91"/>
    <s v="cogs"/>
    <x v="2"/>
    <x v="1"/>
    <n v="8"/>
  </r>
  <r>
    <x v="582"/>
    <s v="cogs:product 3"/>
    <n v="8.99"/>
    <n v="0"/>
    <n v="0"/>
    <s v="cogs"/>
    <x v="3"/>
    <x v="1"/>
    <n v="8"/>
  </r>
  <r>
    <x v="582"/>
    <s v="marketing"/>
    <s v="NA"/>
    <s v="NA"/>
    <n v="108.93"/>
    <s v="marketing"/>
    <x v="0"/>
    <x v="1"/>
    <n v="8"/>
  </r>
  <r>
    <x v="582"/>
    <s v="net sales:product 1"/>
    <n v="9.99"/>
    <n v="93"/>
    <n v="929.07"/>
    <s v="net sales"/>
    <x v="1"/>
    <x v="1"/>
    <n v="8"/>
  </r>
  <r>
    <x v="582"/>
    <s v="net sales:product 2"/>
    <n v="24.99"/>
    <n v="9"/>
    <n v="224.91"/>
    <s v="net sales"/>
    <x v="2"/>
    <x v="1"/>
    <n v="8"/>
  </r>
  <r>
    <x v="582"/>
    <s v="net sales:product 3"/>
    <n v="12.49"/>
    <n v="0"/>
    <n v="0"/>
    <s v="net sales"/>
    <x v="3"/>
    <x v="1"/>
    <n v="8"/>
  </r>
  <r>
    <x v="583"/>
    <s v="cogs:product 1"/>
    <n v="5.49"/>
    <n v="85"/>
    <n v="466.65000000000003"/>
    <s v="cogs"/>
    <x v="1"/>
    <x v="1"/>
    <n v="8"/>
  </r>
  <r>
    <x v="583"/>
    <s v="cogs:product 2"/>
    <n v="19.989999999999998"/>
    <n v="0"/>
    <n v="0"/>
    <s v="cogs"/>
    <x v="2"/>
    <x v="1"/>
    <n v="8"/>
  </r>
  <r>
    <x v="583"/>
    <s v="cogs:product 3"/>
    <n v="8.99"/>
    <n v="221"/>
    <n v="1986.79"/>
    <s v="cogs"/>
    <x v="3"/>
    <x v="1"/>
    <n v="8"/>
  </r>
  <r>
    <x v="583"/>
    <s v="marketing"/>
    <s v="NA"/>
    <s v="NA"/>
    <n v="113.91"/>
    <s v="marketing"/>
    <x v="0"/>
    <x v="1"/>
    <n v="8"/>
  </r>
  <r>
    <x v="583"/>
    <s v="net sales:product 1"/>
    <n v="9.99"/>
    <n v="85"/>
    <n v="849.15"/>
    <s v="net sales"/>
    <x v="1"/>
    <x v="1"/>
    <n v="8"/>
  </r>
  <r>
    <x v="583"/>
    <s v="net sales:product 2"/>
    <n v="24.99"/>
    <n v="0"/>
    <n v="0"/>
    <s v="net sales"/>
    <x v="2"/>
    <x v="1"/>
    <n v="8"/>
  </r>
  <r>
    <x v="583"/>
    <s v="net sales:product 3"/>
    <n v="12.49"/>
    <n v="221"/>
    <n v="2760.29"/>
    <s v="net sales"/>
    <x v="3"/>
    <x v="1"/>
    <n v="8"/>
  </r>
  <r>
    <x v="584"/>
    <s v="cogs:product 1"/>
    <n v="5.49"/>
    <n v="32"/>
    <n v="175.68"/>
    <s v="cogs"/>
    <x v="1"/>
    <x v="1"/>
    <n v="8"/>
  </r>
  <r>
    <x v="584"/>
    <s v="cogs:product 2"/>
    <n v="19.989999999999998"/>
    <n v="4"/>
    <n v="79.959999999999994"/>
    <s v="cogs"/>
    <x v="2"/>
    <x v="1"/>
    <n v="8"/>
  </r>
  <r>
    <x v="584"/>
    <s v="cogs:product 3"/>
    <n v="8.99"/>
    <n v="138"/>
    <n v="1240.6200000000001"/>
    <s v="cogs"/>
    <x v="3"/>
    <x v="1"/>
    <n v="8"/>
  </r>
  <r>
    <x v="584"/>
    <s v="marketing"/>
    <s v="NA"/>
    <s v="NA"/>
    <n v="112.94"/>
    <s v="marketing"/>
    <x v="0"/>
    <x v="1"/>
    <n v="8"/>
  </r>
  <r>
    <x v="584"/>
    <s v="net sales:product 1"/>
    <n v="9.99"/>
    <n v="32"/>
    <n v="319.68"/>
    <s v="net sales"/>
    <x v="1"/>
    <x v="1"/>
    <n v="8"/>
  </r>
  <r>
    <x v="584"/>
    <s v="net sales:product 2"/>
    <n v="24.99"/>
    <n v="4"/>
    <n v="99.96"/>
    <s v="net sales"/>
    <x v="2"/>
    <x v="1"/>
    <n v="8"/>
  </r>
  <r>
    <x v="584"/>
    <s v="net sales:product 3"/>
    <n v="12.49"/>
    <n v="138"/>
    <n v="1723.6200000000001"/>
    <s v="net sales"/>
    <x v="3"/>
    <x v="1"/>
    <n v="8"/>
  </r>
  <r>
    <x v="585"/>
    <s v="cogs:product 1"/>
    <n v="5.49"/>
    <n v="4"/>
    <n v="21.96"/>
    <s v="cogs"/>
    <x v="1"/>
    <x v="1"/>
    <n v="8"/>
  </r>
  <r>
    <x v="585"/>
    <s v="cogs:product 2"/>
    <n v="19.989999999999998"/>
    <n v="6"/>
    <n v="119.94"/>
    <s v="cogs"/>
    <x v="2"/>
    <x v="1"/>
    <n v="8"/>
  </r>
  <r>
    <x v="585"/>
    <s v="cogs:product 3"/>
    <n v="8.99"/>
    <n v="226"/>
    <n v="2031.74"/>
    <s v="cogs"/>
    <x v="3"/>
    <x v="1"/>
    <n v="8"/>
  </r>
  <r>
    <x v="585"/>
    <s v="marketing"/>
    <s v="NA"/>
    <s v="NA"/>
    <n v="103.02"/>
    <s v="marketing"/>
    <x v="0"/>
    <x v="1"/>
    <n v="8"/>
  </r>
  <r>
    <x v="585"/>
    <s v="net sales:product 1"/>
    <n v="9.99"/>
    <n v="4"/>
    <n v="39.96"/>
    <s v="net sales"/>
    <x v="1"/>
    <x v="1"/>
    <n v="8"/>
  </r>
  <r>
    <x v="585"/>
    <s v="net sales:product 2"/>
    <n v="24.99"/>
    <n v="6"/>
    <n v="149.94"/>
    <s v="net sales"/>
    <x v="2"/>
    <x v="1"/>
    <n v="8"/>
  </r>
  <r>
    <x v="585"/>
    <s v="net sales:product 3"/>
    <n v="12.49"/>
    <n v="226"/>
    <n v="2822.7400000000002"/>
    <s v="net sales"/>
    <x v="3"/>
    <x v="1"/>
    <n v="8"/>
  </r>
  <r>
    <x v="586"/>
    <s v="cogs:product 1"/>
    <n v="5.49"/>
    <n v="86"/>
    <n v="472.14000000000004"/>
    <s v="cogs"/>
    <x v="1"/>
    <x v="1"/>
    <n v="8"/>
  </r>
  <r>
    <x v="586"/>
    <s v="cogs:product 2"/>
    <n v="19.989999999999998"/>
    <n v="1"/>
    <n v="19.989999999999998"/>
    <s v="cogs"/>
    <x v="2"/>
    <x v="1"/>
    <n v="8"/>
  </r>
  <r>
    <x v="586"/>
    <s v="cogs:product 3"/>
    <n v="8.99"/>
    <n v="204"/>
    <n v="1833.96"/>
    <s v="cogs"/>
    <x v="3"/>
    <x v="1"/>
    <n v="8"/>
  </r>
  <r>
    <x v="586"/>
    <s v="marketing"/>
    <s v="NA"/>
    <s v="NA"/>
    <n v="105.06"/>
    <s v="marketing"/>
    <x v="0"/>
    <x v="1"/>
    <n v="8"/>
  </r>
  <r>
    <x v="586"/>
    <s v="net sales:product 1"/>
    <n v="9.99"/>
    <n v="86"/>
    <n v="859.14"/>
    <s v="net sales"/>
    <x v="1"/>
    <x v="1"/>
    <n v="8"/>
  </r>
  <r>
    <x v="586"/>
    <s v="net sales:product 2"/>
    <n v="24.99"/>
    <n v="1"/>
    <n v="24.99"/>
    <s v="net sales"/>
    <x v="2"/>
    <x v="1"/>
    <n v="8"/>
  </r>
  <r>
    <x v="586"/>
    <s v="net sales:product 3"/>
    <n v="12.49"/>
    <n v="204"/>
    <n v="2547.96"/>
    <s v="net sales"/>
    <x v="3"/>
    <x v="1"/>
    <n v="8"/>
  </r>
  <r>
    <x v="587"/>
    <s v="cogs:product 1"/>
    <n v="5.49"/>
    <n v="73"/>
    <n v="400.77000000000004"/>
    <s v="cogs"/>
    <x v="1"/>
    <x v="1"/>
    <n v="8"/>
  </r>
  <r>
    <x v="587"/>
    <s v="cogs:product 2"/>
    <n v="19.989999999999998"/>
    <n v="7"/>
    <n v="139.92999999999998"/>
    <s v="cogs"/>
    <x v="2"/>
    <x v="1"/>
    <n v="8"/>
  </r>
  <r>
    <x v="587"/>
    <s v="cogs:product 3"/>
    <n v="8.99"/>
    <n v="21"/>
    <n v="188.79"/>
    <s v="cogs"/>
    <x v="3"/>
    <x v="1"/>
    <n v="8"/>
  </r>
  <r>
    <x v="587"/>
    <s v="marketing"/>
    <s v="NA"/>
    <s v="NA"/>
    <n v="102.91"/>
    <s v="marketing"/>
    <x v="0"/>
    <x v="1"/>
    <n v="8"/>
  </r>
  <r>
    <x v="587"/>
    <s v="net sales:product 1"/>
    <n v="9.99"/>
    <n v="73"/>
    <n v="729.27"/>
    <s v="net sales"/>
    <x v="1"/>
    <x v="1"/>
    <n v="8"/>
  </r>
  <r>
    <x v="587"/>
    <s v="net sales:product 2"/>
    <n v="24.99"/>
    <n v="7"/>
    <n v="174.92999999999998"/>
    <s v="net sales"/>
    <x v="2"/>
    <x v="1"/>
    <n v="8"/>
  </r>
  <r>
    <x v="587"/>
    <s v="net sales:product 3"/>
    <n v="12.49"/>
    <n v="21"/>
    <n v="262.29000000000002"/>
    <s v="net sales"/>
    <x v="3"/>
    <x v="1"/>
    <n v="8"/>
  </r>
  <r>
    <x v="588"/>
    <s v="cogs:product 1"/>
    <n v="5.49"/>
    <n v="65"/>
    <n v="356.85"/>
    <s v="cogs"/>
    <x v="1"/>
    <x v="1"/>
    <n v="8"/>
  </r>
  <r>
    <x v="588"/>
    <s v="cogs:product 2"/>
    <n v="19.989999999999998"/>
    <n v="1"/>
    <n v="19.989999999999998"/>
    <s v="cogs"/>
    <x v="2"/>
    <x v="1"/>
    <n v="8"/>
  </r>
  <r>
    <x v="588"/>
    <s v="cogs:product 3"/>
    <n v="8.99"/>
    <n v="94"/>
    <n v="845.06000000000006"/>
    <s v="cogs"/>
    <x v="3"/>
    <x v="1"/>
    <n v="8"/>
  </r>
  <r>
    <x v="588"/>
    <s v="marketing"/>
    <s v="NA"/>
    <s v="NA"/>
    <n v="113"/>
    <s v="marketing"/>
    <x v="0"/>
    <x v="1"/>
    <n v="8"/>
  </r>
  <r>
    <x v="588"/>
    <s v="net sales:product 1"/>
    <n v="9.99"/>
    <n v="65"/>
    <n v="649.35"/>
    <s v="net sales"/>
    <x v="1"/>
    <x v="1"/>
    <n v="8"/>
  </r>
  <r>
    <x v="588"/>
    <s v="net sales:product 2"/>
    <n v="24.99"/>
    <n v="1"/>
    <n v="24.99"/>
    <s v="net sales"/>
    <x v="2"/>
    <x v="1"/>
    <n v="8"/>
  </r>
  <r>
    <x v="588"/>
    <s v="net sales:product 3"/>
    <n v="12.49"/>
    <n v="94"/>
    <n v="1174.06"/>
    <s v="net sales"/>
    <x v="3"/>
    <x v="1"/>
    <n v="8"/>
  </r>
  <r>
    <x v="589"/>
    <s v="cogs:product 1"/>
    <n v="5.49"/>
    <n v="66"/>
    <n v="362.34000000000003"/>
    <s v="cogs"/>
    <x v="1"/>
    <x v="1"/>
    <n v="8"/>
  </r>
  <r>
    <x v="589"/>
    <s v="cogs:product 2"/>
    <n v="19.989999999999998"/>
    <n v="0"/>
    <n v="0"/>
    <s v="cogs"/>
    <x v="2"/>
    <x v="1"/>
    <n v="8"/>
  </r>
  <r>
    <x v="589"/>
    <s v="cogs:product 3"/>
    <n v="8.99"/>
    <n v="92"/>
    <n v="827.08"/>
    <s v="cogs"/>
    <x v="3"/>
    <x v="1"/>
    <n v="8"/>
  </r>
  <r>
    <x v="589"/>
    <s v="marketing"/>
    <s v="NA"/>
    <s v="NA"/>
    <n v="114.91"/>
    <s v="marketing"/>
    <x v="0"/>
    <x v="1"/>
    <n v="8"/>
  </r>
  <r>
    <x v="589"/>
    <s v="net sales:product 1"/>
    <n v="9.99"/>
    <n v="66"/>
    <n v="659.34"/>
    <s v="net sales"/>
    <x v="1"/>
    <x v="1"/>
    <n v="8"/>
  </r>
  <r>
    <x v="589"/>
    <s v="net sales:product 2"/>
    <n v="24.99"/>
    <n v="0"/>
    <n v="0"/>
    <s v="net sales"/>
    <x v="2"/>
    <x v="1"/>
    <n v="8"/>
  </r>
  <r>
    <x v="589"/>
    <s v="net sales:product 3"/>
    <n v="12.49"/>
    <n v="92"/>
    <n v="1149.08"/>
    <s v="net sales"/>
    <x v="3"/>
    <x v="1"/>
    <n v="8"/>
  </r>
  <r>
    <x v="590"/>
    <s v="cogs:product 1"/>
    <n v="5.49"/>
    <n v="80"/>
    <n v="439.20000000000005"/>
    <s v="cogs"/>
    <x v="1"/>
    <x v="1"/>
    <n v="8"/>
  </r>
  <r>
    <x v="590"/>
    <s v="cogs:product 2"/>
    <n v="19.989999999999998"/>
    <n v="3"/>
    <n v="59.97"/>
    <s v="cogs"/>
    <x v="2"/>
    <x v="1"/>
    <n v="8"/>
  </r>
  <r>
    <x v="590"/>
    <s v="cogs:product 3"/>
    <n v="8.99"/>
    <n v="4"/>
    <n v="35.96"/>
    <s v="cogs"/>
    <x v="3"/>
    <x v="1"/>
    <n v="8"/>
  </r>
  <r>
    <x v="590"/>
    <s v="marketing"/>
    <s v="NA"/>
    <s v="NA"/>
    <n v="102.06"/>
    <s v="marketing"/>
    <x v="0"/>
    <x v="1"/>
    <n v="8"/>
  </r>
  <r>
    <x v="590"/>
    <s v="net sales:product 1"/>
    <n v="9.99"/>
    <n v="80"/>
    <n v="799.2"/>
    <s v="net sales"/>
    <x v="1"/>
    <x v="1"/>
    <n v="8"/>
  </r>
  <r>
    <x v="590"/>
    <s v="net sales:product 2"/>
    <n v="24.99"/>
    <n v="3"/>
    <n v="74.97"/>
    <s v="net sales"/>
    <x v="2"/>
    <x v="1"/>
    <n v="8"/>
  </r>
  <r>
    <x v="590"/>
    <s v="net sales:product 3"/>
    <n v="12.49"/>
    <n v="4"/>
    <n v="49.96"/>
    <s v="net sales"/>
    <x v="3"/>
    <x v="1"/>
    <n v="8"/>
  </r>
  <r>
    <x v="591"/>
    <s v="cogs:product 1"/>
    <n v="5.49"/>
    <n v="14"/>
    <n v="76.86"/>
    <s v="cogs"/>
    <x v="1"/>
    <x v="1"/>
    <n v="8"/>
  </r>
  <r>
    <x v="591"/>
    <s v="cogs:product 2"/>
    <n v="19.989999999999998"/>
    <n v="6"/>
    <n v="119.94"/>
    <s v="cogs"/>
    <x v="2"/>
    <x v="1"/>
    <n v="8"/>
  </r>
  <r>
    <x v="591"/>
    <s v="cogs:product 3"/>
    <n v="8.99"/>
    <n v="225"/>
    <n v="2022.75"/>
    <s v="cogs"/>
    <x v="3"/>
    <x v="1"/>
    <n v="8"/>
  </r>
  <r>
    <x v="591"/>
    <s v="marketing"/>
    <s v="NA"/>
    <s v="NA"/>
    <n v="103.07000000000001"/>
    <s v="marketing"/>
    <x v="0"/>
    <x v="1"/>
    <n v="8"/>
  </r>
  <r>
    <x v="591"/>
    <s v="net sales:product 1"/>
    <n v="9.99"/>
    <n v="14"/>
    <n v="139.86000000000001"/>
    <s v="net sales"/>
    <x v="1"/>
    <x v="1"/>
    <n v="8"/>
  </r>
  <r>
    <x v="591"/>
    <s v="net sales:product 2"/>
    <n v="24.99"/>
    <n v="6"/>
    <n v="149.94"/>
    <s v="net sales"/>
    <x v="2"/>
    <x v="1"/>
    <n v="8"/>
  </r>
  <r>
    <x v="591"/>
    <s v="net sales:product 3"/>
    <n v="12.49"/>
    <n v="225"/>
    <n v="2810.25"/>
    <s v="net sales"/>
    <x v="3"/>
    <x v="1"/>
    <n v="8"/>
  </r>
  <r>
    <x v="592"/>
    <s v="cogs:product 1"/>
    <n v="5.49"/>
    <n v="81"/>
    <n v="444.69"/>
    <s v="cogs"/>
    <x v="1"/>
    <x v="1"/>
    <n v="8"/>
  </r>
  <r>
    <x v="592"/>
    <s v="cogs:product 2"/>
    <n v="19.989999999999998"/>
    <n v="1"/>
    <n v="19.989999999999998"/>
    <s v="cogs"/>
    <x v="2"/>
    <x v="1"/>
    <n v="8"/>
  </r>
  <r>
    <x v="592"/>
    <s v="cogs:product 3"/>
    <n v="8.99"/>
    <n v="124"/>
    <n v="1114.76"/>
    <s v="cogs"/>
    <x v="3"/>
    <x v="1"/>
    <n v="8"/>
  </r>
  <r>
    <x v="592"/>
    <s v="interest"/>
    <s v="NA"/>
    <s v="NA"/>
    <n v="1256.4000000000001"/>
    <s v="interest"/>
    <x v="0"/>
    <x v="1"/>
    <n v="8"/>
  </r>
  <r>
    <x v="592"/>
    <s v="marketing"/>
    <s v="NA"/>
    <s v="NA"/>
    <n v="117.92"/>
    <s v="marketing"/>
    <x v="0"/>
    <x v="1"/>
    <n v="8"/>
  </r>
  <r>
    <x v="592"/>
    <s v="net sales:product 1"/>
    <n v="9.99"/>
    <n v="81"/>
    <n v="809.19"/>
    <s v="net sales"/>
    <x v="1"/>
    <x v="1"/>
    <n v="8"/>
  </r>
  <r>
    <x v="592"/>
    <s v="net sales:product 2"/>
    <n v="24.99"/>
    <n v="1"/>
    <n v="24.99"/>
    <s v="net sales"/>
    <x v="2"/>
    <x v="1"/>
    <n v="8"/>
  </r>
  <r>
    <x v="592"/>
    <s v="net sales:product 3"/>
    <n v="12.49"/>
    <n v="124"/>
    <n v="1548.76"/>
    <s v="net sales"/>
    <x v="3"/>
    <x v="1"/>
    <n v="8"/>
  </r>
  <r>
    <x v="592"/>
    <s v="overhead"/>
    <s v="NA"/>
    <s v="NA"/>
    <n v="321.61"/>
    <s v="overhead"/>
    <x v="0"/>
    <x v="1"/>
    <n v="8"/>
  </r>
  <r>
    <x v="592"/>
    <s v="payroll"/>
    <s v="NA"/>
    <s v="NA"/>
    <n v="1200"/>
    <s v="payroll"/>
    <x v="0"/>
    <x v="1"/>
    <n v="8"/>
  </r>
  <r>
    <x v="593"/>
    <s v="cogs:product 1"/>
    <n v="5.49"/>
    <n v="17"/>
    <n v="93.33"/>
    <s v="cogs"/>
    <x v="1"/>
    <x v="1"/>
    <n v="8"/>
  </r>
  <r>
    <x v="593"/>
    <s v="cogs:product 2"/>
    <n v="19.989999999999998"/>
    <n v="7"/>
    <n v="139.92999999999998"/>
    <s v="cogs"/>
    <x v="2"/>
    <x v="1"/>
    <n v="8"/>
  </r>
  <r>
    <x v="593"/>
    <s v="cogs:product 3"/>
    <n v="8.99"/>
    <n v="8"/>
    <n v="71.92"/>
    <s v="cogs"/>
    <x v="3"/>
    <x v="1"/>
    <n v="8"/>
  </r>
  <r>
    <x v="593"/>
    <s v="marketing"/>
    <s v="NA"/>
    <s v="NA"/>
    <n v="117.94"/>
    <s v="marketing"/>
    <x v="0"/>
    <x v="1"/>
    <n v="8"/>
  </r>
  <r>
    <x v="593"/>
    <s v="net sales:product 1"/>
    <n v="9.99"/>
    <n v="17"/>
    <n v="169.83"/>
    <s v="net sales"/>
    <x v="1"/>
    <x v="1"/>
    <n v="8"/>
  </r>
  <r>
    <x v="593"/>
    <s v="net sales:product 2"/>
    <n v="24.99"/>
    <n v="7"/>
    <n v="174.92999999999998"/>
    <s v="net sales"/>
    <x v="2"/>
    <x v="1"/>
    <n v="8"/>
  </r>
  <r>
    <x v="593"/>
    <s v="net sales:product 3"/>
    <n v="12.49"/>
    <n v="8"/>
    <n v="99.92"/>
    <s v="net sales"/>
    <x v="3"/>
    <x v="1"/>
    <n v="8"/>
  </r>
  <r>
    <x v="594"/>
    <s v="cogs:product 1"/>
    <n v="5.49"/>
    <n v="22"/>
    <n v="120.78"/>
    <s v="cogs"/>
    <x v="1"/>
    <x v="1"/>
    <n v="8"/>
  </r>
  <r>
    <x v="594"/>
    <s v="cogs:product 2"/>
    <n v="19.989999999999998"/>
    <n v="2"/>
    <n v="39.979999999999997"/>
    <s v="cogs"/>
    <x v="2"/>
    <x v="1"/>
    <n v="8"/>
  </r>
  <r>
    <x v="594"/>
    <s v="cogs:product 3"/>
    <n v="8.99"/>
    <n v="196"/>
    <n v="1762.04"/>
    <s v="cogs"/>
    <x v="3"/>
    <x v="1"/>
    <n v="8"/>
  </r>
  <r>
    <x v="594"/>
    <s v="marketing"/>
    <s v="NA"/>
    <s v="NA"/>
    <n v="105.06"/>
    <s v="marketing"/>
    <x v="0"/>
    <x v="1"/>
    <n v="8"/>
  </r>
  <r>
    <x v="594"/>
    <s v="net sales:product 1"/>
    <n v="9.99"/>
    <n v="22"/>
    <n v="219.78"/>
    <s v="net sales"/>
    <x v="1"/>
    <x v="1"/>
    <n v="8"/>
  </r>
  <r>
    <x v="594"/>
    <s v="net sales:product 2"/>
    <n v="24.99"/>
    <n v="2"/>
    <n v="49.98"/>
    <s v="net sales"/>
    <x v="2"/>
    <x v="1"/>
    <n v="8"/>
  </r>
  <r>
    <x v="594"/>
    <s v="net sales:product 3"/>
    <n v="12.49"/>
    <n v="196"/>
    <n v="2448.04"/>
    <s v="net sales"/>
    <x v="3"/>
    <x v="1"/>
    <n v="8"/>
  </r>
  <r>
    <x v="595"/>
    <s v="cogs:product 1"/>
    <n v="5.49"/>
    <n v="70"/>
    <n v="384.3"/>
    <s v="cogs"/>
    <x v="1"/>
    <x v="1"/>
    <n v="8"/>
  </r>
  <r>
    <x v="595"/>
    <s v="cogs:product 2"/>
    <n v="19.989999999999998"/>
    <n v="7"/>
    <n v="139.92999999999998"/>
    <s v="cogs"/>
    <x v="2"/>
    <x v="1"/>
    <n v="8"/>
  </r>
  <r>
    <x v="595"/>
    <s v="cogs:product 3"/>
    <n v="8.99"/>
    <n v="95"/>
    <n v="854.05000000000007"/>
    <s v="cogs"/>
    <x v="3"/>
    <x v="1"/>
    <n v="8"/>
  </r>
  <r>
    <x v="595"/>
    <s v="marketing"/>
    <s v="NA"/>
    <s v="NA"/>
    <n v="108.05"/>
    <s v="marketing"/>
    <x v="0"/>
    <x v="1"/>
    <n v="8"/>
  </r>
  <r>
    <x v="595"/>
    <s v="net sales:product 1"/>
    <n v="9.99"/>
    <n v="70"/>
    <n v="699.30000000000007"/>
    <s v="net sales"/>
    <x v="1"/>
    <x v="1"/>
    <n v="8"/>
  </r>
  <r>
    <x v="595"/>
    <s v="net sales:product 2"/>
    <n v="24.99"/>
    <n v="7"/>
    <n v="174.92999999999998"/>
    <s v="net sales"/>
    <x v="2"/>
    <x v="1"/>
    <n v="8"/>
  </r>
  <r>
    <x v="595"/>
    <s v="net sales:product 3"/>
    <n v="12.49"/>
    <n v="95"/>
    <n v="1186.55"/>
    <s v="net sales"/>
    <x v="3"/>
    <x v="1"/>
    <n v="8"/>
  </r>
  <r>
    <x v="596"/>
    <s v="cogs:product 1"/>
    <n v="5.49"/>
    <n v="23"/>
    <n v="126.27000000000001"/>
    <s v="cogs"/>
    <x v="1"/>
    <x v="1"/>
    <n v="8"/>
  </r>
  <r>
    <x v="596"/>
    <s v="cogs:product 2"/>
    <n v="19.989999999999998"/>
    <n v="2"/>
    <n v="39.979999999999997"/>
    <s v="cogs"/>
    <x v="2"/>
    <x v="1"/>
    <n v="8"/>
  </r>
  <r>
    <x v="596"/>
    <s v="cogs:product 3"/>
    <n v="8.99"/>
    <n v="225"/>
    <n v="2022.75"/>
    <s v="cogs"/>
    <x v="3"/>
    <x v="1"/>
    <n v="8"/>
  </r>
  <r>
    <x v="596"/>
    <s v="marketing"/>
    <s v="NA"/>
    <s v="NA"/>
    <n v="114.03"/>
    <s v="marketing"/>
    <x v="0"/>
    <x v="1"/>
    <n v="8"/>
  </r>
  <r>
    <x v="596"/>
    <s v="net sales:product 1"/>
    <n v="9.99"/>
    <n v="23"/>
    <n v="229.77"/>
    <s v="net sales"/>
    <x v="1"/>
    <x v="1"/>
    <n v="8"/>
  </r>
  <r>
    <x v="596"/>
    <s v="net sales:product 2"/>
    <n v="24.99"/>
    <n v="2"/>
    <n v="49.98"/>
    <s v="net sales"/>
    <x v="2"/>
    <x v="1"/>
    <n v="8"/>
  </r>
  <r>
    <x v="596"/>
    <s v="net sales:product 3"/>
    <n v="12.49"/>
    <n v="225"/>
    <n v="2810.25"/>
    <s v="net sales"/>
    <x v="3"/>
    <x v="1"/>
    <n v="8"/>
  </r>
  <r>
    <x v="597"/>
    <s v="cogs:product 1"/>
    <n v="5.49"/>
    <n v="5"/>
    <n v="27.450000000000003"/>
    <s v="cogs"/>
    <x v="1"/>
    <x v="1"/>
    <n v="8"/>
  </r>
  <r>
    <x v="597"/>
    <s v="cogs:product 2"/>
    <n v="19.989999999999998"/>
    <n v="3"/>
    <n v="59.97"/>
    <s v="cogs"/>
    <x v="2"/>
    <x v="1"/>
    <n v="8"/>
  </r>
  <r>
    <x v="597"/>
    <s v="cogs:product 3"/>
    <n v="8.99"/>
    <n v="94"/>
    <n v="845.06000000000006"/>
    <s v="cogs"/>
    <x v="3"/>
    <x v="1"/>
    <n v="8"/>
  </r>
  <r>
    <x v="597"/>
    <s v="marketing"/>
    <s v="NA"/>
    <s v="NA"/>
    <n v="107.01"/>
    <s v="marketing"/>
    <x v="0"/>
    <x v="1"/>
    <n v="8"/>
  </r>
  <r>
    <x v="597"/>
    <s v="net sales:product 1"/>
    <n v="9.99"/>
    <n v="5"/>
    <n v="49.95"/>
    <s v="net sales"/>
    <x v="1"/>
    <x v="1"/>
    <n v="8"/>
  </r>
  <r>
    <x v="597"/>
    <s v="net sales:product 2"/>
    <n v="24.99"/>
    <n v="3"/>
    <n v="74.97"/>
    <s v="net sales"/>
    <x v="2"/>
    <x v="1"/>
    <n v="8"/>
  </r>
  <r>
    <x v="597"/>
    <s v="net sales:product 3"/>
    <n v="12.49"/>
    <n v="94"/>
    <n v="1174.06"/>
    <s v="net sales"/>
    <x v="3"/>
    <x v="1"/>
    <n v="8"/>
  </r>
  <r>
    <x v="598"/>
    <s v="cogs:product 1"/>
    <n v="5.49"/>
    <n v="48"/>
    <n v="263.52"/>
    <s v="cogs"/>
    <x v="1"/>
    <x v="1"/>
    <n v="8"/>
  </r>
  <r>
    <x v="598"/>
    <s v="cogs:product 2"/>
    <n v="19.989999999999998"/>
    <n v="2"/>
    <n v="39.979999999999997"/>
    <s v="cogs"/>
    <x v="2"/>
    <x v="1"/>
    <n v="8"/>
  </r>
  <r>
    <x v="598"/>
    <s v="cogs:product 3"/>
    <n v="8.99"/>
    <n v="241"/>
    <n v="2166.59"/>
    <s v="cogs"/>
    <x v="3"/>
    <x v="1"/>
    <n v="8"/>
  </r>
  <r>
    <x v="598"/>
    <s v="marketing"/>
    <s v="NA"/>
    <s v="NA"/>
    <n v="116.99000000000001"/>
    <s v="marketing"/>
    <x v="0"/>
    <x v="1"/>
    <n v="8"/>
  </r>
  <r>
    <x v="598"/>
    <s v="net sales:product 1"/>
    <n v="9.99"/>
    <n v="48"/>
    <n v="479.52"/>
    <s v="net sales"/>
    <x v="1"/>
    <x v="1"/>
    <n v="8"/>
  </r>
  <r>
    <x v="598"/>
    <s v="net sales:product 2"/>
    <n v="24.99"/>
    <n v="2"/>
    <n v="49.98"/>
    <s v="net sales"/>
    <x v="2"/>
    <x v="1"/>
    <n v="8"/>
  </r>
  <r>
    <x v="598"/>
    <s v="net sales:product 3"/>
    <n v="12.49"/>
    <n v="241"/>
    <n v="3010.09"/>
    <s v="net sales"/>
    <x v="3"/>
    <x v="1"/>
    <n v="8"/>
  </r>
  <r>
    <x v="599"/>
    <s v="cogs:product 1"/>
    <n v="5.49"/>
    <n v="49"/>
    <n v="269.01"/>
    <s v="cogs"/>
    <x v="1"/>
    <x v="1"/>
    <n v="8"/>
  </r>
  <r>
    <x v="599"/>
    <s v="cogs:product 2"/>
    <n v="19.989999999999998"/>
    <n v="0"/>
    <n v="0"/>
    <s v="cogs"/>
    <x v="2"/>
    <x v="1"/>
    <n v="8"/>
  </r>
  <r>
    <x v="599"/>
    <s v="cogs:product 3"/>
    <n v="8.99"/>
    <n v="6"/>
    <n v="53.94"/>
    <s v="cogs"/>
    <x v="3"/>
    <x v="1"/>
    <n v="8"/>
  </r>
  <r>
    <x v="599"/>
    <s v="marketing"/>
    <s v="NA"/>
    <s v="NA"/>
    <n v="117.02"/>
    <s v="marketing"/>
    <x v="0"/>
    <x v="1"/>
    <n v="8"/>
  </r>
  <r>
    <x v="599"/>
    <s v="net sales:product 1"/>
    <n v="9.99"/>
    <n v="49"/>
    <n v="489.51"/>
    <s v="net sales"/>
    <x v="1"/>
    <x v="1"/>
    <n v="8"/>
  </r>
  <r>
    <x v="599"/>
    <s v="net sales:product 2"/>
    <n v="24.99"/>
    <n v="0"/>
    <n v="0"/>
    <s v="net sales"/>
    <x v="2"/>
    <x v="1"/>
    <n v="8"/>
  </r>
  <r>
    <x v="599"/>
    <s v="net sales:product 3"/>
    <n v="12.49"/>
    <n v="6"/>
    <n v="74.94"/>
    <s v="net sales"/>
    <x v="3"/>
    <x v="1"/>
    <n v="8"/>
  </r>
  <r>
    <x v="600"/>
    <s v="cogs:product 1"/>
    <n v="5.49"/>
    <n v="89"/>
    <n v="488.61"/>
    <s v="cogs"/>
    <x v="1"/>
    <x v="1"/>
    <n v="8"/>
  </r>
  <r>
    <x v="600"/>
    <s v="cogs:product 2"/>
    <n v="19.989999999999998"/>
    <n v="3"/>
    <n v="59.97"/>
    <s v="cogs"/>
    <x v="2"/>
    <x v="1"/>
    <n v="8"/>
  </r>
  <r>
    <x v="600"/>
    <s v="cogs:product 3"/>
    <n v="8.99"/>
    <n v="65"/>
    <n v="584.35"/>
    <s v="cogs"/>
    <x v="3"/>
    <x v="1"/>
    <n v="8"/>
  </r>
  <r>
    <x v="600"/>
    <s v="marketing"/>
    <s v="NA"/>
    <s v="NA"/>
    <n v="113.98"/>
    <s v="marketing"/>
    <x v="0"/>
    <x v="1"/>
    <n v="8"/>
  </r>
  <r>
    <x v="600"/>
    <s v="net sales:product 1"/>
    <n v="9.99"/>
    <n v="89"/>
    <n v="889.11"/>
    <s v="net sales"/>
    <x v="1"/>
    <x v="1"/>
    <n v="8"/>
  </r>
  <r>
    <x v="600"/>
    <s v="net sales:product 2"/>
    <n v="24.99"/>
    <n v="3"/>
    <n v="74.97"/>
    <s v="net sales"/>
    <x v="2"/>
    <x v="1"/>
    <n v="8"/>
  </r>
  <r>
    <x v="600"/>
    <s v="net sales:product 3"/>
    <n v="12.49"/>
    <n v="65"/>
    <n v="811.85"/>
    <s v="net sales"/>
    <x v="3"/>
    <x v="1"/>
    <n v="8"/>
  </r>
  <r>
    <x v="601"/>
    <s v="cogs:product 1"/>
    <n v="5.49"/>
    <n v="78"/>
    <n v="428.22"/>
    <s v="cogs"/>
    <x v="1"/>
    <x v="1"/>
    <n v="8"/>
  </r>
  <r>
    <x v="601"/>
    <s v="cogs:product 2"/>
    <n v="19.989999999999998"/>
    <n v="9"/>
    <n v="179.91"/>
    <s v="cogs"/>
    <x v="2"/>
    <x v="1"/>
    <n v="8"/>
  </r>
  <r>
    <x v="601"/>
    <s v="cogs:product 3"/>
    <n v="8.99"/>
    <n v="207"/>
    <n v="1860.93"/>
    <s v="cogs"/>
    <x v="3"/>
    <x v="1"/>
    <n v="8"/>
  </r>
  <r>
    <x v="601"/>
    <s v="marketing"/>
    <s v="NA"/>
    <s v="NA"/>
    <n v="118.98"/>
    <s v="marketing"/>
    <x v="0"/>
    <x v="1"/>
    <n v="8"/>
  </r>
  <r>
    <x v="601"/>
    <s v="net sales:product 1"/>
    <n v="9.99"/>
    <n v="78"/>
    <n v="779.22"/>
    <s v="net sales"/>
    <x v="1"/>
    <x v="1"/>
    <n v="8"/>
  </r>
  <r>
    <x v="601"/>
    <s v="net sales:product 2"/>
    <n v="24.99"/>
    <n v="9"/>
    <n v="224.91"/>
    <s v="net sales"/>
    <x v="2"/>
    <x v="1"/>
    <n v="8"/>
  </r>
  <r>
    <x v="601"/>
    <s v="net sales:product 3"/>
    <n v="12.49"/>
    <n v="207"/>
    <n v="2585.4299999999998"/>
    <s v="net sales"/>
    <x v="3"/>
    <x v="1"/>
    <n v="8"/>
  </r>
  <r>
    <x v="602"/>
    <s v="cogs:product 1"/>
    <n v="5.49"/>
    <n v="92"/>
    <n v="505.08000000000004"/>
    <s v="cogs"/>
    <x v="1"/>
    <x v="1"/>
    <n v="8"/>
  </r>
  <r>
    <x v="602"/>
    <s v="cogs:product 2"/>
    <n v="19.989999999999998"/>
    <n v="8"/>
    <n v="159.91999999999999"/>
    <s v="cogs"/>
    <x v="2"/>
    <x v="1"/>
    <n v="8"/>
  </r>
  <r>
    <x v="602"/>
    <s v="cogs:product 3"/>
    <n v="8.99"/>
    <n v="2"/>
    <n v="17.98"/>
    <s v="cogs"/>
    <x v="3"/>
    <x v="1"/>
    <n v="8"/>
  </r>
  <r>
    <x v="602"/>
    <s v="marketing"/>
    <s v="NA"/>
    <s v="NA"/>
    <n v="110.93"/>
    <s v="marketing"/>
    <x v="0"/>
    <x v="1"/>
    <n v="8"/>
  </r>
  <r>
    <x v="602"/>
    <s v="net sales:product 1"/>
    <n v="9.99"/>
    <n v="92"/>
    <n v="919.08"/>
    <s v="net sales"/>
    <x v="1"/>
    <x v="1"/>
    <n v="8"/>
  </r>
  <r>
    <x v="602"/>
    <s v="net sales:product 2"/>
    <n v="24.99"/>
    <n v="8"/>
    <n v="199.92"/>
    <s v="net sales"/>
    <x v="2"/>
    <x v="1"/>
    <n v="8"/>
  </r>
  <r>
    <x v="602"/>
    <s v="net sales:product 3"/>
    <n v="12.49"/>
    <n v="2"/>
    <n v="24.98"/>
    <s v="net sales"/>
    <x v="3"/>
    <x v="1"/>
    <n v="8"/>
  </r>
  <r>
    <x v="603"/>
    <s v="cogs:product 1"/>
    <n v="5.49"/>
    <n v="82"/>
    <n v="450.18"/>
    <s v="cogs"/>
    <x v="1"/>
    <x v="1"/>
    <n v="8"/>
  </r>
  <r>
    <x v="603"/>
    <s v="cogs:product 2"/>
    <n v="19.989999999999998"/>
    <n v="2"/>
    <n v="39.979999999999997"/>
    <s v="cogs"/>
    <x v="2"/>
    <x v="1"/>
    <n v="8"/>
  </r>
  <r>
    <x v="603"/>
    <s v="cogs:product 3"/>
    <n v="8.99"/>
    <n v="133"/>
    <n v="1195.67"/>
    <s v="cogs"/>
    <x v="3"/>
    <x v="1"/>
    <n v="8"/>
  </r>
  <r>
    <x v="603"/>
    <s v="marketing"/>
    <s v="NA"/>
    <s v="NA"/>
    <n v="113.94"/>
    <s v="marketing"/>
    <x v="0"/>
    <x v="1"/>
    <n v="8"/>
  </r>
  <r>
    <x v="603"/>
    <s v="net sales:product 1"/>
    <n v="9.99"/>
    <n v="82"/>
    <n v="819.18000000000006"/>
    <s v="net sales"/>
    <x v="1"/>
    <x v="1"/>
    <n v="8"/>
  </r>
  <r>
    <x v="603"/>
    <s v="net sales:product 2"/>
    <n v="24.99"/>
    <n v="2"/>
    <n v="49.98"/>
    <s v="net sales"/>
    <x v="2"/>
    <x v="1"/>
    <n v="8"/>
  </r>
  <r>
    <x v="603"/>
    <s v="net sales:product 3"/>
    <n v="12.49"/>
    <n v="133"/>
    <n v="1661.17"/>
    <s v="net sales"/>
    <x v="3"/>
    <x v="1"/>
    <n v="8"/>
  </r>
  <r>
    <x v="604"/>
    <s v="cogs:product 1"/>
    <n v="5.49"/>
    <n v="71"/>
    <n v="389.79"/>
    <s v="cogs"/>
    <x v="1"/>
    <x v="1"/>
    <n v="8"/>
  </r>
  <r>
    <x v="604"/>
    <s v="cogs:product 2"/>
    <n v="19.989999999999998"/>
    <n v="0"/>
    <n v="0"/>
    <s v="cogs"/>
    <x v="2"/>
    <x v="1"/>
    <n v="8"/>
  </r>
  <r>
    <x v="604"/>
    <s v="cogs:product 3"/>
    <n v="8.99"/>
    <n v="108"/>
    <n v="970.92000000000007"/>
    <s v="cogs"/>
    <x v="3"/>
    <x v="1"/>
    <n v="8"/>
  </r>
  <r>
    <x v="604"/>
    <s v="marketing"/>
    <s v="NA"/>
    <s v="NA"/>
    <n v="119.94"/>
    <s v="marketing"/>
    <x v="0"/>
    <x v="1"/>
    <n v="8"/>
  </r>
  <r>
    <x v="604"/>
    <s v="net sales:product 1"/>
    <n v="9.99"/>
    <n v="71"/>
    <n v="709.29"/>
    <s v="net sales"/>
    <x v="1"/>
    <x v="1"/>
    <n v="8"/>
  </r>
  <r>
    <x v="604"/>
    <s v="net sales:product 2"/>
    <n v="24.99"/>
    <n v="0"/>
    <n v="0"/>
    <s v="net sales"/>
    <x v="2"/>
    <x v="1"/>
    <n v="8"/>
  </r>
  <r>
    <x v="604"/>
    <s v="net sales:product 3"/>
    <n v="12.49"/>
    <n v="108"/>
    <n v="1348.92"/>
    <s v="net sales"/>
    <x v="3"/>
    <x v="1"/>
    <n v="8"/>
  </r>
  <r>
    <x v="605"/>
    <s v="cogs:product 1"/>
    <n v="5.49"/>
    <n v="14"/>
    <n v="76.86"/>
    <s v="cogs"/>
    <x v="1"/>
    <x v="1"/>
    <n v="8"/>
  </r>
  <r>
    <x v="605"/>
    <s v="cogs:product 2"/>
    <n v="19.989999999999998"/>
    <n v="2"/>
    <n v="39.979999999999997"/>
    <s v="cogs"/>
    <x v="2"/>
    <x v="1"/>
    <n v="8"/>
  </r>
  <r>
    <x v="605"/>
    <s v="cogs:product 3"/>
    <n v="8.99"/>
    <n v="231"/>
    <n v="2076.69"/>
    <s v="cogs"/>
    <x v="3"/>
    <x v="1"/>
    <n v="8"/>
  </r>
  <r>
    <x v="605"/>
    <s v="marketing"/>
    <s v="NA"/>
    <s v="NA"/>
    <n v="103.01"/>
    <s v="marketing"/>
    <x v="0"/>
    <x v="1"/>
    <n v="8"/>
  </r>
  <r>
    <x v="605"/>
    <s v="net sales:product 1"/>
    <n v="9.99"/>
    <n v="14"/>
    <n v="139.86000000000001"/>
    <s v="net sales"/>
    <x v="1"/>
    <x v="1"/>
    <n v="8"/>
  </r>
  <r>
    <x v="605"/>
    <s v="net sales:product 2"/>
    <n v="24.99"/>
    <n v="2"/>
    <n v="49.98"/>
    <s v="net sales"/>
    <x v="2"/>
    <x v="1"/>
    <n v="8"/>
  </r>
  <r>
    <x v="605"/>
    <s v="net sales:product 3"/>
    <n v="12.49"/>
    <n v="231"/>
    <n v="2885.19"/>
    <s v="net sales"/>
    <x v="3"/>
    <x v="1"/>
    <n v="8"/>
  </r>
  <r>
    <x v="606"/>
    <s v="cogs:product 1"/>
    <n v="5.49"/>
    <n v="37"/>
    <n v="203.13"/>
    <s v="cogs"/>
    <x v="1"/>
    <x v="1"/>
    <n v="8"/>
  </r>
  <r>
    <x v="606"/>
    <s v="cogs:product 2"/>
    <n v="19.989999999999998"/>
    <n v="3"/>
    <n v="59.97"/>
    <s v="cogs"/>
    <x v="2"/>
    <x v="1"/>
    <n v="8"/>
  </r>
  <r>
    <x v="606"/>
    <s v="cogs:product 3"/>
    <n v="8.99"/>
    <n v="110"/>
    <n v="988.9"/>
    <s v="cogs"/>
    <x v="3"/>
    <x v="1"/>
    <n v="8"/>
  </r>
  <r>
    <x v="606"/>
    <s v="marketing"/>
    <s v="NA"/>
    <s v="NA"/>
    <n v="108.92"/>
    <s v="marketing"/>
    <x v="0"/>
    <x v="1"/>
    <n v="8"/>
  </r>
  <r>
    <x v="606"/>
    <s v="net sales:product 1"/>
    <n v="9.99"/>
    <n v="37"/>
    <n v="369.63"/>
    <s v="net sales"/>
    <x v="1"/>
    <x v="1"/>
    <n v="8"/>
  </r>
  <r>
    <x v="606"/>
    <s v="net sales:product 2"/>
    <n v="24.99"/>
    <n v="3"/>
    <n v="74.97"/>
    <s v="net sales"/>
    <x v="2"/>
    <x v="1"/>
    <n v="8"/>
  </r>
  <r>
    <x v="606"/>
    <s v="net sales:product 3"/>
    <n v="12.49"/>
    <n v="110"/>
    <n v="1373.9"/>
    <s v="net sales"/>
    <x v="3"/>
    <x v="1"/>
    <n v="8"/>
  </r>
  <r>
    <x v="606"/>
    <s v="payroll"/>
    <s v="NA"/>
    <s v="NA"/>
    <n v="1200"/>
    <s v="payroll"/>
    <x v="0"/>
    <x v="1"/>
    <n v="8"/>
  </r>
  <r>
    <x v="607"/>
    <s v="cogs:product 1"/>
    <n v="5.49"/>
    <n v="79"/>
    <n v="433.71000000000004"/>
    <s v="cogs"/>
    <x v="1"/>
    <x v="1"/>
    <n v="8"/>
  </r>
  <r>
    <x v="607"/>
    <s v="cogs:product 2"/>
    <n v="19.989999999999998"/>
    <n v="5"/>
    <n v="99.949999999999989"/>
    <s v="cogs"/>
    <x v="2"/>
    <x v="1"/>
    <n v="8"/>
  </r>
  <r>
    <x v="607"/>
    <s v="cogs:product 3"/>
    <n v="8.99"/>
    <n v="0"/>
    <n v="0"/>
    <s v="cogs"/>
    <x v="3"/>
    <x v="1"/>
    <n v="8"/>
  </r>
  <r>
    <x v="607"/>
    <s v="marketing"/>
    <s v="NA"/>
    <s v="NA"/>
    <n v="111.97"/>
    <s v="marketing"/>
    <x v="0"/>
    <x v="1"/>
    <n v="8"/>
  </r>
  <r>
    <x v="607"/>
    <s v="net sales:product 1"/>
    <n v="9.99"/>
    <n v="79"/>
    <n v="789.21"/>
    <s v="net sales"/>
    <x v="1"/>
    <x v="1"/>
    <n v="8"/>
  </r>
  <r>
    <x v="607"/>
    <s v="net sales:product 2"/>
    <n v="24.99"/>
    <n v="5"/>
    <n v="124.94999999999999"/>
    <s v="net sales"/>
    <x v="2"/>
    <x v="1"/>
    <n v="8"/>
  </r>
  <r>
    <x v="607"/>
    <s v="net sales:product 3"/>
    <n v="12.49"/>
    <n v="0"/>
    <n v="0"/>
    <s v="net sales"/>
    <x v="3"/>
    <x v="1"/>
    <n v="8"/>
  </r>
  <r>
    <x v="608"/>
    <s v="cogs:product 1"/>
    <n v="5.49"/>
    <n v="52"/>
    <n v="285.48"/>
    <s v="cogs"/>
    <x v="1"/>
    <x v="1"/>
    <n v="8"/>
  </r>
  <r>
    <x v="608"/>
    <s v="cogs:product 2"/>
    <n v="19.989999999999998"/>
    <n v="3"/>
    <n v="59.97"/>
    <s v="cogs"/>
    <x v="2"/>
    <x v="1"/>
    <n v="8"/>
  </r>
  <r>
    <x v="608"/>
    <s v="cogs:product 3"/>
    <n v="8.99"/>
    <n v="125"/>
    <n v="1123.75"/>
    <s v="cogs"/>
    <x v="3"/>
    <x v="1"/>
    <n v="8"/>
  </r>
  <r>
    <x v="608"/>
    <s v="marketing"/>
    <s v="NA"/>
    <s v="NA"/>
    <n v="117.99000000000001"/>
    <s v="marketing"/>
    <x v="0"/>
    <x v="1"/>
    <n v="8"/>
  </r>
  <r>
    <x v="608"/>
    <s v="net sales:product 1"/>
    <n v="9.99"/>
    <n v="52"/>
    <n v="519.48"/>
    <s v="net sales"/>
    <x v="1"/>
    <x v="1"/>
    <n v="8"/>
  </r>
  <r>
    <x v="608"/>
    <s v="net sales:product 2"/>
    <n v="24.99"/>
    <n v="3"/>
    <n v="74.97"/>
    <s v="net sales"/>
    <x v="2"/>
    <x v="1"/>
    <n v="8"/>
  </r>
  <r>
    <x v="608"/>
    <s v="net sales:product 3"/>
    <n v="12.49"/>
    <n v="125"/>
    <n v="1561.25"/>
    <s v="net sales"/>
    <x v="3"/>
    <x v="1"/>
    <n v="8"/>
  </r>
  <r>
    <x v="609"/>
    <s v="amortization"/>
    <s v="NA"/>
    <s v="NA"/>
    <n v="50"/>
    <s v="amortization"/>
    <x v="0"/>
    <x v="1"/>
    <n v="9"/>
  </r>
  <r>
    <x v="609"/>
    <s v="cogs:product 1"/>
    <n v="5.49"/>
    <n v="45"/>
    <n v="247.05"/>
    <s v="cogs"/>
    <x v="1"/>
    <x v="1"/>
    <n v="9"/>
  </r>
  <r>
    <x v="609"/>
    <s v="cogs:product 2"/>
    <n v="21.49"/>
    <n v="1"/>
    <n v="21.49"/>
    <s v="cogs"/>
    <x v="2"/>
    <x v="1"/>
    <n v="9"/>
  </r>
  <r>
    <x v="609"/>
    <s v="cogs:product 3"/>
    <n v="8.99"/>
    <n v="192"/>
    <n v="1726.08"/>
    <s v="cogs"/>
    <x v="3"/>
    <x v="1"/>
    <n v="9"/>
  </r>
  <r>
    <x v="609"/>
    <s v="marketing"/>
    <s v="NA"/>
    <s v="NA"/>
    <n v="117.94"/>
    <s v="marketing"/>
    <x v="0"/>
    <x v="1"/>
    <n v="9"/>
  </r>
  <r>
    <x v="609"/>
    <s v="net sales:product 1"/>
    <n v="9.99"/>
    <n v="45"/>
    <n v="449.55"/>
    <s v="net sales"/>
    <x v="1"/>
    <x v="1"/>
    <n v="9"/>
  </r>
  <r>
    <x v="609"/>
    <s v="net sales:product 2"/>
    <n v="24.99"/>
    <n v="1"/>
    <n v="24.99"/>
    <s v="net sales"/>
    <x v="2"/>
    <x v="1"/>
    <n v="9"/>
  </r>
  <r>
    <x v="609"/>
    <s v="net sales:product 3"/>
    <n v="12.49"/>
    <n v="192"/>
    <n v="2398.08"/>
    <s v="net sales"/>
    <x v="3"/>
    <x v="1"/>
    <n v="9"/>
  </r>
  <r>
    <x v="609"/>
    <s v="overhead"/>
    <s v="NA"/>
    <s v="NA"/>
    <n v="2000"/>
    <s v="overhead"/>
    <x v="0"/>
    <x v="1"/>
    <n v="9"/>
  </r>
  <r>
    <x v="610"/>
    <s v="cogs:product 1"/>
    <n v="5.49"/>
    <n v="98"/>
    <n v="538.02"/>
    <s v="cogs"/>
    <x v="1"/>
    <x v="1"/>
    <n v="9"/>
  </r>
  <r>
    <x v="610"/>
    <s v="cogs:product 2"/>
    <n v="21.49"/>
    <n v="7"/>
    <n v="150.42999999999998"/>
    <s v="cogs"/>
    <x v="2"/>
    <x v="1"/>
    <n v="9"/>
  </r>
  <r>
    <x v="610"/>
    <s v="cogs:product 3"/>
    <n v="8.99"/>
    <n v="202"/>
    <n v="1815.98"/>
    <s v="cogs"/>
    <x v="3"/>
    <x v="1"/>
    <n v="9"/>
  </r>
  <r>
    <x v="610"/>
    <s v="marketing"/>
    <s v="NA"/>
    <s v="NA"/>
    <n v="103.01"/>
    <s v="marketing"/>
    <x v="0"/>
    <x v="1"/>
    <n v="9"/>
  </r>
  <r>
    <x v="610"/>
    <s v="net sales:product 1"/>
    <n v="9.99"/>
    <n v="98"/>
    <n v="979.02"/>
    <s v="net sales"/>
    <x v="1"/>
    <x v="1"/>
    <n v="9"/>
  </r>
  <r>
    <x v="610"/>
    <s v="net sales:product 2"/>
    <n v="24.99"/>
    <n v="7"/>
    <n v="174.92999999999998"/>
    <s v="net sales"/>
    <x v="2"/>
    <x v="1"/>
    <n v="9"/>
  </r>
  <r>
    <x v="610"/>
    <s v="net sales:product 3"/>
    <n v="12.49"/>
    <n v="202"/>
    <n v="2522.98"/>
    <s v="net sales"/>
    <x v="3"/>
    <x v="1"/>
    <n v="9"/>
  </r>
  <r>
    <x v="611"/>
    <s v="cogs:product 1"/>
    <n v="5.49"/>
    <n v="51"/>
    <n v="279.99"/>
    <s v="cogs"/>
    <x v="1"/>
    <x v="1"/>
    <n v="9"/>
  </r>
  <r>
    <x v="611"/>
    <s v="cogs:product 2"/>
    <n v="21.49"/>
    <n v="1"/>
    <n v="21.49"/>
    <s v="cogs"/>
    <x v="2"/>
    <x v="1"/>
    <n v="9"/>
  </r>
  <r>
    <x v="611"/>
    <s v="cogs:product 3"/>
    <n v="8.99"/>
    <n v="33"/>
    <n v="296.67"/>
    <s v="cogs"/>
    <x v="3"/>
    <x v="1"/>
    <n v="9"/>
  </r>
  <r>
    <x v="611"/>
    <s v="marketing"/>
    <s v="NA"/>
    <s v="NA"/>
    <n v="108.01"/>
    <s v="marketing"/>
    <x v="0"/>
    <x v="1"/>
    <n v="9"/>
  </r>
  <r>
    <x v="611"/>
    <s v="net sales:product 1"/>
    <n v="9.99"/>
    <n v="51"/>
    <n v="509.49"/>
    <s v="net sales"/>
    <x v="1"/>
    <x v="1"/>
    <n v="9"/>
  </r>
  <r>
    <x v="611"/>
    <s v="net sales:product 2"/>
    <n v="24.99"/>
    <n v="1"/>
    <n v="24.99"/>
    <s v="net sales"/>
    <x v="2"/>
    <x v="1"/>
    <n v="9"/>
  </r>
  <r>
    <x v="611"/>
    <s v="net sales:product 3"/>
    <n v="12.49"/>
    <n v="33"/>
    <n v="412.17"/>
    <s v="net sales"/>
    <x v="3"/>
    <x v="1"/>
    <n v="9"/>
  </r>
  <r>
    <x v="612"/>
    <s v="cogs:product 1"/>
    <n v="5.49"/>
    <n v="16"/>
    <n v="87.84"/>
    <s v="cogs"/>
    <x v="1"/>
    <x v="1"/>
    <n v="9"/>
  </r>
  <r>
    <x v="612"/>
    <s v="cogs:product 2"/>
    <n v="21.49"/>
    <n v="0"/>
    <n v="0"/>
    <s v="cogs"/>
    <x v="2"/>
    <x v="1"/>
    <n v="9"/>
  </r>
  <r>
    <x v="612"/>
    <s v="cogs:product 3"/>
    <n v="8.99"/>
    <n v="41"/>
    <n v="368.59000000000003"/>
    <s v="cogs"/>
    <x v="3"/>
    <x v="1"/>
    <n v="9"/>
  </r>
  <r>
    <x v="612"/>
    <s v="marketing"/>
    <s v="NA"/>
    <s v="NA"/>
    <n v="102.04"/>
    <s v="marketing"/>
    <x v="0"/>
    <x v="1"/>
    <n v="9"/>
  </r>
  <r>
    <x v="612"/>
    <s v="net sales:product 1"/>
    <n v="9.99"/>
    <n v="16"/>
    <n v="159.84"/>
    <s v="net sales"/>
    <x v="1"/>
    <x v="1"/>
    <n v="9"/>
  </r>
  <r>
    <x v="612"/>
    <s v="net sales:product 2"/>
    <n v="24.99"/>
    <n v="0"/>
    <n v="0"/>
    <s v="net sales"/>
    <x v="2"/>
    <x v="1"/>
    <n v="9"/>
  </r>
  <r>
    <x v="612"/>
    <s v="net sales:product 3"/>
    <n v="12.49"/>
    <n v="41"/>
    <n v="512.09"/>
    <s v="net sales"/>
    <x v="3"/>
    <x v="1"/>
    <n v="9"/>
  </r>
  <r>
    <x v="613"/>
    <s v="cogs:product 1"/>
    <n v="5.49"/>
    <n v="11"/>
    <n v="60.39"/>
    <s v="cogs"/>
    <x v="1"/>
    <x v="1"/>
    <n v="9"/>
  </r>
  <r>
    <x v="613"/>
    <s v="cogs:product 2"/>
    <n v="21.49"/>
    <n v="0"/>
    <n v="0"/>
    <s v="cogs"/>
    <x v="2"/>
    <x v="1"/>
    <n v="9"/>
  </r>
  <r>
    <x v="613"/>
    <s v="cogs:product 3"/>
    <n v="8.99"/>
    <n v="88"/>
    <n v="791.12"/>
    <s v="cogs"/>
    <x v="3"/>
    <x v="1"/>
    <n v="9"/>
  </r>
  <r>
    <x v="613"/>
    <s v="marketing"/>
    <s v="NA"/>
    <s v="NA"/>
    <n v="116.07000000000001"/>
    <s v="marketing"/>
    <x v="0"/>
    <x v="1"/>
    <n v="9"/>
  </r>
  <r>
    <x v="613"/>
    <s v="net sales:product 1"/>
    <n v="9.99"/>
    <n v="11"/>
    <n v="109.89"/>
    <s v="net sales"/>
    <x v="1"/>
    <x v="1"/>
    <n v="9"/>
  </r>
  <r>
    <x v="613"/>
    <s v="net sales:product 2"/>
    <n v="24.99"/>
    <n v="0"/>
    <n v="0"/>
    <s v="net sales"/>
    <x v="2"/>
    <x v="1"/>
    <n v="9"/>
  </r>
  <r>
    <x v="613"/>
    <s v="net sales:product 3"/>
    <n v="12.49"/>
    <n v="88"/>
    <n v="1099.1200000000001"/>
    <s v="net sales"/>
    <x v="3"/>
    <x v="1"/>
    <n v="9"/>
  </r>
  <r>
    <x v="614"/>
    <s v="cogs:product 1"/>
    <n v="5.49"/>
    <n v="36"/>
    <n v="197.64000000000001"/>
    <s v="cogs"/>
    <x v="1"/>
    <x v="1"/>
    <n v="9"/>
  </r>
  <r>
    <x v="614"/>
    <s v="cogs:product 2"/>
    <n v="21.49"/>
    <n v="7"/>
    <n v="150.42999999999998"/>
    <s v="cogs"/>
    <x v="2"/>
    <x v="1"/>
    <n v="9"/>
  </r>
  <r>
    <x v="614"/>
    <s v="cogs:product 3"/>
    <n v="8.99"/>
    <n v="147"/>
    <n v="1321.53"/>
    <s v="cogs"/>
    <x v="3"/>
    <x v="1"/>
    <n v="9"/>
  </r>
  <r>
    <x v="614"/>
    <s v="marketing"/>
    <s v="NA"/>
    <s v="NA"/>
    <n v="113.03"/>
    <s v="marketing"/>
    <x v="0"/>
    <x v="1"/>
    <n v="9"/>
  </r>
  <r>
    <x v="614"/>
    <s v="net sales:product 1"/>
    <n v="9.99"/>
    <n v="36"/>
    <n v="359.64"/>
    <s v="net sales"/>
    <x v="1"/>
    <x v="1"/>
    <n v="9"/>
  </r>
  <r>
    <x v="614"/>
    <s v="net sales:product 2"/>
    <n v="24.99"/>
    <n v="7"/>
    <n v="174.92999999999998"/>
    <s v="net sales"/>
    <x v="2"/>
    <x v="1"/>
    <n v="9"/>
  </r>
  <r>
    <x v="614"/>
    <s v="net sales:product 3"/>
    <n v="12.49"/>
    <n v="147"/>
    <n v="1836.03"/>
    <s v="net sales"/>
    <x v="3"/>
    <x v="1"/>
    <n v="9"/>
  </r>
  <r>
    <x v="615"/>
    <s v="cogs:product 1"/>
    <n v="5.49"/>
    <n v="18"/>
    <n v="98.820000000000007"/>
    <s v="cogs"/>
    <x v="1"/>
    <x v="1"/>
    <n v="9"/>
  </r>
  <r>
    <x v="615"/>
    <s v="cogs:product 2"/>
    <n v="21.49"/>
    <n v="4"/>
    <n v="85.96"/>
    <s v="cogs"/>
    <x v="2"/>
    <x v="1"/>
    <n v="9"/>
  </r>
  <r>
    <x v="615"/>
    <s v="cogs:product 3"/>
    <n v="8.99"/>
    <n v="24"/>
    <n v="215.76"/>
    <s v="cogs"/>
    <x v="3"/>
    <x v="1"/>
    <n v="9"/>
  </r>
  <r>
    <x v="615"/>
    <s v="marketing"/>
    <s v="NA"/>
    <s v="NA"/>
    <n v="104.91"/>
    <s v="marketing"/>
    <x v="0"/>
    <x v="1"/>
    <n v="9"/>
  </r>
  <r>
    <x v="615"/>
    <s v="net sales:product 1"/>
    <n v="9.99"/>
    <n v="18"/>
    <n v="179.82"/>
    <s v="net sales"/>
    <x v="1"/>
    <x v="1"/>
    <n v="9"/>
  </r>
  <r>
    <x v="615"/>
    <s v="net sales:product 2"/>
    <n v="24.99"/>
    <n v="4"/>
    <n v="99.96"/>
    <s v="net sales"/>
    <x v="2"/>
    <x v="1"/>
    <n v="9"/>
  </r>
  <r>
    <x v="615"/>
    <s v="net sales:product 3"/>
    <n v="12.49"/>
    <n v="24"/>
    <n v="299.76"/>
    <s v="net sales"/>
    <x v="3"/>
    <x v="1"/>
    <n v="9"/>
  </r>
  <r>
    <x v="616"/>
    <s v="cogs:product 1"/>
    <n v="5.49"/>
    <n v="36"/>
    <n v="197.64000000000001"/>
    <s v="cogs"/>
    <x v="1"/>
    <x v="1"/>
    <n v="9"/>
  </r>
  <r>
    <x v="616"/>
    <s v="cogs:product 2"/>
    <n v="21.49"/>
    <n v="5"/>
    <n v="107.44999999999999"/>
    <s v="cogs"/>
    <x v="2"/>
    <x v="1"/>
    <n v="9"/>
  </r>
  <r>
    <x v="616"/>
    <s v="cogs:product 3"/>
    <n v="8.99"/>
    <n v="86"/>
    <n v="773.14"/>
    <s v="cogs"/>
    <x v="3"/>
    <x v="1"/>
    <n v="9"/>
  </r>
  <r>
    <x v="616"/>
    <s v="marketing"/>
    <s v="NA"/>
    <s v="NA"/>
    <n v="101.04"/>
    <s v="marketing"/>
    <x v="0"/>
    <x v="1"/>
    <n v="9"/>
  </r>
  <r>
    <x v="616"/>
    <s v="net sales:product 1"/>
    <n v="9.99"/>
    <n v="36"/>
    <n v="359.64"/>
    <s v="net sales"/>
    <x v="1"/>
    <x v="1"/>
    <n v="9"/>
  </r>
  <r>
    <x v="616"/>
    <s v="net sales:product 2"/>
    <n v="24.99"/>
    <n v="5"/>
    <n v="124.94999999999999"/>
    <s v="net sales"/>
    <x v="2"/>
    <x v="1"/>
    <n v="9"/>
  </r>
  <r>
    <x v="616"/>
    <s v="net sales:product 3"/>
    <n v="12.49"/>
    <n v="86"/>
    <n v="1074.1400000000001"/>
    <s v="net sales"/>
    <x v="3"/>
    <x v="1"/>
    <n v="9"/>
  </r>
  <r>
    <x v="617"/>
    <s v="cogs:product 1"/>
    <n v="5.49"/>
    <n v="42"/>
    <n v="230.58"/>
    <s v="cogs"/>
    <x v="1"/>
    <x v="1"/>
    <n v="9"/>
  </r>
  <r>
    <x v="617"/>
    <s v="cogs:product 2"/>
    <n v="21.49"/>
    <n v="3"/>
    <n v="64.47"/>
    <s v="cogs"/>
    <x v="2"/>
    <x v="1"/>
    <n v="9"/>
  </r>
  <r>
    <x v="617"/>
    <s v="cogs:product 3"/>
    <n v="8.99"/>
    <n v="151"/>
    <n v="1357.49"/>
    <s v="cogs"/>
    <x v="3"/>
    <x v="1"/>
    <n v="9"/>
  </r>
  <r>
    <x v="617"/>
    <s v="marketing"/>
    <s v="NA"/>
    <s v="NA"/>
    <n v="108.04"/>
    <s v="marketing"/>
    <x v="0"/>
    <x v="1"/>
    <n v="9"/>
  </r>
  <r>
    <x v="617"/>
    <s v="net sales:product 1"/>
    <n v="9.99"/>
    <n v="42"/>
    <n v="419.58"/>
    <s v="net sales"/>
    <x v="1"/>
    <x v="1"/>
    <n v="9"/>
  </r>
  <r>
    <x v="617"/>
    <s v="net sales:product 2"/>
    <n v="24.99"/>
    <n v="3"/>
    <n v="74.97"/>
    <s v="net sales"/>
    <x v="2"/>
    <x v="1"/>
    <n v="9"/>
  </r>
  <r>
    <x v="617"/>
    <s v="net sales:product 3"/>
    <n v="12.49"/>
    <n v="151"/>
    <n v="1885.99"/>
    <s v="net sales"/>
    <x v="3"/>
    <x v="1"/>
    <n v="9"/>
  </r>
  <r>
    <x v="618"/>
    <s v="cogs:product 1"/>
    <n v="5.49"/>
    <n v="86"/>
    <n v="472.14000000000004"/>
    <s v="cogs"/>
    <x v="1"/>
    <x v="1"/>
    <n v="9"/>
  </r>
  <r>
    <x v="618"/>
    <s v="cogs:product 2"/>
    <n v="21.49"/>
    <n v="4"/>
    <n v="85.96"/>
    <s v="cogs"/>
    <x v="2"/>
    <x v="1"/>
    <n v="9"/>
  </r>
  <r>
    <x v="618"/>
    <s v="cogs:product 3"/>
    <n v="8.99"/>
    <n v="0"/>
    <n v="0"/>
    <s v="cogs"/>
    <x v="3"/>
    <x v="1"/>
    <n v="9"/>
  </r>
  <r>
    <x v="618"/>
    <s v="marketing"/>
    <s v="NA"/>
    <s v="NA"/>
    <n v="111.99000000000001"/>
    <s v="marketing"/>
    <x v="0"/>
    <x v="1"/>
    <n v="9"/>
  </r>
  <r>
    <x v="618"/>
    <s v="net sales:product 1"/>
    <n v="9.99"/>
    <n v="86"/>
    <n v="859.14"/>
    <s v="net sales"/>
    <x v="1"/>
    <x v="1"/>
    <n v="9"/>
  </r>
  <r>
    <x v="618"/>
    <s v="net sales:product 2"/>
    <n v="24.99"/>
    <n v="4"/>
    <n v="99.96"/>
    <s v="net sales"/>
    <x v="2"/>
    <x v="1"/>
    <n v="9"/>
  </r>
  <r>
    <x v="618"/>
    <s v="net sales:product 3"/>
    <n v="12.49"/>
    <n v="0"/>
    <n v="0"/>
    <s v="net sales"/>
    <x v="3"/>
    <x v="1"/>
    <n v="9"/>
  </r>
  <r>
    <x v="619"/>
    <s v="cogs:product 1"/>
    <n v="5.49"/>
    <n v="86"/>
    <n v="472.14000000000004"/>
    <s v="cogs"/>
    <x v="1"/>
    <x v="1"/>
    <n v="9"/>
  </r>
  <r>
    <x v="619"/>
    <s v="cogs:product 2"/>
    <n v="21.49"/>
    <n v="0"/>
    <n v="0"/>
    <s v="cogs"/>
    <x v="2"/>
    <x v="1"/>
    <n v="9"/>
  </r>
  <r>
    <x v="619"/>
    <s v="cogs:product 3"/>
    <n v="8.99"/>
    <n v="109"/>
    <n v="979.91"/>
    <s v="cogs"/>
    <x v="3"/>
    <x v="1"/>
    <n v="9"/>
  </r>
  <r>
    <x v="619"/>
    <s v="marketing"/>
    <s v="NA"/>
    <s v="NA"/>
    <n v="118.07000000000001"/>
    <s v="marketing"/>
    <x v="0"/>
    <x v="1"/>
    <n v="9"/>
  </r>
  <r>
    <x v="619"/>
    <s v="net sales:product 1"/>
    <n v="9.99"/>
    <n v="86"/>
    <n v="859.14"/>
    <s v="net sales"/>
    <x v="1"/>
    <x v="1"/>
    <n v="9"/>
  </r>
  <r>
    <x v="619"/>
    <s v="net sales:product 2"/>
    <n v="24.99"/>
    <n v="0"/>
    <n v="0"/>
    <s v="net sales"/>
    <x v="2"/>
    <x v="1"/>
    <n v="9"/>
  </r>
  <r>
    <x v="619"/>
    <s v="net sales:product 3"/>
    <n v="12.49"/>
    <n v="109"/>
    <n v="1361.41"/>
    <s v="net sales"/>
    <x v="3"/>
    <x v="1"/>
    <n v="9"/>
  </r>
  <r>
    <x v="620"/>
    <s v="cogs:product 1"/>
    <n v="5.49"/>
    <n v="77"/>
    <n v="422.73"/>
    <s v="cogs"/>
    <x v="1"/>
    <x v="1"/>
    <n v="9"/>
  </r>
  <r>
    <x v="620"/>
    <s v="cogs:product 2"/>
    <n v="21.49"/>
    <n v="1"/>
    <n v="21.49"/>
    <s v="cogs"/>
    <x v="2"/>
    <x v="1"/>
    <n v="9"/>
  </r>
  <r>
    <x v="620"/>
    <s v="cogs:product 3"/>
    <n v="8.99"/>
    <n v="100"/>
    <n v="899"/>
    <s v="cogs"/>
    <x v="3"/>
    <x v="1"/>
    <n v="9"/>
  </r>
  <r>
    <x v="620"/>
    <s v="marketing"/>
    <s v="NA"/>
    <s v="NA"/>
    <n v="107.96000000000001"/>
    <s v="marketing"/>
    <x v="0"/>
    <x v="1"/>
    <n v="9"/>
  </r>
  <r>
    <x v="620"/>
    <s v="net sales:product 1"/>
    <n v="9.99"/>
    <n v="77"/>
    <n v="769.23"/>
    <s v="net sales"/>
    <x v="1"/>
    <x v="1"/>
    <n v="9"/>
  </r>
  <r>
    <x v="620"/>
    <s v="net sales:product 2"/>
    <n v="24.99"/>
    <n v="1"/>
    <n v="24.99"/>
    <s v="net sales"/>
    <x v="2"/>
    <x v="1"/>
    <n v="9"/>
  </r>
  <r>
    <x v="620"/>
    <s v="net sales:product 3"/>
    <n v="12.49"/>
    <n v="100"/>
    <n v="1249"/>
    <s v="net sales"/>
    <x v="3"/>
    <x v="1"/>
    <n v="9"/>
  </r>
  <r>
    <x v="620"/>
    <s v="payroll"/>
    <s v="NA"/>
    <s v="NA"/>
    <n v="1200"/>
    <s v="payroll"/>
    <x v="0"/>
    <x v="1"/>
    <n v="9"/>
  </r>
  <r>
    <x v="621"/>
    <s v="cogs:product 1"/>
    <n v="5.49"/>
    <n v="47"/>
    <n v="258.03000000000003"/>
    <s v="cogs"/>
    <x v="1"/>
    <x v="1"/>
    <n v="9"/>
  </r>
  <r>
    <x v="621"/>
    <s v="cogs:product 2"/>
    <n v="21.49"/>
    <n v="3"/>
    <n v="64.47"/>
    <s v="cogs"/>
    <x v="2"/>
    <x v="1"/>
    <n v="9"/>
  </r>
  <r>
    <x v="621"/>
    <s v="cogs:product 3"/>
    <n v="8.99"/>
    <n v="31"/>
    <n v="278.69"/>
    <s v="cogs"/>
    <x v="3"/>
    <x v="1"/>
    <n v="9"/>
  </r>
  <r>
    <x v="621"/>
    <s v="marketing"/>
    <s v="NA"/>
    <s v="NA"/>
    <n v="112.9"/>
    <s v="marketing"/>
    <x v="0"/>
    <x v="1"/>
    <n v="9"/>
  </r>
  <r>
    <x v="621"/>
    <s v="net sales:product 1"/>
    <n v="9.99"/>
    <n v="47"/>
    <n v="469.53000000000003"/>
    <s v="net sales"/>
    <x v="1"/>
    <x v="1"/>
    <n v="9"/>
  </r>
  <r>
    <x v="621"/>
    <s v="net sales:product 2"/>
    <n v="24.99"/>
    <n v="3"/>
    <n v="74.97"/>
    <s v="net sales"/>
    <x v="2"/>
    <x v="1"/>
    <n v="9"/>
  </r>
  <r>
    <x v="621"/>
    <s v="net sales:product 3"/>
    <n v="12.49"/>
    <n v="31"/>
    <n v="387.19"/>
    <s v="net sales"/>
    <x v="3"/>
    <x v="1"/>
    <n v="9"/>
  </r>
  <r>
    <x v="622"/>
    <s v="cogs:product 1"/>
    <n v="5.49"/>
    <n v="52"/>
    <n v="285.48"/>
    <s v="cogs"/>
    <x v="1"/>
    <x v="1"/>
    <n v="9"/>
  </r>
  <r>
    <x v="622"/>
    <s v="cogs:product 2"/>
    <n v="21.49"/>
    <n v="3"/>
    <n v="64.47"/>
    <s v="cogs"/>
    <x v="2"/>
    <x v="1"/>
    <n v="9"/>
  </r>
  <r>
    <x v="622"/>
    <s v="cogs:product 3"/>
    <n v="8.99"/>
    <n v="0"/>
    <n v="0"/>
    <s v="cogs"/>
    <x v="3"/>
    <x v="1"/>
    <n v="9"/>
  </r>
  <r>
    <x v="622"/>
    <s v="marketing"/>
    <s v="NA"/>
    <s v="NA"/>
    <n v="107.09"/>
    <s v="marketing"/>
    <x v="0"/>
    <x v="1"/>
    <n v="9"/>
  </r>
  <r>
    <x v="622"/>
    <s v="net sales:product 1"/>
    <n v="9.99"/>
    <n v="52"/>
    <n v="519.48"/>
    <s v="net sales"/>
    <x v="1"/>
    <x v="1"/>
    <n v="9"/>
  </r>
  <r>
    <x v="622"/>
    <s v="net sales:product 2"/>
    <n v="24.99"/>
    <n v="3"/>
    <n v="74.97"/>
    <s v="net sales"/>
    <x v="2"/>
    <x v="1"/>
    <n v="9"/>
  </r>
  <r>
    <x v="622"/>
    <s v="net sales:product 3"/>
    <n v="12.49"/>
    <n v="0"/>
    <n v="0"/>
    <s v="net sales"/>
    <x v="3"/>
    <x v="1"/>
    <n v="9"/>
  </r>
  <r>
    <x v="623"/>
    <s v="cogs:product 1"/>
    <n v="5.49"/>
    <n v="67"/>
    <n v="367.83000000000004"/>
    <s v="cogs"/>
    <x v="1"/>
    <x v="1"/>
    <n v="9"/>
  </r>
  <r>
    <x v="623"/>
    <s v="cogs:product 2"/>
    <n v="21.49"/>
    <n v="0"/>
    <n v="0"/>
    <s v="cogs"/>
    <x v="2"/>
    <x v="1"/>
    <n v="9"/>
  </r>
  <r>
    <x v="623"/>
    <s v="cogs:product 3"/>
    <n v="8.99"/>
    <n v="18"/>
    <n v="161.82"/>
    <s v="cogs"/>
    <x v="3"/>
    <x v="1"/>
    <n v="9"/>
  </r>
  <r>
    <x v="623"/>
    <s v="interest"/>
    <s v="NA"/>
    <s v="NA"/>
    <n v="1254.28"/>
    <s v="interest"/>
    <x v="0"/>
    <x v="1"/>
    <n v="9"/>
  </r>
  <r>
    <x v="623"/>
    <s v="marketing"/>
    <s v="NA"/>
    <s v="NA"/>
    <n v="119.06"/>
    <s v="marketing"/>
    <x v="0"/>
    <x v="1"/>
    <n v="9"/>
  </r>
  <r>
    <x v="623"/>
    <s v="net sales:product 1"/>
    <n v="9.99"/>
    <n v="67"/>
    <n v="669.33"/>
    <s v="net sales"/>
    <x v="1"/>
    <x v="1"/>
    <n v="9"/>
  </r>
  <r>
    <x v="623"/>
    <s v="net sales:product 2"/>
    <n v="24.99"/>
    <n v="0"/>
    <n v="0"/>
    <s v="net sales"/>
    <x v="2"/>
    <x v="1"/>
    <n v="9"/>
  </r>
  <r>
    <x v="623"/>
    <s v="net sales:product 3"/>
    <n v="12.49"/>
    <n v="18"/>
    <n v="224.82"/>
    <s v="net sales"/>
    <x v="3"/>
    <x v="1"/>
    <n v="9"/>
  </r>
  <r>
    <x v="623"/>
    <s v="overhead"/>
    <s v="NA"/>
    <s v="NA"/>
    <n v="313.57"/>
    <s v="overhead"/>
    <x v="0"/>
    <x v="1"/>
    <n v="9"/>
  </r>
  <r>
    <x v="624"/>
    <s v="cogs:product 1"/>
    <n v="5.49"/>
    <n v="78"/>
    <n v="428.22"/>
    <s v="cogs"/>
    <x v="1"/>
    <x v="1"/>
    <n v="9"/>
  </r>
  <r>
    <x v="624"/>
    <s v="cogs:product 2"/>
    <n v="21.49"/>
    <n v="1"/>
    <n v="21.49"/>
    <s v="cogs"/>
    <x v="2"/>
    <x v="1"/>
    <n v="9"/>
  </r>
  <r>
    <x v="624"/>
    <s v="cogs:product 3"/>
    <n v="8.99"/>
    <n v="167"/>
    <n v="1501.33"/>
    <s v="cogs"/>
    <x v="3"/>
    <x v="1"/>
    <n v="9"/>
  </r>
  <r>
    <x v="624"/>
    <s v="marketing"/>
    <s v="NA"/>
    <s v="NA"/>
    <n v="109.03"/>
    <s v="marketing"/>
    <x v="0"/>
    <x v="1"/>
    <n v="9"/>
  </r>
  <r>
    <x v="624"/>
    <s v="net sales:product 1"/>
    <n v="9.99"/>
    <n v="78"/>
    <n v="779.22"/>
    <s v="net sales"/>
    <x v="1"/>
    <x v="1"/>
    <n v="9"/>
  </r>
  <r>
    <x v="624"/>
    <s v="net sales:product 2"/>
    <n v="24.99"/>
    <n v="1"/>
    <n v="24.99"/>
    <s v="net sales"/>
    <x v="2"/>
    <x v="1"/>
    <n v="9"/>
  </r>
  <r>
    <x v="624"/>
    <s v="net sales:product 3"/>
    <n v="12.49"/>
    <n v="167"/>
    <n v="2085.83"/>
    <s v="net sales"/>
    <x v="3"/>
    <x v="1"/>
    <n v="9"/>
  </r>
  <r>
    <x v="625"/>
    <s v="cogs:product 1"/>
    <n v="5.49"/>
    <n v="76"/>
    <n v="417.24"/>
    <s v="cogs"/>
    <x v="1"/>
    <x v="1"/>
    <n v="9"/>
  </r>
  <r>
    <x v="625"/>
    <s v="cogs:product 2"/>
    <n v="21.49"/>
    <n v="6"/>
    <n v="128.94"/>
    <s v="cogs"/>
    <x v="2"/>
    <x v="1"/>
    <n v="9"/>
  </r>
  <r>
    <x v="625"/>
    <s v="cogs:product 3"/>
    <n v="8.99"/>
    <n v="202"/>
    <n v="1815.98"/>
    <s v="cogs"/>
    <x v="3"/>
    <x v="1"/>
    <n v="9"/>
  </r>
  <r>
    <x v="625"/>
    <s v="marketing"/>
    <s v="NA"/>
    <s v="NA"/>
    <n v="102.97"/>
    <s v="marketing"/>
    <x v="0"/>
    <x v="1"/>
    <n v="9"/>
  </r>
  <r>
    <x v="625"/>
    <s v="net sales:product 1"/>
    <n v="9.99"/>
    <n v="76"/>
    <n v="759.24"/>
    <s v="net sales"/>
    <x v="1"/>
    <x v="1"/>
    <n v="9"/>
  </r>
  <r>
    <x v="625"/>
    <s v="net sales:product 2"/>
    <n v="24.99"/>
    <n v="6"/>
    <n v="149.94"/>
    <s v="net sales"/>
    <x v="2"/>
    <x v="1"/>
    <n v="9"/>
  </r>
  <r>
    <x v="625"/>
    <s v="net sales:product 3"/>
    <n v="12.49"/>
    <n v="202"/>
    <n v="2522.98"/>
    <s v="net sales"/>
    <x v="3"/>
    <x v="1"/>
    <n v="9"/>
  </r>
  <r>
    <x v="626"/>
    <s v="cogs:product 1"/>
    <n v="5.49"/>
    <n v="97"/>
    <n v="532.53"/>
    <s v="cogs"/>
    <x v="1"/>
    <x v="1"/>
    <n v="9"/>
  </r>
  <r>
    <x v="626"/>
    <s v="cogs:product 2"/>
    <n v="21.49"/>
    <n v="4"/>
    <n v="85.96"/>
    <s v="cogs"/>
    <x v="2"/>
    <x v="1"/>
    <n v="9"/>
  </r>
  <r>
    <x v="626"/>
    <s v="cogs:product 3"/>
    <n v="8.99"/>
    <n v="153"/>
    <n v="1375.47"/>
    <s v="cogs"/>
    <x v="3"/>
    <x v="1"/>
    <n v="9"/>
  </r>
  <r>
    <x v="626"/>
    <s v="marketing"/>
    <s v="NA"/>
    <s v="NA"/>
    <n v="101.08"/>
    <s v="marketing"/>
    <x v="0"/>
    <x v="1"/>
    <n v="9"/>
  </r>
  <r>
    <x v="626"/>
    <s v="net sales:product 1"/>
    <n v="9.99"/>
    <n v="97"/>
    <n v="969.03"/>
    <s v="net sales"/>
    <x v="1"/>
    <x v="1"/>
    <n v="9"/>
  </r>
  <r>
    <x v="626"/>
    <s v="net sales:product 2"/>
    <n v="24.99"/>
    <n v="4"/>
    <n v="99.96"/>
    <s v="net sales"/>
    <x v="2"/>
    <x v="1"/>
    <n v="9"/>
  </r>
  <r>
    <x v="626"/>
    <s v="net sales:product 3"/>
    <n v="12.49"/>
    <n v="153"/>
    <n v="1910.97"/>
    <s v="net sales"/>
    <x v="3"/>
    <x v="1"/>
    <n v="9"/>
  </r>
  <r>
    <x v="627"/>
    <s v="cogs:product 1"/>
    <n v="5.49"/>
    <n v="85"/>
    <n v="466.65000000000003"/>
    <s v="cogs"/>
    <x v="1"/>
    <x v="1"/>
    <n v="9"/>
  </r>
  <r>
    <x v="627"/>
    <s v="cogs:product 2"/>
    <n v="21.49"/>
    <n v="3"/>
    <n v="64.47"/>
    <s v="cogs"/>
    <x v="2"/>
    <x v="1"/>
    <n v="9"/>
  </r>
  <r>
    <x v="627"/>
    <s v="cogs:product 3"/>
    <n v="8.99"/>
    <n v="207"/>
    <n v="1860.93"/>
    <s v="cogs"/>
    <x v="3"/>
    <x v="1"/>
    <n v="9"/>
  </r>
  <r>
    <x v="627"/>
    <s v="marketing"/>
    <s v="NA"/>
    <s v="NA"/>
    <n v="104.08"/>
    <s v="marketing"/>
    <x v="0"/>
    <x v="1"/>
    <n v="9"/>
  </r>
  <r>
    <x v="627"/>
    <s v="net sales:product 1"/>
    <n v="9.99"/>
    <n v="85"/>
    <n v="849.15"/>
    <s v="net sales"/>
    <x v="1"/>
    <x v="1"/>
    <n v="9"/>
  </r>
  <r>
    <x v="627"/>
    <s v="net sales:product 2"/>
    <n v="24.99"/>
    <n v="3"/>
    <n v="74.97"/>
    <s v="net sales"/>
    <x v="2"/>
    <x v="1"/>
    <n v="9"/>
  </r>
  <r>
    <x v="627"/>
    <s v="net sales:product 3"/>
    <n v="12.49"/>
    <n v="207"/>
    <n v="2585.4299999999998"/>
    <s v="net sales"/>
    <x v="3"/>
    <x v="1"/>
    <n v="9"/>
  </r>
  <r>
    <x v="628"/>
    <s v="cogs:product 1"/>
    <n v="5.49"/>
    <n v="73"/>
    <n v="400.77000000000004"/>
    <s v="cogs"/>
    <x v="1"/>
    <x v="1"/>
    <n v="9"/>
  </r>
  <r>
    <x v="628"/>
    <s v="cogs:product 2"/>
    <n v="21.49"/>
    <n v="0"/>
    <n v="0"/>
    <s v="cogs"/>
    <x v="2"/>
    <x v="1"/>
    <n v="9"/>
  </r>
  <r>
    <x v="628"/>
    <s v="cogs:product 3"/>
    <n v="8.99"/>
    <n v="226"/>
    <n v="2031.74"/>
    <s v="cogs"/>
    <x v="3"/>
    <x v="1"/>
    <n v="9"/>
  </r>
  <r>
    <x v="628"/>
    <s v="marketing"/>
    <s v="NA"/>
    <s v="NA"/>
    <n v="115.06"/>
    <s v="marketing"/>
    <x v="0"/>
    <x v="1"/>
    <n v="9"/>
  </r>
  <r>
    <x v="628"/>
    <s v="net sales:product 1"/>
    <n v="9.99"/>
    <n v="73"/>
    <n v="729.27"/>
    <s v="net sales"/>
    <x v="1"/>
    <x v="1"/>
    <n v="9"/>
  </r>
  <r>
    <x v="628"/>
    <s v="net sales:product 2"/>
    <n v="24.99"/>
    <n v="0"/>
    <n v="0"/>
    <s v="net sales"/>
    <x v="2"/>
    <x v="1"/>
    <n v="9"/>
  </r>
  <r>
    <x v="628"/>
    <s v="net sales:product 3"/>
    <n v="12.49"/>
    <n v="226"/>
    <n v="2822.7400000000002"/>
    <s v="net sales"/>
    <x v="3"/>
    <x v="1"/>
    <n v="9"/>
  </r>
  <r>
    <x v="629"/>
    <s v="cogs:product 1"/>
    <n v="5.49"/>
    <n v="66"/>
    <n v="362.34000000000003"/>
    <s v="cogs"/>
    <x v="1"/>
    <x v="1"/>
    <n v="9"/>
  </r>
  <r>
    <x v="629"/>
    <s v="cogs:product 2"/>
    <n v="21.49"/>
    <n v="5"/>
    <n v="107.44999999999999"/>
    <s v="cogs"/>
    <x v="2"/>
    <x v="1"/>
    <n v="9"/>
  </r>
  <r>
    <x v="629"/>
    <s v="cogs:product 3"/>
    <n v="8.99"/>
    <n v="75"/>
    <n v="674.25"/>
    <s v="cogs"/>
    <x v="3"/>
    <x v="1"/>
    <n v="9"/>
  </r>
  <r>
    <x v="629"/>
    <s v="marketing"/>
    <s v="NA"/>
    <s v="NA"/>
    <n v="111"/>
    <s v="marketing"/>
    <x v="0"/>
    <x v="1"/>
    <n v="9"/>
  </r>
  <r>
    <x v="629"/>
    <s v="net sales:product 1"/>
    <n v="9.99"/>
    <n v="66"/>
    <n v="659.34"/>
    <s v="net sales"/>
    <x v="1"/>
    <x v="1"/>
    <n v="9"/>
  </r>
  <r>
    <x v="629"/>
    <s v="net sales:product 2"/>
    <n v="24.99"/>
    <n v="5"/>
    <n v="124.94999999999999"/>
    <s v="net sales"/>
    <x v="2"/>
    <x v="1"/>
    <n v="9"/>
  </r>
  <r>
    <x v="629"/>
    <s v="net sales:product 3"/>
    <n v="12.49"/>
    <n v="75"/>
    <n v="936.75"/>
    <s v="net sales"/>
    <x v="3"/>
    <x v="1"/>
    <n v="9"/>
  </r>
  <r>
    <x v="630"/>
    <s v="cogs:product 1"/>
    <n v="5.49"/>
    <n v="103"/>
    <n v="565.47"/>
    <s v="cogs"/>
    <x v="1"/>
    <x v="1"/>
    <n v="9"/>
  </r>
  <r>
    <x v="630"/>
    <s v="cogs:product 2"/>
    <n v="21.49"/>
    <n v="0"/>
    <n v="0"/>
    <s v="cogs"/>
    <x v="2"/>
    <x v="1"/>
    <n v="9"/>
  </r>
  <r>
    <x v="630"/>
    <s v="cogs:product 3"/>
    <n v="8.99"/>
    <n v="220"/>
    <n v="1977.8"/>
    <s v="cogs"/>
    <x v="3"/>
    <x v="1"/>
    <n v="9"/>
  </r>
  <r>
    <x v="630"/>
    <s v="marketing"/>
    <s v="NA"/>
    <s v="NA"/>
    <n v="101.06"/>
    <s v="marketing"/>
    <x v="0"/>
    <x v="1"/>
    <n v="9"/>
  </r>
  <r>
    <x v="630"/>
    <s v="net sales:product 1"/>
    <n v="9.99"/>
    <n v="103"/>
    <n v="1028.97"/>
    <s v="net sales"/>
    <x v="1"/>
    <x v="1"/>
    <n v="9"/>
  </r>
  <r>
    <x v="630"/>
    <s v="net sales:product 2"/>
    <n v="24.99"/>
    <n v="0"/>
    <n v="0"/>
    <s v="net sales"/>
    <x v="2"/>
    <x v="1"/>
    <n v="9"/>
  </r>
  <r>
    <x v="630"/>
    <s v="net sales:product 3"/>
    <n v="12.49"/>
    <n v="220"/>
    <n v="2747.8"/>
    <s v="net sales"/>
    <x v="3"/>
    <x v="1"/>
    <n v="9"/>
  </r>
  <r>
    <x v="631"/>
    <s v="cogs:product 1"/>
    <n v="5.49"/>
    <n v="26"/>
    <n v="142.74"/>
    <s v="cogs"/>
    <x v="1"/>
    <x v="1"/>
    <n v="9"/>
  </r>
  <r>
    <x v="631"/>
    <s v="cogs:product 2"/>
    <n v="21.49"/>
    <n v="2"/>
    <n v="42.98"/>
    <s v="cogs"/>
    <x v="2"/>
    <x v="1"/>
    <n v="9"/>
  </r>
  <r>
    <x v="631"/>
    <s v="cogs:product 3"/>
    <n v="8.99"/>
    <n v="215"/>
    <n v="1932.8500000000001"/>
    <s v="cogs"/>
    <x v="3"/>
    <x v="1"/>
    <n v="9"/>
  </r>
  <r>
    <x v="631"/>
    <s v="marketing"/>
    <s v="NA"/>
    <s v="NA"/>
    <n v="114.98"/>
    <s v="marketing"/>
    <x v="0"/>
    <x v="1"/>
    <n v="9"/>
  </r>
  <r>
    <x v="631"/>
    <s v="net sales:product 1"/>
    <n v="9.99"/>
    <n v="26"/>
    <n v="259.74"/>
    <s v="net sales"/>
    <x v="1"/>
    <x v="1"/>
    <n v="9"/>
  </r>
  <r>
    <x v="631"/>
    <s v="net sales:product 2"/>
    <n v="24.99"/>
    <n v="2"/>
    <n v="49.98"/>
    <s v="net sales"/>
    <x v="2"/>
    <x v="1"/>
    <n v="9"/>
  </r>
  <r>
    <x v="631"/>
    <s v="net sales:product 3"/>
    <n v="12.49"/>
    <n v="215"/>
    <n v="2685.35"/>
    <s v="net sales"/>
    <x v="3"/>
    <x v="1"/>
    <n v="9"/>
  </r>
  <r>
    <x v="632"/>
    <s v="cogs:product 1"/>
    <n v="5.49"/>
    <n v="80"/>
    <n v="439.20000000000005"/>
    <s v="cogs"/>
    <x v="1"/>
    <x v="1"/>
    <n v="9"/>
  </r>
  <r>
    <x v="632"/>
    <s v="cogs:product 2"/>
    <n v="21.49"/>
    <n v="7"/>
    <n v="150.42999999999998"/>
    <s v="cogs"/>
    <x v="2"/>
    <x v="1"/>
    <n v="9"/>
  </r>
  <r>
    <x v="632"/>
    <s v="cogs:product 3"/>
    <n v="8.99"/>
    <n v="218"/>
    <n v="1959.82"/>
    <s v="cogs"/>
    <x v="3"/>
    <x v="1"/>
    <n v="9"/>
  </r>
  <r>
    <x v="632"/>
    <s v="marketing"/>
    <s v="NA"/>
    <s v="NA"/>
    <n v="112.92"/>
    <s v="marketing"/>
    <x v="0"/>
    <x v="1"/>
    <n v="9"/>
  </r>
  <r>
    <x v="632"/>
    <s v="net sales:product 1"/>
    <n v="9.99"/>
    <n v="80"/>
    <n v="799.2"/>
    <s v="net sales"/>
    <x v="1"/>
    <x v="1"/>
    <n v="9"/>
  </r>
  <r>
    <x v="632"/>
    <s v="net sales:product 2"/>
    <n v="24.99"/>
    <n v="7"/>
    <n v="174.92999999999998"/>
    <s v="net sales"/>
    <x v="2"/>
    <x v="1"/>
    <n v="9"/>
  </r>
  <r>
    <x v="632"/>
    <s v="net sales:product 3"/>
    <n v="12.49"/>
    <n v="218"/>
    <n v="2722.82"/>
    <s v="net sales"/>
    <x v="3"/>
    <x v="1"/>
    <n v="9"/>
  </r>
  <r>
    <x v="633"/>
    <s v="cogs:product 1"/>
    <n v="5.49"/>
    <n v="42"/>
    <n v="230.58"/>
    <s v="cogs"/>
    <x v="1"/>
    <x v="1"/>
    <n v="9"/>
  </r>
  <r>
    <x v="633"/>
    <s v="cogs:product 2"/>
    <n v="21.49"/>
    <n v="2"/>
    <n v="42.98"/>
    <s v="cogs"/>
    <x v="2"/>
    <x v="1"/>
    <n v="9"/>
  </r>
  <r>
    <x v="633"/>
    <s v="cogs:product 3"/>
    <n v="8.99"/>
    <n v="113"/>
    <n v="1015.87"/>
    <s v="cogs"/>
    <x v="3"/>
    <x v="1"/>
    <n v="9"/>
  </r>
  <r>
    <x v="633"/>
    <s v="marketing"/>
    <s v="NA"/>
    <s v="NA"/>
    <n v="107.97"/>
    <s v="marketing"/>
    <x v="0"/>
    <x v="1"/>
    <n v="9"/>
  </r>
  <r>
    <x v="633"/>
    <s v="net sales:product 1"/>
    <n v="9.99"/>
    <n v="42"/>
    <n v="419.58"/>
    <s v="net sales"/>
    <x v="1"/>
    <x v="1"/>
    <n v="9"/>
  </r>
  <r>
    <x v="633"/>
    <s v="net sales:product 2"/>
    <n v="24.99"/>
    <n v="2"/>
    <n v="49.98"/>
    <s v="net sales"/>
    <x v="2"/>
    <x v="1"/>
    <n v="9"/>
  </r>
  <r>
    <x v="633"/>
    <s v="net sales:product 3"/>
    <n v="12.49"/>
    <n v="113"/>
    <n v="1411.3700000000001"/>
    <s v="net sales"/>
    <x v="3"/>
    <x v="1"/>
    <n v="9"/>
  </r>
  <r>
    <x v="634"/>
    <s v="cogs:product 1"/>
    <n v="5.49"/>
    <n v="0"/>
    <n v="0"/>
    <s v="cogs"/>
    <x v="1"/>
    <x v="1"/>
    <n v="9"/>
  </r>
  <r>
    <x v="634"/>
    <s v="cogs:product 2"/>
    <n v="21.49"/>
    <n v="8"/>
    <n v="171.92"/>
    <s v="cogs"/>
    <x v="2"/>
    <x v="1"/>
    <n v="9"/>
  </r>
  <r>
    <x v="634"/>
    <s v="cogs:product 3"/>
    <n v="8.99"/>
    <n v="195"/>
    <n v="1753.05"/>
    <s v="cogs"/>
    <x v="3"/>
    <x v="1"/>
    <n v="9"/>
  </r>
  <r>
    <x v="634"/>
    <s v="marketing"/>
    <s v="NA"/>
    <s v="NA"/>
    <n v="120.09"/>
    <s v="marketing"/>
    <x v="0"/>
    <x v="1"/>
    <n v="9"/>
  </r>
  <r>
    <x v="634"/>
    <s v="net sales:product 1"/>
    <n v="9.99"/>
    <n v="0"/>
    <n v="0"/>
    <s v="net sales"/>
    <x v="1"/>
    <x v="1"/>
    <n v="9"/>
  </r>
  <r>
    <x v="634"/>
    <s v="net sales:product 2"/>
    <n v="24.99"/>
    <n v="8"/>
    <n v="199.92"/>
    <s v="net sales"/>
    <x v="2"/>
    <x v="1"/>
    <n v="9"/>
  </r>
  <r>
    <x v="634"/>
    <s v="net sales:product 3"/>
    <n v="12.49"/>
    <n v="195"/>
    <n v="2435.5500000000002"/>
    <s v="net sales"/>
    <x v="3"/>
    <x v="1"/>
    <n v="9"/>
  </r>
  <r>
    <x v="634"/>
    <s v="payroll"/>
    <s v="NA"/>
    <s v="NA"/>
    <n v="1200"/>
    <s v="payroll"/>
    <x v="0"/>
    <x v="1"/>
    <n v="9"/>
  </r>
  <r>
    <x v="635"/>
    <s v="cogs:product 1"/>
    <n v="5.49"/>
    <n v="38"/>
    <n v="208.62"/>
    <s v="cogs"/>
    <x v="1"/>
    <x v="1"/>
    <n v="9"/>
  </r>
  <r>
    <x v="635"/>
    <s v="cogs:product 2"/>
    <n v="21.49"/>
    <n v="3"/>
    <n v="64.47"/>
    <s v="cogs"/>
    <x v="2"/>
    <x v="1"/>
    <n v="9"/>
  </r>
  <r>
    <x v="635"/>
    <s v="cogs:product 3"/>
    <n v="8.99"/>
    <n v="223"/>
    <n v="2004.77"/>
    <s v="cogs"/>
    <x v="3"/>
    <x v="1"/>
    <n v="9"/>
  </r>
  <r>
    <x v="635"/>
    <s v="marketing"/>
    <s v="NA"/>
    <s v="NA"/>
    <n v="109.09"/>
    <s v="marketing"/>
    <x v="0"/>
    <x v="1"/>
    <n v="9"/>
  </r>
  <r>
    <x v="635"/>
    <s v="net sales:product 1"/>
    <n v="9.99"/>
    <n v="38"/>
    <n v="379.62"/>
    <s v="net sales"/>
    <x v="1"/>
    <x v="1"/>
    <n v="9"/>
  </r>
  <r>
    <x v="635"/>
    <s v="net sales:product 2"/>
    <n v="24.99"/>
    <n v="3"/>
    <n v="74.97"/>
    <s v="net sales"/>
    <x v="2"/>
    <x v="1"/>
    <n v="9"/>
  </r>
  <r>
    <x v="635"/>
    <s v="net sales:product 3"/>
    <n v="12.49"/>
    <n v="223"/>
    <n v="2785.27"/>
    <s v="net sales"/>
    <x v="3"/>
    <x v="1"/>
    <n v="9"/>
  </r>
  <r>
    <x v="636"/>
    <s v="cogs:product 1"/>
    <n v="5.49"/>
    <n v="37"/>
    <n v="203.13"/>
    <s v="cogs"/>
    <x v="1"/>
    <x v="1"/>
    <n v="9"/>
  </r>
  <r>
    <x v="636"/>
    <s v="cogs:product 2"/>
    <n v="21.49"/>
    <n v="8"/>
    <n v="171.92"/>
    <s v="cogs"/>
    <x v="2"/>
    <x v="1"/>
    <n v="9"/>
  </r>
  <r>
    <x v="636"/>
    <s v="cogs:product 3"/>
    <n v="8.99"/>
    <n v="100"/>
    <n v="899"/>
    <s v="cogs"/>
    <x v="3"/>
    <x v="1"/>
    <n v="9"/>
  </r>
  <r>
    <x v="636"/>
    <s v="marketing"/>
    <s v="NA"/>
    <s v="NA"/>
    <n v="102.97"/>
    <s v="marketing"/>
    <x v="0"/>
    <x v="1"/>
    <n v="9"/>
  </r>
  <r>
    <x v="636"/>
    <s v="net sales:product 1"/>
    <n v="9.99"/>
    <n v="37"/>
    <n v="369.63"/>
    <s v="net sales"/>
    <x v="1"/>
    <x v="1"/>
    <n v="9"/>
  </r>
  <r>
    <x v="636"/>
    <s v="net sales:product 2"/>
    <n v="24.99"/>
    <n v="8"/>
    <n v="199.92"/>
    <s v="net sales"/>
    <x v="2"/>
    <x v="1"/>
    <n v="9"/>
  </r>
  <r>
    <x v="636"/>
    <s v="net sales:product 3"/>
    <n v="12.49"/>
    <n v="100"/>
    <n v="1249"/>
    <s v="net sales"/>
    <x v="3"/>
    <x v="1"/>
    <n v="9"/>
  </r>
  <r>
    <x v="637"/>
    <s v="cogs:product 1"/>
    <n v="5.49"/>
    <n v="88"/>
    <n v="483.12"/>
    <s v="cogs"/>
    <x v="1"/>
    <x v="1"/>
    <n v="9"/>
  </r>
  <r>
    <x v="637"/>
    <s v="cogs:product 2"/>
    <n v="21.49"/>
    <n v="1"/>
    <n v="21.49"/>
    <s v="cogs"/>
    <x v="2"/>
    <x v="1"/>
    <n v="9"/>
  </r>
  <r>
    <x v="637"/>
    <s v="cogs:product 3"/>
    <n v="8.99"/>
    <n v="90"/>
    <n v="809.1"/>
    <s v="cogs"/>
    <x v="3"/>
    <x v="1"/>
    <n v="9"/>
  </r>
  <r>
    <x v="637"/>
    <s v="marketing"/>
    <s v="NA"/>
    <s v="NA"/>
    <n v="118.10000000000001"/>
    <s v="marketing"/>
    <x v="0"/>
    <x v="1"/>
    <n v="9"/>
  </r>
  <r>
    <x v="637"/>
    <s v="net sales:product 1"/>
    <n v="9.99"/>
    <n v="88"/>
    <n v="879.12"/>
    <s v="net sales"/>
    <x v="1"/>
    <x v="1"/>
    <n v="9"/>
  </r>
  <r>
    <x v="637"/>
    <s v="net sales:product 2"/>
    <n v="24.99"/>
    <n v="1"/>
    <n v="24.99"/>
    <s v="net sales"/>
    <x v="2"/>
    <x v="1"/>
    <n v="9"/>
  </r>
  <r>
    <x v="637"/>
    <s v="net sales:product 3"/>
    <n v="12.49"/>
    <n v="90"/>
    <n v="1124.0999999999999"/>
    <s v="net sales"/>
    <x v="3"/>
    <x v="1"/>
    <n v="9"/>
  </r>
  <r>
    <x v="638"/>
    <s v="cogs:product 1"/>
    <n v="5.49"/>
    <n v="34"/>
    <n v="186.66"/>
    <s v="cogs"/>
    <x v="1"/>
    <x v="1"/>
    <n v="9"/>
  </r>
  <r>
    <x v="638"/>
    <s v="cogs:product 2"/>
    <n v="21.49"/>
    <n v="0"/>
    <n v="0"/>
    <s v="cogs"/>
    <x v="2"/>
    <x v="1"/>
    <n v="9"/>
  </r>
  <r>
    <x v="638"/>
    <s v="cogs:product 3"/>
    <n v="8.99"/>
    <n v="184"/>
    <n v="1654.16"/>
    <s v="cogs"/>
    <x v="3"/>
    <x v="1"/>
    <n v="9"/>
  </r>
  <r>
    <x v="638"/>
    <s v="marketing"/>
    <s v="NA"/>
    <s v="NA"/>
    <n v="101.01"/>
    <s v="marketing"/>
    <x v="0"/>
    <x v="1"/>
    <n v="9"/>
  </r>
  <r>
    <x v="638"/>
    <s v="net sales:product 1"/>
    <n v="9.99"/>
    <n v="34"/>
    <n v="339.66"/>
    <s v="net sales"/>
    <x v="1"/>
    <x v="1"/>
    <n v="9"/>
  </r>
  <r>
    <x v="638"/>
    <s v="net sales:product 2"/>
    <n v="24.99"/>
    <n v="0"/>
    <n v="0"/>
    <s v="net sales"/>
    <x v="2"/>
    <x v="1"/>
    <n v="9"/>
  </r>
  <r>
    <x v="638"/>
    <s v="net sales:product 3"/>
    <n v="12.49"/>
    <n v="184"/>
    <n v="2298.16"/>
    <s v="net sales"/>
    <x v="3"/>
    <x v="1"/>
    <n v="9"/>
  </r>
  <r>
    <x v="639"/>
    <s v="amortization"/>
    <s v="NA"/>
    <s v="NA"/>
    <n v="50"/>
    <s v="amortization"/>
    <x v="0"/>
    <x v="1"/>
    <n v="10"/>
  </r>
  <r>
    <x v="639"/>
    <s v="cogs:product 1"/>
    <n v="5.49"/>
    <n v="68"/>
    <n v="373.32"/>
    <s v="cogs"/>
    <x v="1"/>
    <x v="1"/>
    <n v="10"/>
  </r>
  <r>
    <x v="639"/>
    <s v="cogs:product 2"/>
    <n v="21.49"/>
    <n v="8"/>
    <n v="171.92"/>
    <s v="cogs"/>
    <x v="2"/>
    <x v="1"/>
    <n v="10"/>
  </r>
  <r>
    <x v="639"/>
    <s v="cogs:product 3"/>
    <n v="8.99"/>
    <n v="201"/>
    <n v="1806.99"/>
    <s v="cogs"/>
    <x v="3"/>
    <x v="1"/>
    <n v="10"/>
  </r>
  <r>
    <x v="639"/>
    <s v="marketing"/>
    <s v="NA"/>
    <s v="NA"/>
    <n v="106.03"/>
    <s v="marketing"/>
    <x v="0"/>
    <x v="1"/>
    <n v="10"/>
  </r>
  <r>
    <x v="639"/>
    <s v="net sales:product 1"/>
    <n v="9.99"/>
    <n v="68"/>
    <n v="679.32"/>
    <s v="net sales"/>
    <x v="1"/>
    <x v="1"/>
    <n v="10"/>
  </r>
  <r>
    <x v="639"/>
    <s v="net sales:product 2"/>
    <n v="24.99"/>
    <n v="8"/>
    <n v="199.92"/>
    <s v="net sales"/>
    <x v="2"/>
    <x v="1"/>
    <n v="10"/>
  </r>
  <r>
    <x v="639"/>
    <s v="net sales:product 3"/>
    <n v="12.49"/>
    <n v="201"/>
    <n v="2510.4900000000002"/>
    <s v="net sales"/>
    <x v="3"/>
    <x v="1"/>
    <n v="10"/>
  </r>
  <r>
    <x v="639"/>
    <s v="overhead"/>
    <s v="NA"/>
    <s v="NA"/>
    <n v="2000"/>
    <s v="overhead"/>
    <x v="0"/>
    <x v="1"/>
    <n v="10"/>
  </r>
  <r>
    <x v="640"/>
    <s v="cogs:product 1"/>
    <n v="5.49"/>
    <n v="91"/>
    <n v="499.59000000000003"/>
    <s v="cogs"/>
    <x v="1"/>
    <x v="1"/>
    <n v="10"/>
  </r>
  <r>
    <x v="640"/>
    <s v="cogs:product 2"/>
    <n v="21.49"/>
    <n v="1"/>
    <n v="21.49"/>
    <s v="cogs"/>
    <x v="2"/>
    <x v="1"/>
    <n v="10"/>
  </r>
  <r>
    <x v="640"/>
    <s v="cogs:product 3"/>
    <n v="8.99"/>
    <n v="80"/>
    <n v="719.2"/>
    <s v="cogs"/>
    <x v="3"/>
    <x v="1"/>
    <n v="10"/>
  </r>
  <r>
    <x v="640"/>
    <s v="marketing"/>
    <s v="NA"/>
    <s v="NA"/>
    <n v="105.05"/>
    <s v="marketing"/>
    <x v="0"/>
    <x v="1"/>
    <n v="10"/>
  </r>
  <r>
    <x v="640"/>
    <s v="net sales:product 1"/>
    <n v="9.99"/>
    <n v="91"/>
    <n v="909.09"/>
    <s v="net sales"/>
    <x v="1"/>
    <x v="1"/>
    <n v="10"/>
  </r>
  <r>
    <x v="640"/>
    <s v="net sales:product 2"/>
    <n v="24.99"/>
    <n v="1"/>
    <n v="24.99"/>
    <s v="net sales"/>
    <x v="2"/>
    <x v="1"/>
    <n v="10"/>
  </r>
  <r>
    <x v="640"/>
    <s v="net sales:product 3"/>
    <n v="12.49"/>
    <n v="80"/>
    <n v="999.2"/>
    <s v="net sales"/>
    <x v="3"/>
    <x v="1"/>
    <n v="10"/>
  </r>
  <r>
    <x v="641"/>
    <s v="cogs:product 1"/>
    <n v="5.49"/>
    <n v="52"/>
    <n v="285.48"/>
    <s v="cogs"/>
    <x v="1"/>
    <x v="1"/>
    <n v="10"/>
  </r>
  <r>
    <x v="641"/>
    <s v="cogs:product 2"/>
    <n v="21.49"/>
    <n v="7"/>
    <n v="150.42999999999998"/>
    <s v="cogs"/>
    <x v="2"/>
    <x v="1"/>
    <n v="10"/>
  </r>
  <r>
    <x v="641"/>
    <s v="cogs:product 3"/>
    <n v="8.99"/>
    <n v="170"/>
    <n v="1528.3"/>
    <s v="cogs"/>
    <x v="3"/>
    <x v="1"/>
    <n v="10"/>
  </r>
  <r>
    <x v="641"/>
    <s v="marketing"/>
    <s v="NA"/>
    <s v="NA"/>
    <n v="103.05"/>
    <s v="marketing"/>
    <x v="0"/>
    <x v="1"/>
    <n v="10"/>
  </r>
  <r>
    <x v="641"/>
    <s v="net sales:product 1"/>
    <n v="9.99"/>
    <n v="52"/>
    <n v="519.48"/>
    <s v="net sales"/>
    <x v="1"/>
    <x v="1"/>
    <n v="10"/>
  </r>
  <r>
    <x v="641"/>
    <s v="net sales:product 2"/>
    <n v="24.99"/>
    <n v="7"/>
    <n v="174.92999999999998"/>
    <s v="net sales"/>
    <x v="2"/>
    <x v="1"/>
    <n v="10"/>
  </r>
  <r>
    <x v="641"/>
    <s v="net sales:product 3"/>
    <n v="12.49"/>
    <n v="170"/>
    <n v="2123.3000000000002"/>
    <s v="net sales"/>
    <x v="3"/>
    <x v="1"/>
    <n v="10"/>
  </r>
  <r>
    <x v="642"/>
    <s v="cogs:product 1"/>
    <n v="5.49"/>
    <n v="83"/>
    <n v="455.67"/>
    <s v="cogs"/>
    <x v="1"/>
    <x v="1"/>
    <n v="10"/>
  </r>
  <r>
    <x v="642"/>
    <s v="cogs:product 2"/>
    <n v="21.49"/>
    <n v="8"/>
    <n v="171.92"/>
    <s v="cogs"/>
    <x v="2"/>
    <x v="1"/>
    <n v="10"/>
  </r>
  <r>
    <x v="642"/>
    <s v="cogs:product 3"/>
    <n v="8.99"/>
    <n v="36"/>
    <n v="323.64"/>
    <s v="cogs"/>
    <x v="3"/>
    <x v="1"/>
    <n v="10"/>
  </r>
  <r>
    <x v="642"/>
    <s v="marketing"/>
    <s v="NA"/>
    <s v="NA"/>
    <n v="112.03"/>
    <s v="marketing"/>
    <x v="0"/>
    <x v="1"/>
    <n v="10"/>
  </r>
  <r>
    <x v="642"/>
    <s v="net sales:product 1"/>
    <n v="9.99"/>
    <n v="83"/>
    <n v="829.17000000000007"/>
    <s v="net sales"/>
    <x v="1"/>
    <x v="1"/>
    <n v="10"/>
  </r>
  <r>
    <x v="642"/>
    <s v="net sales:product 2"/>
    <n v="24.99"/>
    <n v="8"/>
    <n v="199.92"/>
    <s v="net sales"/>
    <x v="2"/>
    <x v="1"/>
    <n v="10"/>
  </r>
  <r>
    <x v="642"/>
    <s v="net sales:product 3"/>
    <n v="12.49"/>
    <n v="36"/>
    <n v="449.64"/>
    <s v="net sales"/>
    <x v="3"/>
    <x v="1"/>
    <n v="10"/>
  </r>
  <r>
    <x v="643"/>
    <s v="cogs:product 1"/>
    <n v="5.49"/>
    <n v="61"/>
    <n v="334.89"/>
    <s v="cogs"/>
    <x v="1"/>
    <x v="1"/>
    <n v="10"/>
  </r>
  <r>
    <x v="643"/>
    <s v="cogs:product 2"/>
    <n v="21.49"/>
    <n v="4"/>
    <n v="85.96"/>
    <s v="cogs"/>
    <x v="2"/>
    <x v="1"/>
    <n v="10"/>
  </r>
  <r>
    <x v="643"/>
    <s v="cogs:product 3"/>
    <n v="8.99"/>
    <n v="26"/>
    <n v="233.74"/>
    <s v="cogs"/>
    <x v="3"/>
    <x v="1"/>
    <n v="10"/>
  </r>
  <r>
    <x v="643"/>
    <s v="marketing"/>
    <s v="NA"/>
    <s v="NA"/>
    <n v="106.04"/>
    <s v="marketing"/>
    <x v="0"/>
    <x v="1"/>
    <n v="10"/>
  </r>
  <r>
    <x v="643"/>
    <s v="net sales:product 1"/>
    <n v="9.99"/>
    <n v="61"/>
    <n v="609.39"/>
    <s v="net sales"/>
    <x v="1"/>
    <x v="1"/>
    <n v="10"/>
  </r>
  <r>
    <x v="643"/>
    <s v="net sales:product 2"/>
    <n v="24.99"/>
    <n v="4"/>
    <n v="99.96"/>
    <s v="net sales"/>
    <x v="2"/>
    <x v="1"/>
    <n v="10"/>
  </r>
  <r>
    <x v="643"/>
    <s v="net sales:product 3"/>
    <n v="12.49"/>
    <n v="26"/>
    <n v="324.74"/>
    <s v="net sales"/>
    <x v="3"/>
    <x v="1"/>
    <n v="10"/>
  </r>
  <r>
    <x v="644"/>
    <s v="cogs:product 1"/>
    <n v="5.49"/>
    <n v="34"/>
    <n v="186.66"/>
    <s v="cogs"/>
    <x v="1"/>
    <x v="1"/>
    <n v="10"/>
  </r>
  <r>
    <x v="644"/>
    <s v="cogs:product 2"/>
    <n v="21.49"/>
    <n v="2"/>
    <n v="42.98"/>
    <s v="cogs"/>
    <x v="2"/>
    <x v="1"/>
    <n v="10"/>
  </r>
  <r>
    <x v="644"/>
    <s v="cogs:product 3"/>
    <n v="8.99"/>
    <n v="6"/>
    <n v="53.94"/>
    <s v="cogs"/>
    <x v="3"/>
    <x v="1"/>
    <n v="10"/>
  </r>
  <r>
    <x v="644"/>
    <s v="marketing"/>
    <s v="NA"/>
    <s v="NA"/>
    <n v="108.92"/>
    <s v="marketing"/>
    <x v="0"/>
    <x v="1"/>
    <n v="10"/>
  </r>
  <r>
    <x v="644"/>
    <s v="net sales:product 1"/>
    <n v="9.99"/>
    <n v="34"/>
    <n v="339.66"/>
    <s v="net sales"/>
    <x v="1"/>
    <x v="1"/>
    <n v="10"/>
  </r>
  <r>
    <x v="644"/>
    <s v="net sales:product 2"/>
    <n v="24.99"/>
    <n v="2"/>
    <n v="49.98"/>
    <s v="net sales"/>
    <x v="2"/>
    <x v="1"/>
    <n v="10"/>
  </r>
  <r>
    <x v="644"/>
    <s v="net sales:product 3"/>
    <n v="12.49"/>
    <n v="6"/>
    <n v="74.94"/>
    <s v="net sales"/>
    <x v="3"/>
    <x v="1"/>
    <n v="10"/>
  </r>
  <r>
    <x v="645"/>
    <s v="cogs:product 1"/>
    <n v="5.49"/>
    <n v="14"/>
    <n v="76.86"/>
    <s v="cogs"/>
    <x v="1"/>
    <x v="1"/>
    <n v="10"/>
  </r>
  <r>
    <x v="645"/>
    <s v="cogs:product 2"/>
    <n v="21.49"/>
    <n v="0"/>
    <n v="0"/>
    <s v="cogs"/>
    <x v="2"/>
    <x v="1"/>
    <n v="10"/>
  </r>
  <r>
    <x v="645"/>
    <s v="cogs:product 3"/>
    <n v="8.99"/>
    <n v="44"/>
    <n v="395.56"/>
    <s v="cogs"/>
    <x v="3"/>
    <x v="1"/>
    <n v="10"/>
  </r>
  <r>
    <x v="645"/>
    <s v="marketing"/>
    <s v="NA"/>
    <s v="NA"/>
    <n v="119.05"/>
    <s v="marketing"/>
    <x v="0"/>
    <x v="1"/>
    <n v="10"/>
  </r>
  <r>
    <x v="645"/>
    <s v="net sales:product 1"/>
    <n v="9.99"/>
    <n v="14"/>
    <n v="139.86000000000001"/>
    <s v="net sales"/>
    <x v="1"/>
    <x v="1"/>
    <n v="10"/>
  </r>
  <r>
    <x v="645"/>
    <s v="net sales:product 2"/>
    <n v="24.99"/>
    <n v="0"/>
    <n v="0"/>
    <s v="net sales"/>
    <x v="2"/>
    <x v="1"/>
    <n v="10"/>
  </r>
  <r>
    <x v="645"/>
    <s v="net sales:product 3"/>
    <n v="12.49"/>
    <n v="44"/>
    <n v="549.56000000000006"/>
    <s v="net sales"/>
    <x v="3"/>
    <x v="1"/>
    <n v="10"/>
  </r>
  <r>
    <x v="646"/>
    <s v="cogs:product 1"/>
    <n v="5.49"/>
    <n v="22"/>
    <n v="120.78"/>
    <s v="cogs"/>
    <x v="1"/>
    <x v="1"/>
    <n v="10"/>
  </r>
  <r>
    <x v="646"/>
    <s v="cogs:product 2"/>
    <n v="21.49"/>
    <n v="6"/>
    <n v="128.94"/>
    <s v="cogs"/>
    <x v="2"/>
    <x v="1"/>
    <n v="10"/>
  </r>
  <r>
    <x v="646"/>
    <s v="cogs:product 3"/>
    <n v="8.99"/>
    <n v="240"/>
    <n v="2157.6"/>
    <s v="cogs"/>
    <x v="3"/>
    <x v="1"/>
    <n v="10"/>
  </r>
  <r>
    <x v="646"/>
    <s v="marketing"/>
    <s v="NA"/>
    <s v="NA"/>
    <n v="118.9"/>
    <s v="marketing"/>
    <x v="0"/>
    <x v="1"/>
    <n v="10"/>
  </r>
  <r>
    <x v="646"/>
    <s v="net sales:product 1"/>
    <n v="9.99"/>
    <n v="22"/>
    <n v="219.78"/>
    <s v="net sales"/>
    <x v="1"/>
    <x v="1"/>
    <n v="10"/>
  </r>
  <r>
    <x v="646"/>
    <s v="net sales:product 2"/>
    <n v="24.99"/>
    <n v="6"/>
    <n v="149.94"/>
    <s v="net sales"/>
    <x v="2"/>
    <x v="1"/>
    <n v="10"/>
  </r>
  <r>
    <x v="646"/>
    <s v="net sales:product 3"/>
    <n v="12.49"/>
    <n v="240"/>
    <n v="2997.6"/>
    <s v="net sales"/>
    <x v="3"/>
    <x v="1"/>
    <n v="10"/>
  </r>
  <r>
    <x v="647"/>
    <s v="cogs:product 1"/>
    <n v="5.49"/>
    <n v="15"/>
    <n v="82.350000000000009"/>
    <s v="cogs"/>
    <x v="1"/>
    <x v="1"/>
    <n v="10"/>
  </r>
  <r>
    <x v="647"/>
    <s v="cogs:product 2"/>
    <n v="21.49"/>
    <n v="3"/>
    <n v="64.47"/>
    <s v="cogs"/>
    <x v="2"/>
    <x v="1"/>
    <n v="10"/>
  </r>
  <r>
    <x v="647"/>
    <s v="cogs:product 3"/>
    <n v="8.99"/>
    <n v="210"/>
    <n v="1887.9"/>
    <s v="cogs"/>
    <x v="3"/>
    <x v="1"/>
    <n v="10"/>
  </r>
  <r>
    <x v="647"/>
    <s v="marketing"/>
    <s v="NA"/>
    <s v="NA"/>
    <n v="115.95"/>
    <s v="marketing"/>
    <x v="0"/>
    <x v="1"/>
    <n v="10"/>
  </r>
  <r>
    <x v="647"/>
    <s v="net sales:product 1"/>
    <n v="9.99"/>
    <n v="15"/>
    <n v="149.85"/>
    <s v="net sales"/>
    <x v="1"/>
    <x v="1"/>
    <n v="10"/>
  </r>
  <r>
    <x v="647"/>
    <s v="net sales:product 2"/>
    <n v="24.99"/>
    <n v="3"/>
    <n v="74.97"/>
    <s v="net sales"/>
    <x v="2"/>
    <x v="1"/>
    <n v="10"/>
  </r>
  <r>
    <x v="647"/>
    <s v="net sales:product 3"/>
    <n v="12.49"/>
    <n v="210"/>
    <n v="2622.9"/>
    <s v="net sales"/>
    <x v="3"/>
    <x v="1"/>
    <n v="10"/>
  </r>
  <r>
    <x v="648"/>
    <s v="cogs:product 1"/>
    <n v="5.49"/>
    <n v="29"/>
    <n v="159.21"/>
    <s v="cogs"/>
    <x v="1"/>
    <x v="1"/>
    <n v="10"/>
  </r>
  <r>
    <x v="648"/>
    <s v="cogs:product 2"/>
    <n v="21.49"/>
    <n v="0"/>
    <n v="0"/>
    <s v="cogs"/>
    <x v="2"/>
    <x v="1"/>
    <n v="10"/>
  </r>
  <r>
    <x v="648"/>
    <s v="cogs:product 3"/>
    <n v="8.99"/>
    <n v="202"/>
    <n v="1815.98"/>
    <s v="cogs"/>
    <x v="3"/>
    <x v="1"/>
    <n v="10"/>
  </r>
  <r>
    <x v="648"/>
    <s v="marketing"/>
    <s v="NA"/>
    <s v="NA"/>
    <n v="113.97"/>
    <s v="marketing"/>
    <x v="0"/>
    <x v="1"/>
    <n v="10"/>
  </r>
  <r>
    <x v="648"/>
    <s v="net sales:product 1"/>
    <n v="9.99"/>
    <n v="29"/>
    <n v="289.70999999999998"/>
    <s v="net sales"/>
    <x v="1"/>
    <x v="1"/>
    <n v="10"/>
  </r>
  <r>
    <x v="648"/>
    <s v="net sales:product 2"/>
    <n v="24.99"/>
    <n v="0"/>
    <n v="0"/>
    <s v="net sales"/>
    <x v="2"/>
    <x v="1"/>
    <n v="10"/>
  </r>
  <r>
    <x v="648"/>
    <s v="net sales:product 3"/>
    <n v="12.49"/>
    <n v="202"/>
    <n v="2522.98"/>
    <s v="net sales"/>
    <x v="3"/>
    <x v="1"/>
    <n v="10"/>
  </r>
  <r>
    <x v="648"/>
    <s v="payroll"/>
    <s v="NA"/>
    <s v="NA"/>
    <n v="1200"/>
    <s v="payroll"/>
    <x v="0"/>
    <x v="1"/>
    <n v="10"/>
  </r>
  <r>
    <x v="649"/>
    <s v="cogs:product 1"/>
    <n v="5.49"/>
    <n v="75"/>
    <n v="411.75"/>
    <s v="cogs"/>
    <x v="1"/>
    <x v="1"/>
    <n v="10"/>
  </r>
  <r>
    <x v="649"/>
    <s v="cogs:product 2"/>
    <n v="21.49"/>
    <n v="1"/>
    <n v="21.49"/>
    <s v="cogs"/>
    <x v="2"/>
    <x v="1"/>
    <n v="10"/>
  </r>
  <r>
    <x v="649"/>
    <s v="cogs:product 3"/>
    <n v="8.99"/>
    <n v="52"/>
    <n v="467.48"/>
    <s v="cogs"/>
    <x v="3"/>
    <x v="1"/>
    <n v="10"/>
  </r>
  <r>
    <x v="649"/>
    <s v="marketing"/>
    <s v="NA"/>
    <s v="NA"/>
    <n v="105.01"/>
    <s v="marketing"/>
    <x v="0"/>
    <x v="1"/>
    <n v="10"/>
  </r>
  <r>
    <x v="649"/>
    <s v="net sales:product 1"/>
    <n v="9.99"/>
    <n v="75"/>
    <n v="749.25"/>
    <s v="net sales"/>
    <x v="1"/>
    <x v="1"/>
    <n v="10"/>
  </r>
  <r>
    <x v="649"/>
    <s v="net sales:product 2"/>
    <n v="24.99"/>
    <n v="1"/>
    <n v="24.99"/>
    <s v="net sales"/>
    <x v="2"/>
    <x v="1"/>
    <n v="10"/>
  </r>
  <r>
    <x v="649"/>
    <s v="net sales:product 3"/>
    <n v="12.49"/>
    <n v="52"/>
    <n v="649.48"/>
    <s v="net sales"/>
    <x v="3"/>
    <x v="1"/>
    <n v="10"/>
  </r>
  <r>
    <x v="650"/>
    <s v="cogs:product 1"/>
    <n v="5.49"/>
    <n v="42"/>
    <n v="230.58"/>
    <s v="cogs"/>
    <x v="1"/>
    <x v="1"/>
    <n v="10"/>
  </r>
  <r>
    <x v="650"/>
    <s v="cogs:product 2"/>
    <n v="21.49"/>
    <n v="2"/>
    <n v="42.98"/>
    <s v="cogs"/>
    <x v="2"/>
    <x v="1"/>
    <n v="10"/>
  </r>
  <r>
    <x v="650"/>
    <s v="cogs:product 3"/>
    <n v="8.99"/>
    <n v="138"/>
    <n v="1240.6200000000001"/>
    <s v="cogs"/>
    <x v="3"/>
    <x v="1"/>
    <n v="10"/>
  </r>
  <r>
    <x v="650"/>
    <s v="marketing"/>
    <s v="NA"/>
    <s v="NA"/>
    <n v="119.91"/>
    <s v="marketing"/>
    <x v="0"/>
    <x v="1"/>
    <n v="10"/>
  </r>
  <r>
    <x v="650"/>
    <s v="net sales:product 1"/>
    <n v="9.99"/>
    <n v="42"/>
    <n v="419.58"/>
    <s v="net sales"/>
    <x v="1"/>
    <x v="1"/>
    <n v="10"/>
  </r>
  <r>
    <x v="650"/>
    <s v="net sales:product 2"/>
    <n v="24.99"/>
    <n v="2"/>
    <n v="49.98"/>
    <s v="net sales"/>
    <x v="2"/>
    <x v="1"/>
    <n v="10"/>
  </r>
  <r>
    <x v="650"/>
    <s v="net sales:product 3"/>
    <n v="12.49"/>
    <n v="138"/>
    <n v="1723.6200000000001"/>
    <s v="net sales"/>
    <x v="3"/>
    <x v="1"/>
    <n v="10"/>
  </r>
  <r>
    <x v="651"/>
    <s v="cogs:product 1"/>
    <n v="5.49"/>
    <n v="79"/>
    <n v="433.71000000000004"/>
    <s v="cogs"/>
    <x v="1"/>
    <x v="1"/>
    <n v="10"/>
  </r>
  <r>
    <x v="651"/>
    <s v="cogs:product 2"/>
    <n v="21.49"/>
    <n v="8"/>
    <n v="171.92"/>
    <s v="cogs"/>
    <x v="2"/>
    <x v="1"/>
    <n v="10"/>
  </r>
  <r>
    <x v="651"/>
    <s v="cogs:product 3"/>
    <n v="8.99"/>
    <n v="69"/>
    <n v="620.31000000000006"/>
    <s v="cogs"/>
    <x v="3"/>
    <x v="1"/>
    <n v="10"/>
  </r>
  <r>
    <x v="651"/>
    <s v="marketing"/>
    <s v="NA"/>
    <s v="NA"/>
    <n v="119.99000000000001"/>
    <s v="marketing"/>
    <x v="0"/>
    <x v="1"/>
    <n v="10"/>
  </r>
  <r>
    <x v="651"/>
    <s v="net sales:product 1"/>
    <n v="9.99"/>
    <n v="79"/>
    <n v="789.21"/>
    <s v="net sales"/>
    <x v="1"/>
    <x v="1"/>
    <n v="10"/>
  </r>
  <r>
    <x v="651"/>
    <s v="net sales:product 2"/>
    <n v="24.99"/>
    <n v="8"/>
    <n v="199.92"/>
    <s v="net sales"/>
    <x v="2"/>
    <x v="1"/>
    <n v="10"/>
  </r>
  <r>
    <x v="651"/>
    <s v="net sales:product 3"/>
    <n v="12.49"/>
    <n v="69"/>
    <n v="861.81000000000006"/>
    <s v="net sales"/>
    <x v="3"/>
    <x v="1"/>
    <n v="10"/>
  </r>
  <r>
    <x v="652"/>
    <s v="cogs:product 1"/>
    <n v="5.49"/>
    <n v="79"/>
    <n v="433.71000000000004"/>
    <s v="cogs"/>
    <x v="1"/>
    <x v="1"/>
    <n v="10"/>
  </r>
  <r>
    <x v="652"/>
    <s v="cogs:product 2"/>
    <n v="21.49"/>
    <n v="4"/>
    <n v="85.96"/>
    <s v="cogs"/>
    <x v="2"/>
    <x v="1"/>
    <n v="10"/>
  </r>
  <r>
    <x v="652"/>
    <s v="cogs:product 3"/>
    <n v="8.99"/>
    <n v="187"/>
    <n v="1681.13"/>
    <s v="cogs"/>
    <x v="3"/>
    <x v="1"/>
    <n v="10"/>
  </r>
  <r>
    <x v="652"/>
    <s v="marketing"/>
    <s v="NA"/>
    <s v="NA"/>
    <n v="109.04"/>
    <s v="marketing"/>
    <x v="0"/>
    <x v="1"/>
    <n v="10"/>
  </r>
  <r>
    <x v="652"/>
    <s v="net sales:product 1"/>
    <n v="9.99"/>
    <n v="79"/>
    <n v="789.21"/>
    <s v="net sales"/>
    <x v="1"/>
    <x v="1"/>
    <n v="10"/>
  </r>
  <r>
    <x v="652"/>
    <s v="net sales:product 2"/>
    <n v="24.99"/>
    <n v="4"/>
    <n v="99.96"/>
    <s v="net sales"/>
    <x v="2"/>
    <x v="1"/>
    <n v="10"/>
  </r>
  <r>
    <x v="652"/>
    <s v="net sales:product 3"/>
    <n v="12.49"/>
    <n v="187"/>
    <n v="2335.63"/>
    <s v="net sales"/>
    <x v="3"/>
    <x v="1"/>
    <n v="10"/>
  </r>
  <r>
    <x v="653"/>
    <s v="cogs:product 1"/>
    <n v="5.49"/>
    <n v="81"/>
    <n v="444.69"/>
    <s v="cogs"/>
    <x v="1"/>
    <x v="1"/>
    <n v="10"/>
  </r>
  <r>
    <x v="653"/>
    <s v="cogs:product 2"/>
    <n v="21.49"/>
    <n v="3"/>
    <n v="64.47"/>
    <s v="cogs"/>
    <x v="2"/>
    <x v="1"/>
    <n v="10"/>
  </r>
  <r>
    <x v="653"/>
    <s v="cogs:product 3"/>
    <n v="8.99"/>
    <n v="50"/>
    <n v="449.5"/>
    <s v="cogs"/>
    <x v="3"/>
    <x v="1"/>
    <n v="10"/>
  </r>
  <r>
    <x v="653"/>
    <s v="interest"/>
    <s v="NA"/>
    <s v="NA"/>
    <n v="1175.72"/>
    <s v="interest"/>
    <x v="0"/>
    <x v="1"/>
    <n v="10"/>
  </r>
  <r>
    <x v="653"/>
    <s v="marketing"/>
    <s v="NA"/>
    <s v="NA"/>
    <n v="117.04"/>
    <s v="marketing"/>
    <x v="0"/>
    <x v="1"/>
    <n v="10"/>
  </r>
  <r>
    <x v="653"/>
    <s v="net sales:product 1"/>
    <n v="9.99"/>
    <n v="81"/>
    <n v="809.19"/>
    <s v="net sales"/>
    <x v="1"/>
    <x v="1"/>
    <n v="10"/>
  </r>
  <r>
    <x v="653"/>
    <s v="net sales:product 2"/>
    <n v="24.99"/>
    <n v="3"/>
    <n v="74.97"/>
    <s v="net sales"/>
    <x v="2"/>
    <x v="1"/>
    <n v="10"/>
  </r>
  <r>
    <x v="653"/>
    <s v="net sales:product 3"/>
    <n v="12.49"/>
    <n v="50"/>
    <n v="624.5"/>
    <s v="net sales"/>
    <x v="3"/>
    <x v="1"/>
    <n v="10"/>
  </r>
  <r>
    <x v="653"/>
    <s v="overhead"/>
    <s v="NA"/>
    <s v="NA"/>
    <n v="322.66000000000003"/>
    <s v="overhead"/>
    <x v="0"/>
    <x v="1"/>
    <n v="10"/>
  </r>
  <r>
    <x v="654"/>
    <s v="cogs:product 1"/>
    <n v="5.49"/>
    <n v="88"/>
    <n v="483.12"/>
    <s v="cogs"/>
    <x v="1"/>
    <x v="1"/>
    <n v="10"/>
  </r>
  <r>
    <x v="654"/>
    <s v="cogs:product 2"/>
    <n v="21.49"/>
    <n v="0"/>
    <n v="0"/>
    <s v="cogs"/>
    <x v="2"/>
    <x v="1"/>
    <n v="10"/>
  </r>
  <r>
    <x v="654"/>
    <s v="cogs:product 3"/>
    <n v="8.99"/>
    <n v="92"/>
    <n v="827.08"/>
    <s v="cogs"/>
    <x v="3"/>
    <x v="1"/>
    <n v="10"/>
  </r>
  <r>
    <x v="654"/>
    <s v="marketing"/>
    <s v="NA"/>
    <s v="NA"/>
    <n v="113.03"/>
    <s v="marketing"/>
    <x v="0"/>
    <x v="1"/>
    <n v="10"/>
  </r>
  <r>
    <x v="654"/>
    <s v="net sales:product 1"/>
    <n v="9.99"/>
    <n v="88"/>
    <n v="879.12"/>
    <s v="net sales"/>
    <x v="1"/>
    <x v="1"/>
    <n v="10"/>
  </r>
  <r>
    <x v="654"/>
    <s v="net sales:product 2"/>
    <n v="24.99"/>
    <n v="0"/>
    <n v="0"/>
    <s v="net sales"/>
    <x v="2"/>
    <x v="1"/>
    <n v="10"/>
  </r>
  <r>
    <x v="654"/>
    <s v="net sales:product 3"/>
    <n v="12.49"/>
    <n v="92"/>
    <n v="1149.08"/>
    <s v="net sales"/>
    <x v="3"/>
    <x v="1"/>
    <n v="10"/>
  </r>
  <r>
    <x v="655"/>
    <s v="cogs:product 1"/>
    <n v="5.49"/>
    <n v="83"/>
    <n v="455.67"/>
    <s v="cogs"/>
    <x v="1"/>
    <x v="1"/>
    <n v="10"/>
  </r>
  <r>
    <x v="655"/>
    <s v="cogs:product 2"/>
    <n v="21.49"/>
    <n v="2"/>
    <n v="42.98"/>
    <s v="cogs"/>
    <x v="2"/>
    <x v="1"/>
    <n v="10"/>
  </r>
  <r>
    <x v="655"/>
    <s v="cogs:product 3"/>
    <n v="8.99"/>
    <n v="114"/>
    <n v="1024.8600000000001"/>
    <s v="cogs"/>
    <x v="3"/>
    <x v="1"/>
    <n v="10"/>
  </r>
  <r>
    <x v="655"/>
    <s v="marketing"/>
    <s v="NA"/>
    <s v="NA"/>
    <n v="108.98"/>
    <s v="marketing"/>
    <x v="0"/>
    <x v="1"/>
    <n v="10"/>
  </r>
  <r>
    <x v="655"/>
    <s v="net sales:product 1"/>
    <n v="9.99"/>
    <n v="83"/>
    <n v="829.17000000000007"/>
    <s v="net sales"/>
    <x v="1"/>
    <x v="1"/>
    <n v="10"/>
  </r>
  <r>
    <x v="655"/>
    <s v="net sales:product 2"/>
    <n v="24.99"/>
    <n v="2"/>
    <n v="49.98"/>
    <s v="net sales"/>
    <x v="2"/>
    <x v="1"/>
    <n v="10"/>
  </r>
  <r>
    <x v="655"/>
    <s v="net sales:product 3"/>
    <n v="12.49"/>
    <n v="114"/>
    <n v="1423.8600000000001"/>
    <s v="net sales"/>
    <x v="3"/>
    <x v="1"/>
    <n v="10"/>
  </r>
  <r>
    <x v="656"/>
    <s v="cogs:product 1"/>
    <n v="5.49"/>
    <n v="8"/>
    <n v="43.92"/>
    <s v="cogs"/>
    <x v="1"/>
    <x v="1"/>
    <n v="10"/>
  </r>
  <r>
    <x v="656"/>
    <s v="cogs:product 2"/>
    <n v="21.49"/>
    <n v="0"/>
    <n v="0"/>
    <s v="cogs"/>
    <x v="2"/>
    <x v="1"/>
    <n v="10"/>
  </r>
  <r>
    <x v="656"/>
    <s v="cogs:product 3"/>
    <n v="8.99"/>
    <n v="181"/>
    <n v="1627.19"/>
    <s v="cogs"/>
    <x v="3"/>
    <x v="1"/>
    <n v="10"/>
  </r>
  <r>
    <x v="656"/>
    <s v="marketing"/>
    <s v="NA"/>
    <s v="NA"/>
    <n v="116.92"/>
    <s v="marketing"/>
    <x v="0"/>
    <x v="1"/>
    <n v="10"/>
  </r>
  <r>
    <x v="656"/>
    <s v="net sales:product 1"/>
    <n v="9.99"/>
    <n v="8"/>
    <n v="79.92"/>
    <s v="net sales"/>
    <x v="1"/>
    <x v="1"/>
    <n v="10"/>
  </r>
  <r>
    <x v="656"/>
    <s v="net sales:product 2"/>
    <n v="24.99"/>
    <n v="0"/>
    <n v="0"/>
    <s v="net sales"/>
    <x v="2"/>
    <x v="1"/>
    <n v="10"/>
  </r>
  <r>
    <x v="656"/>
    <s v="net sales:product 3"/>
    <n v="12.49"/>
    <n v="181"/>
    <n v="2260.69"/>
    <s v="net sales"/>
    <x v="3"/>
    <x v="1"/>
    <n v="10"/>
  </r>
  <r>
    <x v="657"/>
    <s v="cogs:product 1"/>
    <n v="5.49"/>
    <n v="60"/>
    <n v="329.40000000000003"/>
    <s v="cogs"/>
    <x v="1"/>
    <x v="1"/>
    <n v="10"/>
  </r>
  <r>
    <x v="657"/>
    <s v="cogs:product 2"/>
    <n v="21.49"/>
    <n v="0"/>
    <n v="0"/>
    <s v="cogs"/>
    <x v="2"/>
    <x v="1"/>
    <n v="10"/>
  </r>
  <r>
    <x v="657"/>
    <s v="cogs:product 3"/>
    <n v="8.99"/>
    <n v="125"/>
    <n v="1123.75"/>
    <s v="cogs"/>
    <x v="3"/>
    <x v="1"/>
    <n v="10"/>
  </r>
  <r>
    <x v="657"/>
    <s v="marketing"/>
    <s v="NA"/>
    <s v="NA"/>
    <n v="118.02"/>
    <s v="marketing"/>
    <x v="0"/>
    <x v="1"/>
    <n v="10"/>
  </r>
  <r>
    <x v="657"/>
    <s v="net sales:product 1"/>
    <n v="9.99"/>
    <n v="60"/>
    <n v="599.4"/>
    <s v="net sales"/>
    <x v="1"/>
    <x v="1"/>
    <n v="10"/>
  </r>
  <r>
    <x v="657"/>
    <s v="net sales:product 2"/>
    <n v="24.99"/>
    <n v="0"/>
    <n v="0"/>
    <s v="net sales"/>
    <x v="2"/>
    <x v="1"/>
    <n v="10"/>
  </r>
  <r>
    <x v="657"/>
    <s v="net sales:product 3"/>
    <n v="12.49"/>
    <n v="125"/>
    <n v="1561.25"/>
    <s v="net sales"/>
    <x v="3"/>
    <x v="1"/>
    <n v="10"/>
  </r>
  <r>
    <x v="658"/>
    <s v="cogs:product 1"/>
    <n v="5.49"/>
    <n v="19"/>
    <n v="104.31"/>
    <s v="cogs"/>
    <x v="1"/>
    <x v="1"/>
    <n v="10"/>
  </r>
  <r>
    <x v="658"/>
    <s v="cogs:product 2"/>
    <n v="21.49"/>
    <n v="7"/>
    <n v="150.42999999999998"/>
    <s v="cogs"/>
    <x v="2"/>
    <x v="1"/>
    <n v="10"/>
  </r>
  <r>
    <x v="658"/>
    <s v="cogs:product 3"/>
    <n v="8.99"/>
    <n v="0"/>
    <n v="0"/>
    <s v="cogs"/>
    <x v="3"/>
    <x v="1"/>
    <n v="10"/>
  </r>
  <r>
    <x v="658"/>
    <s v="marketing"/>
    <s v="NA"/>
    <s v="NA"/>
    <n v="100.06"/>
    <s v="marketing"/>
    <x v="0"/>
    <x v="1"/>
    <n v="10"/>
  </r>
  <r>
    <x v="658"/>
    <s v="net sales:product 1"/>
    <n v="9.99"/>
    <n v="19"/>
    <n v="189.81"/>
    <s v="net sales"/>
    <x v="1"/>
    <x v="1"/>
    <n v="10"/>
  </r>
  <r>
    <x v="658"/>
    <s v="net sales:product 2"/>
    <n v="24.99"/>
    <n v="7"/>
    <n v="174.92999999999998"/>
    <s v="net sales"/>
    <x v="2"/>
    <x v="1"/>
    <n v="10"/>
  </r>
  <r>
    <x v="658"/>
    <s v="net sales:product 3"/>
    <n v="12.49"/>
    <n v="0"/>
    <n v="0"/>
    <s v="net sales"/>
    <x v="3"/>
    <x v="1"/>
    <n v="10"/>
  </r>
  <r>
    <x v="659"/>
    <s v="cogs:product 1"/>
    <n v="5.49"/>
    <n v="82"/>
    <n v="450.18"/>
    <s v="cogs"/>
    <x v="1"/>
    <x v="1"/>
    <n v="10"/>
  </r>
  <r>
    <x v="659"/>
    <s v="cogs:product 2"/>
    <n v="21.49"/>
    <n v="8"/>
    <n v="171.92"/>
    <s v="cogs"/>
    <x v="2"/>
    <x v="1"/>
    <n v="10"/>
  </r>
  <r>
    <x v="659"/>
    <s v="cogs:product 3"/>
    <n v="8.99"/>
    <n v="99"/>
    <n v="890.01"/>
    <s v="cogs"/>
    <x v="3"/>
    <x v="1"/>
    <n v="10"/>
  </r>
  <r>
    <x v="659"/>
    <s v="marketing"/>
    <s v="NA"/>
    <s v="NA"/>
    <n v="115.93"/>
    <s v="marketing"/>
    <x v="0"/>
    <x v="1"/>
    <n v="10"/>
  </r>
  <r>
    <x v="659"/>
    <s v="net sales:product 1"/>
    <n v="9.99"/>
    <n v="82"/>
    <n v="819.18000000000006"/>
    <s v="net sales"/>
    <x v="1"/>
    <x v="1"/>
    <n v="10"/>
  </r>
  <r>
    <x v="659"/>
    <s v="net sales:product 2"/>
    <n v="24.99"/>
    <n v="8"/>
    <n v="199.92"/>
    <s v="net sales"/>
    <x v="2"/>
    <x v="1"/>
    <n v="10"/>
  </r>
  <r>
    <x v="659"/>
    <s v="net sales:product 3"/>
    <n v="12.49"/>
    <n v="99"/>
    <n v="1236.51"/>
    <s v="net sales"/>
    <x v="3"/>
    <x v="1"/>
    <n v="10"/>
  </r>
  <r>
    <x v="660"/>
    <s v="cogs:product 1"/>
    <n v="5.49"/>
    <n v="98"/>
    <n v="538.02"/>
    <s v="cogs"/>
    <x v="1"/>
    <x v="1"/>
    <n v="10"/>
  </r>
  <r>
    <x v="660"/>
    <s v="cogs:product 2"/>
    <n v="21.49"/>
    <n v="4"/>
    <n v="85.96"/>
    <s v="cogs"/>
    <x v="2"/>
    <x v="1"/>
    <n v="10"/>
  </r>
  <r>
    <x v="660"/>
    <s v="cogs:product 3"/>
    <n v="8.99"/>
    <n v="245"/>
    <n v="2202.5500000000002"/>
    <s v="cogs"/>
    <x v="3"/>
    <x v="1"/>
    <n v="10"/>
  </r>
  <r>
    <x v="660"/>
    <s v="marketing"/>
    <s v="NA"/>
    <s v="NA"/>
    <n v="103.04"/>
    <s v="marketing"/>
    <x v="0"/>
    <x v="1"/>
    <n v="10"/>
  </r>
  <r>
    <x v="660"/>
    <s v="net sales:product 1"/>
    <n v="9.99"/>
    <n v="98"/>
    <n v="979.02"/>
    <s v="net sales"/>
    <x v="1"/>
    <x v="1"/>
    <n v="10"/>
  </r>
  <r>
    <x v="660"/>
    <s v="net sales:product 2"/>
    <n v="24.99"/>
    <n v="4"/>
    <n v="99.96"/>
    <s v="net sales"/>
    <x v="2"/>
    <x v="1"/>
    <n v="10"/>
  </r>
  <r>
    <x v="660"/>
    <s v="net sales:product 3"/>
    <n v="12.49"/>
    <n v="245"/>
    <n v="3060.05"/>
    <s v="net sales"/>
    <x v="3"/>
    <x v="1"/>
    <n v="10"/>
  </r>
  <r>
    <x v="661"/>
    <s v="cogs:product 1"/>
    <n v="5.49"/>
    <n v="50"/>
    <n v="274.5"/>
    <s v="cogs"/>
    <x v="1"/>
    <x v="1"/>
    <n v="10"/>
  </r>
  <r>
    <x v="661"/>
    <s v="cogs:product 2"/>
    <n v="21.49"/>
    <n v="0"/>
    <n v="0"/>
    <s v="cogs"/>
    <x v="2"/>
    <x v="1"/>
    <n v="10"/>
  </r>
  <r>
    <x v="661"/>
    <s v="cogs:product 3"/>
    <n v="8.99"/>
    <n v="40"/>
    <n v="359.6"/>
    <s v="cogs"/>
    <x v="3"/>
    <x v="1"/>
    <n v="10"/>
  </r>
  <r>
    <x v="661"/>
    <s v="marketing"/>
    <s v="NA"/>
    <s v="NA"/>
    <n v="100.96000000000001"/>
    <s v="marketing"/>
    <x v="0"/>
    <x v="1"/>
    <n v="10"/>
  </r>
  <r>
    <x v="661"/>
    <s v="net sales:product 1"/>
    <n v="9.99"/>
    <n v="50"/>
    <n v="499.5"/>
    <s v="net sales"/>
    <x v="1"/>
    <x v="1"/>
    <n v="10"/>
  </r>
  <r>
    <x v="661"/>
    <s v="net sales:product 2"/>
    <n v="24.99"/>
    <n v="0"/>
    <n v="0"/>
    <s v="net sales"/>
    <x v="2"/>
    <x v="1"/>
    <n v="10"/>
  </r>
  <r>
    <x v="661"/>
    <s v="net sales:product 3"/>
    <n v="12.49"/>
    <n v="40"/>
    <n v="499.6"/>
    <s v="net sales"/>
    <x v="3"/>
    <x v="1"/>
    <n v="10"/>
  </r>
  <r>
    <x v="662"/>
    <s v="cogs:product 1"/>
    <n v="5.49"/>
    <n v="96"/>
    <n v="527.04"/>
    <s v="cogs"/>
    <x v="1"/>
    <x v="1"/>
    <n v="10"/>
  </r>
  <r>
    <x v="662"/>
    <s v="cogs:product 2"/>
    <n v="21.49"/>
    <n v="1"/>
    <n v="21.49"/>
    <s v="cogs"/>
    <x v="2"/>
    <x v="1"/>
    <n v="10"/>
  </r>
  <r>
    <x v="662"/>
    <s v="cogs:product 3"/>
    <n v="8.99"/>
    <n v="197"/>
    <n v="1771.03"/>
    <s v="cogs"/>
    <x v="3"/>
    <x v="1"/>
    <n v="10"/>
  </r>
  <r>
    <x v="662"/>
    <s v="marketing"/>
    <s v="NA"/>
    <s v="NA"/>
    <n v="113.09"/>
    <s v="marketing"/>
    <x v="0"/>
    <x v="1"/>
    <n v="10"/>
  </r>
  <r>
    <x v="662"/>
    <s v="net sales:product 1"/>
    <n v="9.99"/>
    <n v="96"/>
    <n v="959.04"/>
    <s v="net sales"/>
    <x v="1"/>
    <x v="1"/>
    <n v="10"/>
  </r>
  <r>
    <x v="662"/>
    <s v="net sales:product 2"/>
    <n v="24.99"/>
    <n v="1"/>
    <n v="24.99"/>
    <s v="net sales"/>
    <x v="2"/>
    <x v="1"/>
    <n v="10"/>
  </r>
  <r>
    <x v="662"/>
    <s v="net sales:product 3"/>
    <n v="12.49"/>
    <n v="197"/>
    <n v="2460.5300000000002"/>
    <s v="net sales"/>
    <x v="3"/>
    <x v="1"/>
    <n v="10"/>
  </r>
  <r>
    <x v="662"/>
    <s v="payroll"/>
    <s v="NA"/>
    <s v="NA"/>
    <n v="1200"/>
    <s v="payroll"/>
    <x v="0"/>
    <x v="1"/>
    <n v="10"/>
  </r>
  <r>
    <x v="663"/>
    <s v="cogs:product 1"/>
    <n v="5.49"/>
    <n v="83"/>
    <n v="455.67"/>
    <s v="cogs"/>
    <x v="1"/>
    <x v="1"/>
    <n v="10"/>
  </r>
  <r>
    <x v="663"/>
    <s v="cogs:product 2"/>
    <n v="21.49"/>
    <n v="1"/>
    <n v="21.49"/>
    <s v="cogs"/>
    <x v="2"/>
    <x v="1"/>
    <n v="10"/>
  </r>
  <r>
    <x v="663"/>
    <s v="cogs:product 3"/>
    <n v="8.99"/>
    <n v="69"/>
    <n v="620.31000000000006"/>
    <s v="cogs"/>
    <x v="3"/>
    <x v="1"/>
    <n v="10"/>
  </r>
  <r>
    <x v="663"/>
    <s v="marketing"/>
    <s v="NA"/>
    <s v="NA"/>
    <n v="116.04"/>
    <s v="marketing"/>
    <x v="0"/>
    <x v="1"/>
    <n v="10"/>
  </r>
  <r>
    <x v="663"/>
    <s v="net sales:product 1"/>
    <n v="9.99"/>
    <n v="83"/>
    <n v="829.17000000000007"/>
    <s v="net sales"/>
    <x v="1"/>
    <x v="1"/>
    <n v="10"/>
  </r>
  <r>
    <x v="663"/>
    <s v="net sales:product 2"/>
    <n v="24.99"/>
    <n v="1"/>
    <n v="24.99"/>
    <s v="net sales"/>
    <x v="2"/>
    <x v="1"/>
    <n v="10"/>
  </r>
  <r>
    <x v="663"/>
    <s v="net sales:product 3"/>
    <n v="12.49"/>
    <n v="69"/>
    <n v="861.81000000000006"/>
    <s v="net sales"/>
    <x v="3"/>
    <x v="1"/>
    <n v="10"/>
  </r>
  <r>
    <x v="664"/>
    <s v="cogs:product 1"/>
    <n v="5.49"/>
    <n v="66"/>
    <n v="362.34000000000003"/>
    <s v="cogs"/>
    <x v="1"/>
    <x v="1"/>
    <n v="10"/>
  </r>
  <r>
    <x v="664"/>
    <s v="cogs:product 2"/>
    <n v="21.49"/>
    <n v="8"/>
    <n v="171.92"/>
    <s v="cogs"/>
    <x v="2"/>
    <x v="1"/>
    <n v="10"/>
  </r>
  <r>
    <x v="664"/>
    <s v="cogs:product 3"/>
    <n v="8.99"/>
    <n v="197"/>
    <n v="1771.03"/>
    <s v="cogs"/>
    <x v="3"/>
    <x v="1"/>
    <n v="10"/>
  </r>
  <r>
    <x v="664"/>
    <s v="marketing"/>
    <s v="NA"/>
    <s v="NA"/>
    <n v="117"/>
    <s v="marketing"/>
    <x v="0"/>
    <x v="1"/>
    <n v="10"/>
  </r>
  <r>
    <x v="664"/>
    <s v="net sales:product 1"/>
    <n v="9.99"/>
    <n v="66"/>
    <n v="659.34"/>
    <s v="net sales"/>
    <x v="1"/>
    <x v="1"/>
    <n v="10"/>
  </r>
  <r>
    <x v="664"/>
    <s v="net sales:product 2"/>
    <n v="24.99"/>
    <n v="8"/>
    <n v="199.92"/>
    <s v="net sales"/>
    <x v="2"/>
    <x v="1"/>
    <n v="10"/>
  </r>
  <r>
    <x v="664"/>
    <s v="net sales:product 3"/>
    <n v="12.49"/>
    <n v="197"/>
    <n v="2460.5300000000002"/>
    <s v="net sales"/>
    <x v="3"/>
    <x v="1"/>
    <n v="10"/>
  </r>
  <r>
    <x v="665"/>
    <s v="cogs:product 1"/>
    <n v="5.49"/>
    <n v="91"/>
    <n v="499.59000000000003"/>
    <s v="cogs"/>
    <x v="1"/>
    <x v="1"/>
    <n v="10"/>
  </r>
  <r>
    <x v="665"/>
    <s v="cogs:product 2"/>
    <n v="21.49"/>
    <n v="8"/>
    <n v="171.92"/>
    <s v="cogs"/>
    <x v="2"/>
    <x v="1"/>
    <n v="10"/>
  </r>
  <r>
    <x v="665"/>
    <s v="cogs:product 3"/>
    <n v="8.99"/>
    <n v="152"/>
    <n v="1366.48"/>
    <s v="cogs"/>
    <x v="3"/>
    <x v="1"/>
    <n v="10"/>
  </r>
  <r>
    <x v="665"/>
    <s v="marketing"/>
    <s v="NA"/>
    <s v="NA"/>
    <n v="103.99000000000001"/>
    <s v="marketing"/>
    <x v="0"/>
    <x v="1"/>
    <n v="10"/>
  </r>
  <r>
    <x v="665"/>
    <s v="net sales:product 1"/>
    <n v="9.99"/>
    <n v="91"/>
    <n v="909.09"/>
    <s v="net sales"/>
    <x v="1"/>
    <x v="1"/>
    <n v="10"/>
  </r>
  <r>
    <x v="665"/>
    <s v="net sales:product 2"/>
    <n v="24.99"/>
    <n v="8"/>
    <n v="199.92"/>
    <s v="net sales"/>
    <x v="2"/>
    <x v="1"/>
    <n v="10"/>
  </r>
  <r>
    <x v="665"/>
    <s v="net sales:product 3"/>
    <n v="12.49"/>
    <n v="152"/>
    <n v="1898.48"/>
    <s v="net sales"/>
    <x v="3"/>
    <x v="1"/>
    <n v="10"/>
  </r>
  <r>
    <x v="666"/>
    <s v="cogs:product 1"/>
    <n v="5.49"/>
    <n v="46"/>
    <n v="252.54000000000002"/>
    <s v="cogs"/>
    <x v="1"/>
    <x v="1"/>
    <n v="10"/>
  </r>
  <r>
    <x v="666"/>
    <s v="cogs:product 2"/>
    <n v="21.49"/>
    <n v="7"/>
    <n v="150.42999999999998"/>
    <s v="cogs"/>
    <x v="2"/>
    <x v="1"/>
    <n v="10"/>
  </r>
  <r>
    <x v="666"/>
    <s v="cogs:product 3"/>
    <n v="8.99"/>
    <n v="248"/>
    <n v="2229.52"/>
    <s v="cogs"/>
    <x v="3"/>
    <x v="1"/>
    <n v="10"/>
  </r>
  <r>
    <x v="666"/>
    <s v="marketing"/>
    <s v="NA"/>
    <s v="NA"/>
    <n v="104.92"/>
    <s v="marketing"/>
    <x v="0"/>
    <x v="1"/>
    <n v="10"/>
  </r>
  <r>
    <x v="666"/>
    <s v="net sales:product 1"/>
    <n v="9.99"/>
    <n v="46"/>
    <n v="459.54"/>
    <s v="net sales"/>
    <x v="1"/>
    <x v="1"/>
    <n v="10"/>
  </r>
  <r>
    <x v="666"/>
    <s v="net sales:product 2"/>
    <n v="24.99"/>
    <n v="7"/>
    <n v="174.92999999999998"/>
    <s v="net sales"/>
    <x v="2"/>
    <x v="1"/>
    <n v="10"/>
  </r>
  <r>
    <x v="666"/>
    <s v="net sales:product 3"/>
    <n v="12.49"/>
    <n v="248"/>
    <n v="3097.52"/>
    <s v="net sales"/>
    <x v="3"/>
    <x v="1"/>
    <n v="10"/>
  </r>
  <r>
    <x v="667"/>
    <s v="cogs:product 1"/>
    <n v="5.49"/>
    <n v="97"/>
    <n v="532.53"/>
    <s v="cogs"/>
    <x v="1"/>
    <x v="1"/>
    <n v="10"/>
  </r>
  <r>
    <x v="667"/>
    <s v="cogs:product 2"/>
    <n v="21.49"/>
    <n v="7"/>
    <n v="150.42999999999998"/>
    <s v="cogs"/>
    <x v="2"/>
    <x v="1"/>
    <n v="10"/>
  </r>
  <r>
    <x v="667"/>
    <s v="cogs:product 3"/>
    <n v="8.99"/>
    <n v="114"/>
    <n v="1024.8600000000001"/>
    <s v="cogs"/>
    <x v="3"/>
    <x v="1"/>
    <n v="10"/>
  </r>
  <r>
    <x v="667"/>
    <s v="marketing"/>
    <s v="NA"/>
    <s v="NA"/>
    <n v="114.10000000000001"/>
    <s v="marketing"/>
    <x v="0"/>
    <x v="1"/>
    <n v="10"/>
  </r>
  <r>
    <x v="667"/>
    <s v="net sales:product 1"/>
    <n v="9.99"/>
    <n v="97"/>
    <n v="969.03"/>
    <s v="net sales"/>
    <x v="1"/>
    <x v="1"/>
    <n v="10"/>
  </r>
  <r>
    <x v="667"/>
    <s v="net sales:product 2"/>
    <n v="24.99"/>
    <n v="7"/>
    <n v="174.92999999999998"/>
    <s v="net sales"/>
    <x v="2"/>
    <x v="1"/>
    <n v="10"/>
  </r>
  <r>
    <x v="667"/>
    <s v="net sales:product 3"/>
    <n v="12.49"/>
    <n v="114"/>
    <n v="1423.8600000000001"/>
    <s v="net sales"/>
    <x v="3"/>
    <x v="1"/>
    <n v="10"/>
  </r>
  <r>
    <x v="668"/>
    <s v="cogs:product 1"/>
    <n v="5.49"/>
    <n v="74"/>
    <n v="406.26"/>
    <s v="cogs"/>
    <x v="1"/>
    <x v="1"/>
    <n v="10"/>
  </r>
  <r>
    <x v="668"/>
    <s v="cogs:product 2"/>
    <n v="21.49"/>
    <n v="1"/>
    <n v="21.49"/>
    <s v="cogs"/>
    <x v="2"/>
    <x v="1"/>
    <n v="10"/>
  </r>
  <r>
    <x v="668"/>
    <s v="cogs:product 3"/>
    <n v="8.99"/>
    <n v="247"/>
    <n v="2220.5300000000002"/>
    <s v="cogs"/>
    <x v="3"/>
    <x v="1"/>
    <n v="10"/>
  </r>
  <r>
    <x v="668"/>
    <s v="marketing"/>
    <s v="NA"/>
    <s v="NA"/>
    <n v="102.06"/>
    <s v="marketing"/>
    <x v="0"/>
    <x v="1"/>
    <n v="10"/>
  </r>
  <r>
    <x v="668"/>
    <s v="net sales:product 1"/>
    <n v="9.99"/>
    <n v="74"/>
    <n v="739.26"/>
    <s v="net sales"/>
    <x v="1"/>
    <x v="1"/>
    <n v="10"/>
  </r>
  <r>
    <x v="668"/>
    <s v="net sales:product 2"/>
    <n v="24.99"/>
    <n v="1"/>
    <n v="24.99"/>
    <s v="net sales"/>
    <x v="2"/>
    <x v="1"/>
    <n v="10"/>
  </r>
  <r>
    <x v="668"/>
    <s v="net sales:product 3"/>
    <n v="12.49"/>
    <n v="247"/>
    <n v="3085.03"/>
    <s v="net sales"/>
    <x v="3"/>
    <x v="1"/>
    <n v="10"/>
  </r>
  <r>
    <x v="669"/>
    <s v="cogs:product 1"/>
    <n v="5.49"/>
    <n v="78"/>
    <n v="428.22"/>
    <s v="cogs"/>
    <x v="1"/>
    <x v="1"/>
    <n v="10"/>
  </r>
  <r>
    <x v="669"/>
    <s v="cogs:product 2"/>
    <n v="21.49"/>
    <n v="2"/>
    <n v="42.98"/>
    <s v="cogs"/>
    <x v="2"/>
    <x v="1"/>
    <n v="10"/>
  </r>
  <r>
    <x v="669"/>
    <s v="cogs:product 3"/>
    <n v="8.99"/>
    <n v="196"/>
    <n v="1762.04"/>
    <s v="cogs"/>
    <x v="3"/>
    <x v="1"/>
    <n v="10"/>
  </r>
  <r>
    <x v="669"/>
    <s v="marketing"/>
    <s v="NA"/>
    <s v="NA"/>
    <n v="111.94"/>
    <s v="marketing"/>
    <x v="0"/>
    <x v="1"/>
    <n v="10"/>
  </r>
  <r>
    <x v="669"/>
    <s v="net sales:product 1"/>
    <n v="9.99"/>
    <n v="78"/>
    <n v="779.22"/>
    <s v="net sales"/>
    <x v="1"/>
    <x v="1"/>
    <n v="10"/>
  </r>
  <r>
    <x v="669"/>
    <s v="net sales:product 2"/>
    <n v="24.99"/>
    <n v="2"/>
    <n v="49.98"/>
    <s v="net sales"/>
    <x v="2"/>
    <x v="1"/>
    <n v="10"/>
  </r>
  <r>
    <x v="669"/>
    <s v="net sales:product 3"/>
    <n v="12.49"/>
    <n v="196"/>
    <n v="2448.04"/>
    <s v="net sales"/>
    <x v="3"/>
    <x v="1"/>
    <n v="10"/>
  </r>
  <r>
    <x v="670"/>
    <s v="amortization"/>
    <s v="NA"/>
    <s v="NA"/>
    <n v="50"/>
    <s v="amortization"/>
    <x v="0"/>
    <x v="1"/>
    <n v="11"/>
  </r>
  <r>
    <x v="670"/>
    <s v="cogs:product 1"/>
    <n v="5.49"/>
    <n v="66"/>
    <n v="362.34000000000003"/>
    <s v="cogs"/>
    <x v="1"/>
    <x v="1"/>
    <n v="11"/>
  </r>
  <r>
    <x v="670"/>
    <s v="cogs:product 2"/>
    <n v="21.49"/>
    <n v="7"/>
    <n v="150.42999999999998"/>
    <s v="cogs"/>
    <x v="2"/>
    <x v="1"/>
    <n v="11"/>
  </r>
  <r>
    <x v="670"/>
    <s v="cogs:product 3"/>
    <n v="8.99"/>
    <n v="193"/>
    <n v="1735.07"/>
    <s v="cogs"/>
    <x v="3"/>
    <x v="1"/>
    <n v="11"/>
  </r>
  <r>
    <x v="670"/>
    <s v="marketing"/>
    <s v="NA"/>
    <s v="NA"/>
    <n v="100.93"/>
    <s v="marketing"/>
    <x v="0"/>
    <x v="1"/>
    <n v="11"/>
  </r>
  <r>
    <x v="670"/>
    <s v="net sales:product 1"/>
    <n v="9.99"/>
    <n v="66"/>
    <n v="659.34"/>
    <s v="net sales"/>
    <x v="1"/>
    <x v="1"/>
    <n v="11"/>
  </r>
  <r>
    <x v="670"/>
    <s v="net sales:product 2"/>
    <n v="24.99"/>
    <n v="7"/>
    <n v="174.92999999999998"/>
    <s v="net sales"/>
    <x v="2"/>
    <x v="1"/>
    <n v="11"/>
  </r>
  <r>
    <x v="670"/>
    <s v="net sales:product 3"/>
    <n v="12.49"/>
    <n v="193"/>
    <n v="2410.5700000000002"/>
    <s v="net sales"/>
    <x v="3"/>
    <x v="1"/>
    <n v="11"/>
  </r>
  <r>
    <x v="670"/>
    <s v="overhead"/>
    <s v="NA"/>
    <s v="NA"/>
    <n v="2000"/>
    <s v="overhead"/>
    <x v="0"/>
    <x v="1"/>
    <n v="11"/>
  </r>
  <r>
    <x v="671"/>
    <s v="cogs:product 1"/>
    <n v="5.49"/>
    <n v="95"/>
    <n v="521.55000000000007"/>
    <s v="cogs"/>
    <x v="1"/>
    <x v="1"/>
    <n v="11"/>
  </r>
  <r>
    <x v="671"/>
    <s v="cogs:product 2"/>
    <n v="21.49"/>
    <n v="4"/>
    <n v="85.96"/>
    <s v="cogs"/>
    <x v="2"/>
    <x v="1"/>
    <n v="11"/>
  </r>
  <r>
    <x v="671"/>
    <s v="cogs:product 3"/>
    <n v="8.99"/>
    <n v="110"/>
    <n v="988.9"/>
    <s v="cogs"/>
    <x v="3"/>
    <x v="1"/>
    <n v="11"/>
  </r>
  <r>
    <x v="671"/>
    <s v="marketing"/>
    <s v="NA"/>
    <s v="NA"/>
    <n v="115.01"/>
    <s v="marketing"/>
    <x v="0"/>
    <x v="1"/>
    <n v="11"/>
  </r>
  <r>
    <x v="671"/>
    <s v="net sales:product 1"/>
    <n v="9.99"/>
    <n v="95"/>
    <n v="949.05000000000007"/>
    <s v="net sales"/>
    <x v="1"/>
    <x v="1"/>
    <n v="11"/>
  </r>
  <r>
    <x v="671"/>
    <s v="net sales:product 2"/>
    <n v="24.99"/>
    <n v="4"/>
    <n v="99.96"/>
    <s v="net sales"/>
    <x v="2"/>
    <x v="1"/>
    <n v="11"/>
  </r>
  <r>
    <x v="671"/>
    <s v="net sales:product 3"/>
    <n v="12.49"/>
    <n v="110"/>
    <n v="1373.9"/>
    <s v="net sales"/>
    <x v="3"/>
    <x v="1"/>
    <n v="11"/>
  </r>
  <r>
    <x v="672"/>
    <s v="cogs:product 1"/>
    <n v="5.49"/>
    <n v="9"/>
    <n v="49.410000000000004"/>
    <s v="cogs"/>
    <x v="1"/>
    <x v="1"/>
    <n v="11"/>
  </r>
  <r>
    <x v="672"/>
    <s v="cogs:product 2"/>
    <n v="21.49"/>
    <n v="2"/>
    <n v="42.98"/>
    <s v="cogs"/>
    <x v="2"/>
    <x v="1"/>
    <n v="11"/>
  </r>
  <r>
    <x v="672"/>
    <s v="cogs:product 3"/>
    <n v="8.99"/>
    <n v="133"/>
    <n v="1195.67"/>
    <s v="cogs"/>
    <x v="3"/>
    <x v="1"/>
    <n v="11"/>
  </r>
  <r>
    <x v="672"/>
    <s v="marketing"/>
    <s v="NA"/>
    <s v="NA"/>
    <n v="107.03"/>
    <s v="marketing"/>
    <x v="0"/>
    <x v="1"/>
    <n v="11"/>
  </r>
  <r>
    <x v="672"/>
    <s v="net sales:product 1"/>
    <n v="9.99"/>
    <n v="9"/>
    <n v="89.91"/>
    <s v="net sales"/>
    <x v="1"/>
    <x v="1"/>
    <n v="11"/>
  </r>
  <r>
    <x v="672"/>
    <s v="net sales:product 2"/>
    <n v="24.99"/>
    <n v="2"/>
    <n v="49.98"/>
    <s v="net sales"/>
    <x v="2"/>
    <x v="1"/>
    <n v="11"/>
  </r>
  <r>
    <x v="672"/>
    <s v="net sales:product 3"/>
    <n v="12.49"/>
    <n v="133"/>
    <n v="1661.17"/>
    <s v="net sales"/>
    <x v="3"/>
    <x v="1"/>
    <n v="11"/>
  </r>
  <r>
    <x v="673"/>
    <s v="cogs:product 1"/>
    <n v="5.49"/>
    <n v="92"/>
    <n v="505.08000000000004"/>
    <s v="cogs"/>
    <x v="1"/>
    <x v="1"/>
    <n v="11"/>
  </r>
  <r>
    <x v="673"/>
    <s v="cogs:product 2"/>
    <n v="21.49"/>
    <n v="7"/>
    <n v="150.42999999999998"/>
    <s v="cogs"/>
    <x v="2"/>
    <x v="1"/>
    <n v="11"/>
  </r>
  <r>
    <x v="673"/>
    <s v="cogs:product 3"/>
    <n v="8.99"/>
    <n v="196"/>
    <n v="1762.04"/>
    <s v="cogs"/>
    <x v="3"/>
    <x v="1"/>
    <n v="11"/>
  </r>
  <r>
    <x v="673"/>
    <s v="marketing"/>
    <s v="NA"/>
    <s v="NA"/>
    <n v="99.93"/>
    <s v="marketing"/>
    <x v="0"/>
    <x v="1"/>
    <n v="11"/>
  </r>
  <r>
    <x v="673"/>
    <s v="net sales:product 1"/>
    <n v="9.99"/>
    <n v="92"/>
    <n v="919.08"/>
    <s v="net sales"/>
    <x v="1"/>
    <x v="1"/>
    <n v="11"/>
  </r>
  <r>
    <x v="673"/>
    <s v="net sales:product 2"/>
    <n v="24.99"/>
    <n v="7"/>
    <n v="174.92999999999998"/>
    <s v="net sales"/>
    <x v="2"/>
    <x v="1"/>
    <n v="11"/>
  </r>
  <r>
    <x v="673"/>
    <s v="net sales:product 3"/>
    <n v="12.49"/>
    <n v="196"/>
    <n v="2448.04"/>
    <s v="net sales"/>
    <x v="3"/>
    <x v="1"/>
    <n v="11"/>
  </r>
  <r>
    <x v="674"/>
    <s v="cogs:product 1"/>
    <n v="5.49"/>
    <n v="8"/>
    <n v="43.92"/>
    <s v="cogs"/>
    <x v="1"/>
    <x v="1"/>
    <n v="11"/>
  </r>
  <r>
    <x v="674"/>
    <s v="cogs:product 2"/>
    <n v="21.49"/>
    <n v="7"/>
    <n v="150.42999999999998"/>
    <s v="cogs"/>
    <x v="2"/>
    <x v="1"/>
    <n v="11"/>
  </r>
  <r>
    <x v="674"/>
    <s v="cogs:product 3"/>
    <n v="8.99"/>
    <n v="206"/>
    <n v="1851.94"/>
    <s v="cogs"/>
    <x v="3"/>
    <x v="1"/>
    <n v="11"/>
  </r>
  <r>
    <x v="674"/>
    <s v="marketing"/>
    <s v="NA"/>
    <s v="NA"/>
    <n v="100.9"/>
    <s v="marketing"/>
    <x v="0"/>
    <x v="1"/>
    <n v="11"/>
  </r>
  <r>
    <x v="674"/>
    <s v="net sales:product 1"/>
    <n v="9.99"/>
    <n v="8"/>
    <n v="79.92"/>
    <s v="net sales"/>
    <x v="1"/>
    <x v="1"/>
    <n v="11"/>
  </r>
  <r>
    <x v="674"/>
    <s v="net sales:product 2"/>
    <n v="24.99"/>
    <n v="7"/>
    <n v="174.92999999999998"/>
    <s v="net sales"/>
    <x v="2"/>
    <x v="1"/>
    <n v="11"/>
  </r>
  <r>
    <x v="674"/>
    <s v="net sales:product 3"/>
    <n v="12.49"/>
    <n v="206"/>
    <n v="2572.94"/>
    <s v="net sales"/>
    <x v="3"/>
    <x v="1"/>
    <n v="11"/>
  </r>
  <r>
    <x v="675"/>
    <s v="cogs:product 1"/>
    <n v="5.49"/>
    <n v="70"/>
    <n v="384.3"/>
    <s v="cogs"/>
    <x v="1"/>
    <x v="1"/>
    <n v="11"/>
  </r>
  <r>
    <x v="675"/>
    <s v="cogs:product 2"/>
    <n v="21.49"/>
    <n v="6"/>
    <n v="128.94"/>
    <s v="cogs"/>
    <x v="2"/>
    <x v="1"/>
    <n v="11"/>
  </r>
  <r>
    <x v="675"/>
    <s v="cogs:product 3"/>
    <n v="8.99"/>
    <n v="90"/>
    <n v="809.1"/>
    <s v="cogs"/>
    <x v="3"/>
    <x v="1"/>
    <n v="11"/>
  </r>
  <r>
    <x v="675"/>
    <s v="marketing"/>
    <s v="NA"/>
    <s v="NA"/>
    <n v="108.99000000000001"/>
    <s v="marketing"/>
    <x v="0"/>
    <x v="1"/>
    <n v="11"/>
  </r>
  <r>
    <x v="675"/>
    <s v="net sales:product 1"/>
    <n v="9.99"/>
    <n v="70"/>
    <n v="699.30000000000007"/>
    <s v="net sales"/>
    <x v="1"/>
    <x v="1"/>
    <n v="11"/>
  </r>
  <r>
    <x v="675"/>
    <s v="net sales:product 2"/>
    <n v="24.99"/>
    <n v="6"/>
    <n v="149.94"/>
    <s v="net sales"/>
    <x v="2"/>
    <x v="1"/>
    <n v="11"/>
  </r>
  <r>
    <x v="675"/>
    <s v="net sales:product 3"/>
    <n v="12.49"/>
    <n v="90"/>
    <n v="1124.0999999999999"/>
    <s v="net sales"/>
    <x v="3"/>
    <x v="1"/>
    <n v="11"/>
  </r>
  <r>
    <x v="676"/>
    <s v="cogs:product 1"/>
    <n v="5.49"/>
    <n v="72"/>
    <n v="395.28000000000003"/>
    <s v="cogs"/>
    <x v="1"/>
    <x v="1"/>
    <n v="11"/>
  </r>
  <r>
    <x v="676"/>
    <s v="cogs:product 2"/>
    <n v="21.49"/>
    <n v="0"/>
    <n v="0"/>
    <s v="cogs"/>
    <x v="2"/>
    <x v="1"/>
    <n v="11"/>
  </r>
  <r>
    <x v="676"/>
    <s v="cogs:product 3"/>
    <n v="8.99"/>
    <n v="194"/>
    <n v="1744.06"/>
    <s v="cogs"/>
    <x v="3"/>
    <x v="1"/>
    <n v="11"/>
  </r>
  <r>
    <x v="676"/>
    <s v="marketing"/>
    <s v="NA"/>
    <s v="NA"/>
    <n v="117.01"/>
    <s v="marketing"/>
    <x v="0"/>
    <x v="1"/>
    <n v="11"/>
  </r>
  <r>
    <x v="676"/>
    <s v="net sales:product 1"/>
    <n v="9.99"/>
    <n v="72"/>
    <n v="719.28"/>
    <s v="net sales"/>
    <x v="1"/>
    <x v="1"/>
    <n v="11"/>
  </r>
  <r>
    <x v="676"/>
    <s v="net sales:product 2"/>
    <n v="24.99"/>
    <n v="0"/>
    <n v="0"/>
    <s v="net sales"/>
    <x v="2"/>
    <x v="1"/>
    <n v="11"/>
  </r>
  <r>
    <x v="676"/>
    <s v="net sales:product 3"/>
    <n v="12.49"/>
    <n v="194"/>
    <n v="2423.06"/>
    <s v="net sales"/>
    <x v="3"/>
    <x v="1"/>
    <n v="11"/>
  </r>
  <r>
    <x v="676"/>
    <s v="payroll"/>
    <s v="NA"/>
    <s v="NA"/>
    <n v="1200"/>
    <s v="payroll"/>
    <x v="0"/>
    <x v="1"/>
    <n v="11"/>
  </r>
  <r>
    <x v="677"/>
    <s v="cogs:product 1"/>
    <n v="5.49"/>
    <n v="3"/>
    <n v="16.47"/>
    <s v="cogs"/>
    <x v="1"/>
    <x v="1"/>
    <n v="11"/>
  </r>
  <r>
    <x v="677"/>
    <s v="cogs:product 2"/>
    <n v="21.49"/>
    <n v="2"/>
    <n v="42.98"/>
    <s v="cogs"/>
    <x v="2"/>
    <x v="1"/>
    <n v="11"/>
  </r>
  <r>
    <x v="677"/>
    <s v="cogs:product 3"/>
    <n v="8.99"/>
    <n v="107"/>
    <n v="961.93000000000006"/>
    <s v="cogs"/>
    <x v="3"/>
    <x v="1"/>
    <n v="11"/>
  </r>
  <r>
    <x v="677"/>
    <s v="marketing"/>
    <s v="NA"/>
    <s v="NA"/>
    <n v="105.09"/>
    <s v="marketing"/>
    <x v="0"/>
    <x v="1"/>
    <n v="11"/>
  </r>
  <r>
    <x v="677"/>
    <s v="net sales:product 1"/>
    <n v="9.99"/>
    <n v="3"/>
    <n v="29.97"/>
    <s v="net sales"/>
    <x v="1"/>
    <x v="1"/>
    <n v="11"/>
  </r>
  <r>
    <x v="677"/>
    <s v="net sales:product 2"/>
    <n v="24.99"/>
    <n v="2"/>
    <n v="49.98"/>
    <s v="net sales"/>
    <x v="2"/>
    <x v="1"/>
    <n v="11"/>
  </r>
  <r>
    <x v="677"/>
    <s v="net sales:product 3"/>
    <n v="12.49"/>
    <n v="107"/>
    <n v="1336.43"/>
    <s v="net sales"/>
    <x v="3"/>
    <x v="1"/>
    <n v="11"/>
  </r>
  <r>
    <x v="678"/>
    <s v="cogs:product 1"/>
    <n v="5.49"/>
    <n v="16"/>
    <n v="87.84"/>
    <s v="cogs"/>
    <x v="1"/>
    <x v="1"/>
    <n v="11"/>
  </r>
  <r>
    <x v="678"/>
    <s v="cogs:product 2"/>
    <n v="21.49"/>
    <n v="1"/>
    <n v="21.49"/>
    <s v="cogs"/>
    <x v="2"/>
    <x v="1"/>
    <n v="11"/>
  </r>
  <r>
    <x v="678"/>
    <s v="cogs:product 3"/>
    <n v="8.99"/>
    <n v="24"/>
    <n v="215.76"/>
    <s v="cogs"/>
    <x v="3"/>
    <x v="1"/>
    <n v="11"/>
  </r>
  <r>
    <x v="678"/>
    <s v="marketing"/>
    <s v="NA"/>
    <s v="NA"/>
    <n v="107.10000000000001"/>
    <s v="marketing"/>
    <x v="0"/>
    <x v="1"/>
    <n v="11"/>
  </r>
  <r>
    <x v="678"/>
    <s v="net sales:product 1"/>
    <n v="9.99"/>
    <n v="16"/>
    <n v="159.84"/>
    <s v="net sales"/>
    <x v="1"/>
    <x v="1"/>
    <n v="11"/>
  </r>
  <r>
    <x v="678"/>
    <s v="net sales:product 2"/>
    <n v="24.99"/>
    <n v="1"/>
    <n v="24.99"/>
    <s v="net sales"/>
    <x v="2"/>
    <x v="1"/>
    <n v="11"/>
  </r>
  <r>
    <x v="678"/>
    <s v="net sales:product 3"/>
    <n v="12.49"/>
    <n v="24"/>
    <n v="299.76"/>
    <s v="net sales"/>
    <x v="3"/>
    <x v="1"/>
    <n v="11"/>
  </r>
  <r>
    <x v="679"/>
    <s v="cogs:product 1"/>
    <n v="5.49"/>
    <n v="46"/>
    <n v="252.54000000000002"/>
    <s v="cogs"/>
    <x v="1"/>
    <x v="1"/>
    <n v="11"/>
  </r>
  <r>
    <x v="679"/>
    <s v="cogs:product 2"/>
    <n v="21.49"/>
    <n v="1"/>
    <n v="21.49"/>
    <s v="cogs"/>
    <x v="2"/>
    <x v="1"/>
    <n v="11"/>
  </r>
  <r>
    <x v="679"/>
    <s v="cogs:product 3"/>
    <n v="8.99"/>
    <n v="138"/>
    <n v="1240.6200000000001"/>
    <s v="cogs"/>
    <x v="3"/>
    <x v="1"/>
    <n v="11"/>
  </r>
  <r>
    <x v="679"/>
    <s v="marketing"/>
    <s v="NA"/>
    <s v="NA"/>
    <n v="114.94"/>
    <s v="marketing"/>
    <x v="0"/>
    <x v="1"/>
    <n v="11"/>
  </r>
  <r>
    <x v="679"/>
    <s v="net sales:product 1"/>
    <n v="9.99"/>
    <n v="46"/>
    <n v="459.54"/>
    <s v="net sales"/>
    <x v="1"/>
    <x v="1"/>
    <n v="11"/>
  </r>
  <r>
    <x v="679"/>
    <s v="net sales:product 2"/>
    <n v="24.99"/>
    <n v="1"/>
    <n v="24.99"/>
    <s v="net sales"/>
    <x v="2"/>
    <x v="1"/>
    <n v="11"/>
  </r>
  <r>
    <x v="679"/>
    <s v="net sales:product 3"/>
    <n v="12.49"/>
    <n v="138"/>
    <n v="1723.6200000000001"/>
    <s v="net sales"/>
    <x v="3"/>
    <x v="1"/>
    <n v="11"/>
  </r>
  <r>
    <x v="680"/>
    <s v="cogs:product 1"/>
    <n v="5.49"/>
    <n v="10"/>
    <n v="54.900000000000006"/>
    <s v="cogs"/>
    <x v="1"/>
    <x v="1"/>
    <n v="11"/>
  </r>
  <r>
    <x v="680"/>
    <s v="cogs:product 2"/>
    <n v="21.49"/>
    <n v="2"/>
    <n v="42.98"/>
    <s v="cogs"/>
    <x v="2"/>
    <x v="1"/>
    <n v="11"/>
  </r>
  <r>
    <x v="680"/>
    <s v="cogs:product 3"/>
    <n v="8.99"/>
    <n v="217"/>
    <n v="1950.8300000000002"/>
    <s v="cogs"/>
    <x v="3"/>
    <x v="1"/>
    <n v="11"/>
  </r>
  <r>
    <x v="680"/>
    <s v="marketing"/>
    <s v="NA"/>
    <s v="NA"/>
    <n v="102.94"/>
    <s v="marketing"/>
    <x v="0"/>
    <x v="1"/>
    <n v="11"/>
  </r>
  <r>
    <x v="680"/>
    <s v="net sales:product 1"/>
    <n v="9.99"/>
    <n v="10"/>
    <n v="99.9"/>
    <s v="net sales"/>
    <x v="1"/>
    <x v="1"/>
    <n v="11"/>
  </r>
  <r>
    <x v="680"/>
    <s v="net sales:product 2"/>
    <n v="24.99"/>
    <n v="2"/>
    <n v="49.98"/>
    <s v="net sales"/>
    <x v="2"/>
    <x v="1"/>
    <n v="11"/>
  </r>
  <r>
    <x v="680"/>
    <s v="net sales:product 3"/>
    <n v="12.49"/>
    <n v="217"/>
    <n v="2710.33"/>
    <s v="net sales"/>
    <x v="3"/>
    <x v="1"/>
    <n v="11"/>
  </r>
  <r>
    <x v="681"/>
    <s v="cogs:product 1"/>
    <n v="5.49"/>
    <n v="72"/>
    <n v="395.28000000000003"/>
    <s v="cogs"/>
    <x v="1"/>
    <x v="1"/>
    <n v="11"/>
  </r>
  <r>
    <x v="681"/>
    <s v="cogs:product 2"/>
    <n v="21.49"/>
    <n v="6"/>
    <n v="128.94"/>
    <s v="cogs"/>
    <x v="2"/>
    <x v="1"/>
    <n v="11"/>
  </r>
  <r>
    <x v="681"/>
    <s v="cogs:product 3"/>
    <n v="8.99"/>
    <n v="86"/>
    <n v="773.14"/>
    <s v="cogs"/>
    <x v="3"/>
    <x v="1"/>
    <n v="11"/>
  </r>
  <r>
    <x v="681"/>
    <s v="marketing"/>
    <s v="NA"/>
    <s v="NA"/>
    <n v="111.92"/>
    <s v="marketing"/>
    <x v="0"/>
    <x v="1"/>
    <n v="11"/>
  </r>
  <r>
    <x v="681"/>
    <s v="net sales:product 1"/>
    <n v="9.99"/>
    <n v="72"/>
    <n v="719.28"/>
    <s v="net sales"/>
    <x v="1"/>
    <x v="1"/>
    <n v="11"/>
  </r>
  <r>
    <x v="681"/>
    <s v="net sales:product 2"/>
    <n v="24.99"/>
    <n v="6"/>
    <n v="149.94"/>
    <s v="net sales"/>
    <x v="2"/>
    <x v="1"/>
    <n v="11"/>
  </r>
  <r>
    <x v="681"/>
    <s v="net sales:product 3"/>
    <n v="12.49"/>
    <n v="86"/>
    <n v="1074.1400000000001"/>
    <s v="net sales"/>
    <x v="3"/>
    <x v="1"/>
    <n v="11"/>
  </r>
  <r>
    <x v="682"/>
    <s v="cogs:product 1"/>
    <n v="5.49"/>
    <n v="46"/>
    <n v="252.54000000000002"/>
    <s v="cogs"/>
    <x v="1"/>
    <x v="1"/>
    <n v="11"/>
  </r>
  <r>
    <x v="682"/>
    <s v="cogs:product 2"/>
    <n v="21.49"/>
    <n v="5"/>
    <n v="107.44999999999999"/>
    <s v="cogs"/>
    <x v="2"/>
    <x v="1"/>
    <n v="11"/>
  </r>
  <r>
    <x v="682"/>
    <s v="cogs:product 3"/>
    <n v="8.99"/>
    <n v="104"/>
    <n v="934.96"/>
    <s v="cogs"/>
    <x v="3"/>
    <x v="1"/>
    <n v="11"/>
  </r>
  <r>
    <x v="682"/>
    <s v="marketing"/>
    <s v="NA"/>
    <s v="NA"/>
    <n v="110.03"/>
    <s v="marketing"/>
    <x v="0"/>
    <x v="1"/>
    <n v="11"/>
  </r>
  <r>
    <x v="682"/>
    <s v="net sales:product 1"/>
    <n v="9.99"/>
    <n v="46"/>
    <n v="459.54"/>
    <s v="net sales"/>
    <x v="1"/>
    <x v="1"/>
    <n v="11"/>
  </r>
  <r>
    <x v="682"/>
    <s v="net sales:product 2"/>
    <n v="24.99"/>
    <n v="5"/>
    <n v="124.94999999999999"/>
    <s v="net sales"/>
    <x v="2"/>
    <x v="1"/>
    <n v="11"/>
  </r>
  <r>
    <x v="682"/>
    <s v="net sales:product 3"/>
    <n v="12.49"/>
    <n v="104"/>
    <n v="1298.96"/>
    <s v="net sales"/>
    <x v="3"/>
    <x v="1"/>
    <n v="11"/>
  </r>
  <r>
    <x v="683"/>
    <s v="cogs:product 1"/>
    <n v="5.49"/>
    <n v="43"/>
    <n v="236.07000000000002"/>
    <s v="cogs"/>
    <x v="1"/>
    <x v="1"/>
    <n v="11"/>
  </r>
  <r>
    <x v="683"/>
    <s v="cogs:product 2"/>
    <n v="21.49"/>
    <n v="1"/>
    <n v="21.49"/>
    <s v="cogs"/>
    <x v="2"/>
    <x v="1"/>
    <n v="11"/>
  </r>
  <r>
    <x v="683"/>
    <s v="cogs:product 3"/>
    <n v="8.99"/>
    <n v="23"/>
    <n v="206.77"/>
    <s v="cogs"/>
    <x v="3"/>
    <x v="1"/>
    <n v="11"/>
  </r>
  <r>
    <x v="683"/>
    <s v="marketing"/>
    <s v="NA"/>
    <s v="NA"/>
    <n v="111.97"/>
    <s v="marketing"/>
    <x v="0"/>
    <x v="1"/>
    <n v="11"/>
  </r>
  <r>
    <x v="683"/>
    <s v="net sales:product 1"/>
    <n v="9.99"/>
    <n v="43"/>
    <n v="429.57"/>
    <s v="net sales"/>
    <x v="1"/>
    <x v="1"/>
    <n v="11"/>
  </r>
  <r>
    <x v="683"/>
    <s v="net sales:product 2"/>
    <n v="24.99"/>
    <n v="1"/>
    <n v="24.99"/>
    <s v="net sales"/>
    <x v="2"/>
    <x v="1"/>
    <n v="11"/>
  </r>
  <r>
    <x v="683"/>
    <s v="net sales:product 3"/>
    <n v="12.49"/>
    <n v="23"/>
    <n v="287.27"/>
    <s v="net sales"/>
    <x v="3"/>
    <x v="1"/>
    <n v="11"/>
  </r>
  <r>
    <x v="684"/>
    <s v="cogs:product 1"/>
    <n v="5.49"/>
    <n v="34"/>
    <n v="186.66"/>
    <s v="cogs"/>
    <x v="1"/>
    <x v="1"/>
    <n v="11"/>
  </r>
  <r>
    <x v="684"/>
    <s v="cogs:product 2"/>
    <n v="21.49"/>
    <n v="7"/>
    <n v="150.42999999999998"/>
    <s v="cogs"/>
    <x v="2"/>
    <x v="1"/>
    <n v="11"/>
  </r>
  <r>
    <x v="684"/>
    <s v="cogs:product 3"/>
    <n v="8.99"/>
    <n v="133"/>
    <n v="1195.67"/>
    <s v="cogs"/>
    <x v="3"/>
    <x v="1"/>
    <n v="11"/>
  </r>
  <r>
    <x v="684"/>
    <s v="interest"/>
    <s v="NA"/>
    <s v="NA"/>
    <n v="1249.8399999999999"/>
    <s v="interest"/>
    <x v="0"/>
    <x v="1"/>
    <n v="11"/>
  </r>
  <r>
    <x v="684"/>
    <s v="marketing"/>
    <s v="NA"/>
    <s v="NA"/>
    <n v="103"/>
    <s v="marketing"/>
    <x v="0"/>
    <x v="1"/>
    <n v="11"/>
  </r>
  <r>
    <x v="684"/>
    <s v="net sales:product 1"/>
    <n v="9.99"/>
    <n v="34"/>
    <n v="339.66"/>
    <s v="net sales"/>
    <x v="1"/>
    <x v="1"/>
    <n v="11"/>
  </r>
  <r>
    <x v="684"/>
    <s v="net sales:product 2"/>
    <n v="24.99"/>
    <n v="7"/>
    <n v="174.92999999999998"/>
    <s v="net sales"/>
    <x v="2"/>
    <x v="1"/>
    <n v="11"/>
  </r>
  <r>
    <x v="684"/>
    <s v="net sales:product 3"/>
    <n v="12.49"/>
    <n v="133"/>
    <n v="1661.17"/>
    <s v="net sales"/>
    <x v="3"/>
    <x v="1"/>
    <n v="11"/>
  </r>
  <r>
    <x v="684"/>
    <s v="overhead"/>
    <s v="NA"/>
    <s v="NA"/>
    <n v="312.45999999999998"/>
    <s v="overhead"/>
    <x v="0"/>
    <x v="1"/>
    <n v="11"/>
  </r>
  <r>
    <x v="685"/>
    <s v="cogs:product 1"/>
    <n v="5.49"/>
    <n v="78"/>
    <n v="428.22"/>
    <s v="cogs"/>
    <x v="1"/>
    <x v="1"/>
    <n v="11"/>
  </r>
  <r>
    <x v="685"/>
    <s v="cogs:product 2"/>
    <n v="21.49"/>
    <n v="4"/>
    <n v="85.96"/>
    <s v="cogs"/>
    <x v="2"/>
    <x v="1"/>
    <n v="11"/>
  </r>
  <r>
    <x v="685"/>
    <s v="cogs:product 3"/>
    <n v="8.99"/>
    <n v="142"/>
    <n v="1276.58"/>
    <s v="cogs"/>
    <x v="3"/>
    <x v="1"/>
    <n v="11"/>
  </r>
  <r>
    <x v="685"/>
    <s v="marketing"/>
    <s v="NA"/>
    <s v="NA"/>
    <n v="112.08"/>
    <s v="marketing"/>
    <x v="0"/>
    <x v="1"/>
    <n v="11"/>
  </r>
  <r>
    <x v="685"/>
    <s v="net sales:product 1"/>
    <n v="9.99"/>
    <n v="78"/>
    <n v="779.22"/>
    <s v="net sales"/>
    <x v="1"/>
    <x v="1"/>
    <n v="11"/>
  </r>
  <r>
    <x v="685"/>
    <s v="net sales:product 2"/>
    <n v="24.99"/>
    <n v="4"/>
    <n v="99.96"/>
    <s v="net sales"/>
    <x v="2"/>
    <x v="1"/>
    <n v="11"/>
  </r>
  <r>
    <x v="685"/>
    <s v="net sales:product 3"/>
    <n v="12.49"/>
    <n v="142"/>
    <n v="1773.58"/>
    <s v="net sales"/>
    <x v="3"/>
    <x v="1"/>
    <n v="11"/>
  </r>
  <r>
    <x v="686"/>
    <s v="cogs:product 1"/>
    <n v="5.49"/>
    <n v="85"/>
    <n v="466.65000000000003"/>
    <s v="cogs"/>
    <x v="1"/>
    <x v="1"/>
    <n v="11"/>
  </r>
  <r>
    <x v="686"/>
    <s v="cogs:product 2"/>
    <n v="21.49"/>
    <n v="0"/>
    <n v="0"/>
    <s v="cogs"/>
    <x v="2"/>
    <x v="1"/>
    <n v="11"/>
  </r>
  <r>
    <x v="686"/>
    <s v="cogs:product 3"/>
    <n v="8.99"/>
    <n v="116"/>
    <n v="1042.8399999999999"/>
    <s v="cogs"/>
    <x v="3"/>
    <x v="1"/>
    <n v="11"/>
  </r>
  <r>
    <x v="686"/>
    <s v="marketing"/>
    <s v="NA"/>
    <s v="NA"/>
    <n v="105"/>
    <s v="marketing"/>
    <x v="0"/>
    <x v="1"/>
    <n v="11"/>
  </r>
  <r>
    <x v="686"/>
    <s v="net sales:product 1"/>
    <n v="9.99"/>
    <n v="85"/>
    <n v="849.15"/>
    <s v="net sales"/>
    <x v="1"/>
    <x v="1"/>
    <n v="11"/>
  </r>
  <r>
    <x v="686"/>
    <s v="net sales:product 2"/>
    <n v="24.99"/>
    <n v="0"/>
    <n v="0"/>
    <s v="net sales"/>
    <x v="2"/>
    <x v="1"/>
    <n v="11"/>
  </r>
  <r>
    <x v="686"/>
    <s v="net sales:product 3"/>
    <n v="12.49"/>
    <n v="116"/>
    <n v="1448.84"/>
    <s v="net sales"/>
    <x v="3"/>
    <x v="1"/>
    <n v="11"/>
  </r>
  <r>
    <x v="687"/>
    <s v="cogs:product 1"/>
    <n v="5.49"/>
    <n v="74"/>
    <n v="406.26"/>
    <s v="cogs"/>
    <x v="1"/>
    <x v="1"/>
    <n v="11"/>
  </r>
  <r>
    <x v="687"/>
    <s v="cogs:product 2"/>
    <n v="21.49"/>
    <n v="2"/>
    <n v="42.98"/>
    <s v="cogs"/>
    <x v="2"/>
    <x v="1"/>
    <n v="11"/>
  </r>
  <r>
    <x v="687"/>
    <s v="cogs:product 3"/>
    <n v="8.99"/>
    <n v="243"/>
    <n v="2184.5700000000002"/>
    <s v="cogs"/>
    <x v="3"/>
    <x v="1"/>
    <n v="11"/>
  </r>
  <r>
    <x v="687"/>
    <s v="marketing"/>
    <s v="NA"/>
    <s v="NA"/>
    <n v="119"/>
    <s v="marketing"/>
    <x v="0"/>
    <x v="1"/>
    <n v="11"/>
  </r>
  <r>
    <x v="687"/>
    <s v="net sales:product 1"/>
    <n v="9.99"/>
    <n v="74"/>
    <n v="739.26"/>
    <s v="net sales"/>
    <x v="1"/>
    <x v="1"/>
    <n v="11"/>
  </r>
  <r>
    <x v="687"/>
    <s v="net sales:product 2"/>
    <n v="24.99"/>
    <n v="2"/>
    <n v="49.98"/>
    <s v="net sales"/>
    <x v="2"/>
    <x v="1"/>
    <n v="11"/>
  </r>
  <r>
    <x v="687"/>
    <s v="net sales:product 3"/>
    <n v="12.49"/>
    <n v="243"/>
    <n v="3035.07"/>
    <s v="net sales"/>
    <x v="3"/>
    <x v="1"/>
    <n v="11"/>
  </r>
  <r>
    <x v="688"/>
    <s v="cogs:product 1"/>
    <n v="5.49"/>
    <n v="34"/>
    <n v="186.66"/>
    <s v="cogs"/>
    <x v="1"/>
    <x v="1"/>
    <n v="11"/>
  </r>
  <r>
    <x v="688"/>
    <s v="cogs:product 2"/>
    <n v="21.49"/>
    <n v="2"/>
    <n v="42.98"/>
    <s v="cogs"/>
    <x v="2"/>
    <x v="1"/>
    <n v="11"/>
  </r>
  <r>
    <x v="688"/>
    <s v="cogs:product 3"/>
    <n v="8.99"/>
    <n v="117"/>
    <n v="1051.83"/>
    <s v="cogs"/>
    <x v="3"/>
    <x v="1"/>
    <n v="11"/>
  </r>
  <r>
    <x v="688"/>
    <s v="marketing"/>
    <s v="NA"/>
    <s v="NA"/>
    <n v="114.92"/>
    <s v="marketing"/>
    <x v="0"/>
    <x v="1"/>
    <n v="11"/>
  </r>
  <r>
    <x v="688"/>
    <s v="net sales:product 1"/>
    <n v="9.99"/>
    <n v="34"/>
    <n v="339.66"/>
    <s v="net sales"/>
    <x v="1"/>
    <x v="1"/>
    <n v="11"/>
  </r>
  <r>
    <x v="688"/>
    <s v="net sales:product 2"/>
    <n v="24.99"/>
    <n v="2"/>
    <n v="49.98"/>
    <s v="net sales"/>
    <x v="2"/>
    <x v="1"/>
    <n v="11"/>
  </r>
  <r>
    <x v="688"/>
    <s v="net sales:product 3"/>
    <n v="12.49"/>
    <n v="117"/>
    <n v="1461.33"/>
    <s v="net sales"/>
    <x v="3"/>
    <x v="1"/>
    <n v="11"/>
  </r>
  <r>
    <x v="689"/>
    <s v="cogs:product 1"/>
    <n v="5.49"/>
    <n v="3"/>
    <n v="16.47"/>
    <s v="cogs"/>
    <x v="1"/>
    <x v="1"/>
    <n v="11"/>
  </r>
  <r>
    <x v="689"/>
    <s v="cogs:product 2"/>
    <n v="21.49"/>
    <n v="0"/>
    <n v="0"/>
    <s v="cogs"/>
    <x v="2"/>
    <x v="1"/>
    <n v="11"/>
  </r>
  <r>
    <x v="689"/>
    <s v="cogs:product 3"/>
    <n v="8.99"/>
    <n v="96"/>
    <n v="863.04"/>
    <s v="cogs"/>
    <x v="3"/>
    <x v="1"/>
    <n v="11"/>
  </r>
  <r>
    <x v="689"/>
    <s v="marketing"/>
    <s v="NA"/>
    <s v="NA"/>
    <n v="103.95"/>
    <s v="marketing"/>
    <x v="0"/>
    <x v="1"/>
    <n v="11"/>
  </r>
  <r>
    <x v="689"/>
    <s v="net sales:product 1"/>
    <n v="9.99"/>
    <n v="3"/>
    <n v="29.97"/>
    <s v="net sales"/>
    <x v="1"/>
    <x v="1"/>
    <n v="11"/>
  </r>
  <r>
    <x v="689"/>
    <s v="net sales:product 2"/>
    <n v="24.99"/>
    <n v="0"/>
    <n v="0"/>
    <s v="net sales"/>
    <x v="2"/>
    <x v="1"/>
    <n v="11"/>
  </r>
  <r>
    <x v="689"/>
    <s v="net sales:product 3"/>
    <n v="12.49"/>
    <n v="96"/>
    <n v="1199.04"/>
    <s v="net sales"/>
    <x v="3"/>
    <x v="1"/>
    <n v="11"/>
  </r>
  <r>
    <x v="690"/>
    <s v="cogs:product 1"/>
    <n v="5.49"/>
    <n v="47"/>
    <n v="258.03000000000003"/>
    <s v="cogs"/>
    <x v="1"/>
    <x v="1"/>
    <n v="11"/>
  </r>
  <r>
    <x v="690"/>
    <s v="cogs:product 2"/>
    <n v="21.49"/>
    <n v="4"/>
    <n v="85.96"/>
    <s v="cogs"/>
    <x v="2"/>
    <x v="1"/>
    <n v="11"/>
  </r>
  <r>
    <x v="690"/>
    <s v="cogs:product 3"/>
    <n v="8.99"/>
    <n v="193"/>
    <n v="1735.07"/>
    <s v="cogs"/>
    <x v="3"/>
    <x v="1"/>
    <n v="11"/>
  </r>
  <r>
    <x v="690"/>
    <s v="marketing"/>
    <s v="NA"/>
    <s v="NA"/>
    <n v="119.06"/>
    <s v="marketing"/>
    <x v="0"/>
    <x v="1"/>
    <n v="11"/>
  </r>
  <r>
    <x v="690"/>
    <s v="net sales:product 1"/>
    <n v="9.99"/>
    <n v="47"/>
    <n v="469.53000000000003"/>
    <s v="net sales"/>
    <x v="1"/>
    <x v="1"/>
    <n v="11"/>
  </r>
  <r>
    <x v="690"/>
    <s v="net sales:product 2"/>
    <n v="24.99"/>
    <n v="4"/>
    <n v="99.96"/>
    <s v="net sales"/>
    <x v="2"/>
    <x v="1"/>
    <n v="11"/>
  </r>
  <r>
    <x v="690"/>
    <s v="net sales:product 3"/>
    <n v="12.49"/>
    <n v="193"/>
    <n v="2410.5700000000002"/>
    <s v="net sales"/>
    <x v="3"/>
    <x v="1"/>
    <n v="11"/>
  </r>
  <r>
    <x v="690"/>
    <s v="payroll"/>
    <s v="NA"/>
    <s v="NA"/>
    <n v="1200"/>
    <s v="payroll"/>
    <x v="0"/>
    <x v="1"/>
    <n v="11"/>
  </r>
  <r>
    <x v="691"/>
    <s v="cogs:product 1"/>
    <n v="5.49"/>
    <n v="62"/>
    <n v="340.38"/>
    <s v="cogs"/>
    <x v="1"/>
    <x v="1"/>
    <n v="11"/>
  </r>
  <r>
    <x v="691"/>
    <s v="cogs:product 2"/>
    <n v="21.49"/>
    <n v="2"/>
    <n v="42.98"/>
    <s v="cogs"/>
    <x v="2"/>
    <x v="1"/>
    <n v="11"/>
  </r>
  <r>
    <x v="691"/>
    <s v="cogs:product 3"/>
    <n v="8.99"/>
    <n v="166"/>
    <n v="1492.3400000000001"/>
    <s v="cogs"/>
    <x v="3"/>
    <x v="1"/>
    <n v="11"/>
  </r>
  <r>
    <x v="691"/>
    <s v="marketing"/>
    <s v="NA"/>
    <s v="NA"/>
    <n v="112.03"/>
    <s v="marketing"/>
    <x v="0"/>
    <x v="1"/>
    <n v="11"/>
  </r>
  <r>
    <x v="691"/>
    <s v="net sales:product 1"/>
    <n v="9.99"/>
    <n v="62"/>
    <n v="619.38"/>
    <s v="net sales"/>
    <x v="1"/>
    <x v="1"/>
    <n v="11"/>
  </r>
  <r>
    <x v="691"/>
    <s v="net sales:product 2"/>
    <n v="24.99"/>
    <n v="2"/>
    <n v="49.98"/>
    <s v="net sales"/>
    <x v="2"/>
    <x v="1"/>
    <n v="11"/>
  </r>
  <r>
    <x v="691"/>
    <s v="net sales:product 3"/>
    <n v="12.49"/>
    <n v="166"/>
    <n v="2073.34"/>
    <s v="net sales"/>
    <x v="3"/>
    <x v="1"/>
    <n v="11"/>
  </r>
  <r>
    <x v="692"/>
    <s v="cogs:product 1"/>
    <n v="5.49"/>
    <n v="85"/>
    <n v="466.65000000000003"/>
    <s v="cogs"/>
    <x v="1"/>
    <x v="1"/>
    <n v="11"/>
  </r>
  <r>
    <x v="692"/>
    <s v="cogs:product 2"/>
    <n v="21.49"/>
    <n v="0"/>
    <n v="0"/>
    <s v="cogs"/>
    <x v="2"/>
    <x v="1"/>
    <n v="11"/>
  </r>
  <r>
    <x v="692"/>
    <s v="cogs:product 3"/>
    <n v="8.99"/>
    <n v="218"/>
    <n v="1959.82"/>
    <s v="cogs"/>
    <x v="3"/>
    <x v="1"/>
    <n v="11"/>
  </r>
  <r>
    <x v="692"/>
    <s v="marketing"/>
    <s v="NA"/>
    <s v="NA"/>
    <n v="107.94"/>
    <s v="marketing"/>
    <x v="0"/>
    <x v="1"/>
    <n v="11"/>
  </r>
  <r>
    <x v="692"/>
    <s v="net sales:product 1"/>
    <n v="9.99"/>
    <n v="85"/>
    <n v="849.15"/>
    <s v="net sales"/>
    <x v="1"/>
    <x v="1"/>
    <n v="11"/>
  </r>
  <r>
    <x v="692"/>
    <s v="net sales:product 2"/>
    <n v="24.99"/>
    <n v="0"/>
    <n v="0"/>
    <s v="net sales"/>
    <x v="2"/>
    <x v="1"/>
    <n v="11"/>
  </r>
  <r>
    <x v="692"/>
    <s v="net sales:product 3"/>
    <n v="12.49"/>
    <n v="218"/>
    <n v="2722.82"/>
    <s v="net sales"/>
    <x v="3"/>
    <x v="1"/>
    <n v="11"/>
  </r>
  <r>
    <x v="693"/>
    <s v="cogs:product 1"/>
    <n v="5.49"/>
    <n v="89"/>
    <n v="488.61"/>
    <s v="cogs"/>
    <x v="1"/>
    <x v="1"/>
    <n v="11"/>
  </r>
  <r>
    <x v="693"/>
    <s v="cogs:product 2"/>
    <n v="21.49"/>
    <n v="3"/>
    <n v="64.47"/>
    <s v="cogs"/>
    <x v="2"/>
    <x v="1"/>
    <n v="11"/>
  </r>
  <r>
    <x v="693"/>
    <s v="cogs:product 3"/>
    <n v="8.99"/>
    <n v="134"/>
    <n v="1204.6600000000001"/>
    <s v="cogs"/>
    <x v="3"/>
    <x v="1"/>
    <n v="11"/>
  </r>
  <r>
    <x v="693"/>
    <s v="marketing"/>
    <s v="NA"/>
    <s v="NA"/>
    <n v="116.92"/>
    <s v="marketing"/>
    <x v="0"/>
    <x v="1"/>
    <n v="11"/>
  </r>
  <r>
    <x v="693"/>
    <s v="net sales:product 1"/>
    <n v="9.99"/>
    <n v="89"/>
    <n v="889.11"/>
    <s v="net sales"/>
    <x v="1"/>
    <x v="1"/>
    <n v="11"/>
  </r>
  <r>
    <x v="693"/>
    <s v="net sales:product 2"/>
    <n v="24.99"/>
    <n v="3"/>
    <n v="74.97"/>
    <s v="net sales"/>
    <x v="2"/>
    <x v="1"/>
    <n v="11"/>
  </r>
  <r>
    <x v="693"/>
    <s v="net sales:product 3"/>
    <n v="12.49"/>
    <n v="134"/>
    <n v="1673.66"/>
    <s v="net sales"/>
    <x v="3"/>
    <x v="1"/>
    <n v="11"/>
  </r>
  <r>
    <x v="694"/>
    <s v="cogs:product 1"/>
    <n v="5.49"/>
    <n v="84"/>
    <n v="461.16"/>
    <s v="cogs"/>
    <x v="1"/>
    <x v="1"/>
    <n v="11"/>
  </r>
  <r>
    <x v="694"/>
    <s v="cogs:product 2"/>
    <n v="21.49"/>
    <n v="6"/>
    <n v="128.94"/>
    <s v="cogs"/>
    <x v="2"/>
    <x v="1"/>
    <n v="11"/>
  </r>
  <r>
    <x v="694"/>
    <s v="cogs:product 3"/>
    <n v="8.99"/>
    <n v="245"/>
    <n v="2202.5500000000002"/>
    <s v="cogs"/>
    <x v="3"/>
    <x v="1"/>
    <n v="11"/>
  </r>
  <r>
    <x v="694"/>
    <s v="marketing"/>
    <s v="NA"/>
    <s v="NA"/>
    <n v="100.95"/>
    <s v="marketing"/>
    <x v="0"/>
    <x v="1"/>
    <n v="11"/>
  </r>
  <r>
    <x v="694"/>
    <s v="net sales:product 1"/>
    <n v="9.99"/>
    <n v="84"/>
    <n v="839.16"/>
    <s v="net sales"/>
    <x v="1"/>
    <x v="1"/>
    <n v="11"/>
  </r>
  <r>
    <x v="694"/>
    <s v="net sales:product 2"/>
    <n v="24.99"/>
    <n v="6"/>
    <n v="149.94"/>
    <s v="net sales"/>
    <x v="2"/>
    <x v="1"/>
    <n v="11"/>
  </r>
  <r>
    <x v="694"/>
    <s v="net sales:product 3"/>
    <n v="12.49"/>
    <n v="245"/>
    <n v="3060.05"/>
    <s v="net sales"/>
    <x v="3"/>
    <x v="1"/>
    <n v="11"/>
  </r>
  <r>
    <x v="695"/>
    <s v="cogs:product 1"/>
    <n v="5.49"/>
    <n v="42"/>
    <n v="230.58"/>
    <s v="cogs"/>
    <x v="1"/>
    <x v="1"/>
    <n v="11"/>
  </r>
  <r>
    <x v="695"/>
    <s v="cogs:product 2"/>
    <n v="21.49"/>
    <n v="1"/>
    <n v="21.49"/>
    <s v="cogs"/>
    <x v="2"/>
    <x v="1"/>
    <n v="11"/>
  </r>
  <r>
    <x v="695"/>
    <s v="cogs:product 3"/>
    <n v="8.99"/>
    <n v="143"/>
    <n v="1285.57"/>
    <s v="cogs"/>
    <x v="3"/>
    <x v="1"/>
    <n v="11"/>
  </r>
  <r>
    <x v="695"/>
    <s v="marketing"/>
    <s v="NA"/>
    <s v="NA"/>
    <n v="102.07000000000001"/>
    <s v="marketing"/>
    <x v="0"/>
    <x v="1"/>
    <n v="11"/>
  </r>
  <r>
    <x v="695"/>
    <s v="net sales:product 1"/>
    <n v="9.99"/>
    <n v="42"/>
    <n v="419.58"/>
    <s v="net sales"/>
    <x v="1"/>
    <x v="1"/>
    <n v="11"/>
  </r>
  <r>
    <x v="695"/>
    <s v="net sales:product 2"/>
    <n v="24.99"/>
    <n v="1"/>
    <n v="24.99"/>
    <s v="net sales"/>
    <x v="2"/>
    <x v="1"/>
    <n v="11"/>
  </r>
  <r>
    <x v="695"/>
    <s v="net sales:product 3"/>
    <n v="12.49"/>
    <n v="143"/>
    <n v="1786.07"/>
    <s v="net sales"/>
    <x v="3"/>
    <x v="1"/>
    <n v="11"/>
  </r>
  <r>
    <x v="696"/>
    <s v="cogs:product 1"/>
    <n v="5.49"/>
    <n v="92"/>
    <n v="505.08000000000004"/>
    <s v="cogs"/>
    <x v="1"/>
    <x v="1"/>
    <n v="11"/>
  </r>
  <r>
    <x v="696"/>
    <s v="cogs:product 2"/>
    <n v="21.49"/>
    <n v="0"/>
    <n v="0"/>
    <s v="cogs"/>
    <x v="2"/>
    <x v="1"/>
    <n v="11"/>
  </r>
  <r>
    <x v="696"/>
    <s v="cogs:product 3"/>
    <n v="8.99"/>
    <n v="190"/>
    <n v="1708.1000000000001"/>
    <s v="cogs"/>
    <x v="3"/>
    <x v="1"/>
    <n v="11"/>
  </r>
  <r>
    <x v="696"/>
    <s v="marketing"/>
    <s v="NA"/>
    <s v="NA"/>
    <n v="100.07000000000001"/>
    <s v="marketing"/>
    <x v="0"/>
    <x v="1"/>
    <n v="11"/>
  </r>
  <r>
    <x v="696"/>
    <s v="net sales:product 1"/>
    <n v="9.99"/>
    <n v="92"/>
    <n v="919.08"/>
    <s v="net sales"/>
    <x v="1"/>
    <x v="1"/>
    <n v="11"/>
  </r>
  <r>
    <x v="696"/>
    <s v="net sales:product 2"/>
    <n v="24.99"/>
    <n v="0"/>
    <n v="0"/>
    <s v="net sales"/>
    <x v="2"/>
    <x v="1"/>
    <n v="11"/>
  </r>
  <r>
    <x v="696"/>
    <s v="net sales:product 3"/>
    <n v="12.49"/>
    <n v="190"/>
    <n v="2373.1"/>
    <s v="net sales"/>
    <x v="3"/>
    <x v="1"/>
    <n v="11"/>
  </r>
  <r>
    <x v="697"/>
    <s v="cogs:product 1"/>
    <n v="5.49"/>
    <n v="39"/>
    <n v="214.11"/>
    <s v="cogs"/>
    <x v="1"/>
    <x v="1"/>
    <n v="11"/>
  </r>
  <r>
    <x v="697"/>
    <s v="cogs:product 2"/>
    <n v="21.49"/>
    <n v="5"/>
    <n v="107.44999999999999"/>
    <s v="cogs"/>
    <x v="2"/>
    <x v="1"/>
    <n v="11"/>
  </r>
  <r>
    <x v="697"/>
    <s v="cogs:product 3"/>
    <n v="8.99"/>
    <n v="0"/>
    <n v="0"/>
    <s v="cogs"/>
    <x v="3"/>
    <x v="1"/>
    <n v="11"/>
  </r>
  <r>
    <x v="697"/>
    <s v="marketing"/>
    <s v="NA"/>
    <s v="NA"/>
    <n v="112.09"/>
    <s v="marketing"/>
    <x v="0"/>
    <x v="1"/>
    <n v="11"/>
  </r>
  <r>
    <x v="697"/>
    <s v="net sales:product 1"/>
    <n v="9.99"/>
    <n v="39"/>
    <n v="389.61"/>
    <s v="net sales"/>
    <x v="1"/>
    <x v="1"/>
    <n v="11"/>
  </r>
  <r>
    <x v="697"/>
    <s v="net sales:product 2"/>
    <n v="24.99"/>
    <n v="5"/>
    <n v="124.94999999999999"/>
    <s v="net sales"/>
    <x v="2"/>
    <x v="1"/>
    <n v="11"/>
  </r>
  <r>
    <x v="697"/>
    <s v="net sales:product 3"/>
    <n v="12.49"/>
    <n v="0"/>
    <n v="0"/>
    <s v="net sales"/>
    <x v="3"/>
    <x v="1"/>
    <n v="11"/>
  </r>
  <r>
    <x v="698"/>
    <s v="cogs:product 1"/>
    <n v="5.49"/>
    <n v="96"/>
    <n v="527.04"/>
    <s v="cogs"/>
    <x v="1"/>
    <x v="1"/>
    <n v="11"/>
  </r>
  <r>
    <x v="698"/>
    <s v="cogs:product 2"/>
    <n v="21.49"/>
    <n v="8"/>
    <n v="171.92"/>
    <s v="cogs"/>
    <x v="2"/>
    <x v="1"/>
    <n v="11"/>
  </r>
  <r>
    <x v="698"/>
    <s v="cogs:product 3"/>
    <n v="8.99"/>
    <n v="238"/>
    <n v="2139.62"/>
    <s v="cogs"/>
    <x v="3"/>
    <x v="1"/>
    <n v="11"/>
  </r>
  <r>
    <x v="698"/>
    <s v="marketing"/>
    <s v="NA"/>
    <s v="NA"/>
    <n v="112.99000000000001"/>
    <s v="marketing"/>
    <x v="0"/>
    <x v="1"/>
    <n v="11"/>
  </r>
  <r>
    <x v="698"/>
    <s v="net sales:product 1"/>
    <n v="9.99"/>
    <n v="96"/>
    <n v="959.04"/>
    <s v="net sales"/>
    <x v="1"/>
    <x v="1"/>
    <n v="11"/>
  </r>
  <r>
    <x v="698"/>
    <s v="net sales:product 2"/>
    <n v="24.99"/>
    <n v="8"/>
    <n v="199.92"/>
    <s v="net sales"/>
    <x v="2"/>
    <x v="1"/>
    <n v="11"/>
  </r>
  <r>
    <x v="698"/>
    <s v="net sales:product 3"/>
    <n v="12.49"/>
    <n v="238"/>
    <n v="2972.62"/>
    <s v="net sales"/>
    <x v="3"/>
    <x v="1"/>
    <n v="11"/>
  </r>
  <r>
    <x v="699"/>
    <s v="cogs:product 1"/>
    <n v="5.49"/>
    <n v="66"/>
    <n v="362.34000000000003"/>
    <s v="cogs"/>
    <x v="1"/>
    <x v="1"/>
    <n v="11"/>
  </r>
  <r>
    <x v="699"/>
    <s v="cogs:product 2"/>
    <n v="21.49"/>
    <n v="3"/>
    <n v="64.47"/>
    <s v="cogs"/>
    <x v="2"/>
    <x v="1"/>
    <n v="11"/>
  </r>
  <r>
    <x v="699"/>
    <s v="cogs:product 3"/>
    <n v="8.99"/>
    <n v="135"/>
    <n v="1213.6500000000001"/>
    <s v="cogs"/>
    <x v="3"/>
    <x v="1"/>
    <n v="11"/>
  </r>
  <r>
    <x v="699"/>
    <s v="marketing"/>
    <s v="NA"/>
    <s v="NA"/>
    <n v="113.91"/>
    <s v="marketing"/>
    <x v="0"/>
    <x v="1"/>
    <n v="11"/>
  </r>
  <r>
    <x v="699"/>
    <s v="net sales:product 1"/>
    <n v="9.99"/>
    <n v="66"/>
    <n v="659.34"/>
    <s v="net sales"/>
    <x v="1"/>
    <x v="1"/>
    <n v="11"/>
  </r>
  <r>
    <x v="699"/>
    <s v="net sales:product 2"/>
    <n v="24.99"/>
    <n v="3"/>
    <n v="74.97"/>
    <s v="net sales"/>
    <x v="2"/>
    <x v="1"/>
    <n v="11"/>
  </r>
  <r>
    <x v="699"/>
    <s v="net sales:product 3"/>
    <n v="12.49"/>
    <n v="135"/>
    <n v="1686.15"/>
    <s v="net sales"/>
    <x v="3"/>
    <x v="1"/>
    <n v="11"/>
  </r>
  <r>
    <x v="700"/>
    <s v="amortization"/>
    <s v="NA"/>
    <s v="NA"/>
    <n v="50"/>
    <s v="amortization"/>
    <x v="0"/>
    <x v="1"/>
    <n v="12"/>
  </r>
  <r>
    <x v="700"/>
    <s v="cogs:product 1"/>
    <n v="5.49"/>
    <n v="1"/>
    <n v="5.49"/>
    <s v="cogs"/>
    <x v="1"/>
    <x v="1"/>
    <n v="12"/>
  </r>
  <r>
    <x v="700"/>
    <s v="cogs:product 2"/>
    <n v="21.49"/>
    <n v="3"/>
    <n v="64.47"/>
    <s v="cogs"/>
    <x v="2"/>
    <x v="1"/>
    <n v="12"/>
  </r>
  <r>
    <x v="700"/>
    <s v="cogs:product 3"/>
    <n v="8.99"/>
    <n v="103"/>
    <n v="925.97"/>
    <s v="cogs"/>
    <x v="3"/>
    <x v="1"/>
    <n v="12"/>
  </r>
  <r>
    <x v="700"/>
    <s v="marketing"/>
    <s v="NA"/>
    <s v="NA"/>
    <n v="105.05"/>
    <s v="marketing"/>
    <x v="0"/>
    <x v="1"/>
    <n v="12"/>
  </r>
  <r>
    <x v="700"/>
    <s v="net sales:product 1"/>
    <n v="9.99"/>
    <n v="1"/>
    <n v="9.99"/>
    <s v="net sales"/>
    <x v="1"/>
    <x v="1"/>
    <n v="12"/>
  </r>
  <r>
    <x v="700"/>
    <s v="net sales:product 2"/>
    <n v="24.99"/>
    <n v="3"/>
    <n v="74.97"/>
    <s v="net sales"/>
    <x v="2"/>
    <x v="1"/>
    <n v="12"/>
  </r>
  <r>
    <x v="700"/>
    <s v="net sales:product 3"/>
    <n v="12.49"/>
    <n v="103"/>
    <n v="1286.47"/>
    <s v="net sales"/>
    <x v="3"/>
    <x v="1"/>
    <n v="12"/>
  </r>
  <r>
    <x v="700"/>
    <s v="overhead"/>
    <s v="NA"/>
    <s v="NA"/>
    <n v="2000"/>
    <s v="overhead"/>
    <x v="0"/>
    <x v="1"/>
    <n v="12"/>
  </r>
  <r>
    <x v="701"/>
    <s v="cogs:product 1"/>
    <n v="5.49"/>
    <n v="66"/>
    <n v="362.34000000000003"/>
    <s v="cogs"/>
    <x v="1"/>
    <x v="1"/>
    <n v="12"/>
  </r>
  <r>
    <x v="701"/>
    <s v="cogs:product 2"/>
    <n v="21.49"/>
    <n v="8"/>
    <n v="171.92"/>
    <s v="cogs"/>
    <x v="2"/>
    <x v="1"/>
    <n v="12"/>
  </r>
  <r>
    <x v="701"/>
    <s v="cogs:product 3"/>
    <n v="8.99"/>
    <n v="273"/>
    <n v="2454.27"/>
    <s v="cogs"/>
    <x v="3"/>
    <x v="1"/>
    <n v="12"/>
  </r>
  <r>
    <x v="701"/>
    <s v="marketing"/>
    <s v="NA"/>
    <s v="NA"/>
    <n v="109.93"/>
    <s v="marketing"/>
    <x v="0"/>
    <x v="1"/>
    <n v="12"/>
  </r>
  <r>
    <x v="701"/>
    <s v="net sales:product 1"/>
    <n v="9.99"/>
    <n v="66"/>
    <n v="659.34"/>
    <s v="net sales"/>
    <x v="1"/>
    <x v="1"/>
    <n v="12"/>
  </r>
  <r>
    <x v="701"/>
    <s v="net sales:product 2"/>
    <n v="24.99"/>
    <n v="8"/>
    <n v="199.92"/>
    <s v="net sales"/>
    <x v="2"/>
    <x v="1"/>
    <n v="12"/>
  </r>
  <r>
    <x v="701"/>
    <s v="net sales:product 3"/>
    <n v="12.49"/>
    <n v="273"/>
    <n v="3409.77"/>
    <s v="net sales"/>
    <x v="3"/>
    <x v="1"/>
    <n v="12"/>
  </r>
  <r>
    <x v="702"/>
    <s v="cogs:product 1"/>
    <n v="5.49"/>
    <n v="71"/>
    <n v="389.79"/>
    <s v="cogs"/>
    <x v="1"/>
    <x v="1"/>
    <n v="12"/>
  </r>
  <r>
    <x v="702"/>
    <s v="cogs:product 2"/>
    <n v="21.49"/>
    <n v="0"/>
    <n v="0"/>
    <s v="cogs"/>
    <x v="2"/>
    <x v="1"/>
    <n v="12"/>
  </r>
  <r>
    <x v="702"/>
    <s v="cogs:product 3"/>
    <n v="8.99"/>
    <n v="42"/>
    <n v="377.58"/>
    <s v="cogs"/>
    <x v="3"/>
    <x v="1"/>
    <n v="12"/>
  </r>
  <r>
    <x v="702"/>
    <s v="marketing"/>
    <s v="NA"/>
    <s v="NA"/>
    <n v="108.07000000000001"/>
    <s v="marketing"/>
    <x v="0"/>
    <x v="1"/>
    <n v="12"/>
  </r>
  <r>
    <x v="702"/>
    <s v="net sales:product 1"/>
    <n v="9.99"/>
    <n v="71"/>
    <n v="709.29"/>
    <s v="net sales"/>
    <x v="1"/>
    <x v="1"/>
    <n v="12"/>
  </r>
  <r>
    <x v="702"/>
    <s v="net sales:product 2"/>
    <n v="24.99"/>
    <n v="0"/>
    <n v="0"/>
    <s v="net sales"/>
    <x v="2"/>
    <x v="1"/>
    <n v="12"/>
  </r>
  <r>
    <x v="702"/>
    <s v="net sales:product 3"/>
    <n v="12.49"/>
    <n v="42"/>
    <n v="524.58000000000004"/>
    <s v="net sales"/>
    <x v="3"/>
    <x v="1"/>
    <n v="12"/>
  </r>
  <r>
    <x v="703"/>
    <s v="cogs:product 1"/>
    <n v="5.49"/>
    <n v="46"/>
    <n v="252.54000000000002"/>
    <s v="cogs"/>
    <x v="1"/>
    <x v="1"/>
    <n v="12"/>
  </r>
  <r>
    <x v="703"/>
    <s v="cogs:product 2"/>
    <n v="21.49"/>
    <n v="7"/>
    <n v="150.42999999999998"/>
    <s v="cogs"/>
    <x v="2"/>
    <x v="1"/>
    <n v="12"/>
  </r>
  <r>
    <x v="703"/>
    <s v="cogs:product 3"/>
    <n v="8.99"/>
    <n v="91"/>
    <n v="818.09"/>
    <s v="cogs"/>
    <x v="3"/>
    <x v="1"/>
    <n v="12"/>
  </r>
  <r>
    <x v="703"/>
    <s v="marketing"/>
    <s v="NA"/>
    <s v="NA"/>
    <n v="118.96000000000001"/>
    <s v="marketing"/>
    <x v="0"/>
    <x v="1"/>
    <n v="12"/>
  </r>
  <r>
    <x v="703"/>
    <s v="net sales:product 1"/>
    <n v="9.99"/>
    <n v="46"/>
    <n v="459.54"/>
    <s v="net sales"/>
    <x v="1"/>
    <x v="1"/>
    <n v="12"/>
  </r>
  <r>
    <x v="703"/>
    <s v="net sales:product 2"/>
    <n v="24.99"/>
    <n v="7"/>
    <n v="174.92999999999998"/>
    <s v="net sales"/>
    <x v="2"/>
    <x v="1"/>
    <n v="12"/>
  </r>
  <r>
    <x v="703"/>
    <s v="net sales:product 3"/>
    <n v="12.49"/>
    <n v="91"/>
    <n v="1136.5899999999999"/>
    <s v="net sales"/>
    <x v="3"/>
    <x v="1"/>
    <n v="12"/>
  </r>
  <r>
    <x v="704"/>
    <s v="cogs:product 1"/>
    <n v="5.49"/>
    <n v="14"/>
    <n v="76.86"/>
    <s v="cogs"/>
    <x v="1"/>
    <x v="1"/>
    <n v="12"/>
  </r>
  <r>
    <x v="704"/>
    <s v="cogs:product 2"/>
    <n v="21.49"/>
    <n v="4"/>
    <n v="85.96"/>
    <s v="cogs"/>
    <x v="2"/>
    <x v="1"/>
    <n v="12"/>
  </r>
  <r>
    <x v="704"/>
    <s v="cogs:product 3"/>
    <n v="8.99"/>
    <n v="189"/>
    <n v="1699.1100000000001"/>
    <s v="cogs"/>
    <x v="3"/>
    <x v="1"/>
    <n v="12"/>
  </r>
  <r>
    <x v="704"/>
    <s v="marketing"/>
    <s v="NA"/>
    <s v="NA"/>
    <n v="111.95"/>
    <s v="marketing"/>
    <x v="0"/>
    <x v="1"/>
    <n v="12"/>
  </r>
  <r>
    <x v="704"/>
    <s v="net sales:product 1"/>
    <n v="9.99"/>
    <n v="14"/>
    <n v="139.86000000000001"/>
    <s v="net sales"/>
    <x v="1"/>
    <x v="1"/>
    <n v="12"/>
  </r>
  <r>
    <x v="704"/>
    <s v="net sales:product 2"/>
    <n v="24.99"/>
    <n v="4"/>
    <n v="99.96"/>
    <s v="net sales"/>
    <x v="2"/>
    <x v="1"/>
    <n v="12"/>
  </r>
  <r>
    <x v="704"/>
    <s v="net sales:product 3"/>
    <n v="12.49"/>
    <n v="189"/>
    <n v="2360.61"/>
    <s v="net sales"/>
    <x v="3"/>
    <x v="1"/>
    <n v="12"/>
  </r>
  <r>
    <x v="704"/>
    <s v="payroll"/>
    <s v="NA"/>
    <s v="NA"/>
    <n v="1200"/>
    <s v="payroll"/>
    <x v="0"/>
    <x v="1"/>
    <n v="12"/>
  </r>
  <r>
    <x v="705"/>
    <s v="cogs:product 1"/>
    <n v="5.49"/>
    <n v="38"/>
    <n v="208.62"/>
    <s v="cogs"/>
    <x v="1"/>
    <x v="1"/>
    <n v="12"/>
  </r>
  <r>
    <x v="705"/>
    <s v="cogs:product 2"/>
    <n v="21.49"/>
    <n v="8"/>
    <n v="171.92"/>
    <s v="cogs"/>
    <x v="2"/>
    <x v="1"/>
    <n v="12"/>
  </r>
  <r>
    <x v="705"/>
    <s v="cogs:product 3"/>
    <n v="8.99"/>
    <n v="0"/>
    <n v="0"/>
    <s v="cogs"/>
    <x v="3"/>
    <x v="1"/>
    <n v="12"/>
  </r>
  <r>
    <x v="705"/>
    <s v="marketing"/>
    <s v="NA"/>
    <s v="NA"/>
    <n v="101.94"/>
    <s v="marketing"/>
    <x v="0"/>
    <x v="1"/>
    <n v="12"/>
  </r>
  <r>
    <x v="705"/>
    <s v="net sales:product 1"/>
    <n v="9.99"/>
    <n v="38"/>
    <n v="379.62"/>
    <s v="net sales"/>
    <x v="1"/>
    <x v="1"/>
    <n v="12"/>
  </r>
  <r>
    <x v="705"/>
    <s v="net sales:product 2"/>
    <n v="24.99"/>
    <n v="8"/>
    <n v="199.92"/>
    <s v="net sales"/>
    <x v="2"/>
    <x v="1"/>
    <n v="12"/>
  </r>
  <r>
    <x v="705"/>
    <s v="net sales:product 3"/>
    <n v="12.49"/>
    <n v="0"/>
    <n v="0"/>
    <s v="net sales"/>
    <x v="3"/>
    <x v="1"/>
    <n v="12"/>
  </r>
  <r>
    <x v="706"/>
    <s v="cogs:product 1"/>
    <n v="5.49"/>
    <n v="84"/>
    <n v="461.16"/>
    <s v="cogs"/>
    <x v="1"/>
    <x v="1"/>
    <n v="12"/>
  </r>
  <r>
    <x v="706"/>
    <s v="cogs:product 2"/>
    <n v="21.49"/>
    <n v="4"/>
    <n v="85.96"/>
    <s v="cogs"/>
    <x v="2"/>
    <x v="1"/>
    <n v="12"/>
  </r>
  <r>
    <x v="706"/>
    <s v="cogs:product 3"/>
    <n v="8.99"/>
    <n v="125"/>
    <n v="1123.75"/>
    <s v="cogs"/>
    <x v="3"/>
    <x v="1"/>
    <n v="12"/>
  </r>
  <r>
    <x v="706"/>
    <s v="marketing"/>
    <s v="NA"/>
    <s v="NA"/>
    <n v="102.09"/>
    <s v="marketing"/>
    <x v="0"/>
    <x v="1"/>
    <n v="12"/>
  </r>
  <r>
    <x v="706"/>
    <s v="net sales:product 1"/>
    <n v="9.99"/>
    <n v="84"/>
    <n v="839.16"/>
    <s v="net sales"/>
    <x v="1"/>
    <x v="1"/>
    <n v="12"/>
  </r>
  <r>
    <x v="706"/>
    <s v="net sales:product 2"/>
    <n v="24.99"/>
    <n v="4"/>
    <n v="99.96"/>
    <s v="net sales"/>
    <x v="2"/>
    <x v="1"/>
    <n v="12"/>
  </r>
  <r>
    <x v="706"/>
    <s v="net sales:product 3"/>
    <n v="12.49"/>
    <n v="125"/>
    <n v="1561.25"/>
    <s v="net sales"/>
    <x v="3"/>
    <x v="1"/>
    <n v="12"/>
  </r>
  <r>
    <x v="707"/>
    <s v="cogs:product 1"/>
    <n v="5.49"/>
    <n v="37"/>
    <n v="203.13"/>
    <s v="cogs"/>
    <x v="1"/>
    <x v="1"/>
    <n v="12"/>
  </r>
  <r>
    <x v="707"/>
    <s v="cogs:product 2"/>
    <n v="21.49"/>
    <n v="3"/>
    <n v="64.47"/>
    <s v="cogs"/>
    <x v="2"/>
    <x v="1"/>
    <n v="12"/>
  </r>
  <r>
    <x v="707"/>
    <s v="cogs:product 3"/>
    <n v="8.99"/>
    <n v="150"/>
    <n v="1348.5"/>
    <s v="cogs"/>
    <x v="3"/>
    <x v="1"/>
    <n v="12"/>
  </r>
  <r>
    <x v="707"/>
    <s v="marketing"/>
    <s v="NA"/>
    <s v="NA"/>
    <n v="115.94"/>
    <s v="marketing"/>
    <x v="0"/>
    <x v="1"/>
    <n v="12"/>
  </r>
  <r>
    <x v="707"/>
    <s v="net sales:product 1"/>
    <n v="9.99"/>
    <n v="37"/>
    <n v="369.63"/>
    <s v="net sales"/>
    <x v="1"/>
    <x v="1"/>
    <n v="12"/>
  </r>
  <r>
    <x v="707"/>
    <s v="net sales:product 2"/>
    <n v="24.99"/>
    <n v="3"/>
    <n v="74.97"/>
    <s v="net sales"/>
    <x v="2"/>
    <x v="1"/>
    <n v="12"/>
  </r>
  <r>
    <x v="707"/>
    <s v="net sales:product 3"/>
    <n v="12.49"/>
    <n v="150"/>
    <n v="1873.5"/>
    <s v="net sales"/>
    <x v="3"/>
    <x v="1"/>
    <n v="12"/>
  </r>
  <r>
    <x v="708"/>
    <s v="cogs:product 1"/>
    <n v="5.49"/>
    <n v="16"/>
    <n v="87.84"/>
    <s v="cogs"/>
    <x v="1"/>
    <x v="1"/>
    <n v="12"/>
  </r>
  <r>
    <x v="708"/>
    <s v="cogs:product 2"/>
    <n v="21.49"/>
    <n v="0"/>
    <n v="0"/>
    <s v="cogs"/>
    <x v="2"/>
    <x v="1"/>
    <n v="12"/>
  </r>
  <r>
    <x v="708"/>
    <s v="cogs:product 3"/>
    <n v="8.99"/>
    <n v="106"/>
    <n v="952.94"/>
    <s v="cogs"/>
    <x v="3"/>
    <x v="1"/>
    <n v="12"/>
  </r>
  <r>
    <x v="708"/>
    <s v="marketing"/>
    <s v="NA"/>
    <s v="NA"/>
    <n v="112.93"/>
    <s v="marketing"/>
    <x v="0"/>
    <x v="1"/>
    <n v="12"/>
  </r>
  <r>
    <x v="708"/>
    <s v="net sales:product 1"/>
    <n v="9.99"/>
    <n v="16"/>
    <n v="159.84"/>
    <s v="net sales"/>
    <x v="1"/>
    <x v="1"/>
    <n v="12"/>
  </r>
  <r>
    <x v="708"/>
    <s v="net sales:product 2"/>
    <n v="24.99"/>
    <n v="0"/>
    <n v="0"/>
    <s v="net sales"/>
    <x v="2"/>
    <x v="1"/>
    <n v="12"/>
  </r>
  <r>
    <x v="708"/>
    <s v="net sales:product 3"/>
    <n v="12.49"/>
    <n v="106"/>
    <n v="1323.94"/>
    <s v="net sales"/>
    <x v="3"/>
    <x v="1"/>
    <n v="12"/>
  </r>
  <r>
    <x v="709"/>
    <s v="cogs:product 1"/>
    <n v="5.49"/>
    <n v="82"/>
    <n v="450.18"/>
    <s v="cogs"/>
    <x v="1"/>
    <x v="1"/>
    <n v="12"/>
  </r>
  <r>
    <x v="709"/>
    <s v="cogs:product 2"/>
    <n v="21.49"/>
    <n v="1"/>
    <n v="21.49"/>
    <s v="cogs"/>
    <x v="2"/>
    <x v="1"/>
    <n v="12"/>
  </r>
  <r>
    <x v="709"/>
    <s v="cogs:product 3"/>
    <n v="8.99"/>
    <n v="246"/>
    <n v="2211.54"/>
    <s v="cogs"/>
    <x v="3"/>
    <x v="1"/>
    <n v="12"/>
  </r>
  <r>
    <x v="709"/>
    <s v="marketing"/>
    <s v="NA"/>
    <s v="NA"/>
    <n v="119.05"/>
    <s v="marketing"/>
    <x v="0"/>
    <x v="1"/>
    <n v="12"/>
  </r>
  <r>
    <x v="709"/>
    <s v="net sales:product 1"/>
    <n v="9.99"/>
    <n v="82"/>
    <n v="819.18000000000006"/>
    <s v="net sales"/>
    <x v="1"/>
    <x v="1"/>
    <n v="12"/>
  </r>
  <r>
    <x v="709"/>
    <s v="net sales:product 2"/>
    <n v="24.99"/>
    <n v="1"/>
    <n v="24.99"/>
    <s v="net sales"/>
    <x v="2"/>
    <x v="1"/>
    <n v="12"/>
  </r>
  <r>
    <x v="709"/>
    <s v="net sales:product 3"/>
    <n v="12.49"/>
    <n v="246"/>
    <n v="3072.54"/>
    <s v="net sales"/>
    <x v="3"/>
    <x v="1"/>
    <n v="12"/>
  </r>
  <r>
    <x v="710"/>
    <s v="cogs:product 1"/>
    <n v="5.49"/>
    <n v="53"/>
    <n v="290.97000000000003"/>
    <s v="cogs"/>
    <x v="1"/>
    <x v="1"/>
    <n v="12"/>
  </r>
  <r>
    <x v="710"/>
    <s v="cogs:product 2"/>
    <n v="21.49"/>
    <n v="2"/>
    <n v="42.98"/>
    <s v="cogs"/>
    <x v="2"/>
    <x v="1"/>
    <n v="12"/>
  </r>
  <r>
    <x v="710"/>
    <s v="cogs:product 3"/>
    <n v="8.99"/>
    <n v="175"/>
    <n v="1573.25"/>
    <s v="cogs"/>
    <x v="3"/>
    <x v="1"/>
    <n v="12"/>
  </r>
  <r>
    <x v="710"/>
    <s v="marketing"/>
    <s v="NA"/>
    <s v="NA"/>
    <n v="113.94"/>
    <s v="marketing"/>
    <x v="0"/>
    <x v="1"/>
    <n v="12"/>
  </r>
  <r>
    <x v="710"/>
    <s v="net sales:product 1"/>
    <n v="9.99"/>
    <n v="53"/>
    <n v="529.47"/>
    <s v="net sales"/>
    <x v="1"/>
    <x v="1"/>
    <n v="12"/>
  </r>
  <r>
    <x v="710"/>
    <s v="net sales:product 2"/>
    <n v="24.99"/>
    <n v="2"/>
    <n v="49.98"/>
    <s v="net sales"/>
    <x v="2"/>
    <x v="1"/>
    <n v="12"/>
  </r>
  <r>
    <x v="710"/>
    <s v="net sales:product 3"/>
    <n v="12.49"/>
    <n v="175"/>
    <n v="2185.75"/>
    <s v="net sales"/>
    <x v="3"/>
    <x v="1"/>
    <n v="12"/>
  </r>
  <r>
    <x v="711"/>
    <s v="cogs:product 1"/>
    <n v="5.49"/>
    <n v="30"/>
    <n v="164.70000000000002"/>
    <s v="cogs"/>
    <x v="1"/>
    <x v="1"/>
    <n v="12"/>
  </r>
  <r>
    <x v="711"/>
    <s v="cogs:product 2"/>
    <n v="21.49"/>
    <n v="6"/>
    <n v="128.94"/>
    <s v="cogs"/>
    <x v="2"/>
    <x v="1"/>
    <n v="12"/>
  </r>
  <r>
    <x v="711"/>
    <s v="cogs:product 3"/>
    <n v="8.99"/>
    <n v="145"/>
    <n v="1303.55"/>
    <s v="cogs"/>
    <x v="3"/>
    <x v="1"/>
    <n v="12"/>
  </r>
  <r>
    <x v="711"/>
    <s v="marketing"/>
    <s v="NA"/>
    <s v="NA"/>
    <n v="120.05"/>
    <s v="marketing"/>
    <x v="0"/>
    <x v="1"/>
    <n v="12"/>
  </r>
  <r>
    <x v="711"/>
    <s v="net sales:product 1"/>
    <n v="9.99"/>
    <n v="30"/>
    <n v="299.7"/>
    <s v="net sales"/>
    <x v="1"/>
    <x v="1"/>
    <n v="12"/>
  </r>
  <r>
    <x v="711"/>
    <s v="net sales:product 2"/>
    <n v="24.99"/>
    <n v="6"/>
    <n v="149.94"/>
    <s v="net sales"/>
    <x v="2"/>
    <x v="1"/>
    <n v="12"/>
  </r>
  <r>
    <x v="711"/>
    <s v="net sales:product 3"/>
    <n v="12.49"/>
    <n v="145"/>
    <n v="1811.05"/>
    <s v="net sales"/>
    <x v="3"/>
    <x v="1"/>
    <n v="12"/>
  </r>
  <r>
    <x v="712"/>
    <s v="cogs:product 1"/>
    <n v="5.49"/>
    <n v="19"/>
    <n v="104.31"/>
    <s v="cogs"/>
    <x v="1"/>
    <x v="1"/>
    <n v="12"/>
  </r>
  <r>
    <x v="712"/>
    <s v="cogs:product 2"/>
    <n v="21.49"/>
    <n v="0"/>
    <n v="0"/>
    <s v="cogs"/>
    <x v="2"/>
    <x v="1"/>
    <n v="12"/>
  </r>
  <r>
    <x v="712"/>
    <s v="cogs:product 3"/>
    <n v="8.99"/>
    <n v="16"/>
    <n v="143.84"/>
    <s v="cogs"/>
    <x v="3"/>
    <x v="1"/>
    <n v="12"/>
  </r>
  <r>
    <x v="712"/>
    <s v="marketing"/>
    <s v="NA"/>
    <s v="NA"/>
    <n v="110.97"/>
    <s v="marketing"/>
    <x v="0"/>
    <x v="1"/>
    <n v="12"/>
  </r>
  <r>
    <x v="712"/>
    <s v="net sales:product 1"/>
    <n v="9.99"/>
    <n v="19"/>
    <n v="189.81"/>
    <s v="net sales"/>
    <x v="1"/>
    <x v="1"/>
    <n v="12"/>
  </r>
  <r>
    <x v="712"/>
    <s v="net sales:product 2"/>
    <n v="24.99"/>
    <n v="0"/>
    <n v="0"/>
    <s v="net sales"/>
    <x v="2"/>
    <x v="1"/>
    <n v="12"/>
  </r>
  <r>
    <x v="712"/>
    <s v="net sales:product 3"/>
    <n v="12.49"/>
    <n v="16"/>
    <n v="199.84"/>
    <s v="net sales"/>
    <x v="3"/>
    <x v="1"/>
    <n v="12"/>
  </r>
  <r>
    <x v="713"/>
    <s v="cogs:product 1"/>
    <n v="5.49"/>
    <n v="45"/>
    <n v="247.05"/>
    <s v="cogs"/>
    <x v="1"/>
    <x v="1"/>
    <n v="12"/>
  </r>
  <r>
    <x v="713"/>
    <s v="cogs:product 2"/>
    <n v="21.49"/>
    <n v="5"/>
    <n v="107.44999999999999"/>
    <s v="cogs"/>
    <x v="2"/>
    <x v="1"/>
    <n v="12"/>
  </r>
  <r>
    <x v="713"/>
    <s v="cogs:product 3"/>
    <n v="8.99"/>
    <n v="41"/>
    <n v="368.59000000000003"/>
    <s v="cogs"/>
    <x v="3"/>
    <x v="1"/>
    <n v="12"/>
  </r>
  <r>
    <x v="713"/>
    <s v="marketing"/>
    <s v="NA"/>
    <s v="NA"/>
    <n v="107.93"/>
    <s v="marketing"/>
    <x v="0"/>
    <x v="1"/>
    <n v="12"/>
  </r>
  <r>
    <x v="713"/>
    <s v="net sales:product 1"/>
    <n v="9.99"/>
    <n v="45"/>
    <n v="449.55"/>
    <s v="net sales"/>
    <x v="1"/>
    <x v="1"/>
    <n v="12"/>
  </r>
  <r>
    <x v="713"/>
    <s v="net sales:product 2"/>
    <n v="24.99"/>
    <n v="5"/>
    <n v="124.94999999999999"/>
    <s v="net sales"/>
    <x v="2"/>
    <x v="1"/>
    <n v="12"/>
  </r>
  <r>
    <x v="713"/>
    <s v="net sales:product 3"/>
    <n v="12.49"/>
    <n v="41"/>
    <n v="512.09"/>
    <s v="net sales"/>
    <x v="3"/>
    <x v="1"/>
    <n v="12"/>
  </r>
  <r>
    <x v="714"/>
    <s v="cogs:product 1"/>
    <n v="5.49"/>
    <n v="7"/>
    <n v="38.43"/>
    <s v="cogs"/>
    <x v="1"/>
    <x v="1"/>
    <n v="12"/>
  </r>
  <r>
    <x v="714"/>
    <s v="cogs:product 2"/>
    <n v="21.49"/>
    <n v="8"/>
    <n v="171.92"/>
    <s v="cogs"/>
    <x v="2"/>
    <x v="1"/>
    <n v="12"/>
  </r>
  <r>
    <x v="714"/>
    <s v="cogs:product 3"/>
    <n v="8.99"/>
    <n v="195"/>
    <n v="1753.05"/>
    <s v="cogs"/>
    <x v="3"/>
    <x v="1"/>
    <n v="12"/>
  </r>
  <r>
    <x v="714"/>
    <s v="interest"/>
    <s v="NA"/>
    <s v="NA"/>
    <n v="1222.24"/>
    <s v="interest"/>
    <x v="0"/>
    <x v="1"/>
    <n v="12"/>
  </r>
  <r>
    <x v="714"/>
    <s v="marketing"/>
    <s v="NA"/>
    <s v="NA"/>
    <n v="111.01"/>
    <s v="marketing"/>
    <x v="0"/>
    <x v="1"/>
    <n v="12"/>
  </r>
  <r>
    <x v="714"/>
    <s v="net sales:product 1"/>
    <n v="9.99"/>
    <n v="7"/>
    <n v="69.930000000000007"/>
    <s v="net sales"/>
    <x v="1"/>
    <x v="1"/>
    <n v="12"/>
  </r>
  <r>
    <x v="714"/>
    <s v="net sales:product 2"/>
    <n v="24.99"/>
    <n v="8"/>
    <n v="199.92"/>
    <s v="net sales"/>
    <x v="2"/>
    <x v="1"/>
    <n v="12"/>
  </r>
  <r>
    <x v="714"/>
    <s v="net sales:product 3"/>
    <n v="12.49"/>
    <n v="195"/>
    <n v="2435.5500000000002"/>
    <s v="net sales"/>
    <x v="3"/>
    <x v="1"/>
    <n v="12"/>
  </r>
  <r>
    <x v="714"/>
    <s v="overhead"/>
    <s v="NA"/>
    <s v="NA"/>
    <n v="310.64"/>
    <s v="overhead"/>
    <x v="0"/>
    <x v="1"/>
    <n v="12"/>
  </r>
  <r>
    <x v="715"/>
    <s v="cogs:product 1"/>
    <n v="5.49"/>
    <n v="3"/>
    <n v="16.47"/>
    <s v="cogs"/>
    <x v="1"/>
    <x v="1"/>
    <n v="12"/>
  </r>
  <r>
    <x v="715"/>
    <s v="cogs:product 2"/>
    <n v="21.49"/>
    <n v="5"/>
    <n v="107.44999999999999"/>
    <s v="cogs"/>
    <x v="2"/>
    <x v="1"/>
    <n v="12"/>
  </r>
  <r>
    <x v="715"/>
    <s v="cogs:product 3"/>
    <n v="8.99"/>
    <n v="197"/>
    <n v="1771.03"/>
    <s v="cogs"/>
    <x v="3"/>
    <x v="1"/>
    <n v="12"/>
  </r>
  <r>
    <x v="715"/>
    <s v="marketing"/>
    <s v="NA"/>
    <s v="NA"/>
    <n v="109.93"/>
    <s v="marketing"/>
    <x v="0"/>
    <x v="1"/>
    <n v="12"/>
  </r>
  <r>
    <x v="715"/>
    <s v="net sales:product 1"/>
    <n v="9.99"/>
    <n v="3"/>
    <n v="29.97"/>
    <s v="net sales"/>
    <x v="1"/>
    <x v="1"/>
    <n v="12"/>
  </r>
  <r>
    <x v="715"/>
    <s v="net sales:product 2"/>
    <n v="24.99"/>
    <n v="5"/>
    <n v="124.94999999999999"/>
    <s v="net sales"/>
    <x v="2"/>
    <x v="1"/>
    <n v="12"/>
  </r>
  <r>
    <x v="715"/>
    <s v="net sales:product 3"/>
    <n v="12.49"/>
    <n v="197"/>
    <n v="2460.5300000000002"/>
    <s v="net sales"/>
    <x v="3"/>
    <x v="1"/>
    <n v="12"/>
  </r>
  <r>
    <x v="716"/>
    <s v="cogs:product 1"/>
    <n v="5.49"/>
    <n v="80"/>
    <n v="439.20000000000005"/>
    <s v="cogs"/>
    <x v="1"/>
    <x v="1"/>
    <n v="12"/>
  </r>
  <r>
    <x v="716"/>
    <s v="cogs:product 2"/>
    <n v="21.49"/>
    <n v="5"/>
    <n v="107.44999999999999"/>
    <s v="cogs"/>
    <x v="2"/>
    <x v="1"/>
    <n v="12"/>
  </r>
  <r>
    <x v="716"/>
    <s v="cogs:product 3"/>
    <n v="8.99"/>
    <n v="160"/>
    <n v="1438.4"/>
    <s v="cogs"/>
    <x v="3"/>
    <x v="1"/>
    <n v="12"/>
  </r>
  <r>
    <x v="716"/>
    <s v="marketing"/>
    <s v="NA"/>
    <s v="NA"/>
    <n v="112.97"/>
    <s v="marketing"/>
    <x v="0"/>
    <x v="1"/>
    <n v="12"/>
  </r>
  <r>
    <x v="716"/>
    <s v="net sales:product 1"/>
    <n v="9.99"/>
    <n v="80"/>
    <n v="799.2"/>
    <s v="net sales"/>
    <x v="1"/>
    <x v="1"/>
    <n v="12"/>
  </r>
  <r>
    <x v="716"/>
    <s v="net sales:product 2"/>
    <n v="24.99"/>
    <n v="5"/>
    <n v="124.94999999999999"/>
    <s v="net sales"/>
    <x v="2"/>
    <x v="1"/>
    <n v="12"/>
  </r>
  <r>
    <x v="716"/>
    <s v="net sales:product 3"/>
    <n v="12.49"/>
    <n v="160"/>
    <n v="1998.4"/>
    <s v="net sales"/>
    <x v="3"/>
    <x v="1"/>
    <n v="12"/>
  </r>
  <r>
    <x v="717"/>
    <s v="cogs:product 1"/>
    <n v="5.49"/>
    <n v="75"/>
    <n v="411.75"/>
    <s v="cogs"/>
    <x v="1"/>
    <x v="1"/>
    <n v="12"/>
  </r>
  <r>
    <x v="717"/>
    <s v="cogs:product 2"/>
    <n v="21.49"/>
    <n v="7"/>
    <n v="150.42999999999998"/>
    <s v="cogs"/>
    <x v="2"/>
    <x v="1"/>
    <n v="12"/>
  </r>
  <r>
    <x v="717"/>
    <s v="cogs:product 3"/>
    <n v="8.99"/>
    <n v="142"/>
    <n v="1276.58"/>
    <s v="cogs"/>
    <x v="3"/>
    <x v="1"/>
    <n v="12"/>
  </r>
  <r>
    <x v="717"/>
    <s v="marketing"/>
    <s v="NA"/>
    <s v="NA"/>
    <n v="117.08"/>
    <s v="marketing"/>
    <x v="0"/>
    <x v="1"/>
    <n v="12"/>
  </r>
  <r>
    <x v="717"/>
    <s v="net sales:product 1"/>
    <n v="9.99"/>
    <n v="75"/>
    <n v="749.25"/>
    <s v="net sales"/>
    <x v="1"/>
    <x v="1"/>
    <n v="12"/>
  </r>
  <r>
    <x v="717"/>
    <s v="net sales:product 2"/>
    <n v="24.99"/>
    <n v="7"/>
    <n v="174.92999999999998"/>
    <s v="net sales"/>
    <x v="2"/>
    <x v="1"/>
    <n v="12"/>
  </r>
  <r>
    <x v="717"/>
    <s v="net sales:product 3"/>
    <n v="12.49"/>
    <n v="142"/>
    <n v="1773.58"/>
    <s v="net sales"/>
    <x v="3"/>
    <x v="1"/>
    <n v="12"/>
  </r>
  <r>
    <x v="718"/>
    <s v="cogs:product 1"/>
    <n v="5.49"/>
    <n v="66"/>
    <n v="362.34000000000003"/>
    <s v="cogs"/>
    <x v="1"/>
    <x v="1"/>
    <n v="12"/>
  </r>
  <r>
    <x v="718"/>
    <s v="cogs:product 2"/>
    <n v="21.49"/>
    <n v="4"/>
    <n v="85.96"/>
    <s v="cogs"/>
    <x v="2"/>
    <x v="1"/>
    <n v="12"/>
  </r>
  <r>
    <x v="718"/>
    <s v="cogs:product 3"/>
    <n v="8.99"/>
    <n v="29"/>
    <n v="260.70999999999998"/>
    <s v="cogs"/>
    <x v="3"/>
    <x v="1"/>
    <n v="12"/>
  </r>
  <r>
    <x v="718"/>
    <s v="marketing"/>
    <s v="NA"/>
    <s v="NA"/>
    <n v="116.94"/>
    <s v="marketing"/>
    <x v="0"/>
    <x v="1"/>
    <n v="12"/>
  </r>
  <r>
    <x v="718"/>
    <s v="net sales:product 1"/>
    <n v="9.99"/>
    <n v="66"/>
    <n v="659.34"/>
    <s v="net sales"/>
    <x v="1"/>
    <x v="1"/>
    <n v="12"/>
  </r>
  <r>
    <x v="718"/>
    <s v="net sales:product 2"/>
    <n v="24.99"/>
    <n v="4"/>
    <n v="99.96"/>
    <s v="net sales"/>
    <x v="2"/>
    <x v="1"/>
    <n v="12"/>
  </r>
  <r>
    <x v="718"/>
    <s v="net sales:product 3"/>
    <n v="12.49"/>
    <n v="29"/>
    <n v="362.21"/>
    <s v="net sales"/>
    <x v="3"/>
    <x v="1"/>
    <n v="12"/>
  </r>
  <r>
    <x v="718"/>
    <s v="payroll"/>
    <s v="NA"/>
    <s v="NA"/>
    <n v="1200"/>
    <s v="payroll"/>
    <x v="0"/>
    <x v="1"/>
    <n v="12"/>
  </r>
  <r>
    <x v="719"/>
    <s v="cogs:product 1"/>
    <n v="5.49"/>
    <n v="91"/>
    <n v="499.59000000000003"/>
    <s v="cogs"/>
    <x v="1"/>
    <x v="1"/>
    <n v="12"/>
  </r>
  <r>
    <x v="719"/>
    <s v="cogs:product 2"/>
    <n v="21.49"/>
    <n v="1"/>
    <n v="21.49"/>
    <s v="cogs"/>
    <x v="2"/>
    <x v="1"/>
    <n v="12"/>
  </r>
  <r>
    <x v="719"/>
    <s v="cogs:product 3"/>
    <n v="8.99"/>
    <n v="9"/>
    <n v="80.91"/>
    <s v="cogs"/>
    <x v="3"/>
    <x v="1"/>
    <n v="12"/>
  </r>
  <r>
    <x v="719"/>
    <s v="marketing"/>
    <s v="NA"/>
    <s v="NA"/>
    <n v="113.98"/>
    <s v="marketing"/>
    <x v="0"/>
    <x v="1"/>
    <n v="12"/>
  </r>
  <r>
    <x v="719"/>
    <s v="net sales:product 1"/>
    <n v="9.99"/>
    <n v="91"/>
    <n v="909.09"/>
    <s v="net sales"/>
    <x v="1"/>
    <x v="1"/>
    <n v="12"/>
  </r>
  <r>
    <x v="719"/>
    <s v="net sales:product 2"/>
    <n v="24.99"/>
    <n v="1"/>
    <n v="24.99"/>
    <s v="net sales"/>
    <x v="2"/>
    <x v="1"/>
    <n v="12"/>
  </r>
  <r>
    <x v="719"/>
    <s v="net sales:product 3"/>
    <n v="12.49"/>
    <n v="9"/>
    <n v="112.41"/>
    <s v="net sales"/>
    <x v="3"/>
    <x v="1"/>
    <n v="12"/>
  </r>
  <r>
    <x v="720"/>
    <s v="cogs:product 1"/>
    <n v="5.49"/>
    <n v="18"/>
    <n v="98.820000000000007"/>
    <s v="cogs"/>
    <x v="1"/>
    <x v="1"/>
    <n v="12"/>
  </r>
  <r>
    <x v="720"/>
    <s v="cogs:product 2"/>
    <n v="21.49"/>
    <n v="0"/>
    <n v="0"/>
    <s v="cogs"/>
    <x v="2"/>
    <x v="1"/>
    <n v="12"/>
  </r>
  <r>
    <x v="720"/>
    <s v="cogs:product 3"/>
    <n v="8.99"/>
    <n v="190"/>
    <n v="1708.1000000000001"/>
    <s v="cogs"/>
    <x v="3"/>
    <x v="1"/>
    <n v="12"/>
  </r>
  <r>
    <x v="720"/>
    <s v="marketing"/>
    <s v="NA"/>
    <s v="NA"/>
    <n v="105.98"/>
    <s v="marketing"/>
    <x v="0"/>
    <x v="1"/>
    <n v="12"/>
  </r>
  <r>
    <x v="720"/>
    <s v="net sales:product 1"/>
    <n v="9.99"/>
    <n v="18"/>
    <n v="179.82"/>
    <s v="net sales"/>
    <x v="1"/>
    <x v="1"/>
    <n v="12"/>
  </r>
  <r>
    <x v="720"/>
    <s v="net sales:product 2"/>
    <n v="24.99"/>
    <n v="0"/>
    <n v="0"/>
    <s v="net sales"/>
    <x v="2"/>
    <x v="1"/>
    <n v="12"/>
  </r>
  <r>
    <x v="720"/>
    <s v="net sales:product 3"/>
    <n v="12.49"/>
    <n v="190"/>
    <n v="2373.1"/>
    <s v="net sales"/>
    <x v="3"/>
    <x v="1"/>
    <n v="12"/>
  </r>
  <r>
    <x v="721"/>
    <s v="cogs:product 1"/>
    <n v="5.49"/>
    <n v="46"/>
    <n v="252.54000000000002"/>
    <s v="cogs"/>
    <x v="1"/>
    <x v="1"/>
    <n v="12"/>
  </r>
  <r>
    <x v="721"/>
    <s v="cogs:product 2"/>
    <n v="21.49"/>
    <n v="3"/>
    <n v="64.47"/>
    <s v="cogs"/>
    <x v="2"/>
    <x v="1"/>
    <n v="12"/>
  </r>
  <r>
    <x v="721"/>
    <s v="cogs:product 3"/>
    <n v="8.99"/>
    <n v="218"/>
    <n v="1959.82"/>
    <s v="cogs"/>
    <x v="3"/>
    <x v="1"/>
    <n v="12"/>
  </r>
  <r>
    <x v="721"/>
    <s v="marketing"/>
    <s v="NA"/>
    <s v="NA"/>
    <n v="111.91"/>
    <s v="marketing"/>
    <x v="0"/>
    <x v="1"/>
    <n v="12"/>
  </r>
  <r>
    <x v="721"/>
    <s v="net sales:product 1"/>
    <n v="9.99"/>
    <n v="46"/>
    <n v="459.54"/>
    <s v="net sales"/>
    <x v="1"/>
    <x v="1"/>
    <n v="12"/>
  </r>
  <r>
    <x v="721"/>
    <s v="net sales:product 2"/>
    <n v="24.99"/>
    <n v="3"/>
    <n v="74.97"/>
    <s v="net sales"/>
    <x v="2"/>
    <x v="1"/>
    <n v="12"/>
  </r>
  <r>
    <x v="721"/>
    <s v="net sales:product 3"/>
    <n v="12.49"/>
    <n v="218"/>
    <n v="2722.82"/>
    <s v="net sales"/>
    <x v="3"/>
    <x v="1"/>
    <n v="12"/>
  </r>
  <r>
    <x v="722"/>
    <s v="cogs:product 1"/>
    <n v="5.49"/>
    <n v="92"/>
    <n v="505.08000000000004"/>
    <s v="cogs"/>
    <x v="1"/>
    <x v="1"/>
    <n v="12"/>
  </r>
  <r>
    <x v="722"/>
    <s v="cogs:product 2"/>
    <n v="21.49"/>
    <n v="2"/>
    <n v="42.98"/>
    <s v="cogs"/>
    <x v="2"/>
    <x v="1"/>
    <n v="12"/>
  </r>
  <r>
    <x v="722"/>
    <s v="cogs:product 3"/>
    <n v="8.99"/>
    <n v="56"/>
    <n v="503.44"/>
    <s v="cogs"/>
    <x v="3"/>
    <x v="1"/>
    <n v="12"/>
  </r>
  <r>
    <x v="722"/>
    <s v="marketing"/>
    <s v="NA"/>
    <s v="NA"/>
    <n v="118.91"/>
    <s v="marketing"/>
    <x v="0"/>
    <x v="1"/>
    <n v="12"/>
  </r>
  <r>
    <x v="722"/>
    <s v="net sales:product 1"/>
    <n v="9.99"/>
    <n v="92"/>
    <n v="919.08"/>
    <s v="net sales"/>
    <x v="1"/>
    <x v="1"/>
    <n v="12"/>
  </r>
  <r>
    <x v="722"/>
    <s v="net sales:product 2"/>
    <n v="24.99"/>
    <n v="2"/>
    <n v="49.98"/>
    <s v="net sales"/>
    <x v="2"/>
    <x v="1"/>
    <n v="12"/>
  </r>
  <r>
    <x v="722"/>
    <s v="net sales:product 3"/>
    <n v="12.49"/>
    <n v="56"/>
    <n v="699.44"/>
    <s v="net sales"/>
    <x v="3"/>
    <x v="1"/>
    <n v="12"/>
  </r>
  <r>
    <x v="723"/>
    <s v="cogs:product 1"/>
    <n v="5.49"/>
    <n v="37"/>
    <n v="203.13"/>
    <s v="cogs"/>
    <x v="1"/>
    <x v="1"/>
    <n v="12"/>
  </r>
  <r>
    <x v="723"/>
    <s v="cogs:product 2"/>
    <n v="21.49"/>
    <n v="0"/>
    <n v="0"/>
    <s v="cogs"/>
    <x v="2"/>
    <x v="1"/>
    <n v="12"/>
  </r>
  <r>
    <x v="723"/>
    <s v="cogs:product 3"/>
    <n v="8.99"/>
    <n v="5"/>
    <n v="44.95"/>
    <s v="cogs"/>
    <x v="3"/>
    <x v="1"/>
    <n v="12"/>
  </r>
  <r>
    <x v="723"/>
    <s v="marketing"/>
    <s v="NA"/>
    <s v="NA"/>
    <n v="118.9"/>
    <s v="marketing"/>
    <x v="0"/>
    <x v="1"/>
    <n v="12"/>
  </r>
  <r>
    <x v="723"/>
    <s v="net sales:product 1"/>
    <n v="9.99"/>
    <n v="37"/>
    <n v="369.63"/>
    <s v="net sales"/>
    <x v="1"/>
    <x v="1"/>
    <n v="12"/>
  </r>
  <r>
    <x v="723"/>
    <s v="net sales:product 2"/>
    <n v="24.99"/>
    <n v="0"/>
    <n v="0"/>
    <s v="net sales"/>
    <x v="2"/>
    <x v="1"/>
    <n v="12"/>
  </r>
  <r>
    <x v="723"/>
    <s v="net sales:product 3"/>
    <n v="12.49"/>
    <n v="5"/>
    <n v="62.45"/>
    <s v="net sales"/>
    <x v="3"/>
    <x v="1"/>
    <n v="12"/>
  </r>
  <r>
    <x v="724"/>
    <s v="cogs:product 1"/>
    <n v="5.49"/>
    <n v="91"/>
    <n v="499.59000000000003"/>
    <s v="cogs"/>
    <x v="1"/>
    <x v="1"/>
    <n v="12"/>
  </r>
  <r>
    <x v="724"/>
    <s v="cogs:product 2"/>
    <n v="21.49"/>
    <n v="0"/>
    <n v="0"/>
    <s v="cogs"/>
    <x v="2"/>
    <x v="1"/>
    <n v="12"/>
  </r>
  <r>
    <x v="724"/>
    <s v="cogs:product 3"/>
    <n v="8.99"/>
    <n v="97"/>
    <n v="872.03"/>
    <s v="cogs"/>
    <x v="3"/>
    <x v="1"/>
    <n v="12"/>
  </r>
  <r>
    <x v="724"/>
    <s v="marketing"/>
    <s v="NA"/>
    <s v="NA"/>
    <n v="114.07000000000001"/>
    <s v="marketing"/>
    <x v="0"/>
    <x v="1"/>
    <n v="12"/>
  </r>
  <r>
    <x v="724"/>
    <s v="net sales:product 1"/>
    <n v="9.99"/>
    <n v="91"/>
    <n v="909.09"/>
    <s v="net sales"/>
    <x v="1"/>
    <x v="1"/>
    <n v="12"/>
  </r>
  <r>
    <x v="724"/>
    <s v="net sales:product 2"/>
    <n v="24.99"/>
    <n v="0"/>
    <n v="0"/>
    <s v="net sales"/>
    <x v="2"/>
    <x v="1"/>
    <n v="12"/>
  </r>
  <r>
    <x v="724"/>
    <s v="net sales:product 3"/>
    <n v="12.49"/>
    <n v="97"/>
    <n v="1211.53"/>
    <s v="net sales"/>
    <x v="3"/>
    <x v="1"/>
    <n v="12"/>
  </r>
  <r>
    <x v="725"/>
    <s v="cogs:product 1"/>
    <n v="5.49"/>
    <n v="53"/>
    <n v="290.97000000000003"/>
    <s v="cogs"/>
    <x v="1"/>
    <x v="1"/>
    <n v="12"/>
  </r>
  <r>
    <x v="725"/>
    <s v="cogs:product 2"/>
    <n v="21.49"/>
    <n v="5"/>
    <n v="107.44999999999999"/>
    <s v="cogs"/>
    <x v="2"/>
    <x v="1"/>
    <n v="12"/>
  </r>
  <r>
    <x v="725"/>
    <s v="cogs:product 3"/>
    <n v="8.99"/>
    <n v="0"/>
    <n v="0"/>
    <s v="cogs"/>
    <x v="3"/>
    <x v="1"/>
    <n v="12"/>
  </r>
  <r>
    <x v="725"/>
    <s v="marketing"/>
    <s v="NA"/>
    <s v="NA"/>
    <n v="109.99000000000001"/>
    <s v="marketing"/>
    <x v="0"/>
    <x v="1"/>
    <n v="12"/>
  </r>
  <r>
    <x v="725"/>
    <s v="net sales:product 1"/>
    <n v="9.99"/>
    <n v="53"/>
    <n v="529.47"/>
    <s v="net sales"/>
    <x v="1"/>
    <x v="1"/>
    <n v="12"/>
  </r>
  <r>
    <x v="725"/>
    <s v="net sales:product 2"/>
    <n v="24.99"/>
    <n v="5"/>
    <n v="124.94999999999999"/>
    <s v="net sales"/>
    <x v="2"/>
    <x v="1"/>
    <n v="12"/>
  </r>
  <r>
    <x v="725"/>
    <s v="net sales:product 3"/>
    <n v="12.49"/>
    <n v="0"/>
    <n v="0"/>
    <s v="net sales"/>
    <x v="3"/>
    <x v="1"/>
    <n v="12"/>
  </r>
  <r>
    <x v="726"/>
    <s v="cogs:product 1"/>
    <n v="5.49"/>
    <n v="68"/>
    <n v="373.32"/>
    <s v="cogs"/>
    <x v="1"/>
    <x v="1"/>
    <n v="12"/>
  </r>
  <r>
    <x v="726"/>
    <s v="cogs:product 2"/>
    <n v="21.49"/>
    <n v="1"/>
    <n v="21.49"/>
    <s v="cogs"/>
    <x v="2"/>
    <x v="1"/>
    <n v="12"/>
  </r>
  <r>
    <x v="726"/>
    <s v="cogs:product 3"/>
    <n v="8.99"/>
    <n v="31"/>
    <n v="278.69"/>
    <s v="cogs"/>
    <x v="3"/>
    <x v="1"/>
    <n v="12"/>
  </r>
  <r>
    <x v="726"/>
    <s v="marketing"/>
    <s v="NA"/>
    <s v="NA"/>
    <n v="99.990000000000009"/>
    <s v="marketing"/>
    <x v="0"/>
    <x v="1"/>
    <n v="12"/>
  </r>
  <r>
    <x v="726"/>
    <s v="net sales:product 1"/>
    <n v="9.99"/>
    <n v="68"/>
    <n v="679.32"/>
    <s v="net sales"/>
    <x v="1"/>
    <x v="1"/>
    <n v="12"/>
  </r>
  <r>
    <x v="726"/>
    <s v="net sales:product 2"/>
    <n v="24.99"/>
    <n v="1"/>
    <n v="24.99"/>
    <s v="net sales"/>
    <x v="2"/>
    <x v="1"/>
    <n v="12"/>
  </r>
  <r>
    <x v="726"/>
    <s v="net sales:product 3"/>
    <n v="12.49"/>
    <n v="31"/>
    <n v="387.19"/>
    <s v="net sales"/>
    <x v="3"/>
    <x v="1"/>
    <n v="12"/>
  </r>
  <r>
    <x v="727"/>
    <s v="cogs:product 1"/>
    <n v="5.49"/>
    <n v="48"/>
    <n v="263.52"/>
    <s v="cogs"/>
    <x v="1"/>
    <x v="1"/>
    <n v="12"/>
  </r>
  <r>
    <x v="727"/>
    <s v="cogs:product 2"/>
    <n v="21.49"/>
    <n v="1"/>
    <n v="21.49"/>
    <s v="cogs"/>
    <x v="2"/>
    <x v="1"/>
    <n v="12"/>
  </r>
  <r>
    <x v="727"/>
    <s v="cogs:product 3"/>
    <n v="8.99"/>
    <n v="245"/>
    <n v="2202.5500000000002"/>
    <s v="cogs"/>
    <x v="3"/>
    <x v="1"/>
    <n v="12"/>
  </r>
  <r>
    <x v="727"/>
    <s v="marketing"/>
    <s v="NA"/>
    <s v="NA"/>
    <n v="109.95"/>
    <s v="marketing"/>
    <x v="0"/>
    <x v="1"/>
    <n v="12"/>
  </r>
  <r>
    <x v="727"/>
    <s v="net sales:product 1"/>
    <n v="9.99"/>
    <n v="48"/>
    <n v="479.52"/>
    <s v="net sales"/>
    <x v="1"/>
    <x v="1"/>
    <n v="12"/>
  </r>
  <r>
    <x v="727"/>
    <s v="net sales:product 2"/>
    <n v="24.99"/>
    <n v="1"/>
    <n v="24.99"/>
    <s v="net sales"/>
    <x v="2"/>
    <x v="1"/>
    <n v="12"/>
  </r>
  <r>
    <x v="727"/>
    <s v="net sales:product 3"/>
    <n v="12.49"/>
    <n v="245"/>
    <n v="3060.05"/>
    <s v="net sales"/>
    <x v="3"/>
    <x v="1"/>
    <n v="12"/>
  </r>
  <r>
    <x v="728"/>
    <s v="cogs:product 1"/>
    <n v="5.49"/>
    <n v="60"/>
    <n v="329.40000000000003"/>
    <s v="cogs"/>
    <x v="1"/>
    <x v="1"/>
    <n v="12"/>
  </r>
  <r>
    <x v="728"/>
    <s v="cogs:product 2"/>
    <n v="21.49"/>
    <n v="6"/>
    <n v="128.94"/>
    <s v="cogs"/>
    <x v="2"/>
    <x v="1"/>
    <n v="12"/>
  </r>
  <r>
    <x v="728"/>
    <s v="cogs:product 3"/>
    <n v="8.99"/>
    <n v="245"/>
    <n v="2202.5500000000002"/>
    <s v="cogs"/>
    <x v="3"/>
    <x v="1"/>
    <n v="12"/>
  </r>
  <r>
    <x v="728"/>
    <s v="marketing"/>
    <s v="NA"/>
    <s v="NA"/>
    <n v="103.92"/>
    <s v="marketing"/>
    <x v="0"/>
    <x v="1"/>
    <n v="12"/>
  </r>
  <r>
    <x v="728"/>
    <s v="net sales:product 1"/>
    <n v="9.99"/>
    <n v="60"/>
    <n v="599.4"/>
    <s v="net sales"/>
    <x v="1"/>
    <x v="1"/>
    <n v="12"/>
  </r>
  <r>
    <x v="728"/>
    <s v="net sales:product 2"/>
    <n v="24.99"/>
    <n v="6"/>
    <n v="149.94"/>
    <s v="net sales"/>
    <x v="2"/>
    <x v="1"/>
    <n v="12"/>
  </r>
  <r>
    <x v="728"/>
    <s v="net sales:product 3"/>
    <n v="12.49"/>
    <n v="245"/>
    <n v="3060.05"/>
    <s v="net sales"/>
    <x v="3"/>
    <x v="1"/>
    <n v="12"/>
  </r>
  <r>
    <x v="729"/>
    <s v="cogs:product 1"/>
    <n v="5.49"/>
    <n v="92"/>
    <n v="505.08000000000004"/>
    <s v="cogs"/>
    <x v="1"/>
    <x v="1"/>
    <n v="12"/>
  </r>
  <r>
    <x v="729"/>
    <s v="cogs:product 2"/>
    <n v="21.49"/>
    <n v="7"/>
    <n v="150.42999999999998"/>
    <s v="cogs"/>
    <x v="2"/>
    <x v="1"/>
    <n v="12"/>
  </r>
  <r>
    <x v="729"/>
    <s v="cogs:product 3"/>
    <n v="8.99"/>
    <n v="190"/>
    <n v="1708.1000000000001"/>
    <s v="cogs"/>
    <x v="3"/>
    <x v="1"/>
    <n v="12"/>
  </r>
  <r>
    <x v="729"/>
    <s v="marketing"/>
    <s v="NA"/>
    <s v="NA"/>
    <n v="104.93"/>
    <s v="marketing"/>
    <x v="0"/>
    <x v="1"/>
    <n v="12"/>
  </r>
  <r>
    <x v="729"/>
    <s v="net sales:product 1"/>
    <n v="9.99"/>
    <n v="92"/>
    <n v="919.08"/>
    <s v="net sales"/>
    <x v="1"/>
    <x v="1"/>
    <n v="12"/>
  </r>
  <r>
    <x v="729"/>
    <s v="net sales:product 2"/>
    <n v="24.99"/>
    <n v="7"/>
    <n v="174.92999999999998"/>
    <s v="net sales"/>
    <x v="2"/>
    <x v="1"/>
    <n v="12"/>
  </r>
  <r>
    <x v="729"/>
    <s v="net sales:product 3"/>
    <n v="12.49"/>
    <n v="190"/>
    <n v="2373.1"/>
    <s v="net sales"/>
    <x v="3"/>
    <x v="1"/>
    <n v="12"/>
  </r>
  <r>
    <x v="730"/>
    <s v="cogs:product 1"/>
    <n v="5.49"/>
    <n v="35"/>
    <n v="192.15"/>
    <s v="cogs"/>
    <x v="1"/>
    <x v="1"/>
    <n v="12"/>
  </r>
  <r>
    <x v="730"/>
    <s v="cogs:product 2"/>
    <n v="21.49"/>
    <n v="4"/>
    <n v="85.96"/>
    <s v="cogs"/>
    <x v="2"/>
    <x v="1"/>
    <n v="12"/>
  </r>
  <r>
    <x v="730"/>
    <s v="cogs:product 3"/>
    <n v="8.99"/>
    <n v="161"/>
    <n v="1447.39"/>
    <s v="cogs"/>
    <x v="3"/>
    <x v="1"/>
    <n v="12"/>
  </r>
  <r>
    <x v="730"/>
    <s v="marketing"/>
    <s v="NA"/>
    <s v="NA"/>
    <n v="110"/>
    <s v="marketing"/>
    <x v="0"/>
    <x v="1"/>
    <n v="12"/>
  </r>
  <r>
    <x v="730"/>
    <s v="net sales:product 1"/>
    <n v="9.99"/>
    <n v="35"/>
    <n v="349.65000000000003"/>
    <s v="net sales"/>
    <x v="1"/>
    <x v="1"/>
    <n v="12"/>
  </r>
  <r>
    <x v="730"/>
    <s v="net sales:product 2"/>
    <n v="24.99"/>
    <n v="4"/>
    <n v="99.96"/>
    <s v="net sales"/>
    <x v="2"/>
    <x v="1"/>
    <n v="12"/>
  </r>
  <r>
    <x v="730"/>
    <s v="net sales:product 3"/>
    <n v="12.49"/>
    <n v="161"/>
    <n v="2010.89"/>
    <s v="net sales"/>
    <x v="3"/>
    <x v="1"/>
    <n v="12"/>
  </r>
  <r>
    <x v="731"/>
    <m/>
    <m/>
    <m/>
    <m/>
    <m/>
    <x v="4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66">
  <r>
    <d v="2024-01-01T00:00:00"/>
    <s v="amortization"/>
    <s v="NA"/>
    <x v="0"/>
    <n v="50"/>
    <x v="0"/>
    <x v="0"/>
    <x v="0"/>
    <x v="0"/>
    <n v="0"/>
  </r>
  <r>
    <d v="2024-01-01T00:00:00"/>
    <s v="cogs:product 1"/>
    <n v="5.99"/>
    <x v="1"/>
    <n v="425.29"/>
    <x v="1"/>
    <x v="1"/>
    <x v="0"/>
    <x v="0"/>
    <n v="-425.29"/>
  </r>
  <r>
    <d v="2024-01-01T00:00:00"/>
    <s v="cogs:product 2"/>
    <n v="16.989999999999998"/>
    <x v="2"/>
    <n v="50.97"/>
    <x v="1"/>
    <x v="2"/>
    <x v="0"/>
    <x v="0"/>
    <n v="-50.97"/>
  </r>
  <r>
    <d v="2024-01-01T00:00:00"/>
    <s v="cogs:product 3"/>
    <n v="8.49"/>
    <x v="3"/>
    <n v="662.22"/>
    <x v="1"/>
    <x v="3"/>
    <x v="0"/>
    <x v="0"/>
    <n v="-662.22"/>
  </r>
  <r>
    <d v="2024-01-01T00:00:00"/>
    <s v="marketing"/>
    <s v="NA"/>
    <x v="0"/>
    <n v="99.990000000000009"/>
    <x v="2"/>
    <x v="0"/>
    <x v="0"/>
    <x v="0"/>
    <n v="-99.990000000000009"/>
  </r>
  <r>
    <d v="2024-01-01T00:00:00"/>
    <s v="net sales:product 1"/>
    <n v="9.99"/>
    <x v="1"/>
    <n v="709.29"/>
    <x v="3"/>
    <x v="1"/>
    <x v="0"/>
    <x v="0"/>
    <n v="709.29"/>
  </r>
  <r>
    <d v="2024-01-01T00:00:00"/>
    <s v="net sales:product 2"/>
    <n v="24.99"/>
    <x v="2"/>
    <n v="74.97"/>
    <x v="3"/>
    <x v="2"/>
    <x v="0"/>
    <x v="0"/>
    <n v="74.97"/>
  </r>
  <r>
    <d v="2024-01-01T00:00:00"/>
    <s v="net sales:product 3"/>
    <n v="12.49"/>
    <x v="3"/>
    <n v="974.22"/>
    <x v="3"/>
    <x v="3"/>
    <x v="0"/>
    <x v="0"/>
    <n v="974.22"/>
  </r>
  <r>
    <d v="2024-01-01T00:00:00"/>
    <s v="overhead"/>
    <s v="NA"/>
    <x v="0"/>
    <n v="2000"/>
    <x v="4"/>
    <x v="0"/>
    <x v="0"/>
    <x v="0"/>
    <n v="-2000"/>
  </r>
  <r>
    <d v="2024-01-02T00:00:00"/>
    <s v="cogs:product 1"/>
    <n v="5.99"/>
    <x v="4"/>
    <n v="389.35"/>
    <x v="1"/>
    <x v="1"/>
    <x v="0"/>
    <x v="0"/>
    <n v="-389.35"/>
  </r>
  <r>
    <d v="2024-01-02T00:00:00"/>
    <s v="cogs:product 2"/>
    <n v="16.989999999999998"/>
    <x v="2"/>
    <n v="50.97"/>
    <x v="1"/>
    <x v="2"/>
    <x v="0"/>
    <x v="0"/>
    <n v="-50.97"/>
  </r>
  <r>
    <d v="2024-01-02T00:00:00"/>
    <s v="cogs:product 3"/>
    <n v="8.49"/>
    <x v="5"/>
    <n v="1918.74"/>
    <x v="1"/>
    <x v="3"/>
    <x v="0"/>
    <x v="0"/>
    <n v="-1918.74"/>
  </r>
  <r>
    <d v="2024-01-02T00:00:00"/>
    <s v="marketing"/>
    <s v="NA"/>
    <x v="0"/>
    <n v="99.960000000000008"/>
    <x v="2"/>
    <x v="0"/>
    <x v="0"/>
    <x v="0"/>
    <n v="-99.960000000000008"/>
  </r>
  <r>
    <d v="2024-01-02T00:00:00"/>
    <s v="net sales:product 1"/>
    <n v="9.99"/>
    <x v="4"/>
    <n v="649.35"/>
    <x v="3"/>
    <x v="1"/>
    <x v="0"/>
    <x v="0"/>
    <n v="649.35"/>
  </r>
  <r>
    <d v="2024-01-02T00:00:00"/>
    <s v="net sales:product 2"/>
    <n v="24.99"/>
    <x v="2"/>
    <n v="74.97"/>
    <x v="3"/>
    <x v="2"/>
    <x v="0"/>
    <x v="0"/>
    <n v="74.97"/>
  </r>
  <r>
    <d v="2024-01-02T00:00:00"/>
    <s v="net sales:product 3"/>
    <n v="12.49"/>
    <x v="5"/>
    <n v="2822.7400000000002"/>
    <x v="3"/>
    <x v="3"/>
    <x v="0"/>
    <x v="0"/>
    <n v="2822.7400000000002"/>
  </r>
  <r>
    <d v="2024-01-03T00:00:00"/>
    <s v="cogs:product 1"/>
    <n v="5.99"/>
    <x v="6"/>
    <n v="221.63"/>
    <x v="1"/>
    <x v="1"/>
    <x v="0"/>
    <x v="0"/>
    <n v="-221.63"/>
  </r>
  <r>
    <d v="2024-01-03T00:00:00"/>
    <s v="cogs:product 2"/>
    <n v="16.989999999999998"/>
    <x v="7"/>
    <n v="152.91"/>
    <x v="1"/>
    <x v="2"/>
    <x v="0"/>
    <x v="0"/>
    <n v="-152.91"/>
  </r>
  <r>
    <d v="2024-01-03T00:00:00"/>
    <s v="cogs:product 3"/>
    <n v="8.49"/>
    <x v="8"/>
    <n v="1884.78"/>
    <x v="1"/>
    <x v="3"/>
    <x v="0"/>
    <x v="0"/>
    <n v="-1884.78"/>
  </r>
  <r>
    <d v="2024-01-03T00:00:00"/>
    <s v="marketing"/>
    <s v="NA"/>
    <x v="0"/>
    <n v="99.91"/>
    <x v="2"/>
    <x v="0"/>
    <x v="0"/>
    <x v="0"/>
    <n v="-99.91"/>
  </r>
  <r>
    <d v="2024-01-03T00:00:00"/>
    <s v="net sales:product 1"/>
    <n v="9.99"/>
    <x v="6"/>
    <n v="369.63"/>
    <x v="3"/>
    <x v="1"/>
    <x v="0"/>
    <x v="0"/>
    <n v="369.63"/>
  </r>
  <r>
    <d v="2024-01-03T00:00:00"/>
    <s v="net sales:product 2"/>
    <n v="24.99"/>
    <x v="7"/>
    <n v="224.91"/>
    <x v="3"/>
    <x v="2"/>
    <x v="0"/>
    <x v="0"/>
    <n v="224.91"/>
  </r>
  <r>
    <d v="2024-01-03T00:00:00"/>
    <s v="net sales:product 3"/>
    <n v="12.49"/>
    <x v="8"/>
    <n v="2772.78"/>
    <x v="3"/>
    <x v="3"/>
    <x v="0"/>
    <x v="0"/>
    <n v="2772.78"/>
  </r>
  <r>
    <d v="2024-01-04T00:00:00"/>
    <s v="cogs:product 1"/>
    <n v="5.99"/>
    <x v="9"/>
    <n v="233.61"/>
    <x v="1"/>
    <x v="1"/>
    <x v="0"/>
    <x v="0"/>
    <n v="-233.61"/>
  </r>
  <r>
    <d v="2024-01-04T00:00:00"/>
    <s v="cogs:product 2"/>
    <n v="16.989999999999998"/>
    <x v="10"/>
    <n v="33.979999999999997"/>
    <x v="1"/>
    <x v="2"/>
    <x v="0"/>
    <x v="0"/>
    <n v="-33.979999999999997"/>
  </r>
  <r>
    <d v="2024-01-04T00:00:00"/>
    <s v="cogs:product 3"/>
    <n v="8.49"/>
    <x v="11"/>
    <n v="1528.2"/>
    <x v="1"/>
    <x v="3"/>
    <x v="0"/>
    <x v="0"/>
    <n v="-1528.2"/>
  </r>
  <r>
    <d v="2024-01-04T00:00:00"/>
    <s v="marketing"/>
    <s v="NA"/>
    <x v="0"/>
    <n v="99.98"/>
    <x v="2"/>
    <x v="0"/>
    <x v="0"/>
    <x v="0"/>
    <n v="-99.98"/>
  </r>
  <r>
    <d v="2024-01-04T00:00:00"/>
    <s v="net sales:product 1"/>
    <n v="9.99"/>
    <x v="9"/>
    <n v="389.61"/>
    <x v="3"/>
    <x v="1"/>
    <x v="0"/>
    <x v="0"/>
    <n v="389.61"/>
  </r>
  <r>
    <d v="2024-01-04T00:00:00"/>
    <s v="net sales:product 2"/>
    <n v="24.99"/>
    <x v="10"/>
    <n v="49.98"/>
    <x v="3"/>
    <x v="2"/>
    <x v="0"/>
    <x v="0"/>
    <n v="49.98"/>
  </r>
  <r>
    <d v="2024-01-04T00:00:00"/>
    <s v="net sales:product 3"/>
    <n v="12.49"/>
    <x v="11"/>
    <n v="2248.1999999999998"/>
    <x v="3"/>
    <x v="3"/>
    <x v="0"/>
    <x v="0"/>
    <n v="2248.1999999999998"/>
  </r>
  <r>
    <d v="2024-01-05T00:00:00"/>
    <s v="cogs:product 1"/>
    <n v="5.99"/>
    <x v="12"/>
    <n v="437.27000000000004"/>
    <x v="1"/>
    <x v="1"/>
    <x v="0"/>
    <x v="0"/>
    <n v="-437.27000000000004"/>
  </r>
  <r>
    <d v="2024-01-05T00:00:00"/>
    <s v="cogs:product 2"/>
    <n v="16.989999999999998"/>
    <x v="13"/>
    <n v="118.92999999999999"/>
    <x v="1"/>
    <x v="2"/>
    <x v="0"/>
    <x v="0"/>
    <n v="-118.92999999999999"/>
  </r>
  <r>
    <d v="2024-01-05T00:00:00"/>
    <s v="cogs:product 3"/>
    <n v="8.49"/>
    <x v="14"/>
    <n v="806.55000000000007"/>
    <x v="1"/>
    <x v="3"/>
    <x v="0"/>
    <x v="0"/>
    <n v="-806.55000000000007"/>
  </r>
  <r>
    <d v="2024-01-05T00:00:00"/>
    <s v="marketing"/>
    <s v="NA"/>
    <x v="0"/>
    <n v="100.03"/>
    <x v="2"/>
    <x v="0"/>
    <x v="0"/>
    <x v="0"/>
    <n v="-100.03"/>
  </r>
  <r>
    <d v="2024-01-05T00:00:00"/>
    <s v="net sales:product 1"/>
    <n v="9.99"/>
    <x v="12"/>
    <n v="729.27"/>
    <x v="3"/>
    <x v="1"/>
    <x v="0"/>
    <x v="0"/>
    <n v="729.27"/>
  </r>
  <r>
    <d v="2024-01-05T00:00:00"/>
    <s v="net sales:product 2"/>
    <n v="24.99"/>
    <x v="13"/>
    <n v="174.92999999999998"/>
    <x v="3"/>
    <x v="2"/>
    <x v="0"/>
    <x v="0"/>
    <n v="174.92999999999998"/>
  </r>
  <r>
    <d v="2024-01-05T00:00:00"/>
    <s v="net sales:product 3"/>
    <n v="12.49"/>
    <x v="14"/>
    <n v="1186.55"/>
    <x v="3"/>
    <x v="3"/>
    <x v="0"/>
    <x v="0"/>
    <n v="1186.55"/>
  </r>
  <r>
    <d v="2024-01-05T00:00:00"/>
    <s v="payroll"/>
    <s v="NA"/>
    <x v="0"/>
    <n v="1200"/>
    <x v="5"/>
    <x v="0"/>
    <x v="0"/>
    <x v="0"/>
    <n v="-1200"/>
  </r>
  <r>
    <d v="2024-01-06T00:00:00"/>
    <s v="cogs:product 1"/>
    <n v="5.99"/>
    <x v="15"/>
    <n v="227.62"/>
    <x v="1"/>
    <x v="1"/>
    <x v="0"/>
    <x v="0"/>
    <n v="-227.62"/>
  </r>
  <r>
    <d v="2024-01-06T00:00:00"/>
    <s v="cogs:product 2"/>
    <n v="16.989999999999998"/>
    <x v="16"/>
    <n v="135.91999999999999"/>
    <x v="1"/>
    <x v="2"/>
    <x v="0"/>
    <x v="0"/>
    <n v="-135.91999999999999"/>
  </r>
  <r>
    <d v="2024-01-06T00:00:00"/>
    <s v="cogs:product 3"/>
    <n v="8.49"/>
    <x v="17"/>
    <n v="874.47"/>
    <x v="1"/>
    <x v="3"/>
    <x v="0"/>
    <x v="0"/>
    <n v="-874.47"/>
  </r>
  <r>
    <d v="2024-01-06T00:00:00"/>
    <s v="marketing"/>
    <s v="NA"/>
    <x v="0"/>
    <n v="100.08"/>
    <x v="2"/>
    <x v="0"/>
    <x v="0"/>
    <x v="0"/>
    <n v="-100.08"/>
  </r>
  <r>
    <d v="2024-01-06T00:00:00"/>
    <s v="net sales:product 1"/>
    <n v="9.99"/>
    <x v="15"/>
    <n v="379.62"/>
    <x v="3"/>
    <x v="1"/>
    <x v="0"/>
    <x v="0"/>
    <n v="379.62"/>
  </r>
  <r>
    <d v="2024-01-06T00:00:00"/>
    <s v="net sales:product 2"/>
    <n v="24.99"/>
    <x v="16"/>
    <n v="199.92"/>
    <x v="3"/>
    <x v="2"/>
    <x v="0"/>
    <x v="0"/>
    <n v="199.92"/>
  </r>
  <r>
    <d v="2024-01-06T00:00:00"/>
    <s v="net sales:product 3"/>
    <n v="12.49"/>
    <x v="17"/>
    <n v="1286.47"/>
    <x v="3"/>
    <x v="3"/>
    <x v="0"/>
    <x v="0"/>
    <n v="1286.47"/>
  </r>
  <r>
    <d v="2024-01-07T00:00:00"/>
    <s v="cogs:product 1"/>
    <n v="5.99"/>
    <x v="18"/>
    <n v="509.15000000000003"/>
    <x v="1"/>
    <x v="1"/>
    <x v="0"/>
    <x v="0"/>
    <n v="-509.15000000000003"/>
  </r>
  <r>
    <d v="2024-01-07T00:00:00"/>
    <s v="cogs:product 2"/>
    <n v="16.989999999999998"/>
    <x v="19"/>
    <n v="67.959999999999994"/>
    <x v="1"/>
    <x v="2"/>
    <x v="0"/>
    <x v="0"/>
    <n v="-67.959999999999994"/>
  </r>
  <r>
    <d v="2024-01-07T00:00:00"/>
    <s v="cogs:product 3"/>
    <n v="8.49"/>
    <x v="12"/>
    <n v="619.77"/>
    <x v="1"/>
    <x v="3"/>
    <x v="0"/>
    <x v="0"/>
    <n v="-619.77"/>
  </r>
  <r>
    <d v="2024-01-07T00:00:00"/>
    <s v="marketing"/>
    <s v="NA"/>
    <x v="0"/>
    <n v="100.01"/>
    <x v="2"/>
    <x v="0"/>
    <x v="0"/>
    <x v="0"/>
    <n v="-100.01"/>
  </r>
  <r>
    <d v="2024-01-07T00:00:00"/>
    <s v="net sales:product 1"/>
    <n v="9.99"/>
    <x v="18"/>
    <n v="849.15"/>
    <x v="3"/>
    <x v="1"/>
    <x v="0"/>
    <x v="0"/>
    <n v="849.15"/>
  </r>
  <r>
    <d v="2024-01-07T00:00:00"/>
    <s v="net sales:product 2"/>
    <n v="24.99"/>
    <x v="19"/>
    <n v="99.96"/>
    <x v="3"/>
    <x v="2"/>
    <x v="0"/>
    <x v="0"/>
    <n v="99.96"/>
  </r>
  <r>
    <d v="2024-01-07T00:00:00"/>
    <s v="net sales:product 3"/>
    <n v="12.49"/>
    <x v="12"/>
    <n v="911.77"/>
    <x v="3"/>
    <x v="3"/>
    <x v="0"/>
    <x v="0"/>
    <n v="911.77"/>
  </r>
  <r>
    <d v="2024-01-08T00:00:00"/>
    <s v="cogs:product 1"/>
    <n v="5.99"/>
    <x v="7"/>
    <n v="53.910000000000004"/>
    <x v="1"/>
    <x v="1"/>
    <x v="0"/>
    <x v="0"/>
    <n v="-53.910000000000004"/>
  </r>
  <r>
    <d v="2024-01-08T00:00:00"/>
    <s v="cogs:product 2"/>
    <n v="16.989999999999998"/>
    <x v="13"/>
    <n v="118.92999999999999"/>
    <x v="1"/>
    <x v="2"/>
    <x v="0"/>
    <x v="0"/>
    <n v="-118.92999999999999"/>
  </r>
  <r>
    <d v="2024-01-08T00:00:00"/>
    <s v="cogs:product 3"/>
    <n v="8.49"/>
    <x v="20"/>
    <n v="2114.0100000000002"/>
    <x v="1"/>
    <x v="3"/>
    <x v="0"/>
    <x v="0"/>
    <n v="-2114.0100000000002"/>
  </r>
  <r>
    <d v="2024-01-08T00:00:00"/>
    <s v="marketing"/>
    <s v="NA"/>
    <x v="0"/>
    <n v="99.92"/>
    <x v="2"/>
    <x v="0"/>
    <x v="0"/>
    <x v="0"/>
    <n v="-99.92"/>
  </r>
  <r>
    <d v="2024-01-08T00:00:00"/>
    <s v="net sales:product 1"/>
    <n v="9.99"/>
    <x v="7"/>
    <n v="89.91"/>
    <x v="3"/>
    <x v="1"/>
    <x v="0"/>
    <x v="0"/>
    <n v="89.91"/>
  </r>
  <r>
    <d v="2024-01-08T00:00:00"/>
    <s v="net sales:product 2"/>
    <n v="24.99"/>
    <x v="13"/>
    <n v="174.92999999999998"/>
    <x v="3"/>
    <x v="2"/>
    <x v="0"/>
    <x v="0"/>
    <n v="174.92999999999998"/>
  </r>
  <r>
    <d v="2024-01-08T00:00:00"/>
    <s v="net sales:product 3"/>
    <n v="12.49"/>
    <x v="20"/>
    <n v="3110.01"/>
    <x v="3"/>
    <x v="3"/>
    <x v="0"/>
    <x v="0"/>
    <n v="3110.01"/>
  </r>
  <r>
    <d v="2024-01-09T00:00:00"/>
    <s v="cogs:product 1"/>
    <n v="5.99"/>
    <x v="21"/>
    <n v="71.88"/>
    <x v="1"/>
    <x v="1"/>
    <x v="0"/>
    <x v="0"/>
    <n v="-71.88"/>
  </r>
  <r>
    <d v="2024-01-09T00:00:00"/>
    <s v="cogs:product 2"/>
    <n v="16.989999999999998"/>
    <x v="22"/>
    <n v="169.89999999999998"/>
    <x v="1"/>
    <x v="2"/>
    <x v="0"/>
    <x v="0"/>
    <n v="-169.89999999999998"/>
  </r>
  <r>
    <d v="2024-01-09T00:00:00"/>
    <s v="cogs:product 3"/>
    <n v="8.49"/>
    <x v="23"/>
    <n v="0"/>
    <x v="1"/>
    <x v="3"/>
    <x v="0"/>
    <x v="0"/>
    <n v="0"/>
  </r>
  <r>
    <d v="2024-01-09T00:00:00"/>
    <s v="marketing"/>
    <s v="NA"/>
    <x v="0"/>
    <n v="99.92"/>
    <x v="2"/>
    <x v="0"/>
    <x v="0"/>
    <x v="0"/>
    <n v="-99.92"/>
  </r>
  <r>
    <d v="2024-01-09T00:00:00"/>
    <s v="net sales:product 1"/>
    <n v="9.99"/>
    <x v="21"/>
    <n v="119.88"/>
    <x v="3"/>
    <x v="1"/>
    <x v="0"/>
    <x v="0"/>
    <n v="119.88"/>
  </r>
  <r>
    <d v="2024-01-09T00:00:00"/>
    <s v="net sales:product 2"/>
    <n v="24.99"/>
    <x v="22"/>
    <n v="249.89999999999998"/>
    <x v="3"/>
    <x v="2"/>
    <x v="0"/>
    <x v="0"/>
    <n v="249.89999999999998"/>
  </r>
  <r>
    <d v="2024-01-09T00:00:00"/>
    <s v="net sales:product 3"/>
    <n v="12.49"/>
    <x v="23"/>
    <n v="0"/>
    <x v="3"/>
    <x v="3"/>
    <x v="0"/>
    <x v="0"/>
    <n v="0"/>
  </r>
  <r>
    <d v="2024-01-10T00:00:00"/>
    <s v="cogs:product 1"/>
    <n v="5.99"/>
    <x v="24"/>
    <n v="593.01"/>
    <x v="1"/>
    <x v="1"/>
    <x v="0"/>
    <x v="0"/>
    <n v="-593.01"/>
  </r>
  <r>
    <d v="2024-01-10T00:00:00"/>
    <s v="cogs:product 2"/>
    <n v="16.989999999999998"/>
    <x v="25"/>
    <n v="16.989999999999998"/>
    <x v="1"/>
    <x v="2"/>
    <x v="0"/>
    <x v="0"/>
    <n v="-16.989999999999998"/>
  </r>
  <r>
    <d v="2024-01-10T00:00:00"/>
    <s v="cogs:product 3"/>
    <n v="8.49"/>
    <x v="26"/>
    <n v="178.29"/>
    <x v="1"/>
    <x v="3"/>
    <x v="0"/>
    <x v="0"/>
    <n v="-178.29"/>
  </r>
  <r>
    <d v="2024-01-10T00:00:00"/>
    <s v="marketing"/>
    <s v="NA"/>
    <x v="0"/>
    <n v="100.05"/>
    <x v="2"/>
    <x v="0"/>
    <x v="0"/>
    <x v="0"/>
    <n v="-100.05"/>
  </r>
  <r>
    <d v="2024-01-10T00:00:00"/>
    <s v="net sales:product 1"/>
    <n v="9.99"/>
    <x v="24"/>
    <n v="989.01"/>
    <x v="3"/>
    <x v="1"/>
    <x v="0"/>
    <x v="0"/>
    <n v="989.01"/>
  </r>
  <r>
    <d v="2024-01-10T00:00:00"/>
    <s v="net sales:product 2"/>
    <n v="24.99"/>
    <x v="25"/>
    <n v="24.99"/>
    <x v="3"/>
    <x v="2"/>
    <x v="0"/>
    <x v="0"/>
    <n v="24.99"/>
  </r>
  <r>
    <d v="2024-01-10T00:00:00"/>
    <s v="net sales:product 3"/>
    <n v="12.49"/>
    <x v="26"/>
    <n v="262.29000000000002"/>
    <x v="3"/>
    <x v="3"/>
    <x v="0"/>
    <x v="0"/>
    <n v="262.29000000000002"/>
  </r>
  <r>
    <d v="2024-01-11T00:00:00"/>
    <s v="cogs:product 1"/>
    <n v="5.99"/>
    <x v="26"/>
    <n v="125.79"/>
    <x v="1"/>
    <x v="1"/>
    <x v="0"/>
    <x v="0"/>
    <n v="-125.79"/>
  </r>
  <r>
    <d v="2024-01-11T00:00:00"/>
    <s v="cogs:product 2"/>
    <n v="16.989999999999998"/>
    <x v="10"/>
    <n v="33.979999999999997"/>
    <x v="1"/>
    <x v="2"/>
    <x v="0"/>
    <x v="0"/>
    <n v="-33.979999999999997"/>
  </r>
  <r>
    <d v="2024-01-11T00:00:00"/>
    <s v="cogs:product 3"/>
    <n v="8.49"/>
    <x v="27"/>
    <n v="1332.93"/>
    <x v="1"/>
    <x v="3"/>
    <x v="0"/>
    <x v="0"/>
    <n v="-1332.93"/>
  </r>
  <r>
    <d v="2024-01-11T00:00:00"/>
    <s v="marketing"/>
    <s v="NA"/>
    <x v="0"/>
    <n v="99.94"/>
    <x v="2"/>
    <x v="0"/>
    <x v="0"/>
    <x v="0"/>
    <n v="-99.94"/>
  </r>
  <r>
    <d v="2024-01-11T00:00:00"/>
    <s v="net sales:product 1"/>
    <n v="9.99"/>
    <x v="26"/>
    <n v="209.79"/>
    <x v="3"/>
    <x v="1"/>
    <x v="0"/>
    <x v="0"/>
    <n v="209.79"/>
  </r>
  <r>
    <d v="2024-01-11T00:00:00"/>
    <s v="net sales:product 2"/>
    <n v="24.99"/>
    <x v="10"/>
    <n v="49.98"/>
    <x v="3"/>
    <x v="2"/>
    <x v="0"/>
    <x v="0"/>
    <n v="49.98"/>
  </r>
  <r>
    <d v="2024-01-11T00:00:00"/>
    <s v="net sales:product 3"/>
    <n v="12.49"/>
    <x v="27"/>
    <n v="1960.93"/>
    <x v="3"/>
    <x v="3"/>
    <x v="0"/>
    <x v="0"/>
    <n v="1960.93"/>
  </r>
  <r>
    <d v="2024-01-12T00:00:00"/>
    <s v="cogs:product 1"/>
    <n v="5.99"/>
    <x v="28"/>
    <n v="347.42"/>
    <x v="1"/>
    <x v="1"/>
    <x v="0"/>
    <x v="0"/>
    <n v="-347.42"/>
  </r>
  <r>
    <d v="2024-01-12T00:00:00"/>
    <s v="cogs:product 2"/>
    <n v="16.989999999999998"/>
    <x v="29"/>
    <n v="84.949999999999989"/>
    <x v="1"/>
    <x v="2"/>
    <x v="0"/>
    <x v="0"/>
    <n v="-84.949999999999989"/>
  </r>
  <r>
    <d v="2024-01-12T00:00:00"/>
    <s v="cogs:product 3"/>
    <n v="8.49"/>
    <x v="30"/>
    <n v="144.33000000000001"/>
    <x v="1"/>
    <x v="3"/>
    <x v="0"/>
    <x v="0"/>
    <n v="-144.33000000000001"/>
  </r>
  <r>
    <d v="2024-01-12T00:00:00"/>
    <s v="marketing"/>
    <s v="NA"/>
    <x v="0"/>
    <n v="100.08"/>
    <x v="2"/>
    <x v="0"/>
    <x v="0"/>
    <x v="0"/>
    <n v="-100.08"/>
  </r>
  <r>
    <d v="2024-01-12T00:00:00"/>
    <s v="net sales:product 1"/>
    <n v="9.99"/>
    <x v="28"/>
    <n v="579.41999999999996"/>
    <x v="3"/>
    <x v="1"/>
    <x v="0"/>
    <x v="0"/>
    <n v="579.41999999999996"/>
  </r>
  <r>
    <d v="2024-01-12T00:00:00"/>
    <s v="net sales:product 2"/>
    <n v="24.99"/>
    <x v="29"/>
    <n v="124.94999999999999"/>
    <x v="3"/>
    <x v="2"/>
    <x v="0"/>
    <x v="0"/>
    <n v="124.94999999999999"/>
  </r>
  <r>
    <d v="2024-01-12T00:00:00"/>
    <s v="net sales:product 3"/>
    <n v="12.49"/>
    <x v="30"/>
    <n v="212.33"/>
    <x v="3"/>
    <x v="3"/>
    <x v="0"/>
    <x v="0"/>
    <n v="212.33"/>
  </r>
  <r>
    <d v="2024-01-13T00:00:00"/>
    <s v="cogs:product 1"/>
    <n v="5.99"/>
    <x v="31"/>
    <n v="107.82000000000001"/>
    <x v="1"/>
    <x v="1"/>
    <x v="0"/>
    <x v="0"/>
    <n v="-107.82000000000001"/>
  </r>
  <r>
    <d v="2024-01-13T00:00:00"/>
    <s v="cogs:product 2"/>
    <n v="16.989999999999998"/>
    <x v="10"/>
    <n v="33.979999999999997"/>
    <x v="1"/>
    <x v="2"/>
    <x v="0"/>
    <x v="0"/>
    <n v="-33.979999999999997"/>
  </r>
  <r>
    <d v="2024-01-13T00:00:00"/>
    <s v="cogs:product 3"/>
    <n v="8.49"/>
    <x v="32"/>
    <n v="950.88"/>
    <x v="1"/>
    <x v="3"/>
    <x v="0"/>
    <x v="0"/>
    <n v="-950.88"/>
  </r>
  <r>
    <d v="2024-01-13T00:00:00"/>
    <s v="marketing"/>
    <s v="NA"/>
    <x v="0"/>
    <n v="99.98"/>
    <x v="2"/>
    <x v="0"/>
    <x v="0"/>
    <x v="0"/>
    <n v="-99.98"/>
  </r>
  <r>
    <d v="2024-01-13T00:00:00"/>
    <s v="net sales:product 1"/>
    <n v="9.99"/>
    <x v="31"/>
    <n v="179.82"/>
    <x v="3"/>
    <x v="1"/>
    <x v="0"/>
    <x v="0"/>
    <n v="179.82"/>
  </r>
  <r>
    <d v="2024-01-13T00:00:00"/>
    <s v="net sales:product 2"/>
    <n v="24.99"/>
    <x v="10"/>
    <n v="49.98"/>
    <x v="3"/>
    <x v="2"/>
    <x v="0"/>
    <x v="0"/>
    <n v="49.98"/>
  </r>
  <r>
    <d v="2024-01-13T00:00:00"/>
    <s v="net sales:product 3"/>
    <n v="12.49"/>
    <x v="32"/>
    <n v="1398.88"/>
    <x v="3"/>
    <x v="3"/>
    <x v="0"/>
    <x v="0"/>
    <n v="1398.88"/>
  </r>
  <r>
    <d v="2024-01-14T00:00:00"/>
    <s v="cogs:product 1"/>
    <n v="5.99"/>
    <x v="33"/>
    <n v="485.19"/>
    <x v="1"/>
    <x v="1"/>
    <x v="0"/>
    <x v="0"/>
    <n v="-485.19"/>
  </r>
  <r>
    <d v="2024-01-14T00:00:00"/>
    <s v="cogs:product 2"/>
    <n v="16.989999999999998"/>
    <x v="25"/>
    <n v="16.989999999999998"/>
    <x v="1"/>
    <x v="2"/>
    <x v="0"/>
    <x v="0"/>
    <n v="-16.989999999999998"/>
  </r>
  <r>
    <d v="2024-01-14T00:00:00"/>
    <s v="cogs:product 3"/>
    <n v="8.49"/>
    <x v="34"/>
    <n v="1137.6600000000001"/>
    <x v="1"/>
    <x v="3"/>
    <x v="0"/>
    <x v="0"/>
    <n v="-1137.6600000000001"/>
  </r>
  <r>
    <d v="2024-01-14T00:00:00"/>
    <s v="marketing"/>
    <s v="NA"/>
    <x v="0"/>
    <n v="99.9"/>
    <x v="2"/>
    <x v="0"/>
    <x v="0"/>
    <x v="0"/>
    <n v="-99.9"/>
  </r>
  <r>
    <d v="2024-01-14T00:00:00"/>
    <s v="net sales:product 1"/>
    <n v="9.99"/>
    <x v="33"/>
    <n v="809.19"/>
    <x v="3"/>
    <x v="1"/>
    <x v="0"/>
    <x v="0"/>
    <n v="809.19"/>
  </r>
  <r>
    <d v="2024-01-14T00:00:00"/>
    <s v="net sales:product 2"/>
    <n v="24.99"/>
    <x v="25"/>
    <n v="24.99"/>
    <x v="3"/>
    <x v="2"/>
    <x v="0"/>
    <x v="0"/>
    <n v="24.99"/>
  </r>
  <r>
    <d v="2024-01-14T00:00:00"/>
    <s v="net sales:product 3"/>
    <n v="12.49"/>
    <x v="34"/>
    <n v="1673.66"/>
    <x v="3"/>
    <x v="3"/>
    <x v="0"/>
    <x v="0"/>
    <n v="1673.66"/>
  </r>
  <r>
    <d v="2024-01-15T00:00:00"/>
    <s v="cogs:product 1"/>
    <n v="5.99"/>
    <x v="35"/>
    <n v="113.81"/>
    <x v="1"/>
    <x v="1"/>
    <x v="0"/>
    <x v="0"/>
    <n v="-113.81"/>
  </r>
  <r>
    <d v="2024-01-15T00:00:00"/>
    <s v="cogs:product 2"/>
    <n v="16.989999999999998"/>
    <x v="29"/>
    <n v="84.949999999999989"/>
    <x v="1"/>
    <x v="2"/>
    <x v="0"/>
    <x v="0"/>
    <n v="-84.949999999999989"/>
  </r>
  <r>
    <d v="2024-01-15T00:00:00"/>
    <s v="cogs:product 3"/>
    <n v="8.49"/>
    <x v="36"/>
    <n v="1273.5"/>
    <x v="1"/>
    <x v="3"/>
    <x v="0"/>
    <x v="0"/>
    <n v="-1273.5"/>
  </r>
  <r>
    <d v="2024-01-15T00:00:00"/>
    <s v="interest"/>
    <s v="NA"/>
    <x v="0"/>
    <n v="1297"/>
    <x v="6"/>
    <x v="0"/>
    <x v="0"/>
    <x v="0"/>
    <n v="-1297"/>
  </r>
  <r>
    <d v="2024-01-15T00:00:00"/>
    <s v="marketing"/>
    <s v="NA"/>
    <x v="0"/>
    <n v="99.91"/>
    <x v="2"/>
    <x v="0"/>
    <x v="0"/>
    <x v="0"/>
    <n v="-99.91"/>
  </r>
  <r>
    <d v="2024-01-15T00:00:00"/>
    <s v="net sales:product 1"/>
    <n v="9.99"/>
    <x v="35"/>
    <n v="189.81"/>
    <x v="3"/>
    <x v="1"/>
    <x v="0"/>
    <x v="0"/>
    <n v="189.81"/>
  </r>
  <r>
    <d v="2024-01-15T00:00:00"/>
    <s v="net sales:product 2"/>
    <n v="24.99"/>
    <x v="29"/>
    <n v="124.94999999999999"/>
    <x v="3"/>
    <x v="2"/>
    <x v="0"/>
    <x v="0"/>
    <n v="124.94999999999999"/>
  </r>
  <r>
    <d v="2024-01-15T00:00:00"/>
    <s v="net sales:product 3"/>
    <n v="12.49"/>
    <x v="36"/>
    <n v="1873.5"/>
    <x v="3"/>
    <x v="3"/>
    <x v="0"/>
    <x v="0"/>
    <n v="1873.5"/>
  </r>
  <r>
    <d v="2024-01-15T00:00:00"/>
    <s v="overhead"/>
    <s v="NA"/>
    <x v="0"/>
    <n v="324.25"/>
    <x v="4"/>
    <x v="0"/>
    <x v="0"/>
    <x v="0"/>
    <n v="-324.25"/>
  </r>
  <r>
    <d v="2024-01-16T00:00:00"/>
    <s v="cogs:product 1"/>
    <n v="5.99"/>
    <x v="16"/>
    <n v="47.92"/>
    <x v="1"/>
    <x v="1"/>
    <x v="0"/>
    <x v="0"/>
    <n v="-47.92"/>
  </r>
  <r>
    <d v="2024-01-16T00:00:00"/>
    <s v="cogs:product 2"/>
    <n v="16.989999999999998"/>
    <x v="16"/>
    <n v="135.91999999999999"/>
    <x v="1"/>
    <x v="2"/>
    <x v="0"/>
    <x v="0"/>
    <n v="-135.91999999999999"/>
  </r>
  <r>
    <d v="2024-01-16T00:00:00"/>
    <s v="cogs:product 3"/>
    <n v="8.49"/>
    <x v="37"/>
    <n v="1731.96"/>
    <x v="1"/>
    <x v="3"/>
    <x v="0"/>
    <x v="0"/>
    <n v="-1731.96"/>
  </r>
  <r>
    <d v="2024-01-16T00:00:00"/>
    <s v="marketing"/>
    <s v="NA"/>
    <x v="0"/>
    <n v="99.990000000000009"/>
    <x v="2"/>
    <x v="0"/>
    <x v="0"/>
    <x v="0"/>
    <n v="-99.990000000000009"/>
  </r>
  <r>
    <d v="2024-01-16T00:00:00"/>
    <s v="net sales:product 1"/>
    <n v="9.99"/>
    <x v="16"/>
    <n v="79.92"/>
    <x v="3"/>
    <x v="1"/>
    <x v="0"/>
    <x v="0"/>
    <n v="79.92"/>
  </r>
  <r>
    <d v="2024-01-16T00:00:00"/>
    <s v="net sales:product 2"/>
    <n v="24.99"/>
    <x v="16"/>
    <n v="199.92"/>
    <x v="3"/>
    <x v="2"/>
    <x v="0"/>
    <x v="0"/>
    <n v="199.92"/>
  </r>
  <r>
    <d v="2024-01-16T00:00:00"/>
    <s v="net sales:product 3"/>
    <n v="12.49"/>
    <x v="37"/>
    <n v="2547.96"/>
    <x v="3"/>
    <x v="3"/>
    <x v="0"/>
    <x v="0"/>
    <n v="2547.96"/>
  </r>
  <r>
    <d v="2024-01-17T00:00:00"/>
    <s v="cogs:product 1"/>
    <n v="5.99"/>
    <x v="38"/>
    <n v="395.34000000000003"/>
    <x v="1"/>
    <x v="1"/>
    <x v="0"/>
    <x v="0"/>
    <n v="-395.34000000000003"/>
  </r>
  <r>
    <d v="2024-01-17T00:00:00"/>
    <s v="cogs:product 2"/>
    <n v="16.989999999999998"/>
    <x v="10"/>
    <n v="33.979999999999997"/>
    <x v="1"/>
    <x v="2"/>
    <x v="0"/>
    <x v="0"/>
    <n v="-33.979999999999997"/>
  </r>
  <r>
    <d v="2024-01-17T00:00:00"/>
    <s v="cogs:product 3"/>
    <n v="8.49"/>
    <x v="39"/>
    <n v="212.25"/>
    <x v="1"/>
    <x v="3"/>
    <x v="0"/>
    <x v="0"/>
    <n v="-212.25"/>
  </r>
  <r>
    <d v="2024-01-17T00:00:00"/>
    <s v="marketing"/>
    <s v="NA"/>
    <x v="0"/>
    <n v="99.98"/>
    <x v="2"/>
    <x v="0"/>
    <x v="0"/>
    <x v="0"/>
    <n v="-99.98"/>
  </r>
  <r>
    <d v="2024-01-17T00:00:00"/>
    <s v="net sales:product 1"/>
    <n v="9.99"/>
    <x v="38"/>
    <n v="659.34"/>
    <x v="3"/>
    <x v="1"/>
    <x v="0"/>
    <x v="0"/>
    <n v="659.34"/>
  </r>
  <r>
    <d v="2024-01-17T00:00:00"/>
    <s v="net sales:product 2"/>
    <n v="24.99"/>
    <x v="10"/>
    <n v="49.98"/>
    <x v="3"/>
    <x v="2"/>
    <x v="0"/>
    <x v="0"/>
    <n v="49.98"/>
  </r>
  <r>
    <d v="2024-01-17T00:00:00"/>
    <s v="net sales:product 3"/>
    <n v="12.49"/>
    <x v="39"/>
    <n v="312.25"/>
    <x v="3"/>
    <x v="3"/>
    <x v="0"/>
    <x v="0"/>
    <n v="312.25"/>
  </r>
  <r>
    <d v="2024-01-18T00:00:00"/>
    <s v="cogs:product 1"/>
    <n v="5.99"/>
    <x v="18"/>
    <n v="509.15000000000003"/>
    <x v="1"/>
    <x v="1"/>
    <x v="0"/>
    <x v="0"/>
    <n v="-509.15000000000003"/>
  </r>
  <r>
    <d v="2024-01-18T00:00:00"/>
    <s v="cogs:product 2"/>
    <n v="16.989999999999998"/>
    <x v="13"/>
    <n v="118.92999999999999"/>
    <x v="1"/>
    <x v="2"/>
    <x v="0"/>
    <x v="0"/>
    <n v="-118.92999999999999"/>
  </r>
  <r>
    <d v="2024-01-18T00:00:00"/>
    <s v="cogs:product 3"/>
    <n v="8.49"/>
    <x v="40"/>
    <n v="2012.13"/>
    <x v="1"/>
    <x v="3"/>
    <x v="0"/>
    <x v="0"/>
    <n v="-2012.13"/>
  </r>
  <r>
    <d v="2024-01-18T00:00:00"/>
    <s v="marketing"/>
    <s v="NA"/>
    <x v="0"/>
    <n v="100.09"/>
    <x v="2"/>
    <x v="0"/>
    <x v="0"/>
    <x v="0"/>
    <n v="-100.09"/>
  </r>
  <r>
    <d v="2024-01-18T00:00:00"/>
    <s v="net sales:product 1"/>
    <n v="9.99"/>
    <x v="18"/>
    <n v="849.15"/>
    <x v="3"/>
    <x v="1"/>
    <x v="0"/>
    <x v="0"/>
    <n v="849.15"/>
  </r>
  <r>
    <d v="2024-01-18T00:00:00"/>
    <s v="net sales:product 2"/>
    <n v="24.99"/>
    <x v="13"/>
    <n v="174.92999999999998"/>
    <x v="3"/>
    <x v="2"/>
    <x v="0"/>
    <x v="0"/>
    <n v="174.92999999999998"/>
  </r>
  <r>
    <d v="2024-01-18T00:00:00"/>
    <s v="net sales:product 3"/>
    <n v="12.49"/>
    <x v="40"/>
    <n v="2960.13"/>
    <x v="3"/>
    <x v="3"/>
    <x v="0"/>
    <x v="0"/>
    <n v="2960.13"/>
  </r>
  <r>
    <d v="2024-01-19T00:00:00"/>
    <s v="cogs:product 1"/>
    <n v="5.99"/>
    <x v="41"/>
    <n v="551.08000000000004"/>
    <x v="1"/>
    <x v="1"/>
    <x v="0"/>
    <x v="0"/>
    <n v="-551.08000000000004"/>
  </r>
  <r>
    <d v="2024-01-19T00:00:00"/>
    <s v="cogs:product 2"/>
    <n v="16.989999999999998"/>
    <x v="42"/>
    <n v="101.94"/>
    <x v="1"/>
    <x v="2"/>
    <x v="0"/>
    <x v="0"/>
    <n v="-101.94"/>
  </r>
  <r>
    <d v="2024-01-19T00:00:00"/>
    <s v="cogs:product 3"/>
    <n v="8.49"/>
    <x v="43"/>
    <n v="1842.3300000000002"/>
    <x v="1"/>
    <x v="3"/>
    <x v="0"/>
    <x v="0"/>
    <n v="-1842.3300000000002"/>
  </r>
  <r>
    <d v="2024-01-19T00:00:00"/>
    <s v="marketing"/>
    <s v="NA"/>
    <x v="0"/>
    <n v="99.93"/>
    <x v="2"/>
    <x v="0"/>
    <x v="0"/>
    <x v="0"/>
    <n v="-99.93"/>
  </r>
  <r>
    <d v="2024-01-19T00:00:00"/>
    <s v="net sales:product 1"/>
    <n v="9.99"/>
    <x v="41"/>
    <n v="919.08"/>
    <x v="3"/>
    <x v="1"/>
    <x v="0"/>
    <x v="0"/>
    <n v="919.08"/>
  </r>
  <r>
    <d v="2024-01-19T00:00:00"/>
    <s v="net sales:product 2"/>
    <n v="24.99"/>
    <x v="42"/>
    <n v="149.94"/>
    <x v="3"/>
    <x v="2"/>
    <x v="0"/>
    <x v="0"/>
    <n v="149.94"/>
  </r>
  <r>
    <d v="2024-01-19T00:00:00"/>
    <s v="net sales:product 3"/>
    <n v="12.49"/>
    <x v="43"/>
    <n v="2710.33"/>
    <x v="3"/>
    <x v="3"/>
    <x v="0"/>
    <x v="0"/>
    <n v="2710.33"/>
  </r>
  <r>
    <d v="2024-01-19T00:00:00"/>
    <s v="payroll"/>
    <s v="NA"/>
    <x v="0"/>
    <n v="1200"/>
    <x v="5"/>
    <x v="0"/>
    <x v="0"/>
    <x v="0"/>
    <n v="-1200"/>
  </r>
  <r>
    <d v="2024-01-20T00:00:00"/>
    <s v="cogs:product 1"/>
    <n v="5.99"/>
    <x v="44"/>
    <n v="191.68"/>
    <x v="1"/>
    <x v="1"/>
    <x v="0"/>
    <x v="0"/>
    <n v="-191.68"/>
  </r>
  <r>
    <d v="2024-01-20T00:00:00"/>
    <s v="cogs:product 2"/>
    <n v="16.989999999999998"/>
    <x v="19"/>
    <n v="67.959999999999994"/>
    <x v="1"/>
    <x v="2"/>
    <x v="0"/>
    <x v="0"/>
    <n v="-67.959999999999994"/>
  </r>
  <r>
    <d v="2024-01-20T00:00:00"/>
    <s v="cogs:product 3"/>
    <n v="8.49"/>
    <x v="45"/>
    <n v="93.39"/>
    <x v="1"/>
    <x v="3"/>
    <x v="0"/>
    <x v="0"/>
    <n v="-93.39"/>
  </r>
  <r>
    <d v="2024-01-20T00:00:00"/>
    <s v="marketing"/>
    <s v="NA"/>
    <x v="0"/>
    <n v="99.960000000000008"/>
    <x v="2"/>
    <x v="0"/>
    <x v="0"/>
    <x v="0"/>
    <n v="-99.960000000000008"/>
  </r>
  <r>
    <d v="2024-01-20T00:00:00"/>
    <s v="net sales:product 1"/>
    <n v="9.99"/>
    <x v="44"/>
    <n v="319.68"/>
    <x v="3"/>
    <x v="1"/>
    <x v="0"/>
    <x v="0"/>
    <n v="319.68"/>
  </r>
  <r>
    <d v="2024-01-20T00:00:00"/>
    <s v="net sales:product 2"/>
    <n v="24.99"/>
    <x v="19"/>
    <n v="99.96"/>
    <x v="3"/>
    <x v="2"/>
    <x v="0"/>
    <x v="0"/>
    <n v="99.96"/>
  </r>
  <r>
    <d v="2024-01-20T00:00:00"/>
    <s v="net sales:product 3"/>
    <n v="12.49"/>
    <x v="45"/>
    <n v="137.39000000000001"/>
    <x v="3"/>
    <x v="3"/>
    <x v="0"/>
    <x v="0"/>
    <n v="137.39000000000001"/>
  </r>
  <r>
    <d v="2024-01-21T00:00:00"/>
    <s v="cogs:product 1"/>
    <n v="5.99"/>
    <x v="29"/>
    <n v="29.950000000000003"/>
    <x v="1"/>
    <x v="1"/>
    <x v="0"/>
    <x v="0"/>
    <n v="-29.950000000000003"/>
  </r>
  <r>
    <d v="2024-01-21T00:00:00"/>
    <s v="cogs:product 2"/>
    <n v="16.989999999999998"/>
    <x v="10"/>
    <n v="33.979999999999997"/>
    <x v="1"/>
    <x v="2"/>
    <x v="0"/>
    <x v="0"/>
    <n v="-33.979999999999997"/>
  </r>
  <r>
    <d v="2024-01-21T00:00:00"/>
    <s v="cogs:product 3"/>
    <n v="8.49"/>
    <x v="22"/>
    <n v="84.9"/>
    <x v="1"/>
    <x v="3"/>
    <x v="0"/>
    <x v="0"/>
    <n v="-84.9"/>
  </r>
  <r>
    <d v="2024-01-21T00:00:00"/>
    <s v="marketing"/>
    <s v="NA"/>
    <x v="0"/>
    <n v="100.03"/>
    <x v="2"/>
    <x v="0"/>
    <x v="0"/>
    <x v="0"/>
    <n v="-100.03"/>
  </r>
  <r>
    <d v="2024-01-21T00:00:00"/>
    <s v="net sales:product 1"/>
    <n v="9.99"/>
    <x v="29"/>
    <n v="49.95"/>
    <x v="3"/>
    <x v="1"/>
    <x v="0"/>
    <x v="0"/>
    <n v="49.95"/>
  </r>
  <r>
    <d v="2024-01-21T00:00:00"/>
    <s v="net sales:product 2"/>
    <n v="24.99"/>
    <x v="10"/>
    <n v="49.98"/>
    <x v="3"/>
    <x v="2"/>
    <x v="0"/>
    <x v="0"/>
    <n v="49.98"/>
  </r>
  <r>
    <d v="2024-01-21T00:00:00"/>
    <s v="net sales:product 3"/>
    <n v="12.49"/>
    <x v="22"/>
    <n v="124.9"/>
    <x v="3"/>
    <x v="3"/>
    <x v="0"/>
    <x v="0"/>
    <n v="124.9"/>
  </r>
  <r>
    <d v="2024-01-22T00:00:00"/>
    <s v="cogs:product 1"/>
    <n v="5.99"/>
    <x v="46"/>
    <n v="407.32"/>
    <x v="1"/>
    <x v="1"/>
    <x v="0"/>
    <x v="0"/>
    <n v="-407.32"/>
  </r>
  <r>
    <d v="2024-01-22T00:00:00"/>
    <s v="cogs:product 2"/>
    <n v="16.989999999999998"/>
    <x v="42"/>
    <n v="101.94"/>
    <x v="1"/>
    <x v="2"/>
    <x v="0"/>
    <x v="0"/>
    <n v="-101.94"/>
  </r>
  <r>
    <d v="2024-01-22T00:00:00"/>
    <s v="cogs:product 3"/>
    <n v="8.49"/>
    <x v="47"/>
    <n v="2088.54"/>
    <x v="1"/>
    <x v="3"/>
    <x v="0"/>
    <x v="0"/>
    <n v="-2088.54"/>
  </r>
  <r>
    <d v="2024-01-22T00:00:00"/>
    <s v="marketing"/>
    <s v="NA"/>
    <x v="0"/>
    <n v="99.97"/>
    <x v="2"/>
    <x v="0"/>
    <x v="0"/>
    <x v="0"/>
    <n v="-99.97"/>
  </r>
  <r>
    <d v="2024-01-22T00:00:00"/>
    <s v="net sales:product 1"/>
    <n v="9.99"/>
    <x v="46"/>
    <n v="679.32"/>
    <x v="3"/>
    <x v="1"/>
    <x v="0"/>
    <x v="0"/>
    <n v="679.32"/>
  </r>
  <r>
    <d v="2024-01-22T00:00:00"/>
    <s v="net sales:product 2"/>
    <n v="24.99"/>
    <x v="42"/>
    <n v="149.94"/>
    <x v="3"/>
    <x v="2"/>
    <x v="0"/>
    <x v="0"/>
    <n v="149.94"/>
  </r>
  <r>
    <d v="2024-01-22T00:00:00"/>
    <s v="net sales:product 3"/>
    <n v="12.49"/>
    <x v="47"/>
    <n v="3072.54"/>
    <x v="3"/>
    <x v="3"/>
    <x v="0"/>
    <x v="0"/>
    <n v="3072.54"/>
  </r>
  <r>
    <d v="2024-01-23T00:00:00"/>
    <s v="cogs:product 1"/>
    <n v="5.99"/>
    <x v="48"/>
    <n v="371.38"/>
    <x v="1"/>
    <x v="1"/>
    <x v="0"/>
    <x v="0"/>
    <n v="-371.38"/>
  </r>
  <r>
    <d v="2024-01-23T00:00:00"/>
    <s v="cogs:product 2"/>
    <n v="16.989999999999998"/>
    <x v="2"/>
    <n v="50.97"/>
    <x v="1"/>
    <x v="2"/>
    <x v="0"/>
    <x v="0"/>
    <n v="-50.97"/>
  </r>
  <r>
    <d v="2024-01-23T00:00:00"/>
    <s v="cogs:product 3"/>
    <n v="8.49"/>
    <x v="49"/>
    <n v="1978.17"/>
    <x v="1"/>
    <x v="3"/>
    <x v="0"/>
    <x v="0"/>
    <n v="-1978.17"/>
  </r>
  <r>
    <d v="2024-01-23T00:00:00"/>
    <s v="marketing"/>
    <s v="NA"/>
    <x v="0"/>
    <n v="99.94"/>
    <x v="2"/>
    <x v="0"/>
    <x v="0"/>
    <x v="0"/>
    <n v="-99.94"/>
  </r>
  <r>
    <d v="2024-01-23T00:00:00"/>
    <s v="net sales:product 1"/>
    <n v="9.99"/>
    <x v="48"/>
    <n v="619.38"/>
    <x v="3"/>
    <x v="1"/>
    <x v="0"/>
    <x v="0"/>
    <n v="619.38"/>
  </r>
  <r>
    <d v="2024-01-23T00:00:00"/>
    <s v="net sales:product 2"/>
    <n v="24.99"/>
    <x v="2"/>
    <n v="74.97"/>
    <x v="3"/>
    <x v="2"/>
    <x v="0"/>
    <x v="0"/>
    <n v="74.97"/>
  </r>
  <r>
    <d v="2024-01-23T00:00:00"/>
    <s v="net sales:product 3"/>
    <n v="12.49"/>
    <x v="49"/>
    <n v="2910.17"/>
    <x v="3"/>
    <x v="3"/>
    <x v="0"/>
    <x v="0"/>
    <n v="2910.17"/>
  </r>
  <r>
    <d v="2024-01-24T00:00:00"/>
    <s v="cogs:product 1"/>
    <n v="5.99"/>
    <x v="50"/>
    <n v="539.1"/>
    <x v="1"/>
    <x v="1"/>
    <x v="0"/>
    <x v="0"/>
    <n v="-539.1"/>
  </r>
  <r>
    <d v="2024-01-24T00:00:00"/>
    <s v="cogs:product 2"/>
    <n v="16.989999999999998"/>
    <x v="19"/>
    <n v="67.959999999999994"/>
    <x v="1"/>
    <x v="2"/>
    <x v="0"/>
    <x v="0"/>
    <n v="-67.959999999999994"/>
  </r>
  <r>
    <d v="2024-01-24T00:00:00"/>
    <s v="cogs:product 3"/>
    <n v="8.49"/>
    <x v="26"/>
    <n v="178.29"/>
    <x v="1"/>
    <x v="3"/>
    <x v="0"/>
    <x v="0"/>
    <n v="-178.29"/>
  </r>
  <r>
    <d v="2024-01-24T00:00:00"/>
    <s v="marketing"/>
    <s v="NA"/>
    <x v="0"/>
    <n v="99.93"/>
    <x v="2"/>
    <x v="0"/>
    <x v="0"/>
    <x v="0"/>
    <n v="-99.93"/>
  </r>
  <r>
    <d v="2024-01-24T00:00:00"/>
    <s v="net sales:product 1"/>
    <n v="9.99"/>
    <x v="50"/>
    <n v="899.1"/>
    <x v="3"/>
    <x v="1"/>
    <x v="0"/>
    <x v="0"/>
    <n v="899.1"/>
  </r>
  <r>
    <d v="2024-01-24T00:00:00"/>
    <s v="net sales:product 2"/>
    <n v="24.99"/>
    <x v="19"/>
    <n v="99.96"/>
    <x v="3"/>
    <x v="2"/>
    <x v="0"/>
    <x v="0"/>
    <n v="99.96"/>
  </r>
  <r>
    <d v="2024-01-24T00:00:00"/>
    <s v="net sales:product 3"/>
    <n v="12.49"/>
    <x v="26"/>
    <n v="262.29000000000002"/>
    <x v="3"/>
    <x v="3"/>
    <x v="0"/>
    <x v="0"/>
    <n v="262.29000000000002"/>
  </r>
  <r>
    <d v="2024-01-25T00:00:00"/>
    <s v="cogs:product 1"/>
    <n v="5.99"/>
    <x v="9"/>
    <n v="233.61"/>
    <x v="1"/>
    <x v="1"/>
    <x v="0"/>
    <x v="0"/>
    <n v="-233.61"/>
  </r>
  <r>
    <d v="2024-01-25T00:00:00"/>
    <s v="cogs:product 2"/>
    <n v="16.989999999999998"/>
    <x v="2"/>
    <n v="50.97"/>
    <x v="1"/>
    <x v="2"/>
    <x v="0"/>
    <x v="0"/>
    <n v="-50.97"/>
  </r>
  <r>
    <d v="2024-01-25T00:00:00"/>
    <s v="cogs:product 3"/>
    <n v="8.49"/>
    <x v="9"/>
    <n v="331.11"/>
    <x v="1"/>
    <x v="3"/>
    <x v="0"/>
    <x v="0"/>
    <n v="-331.11"/>
  </r>
  <r>
    <d v="2024-01-25T00:00:00"/>
    <s v="marketing"/>
    <s v="NA"/>
    <x v="0"/>
    <n v="99.92"/>
    <x v="2"/>
    <x v="0"/>
    <x v="0"/>
    <x v="0"/>
    <n v="-99.92"/>
  </r>
  <r>
    <d v="2024-01-25T00:00:00"/>
    <s v="net sales:product 1"/>
    <n v="9.99"/>
    <x v="9"/>
    <n v="389.61"/>
    <x v="3"/>
    <x v="1"/>
    <x v="0"/>
    <x v="0"/>
    <n v="389.61"/>
  </r>
  <r>
    <d v="2024-01-25T00:00:00"/>
    <s v="net sales:product 2"/>
    <n v="24.99"/>
    <x v="2"/>
    <n v="74.97"/>
    <x v="3"/>
    <x v="2"/>
    <x v="0"/>
    <x v="0"/>
    <n v="74.97"/>
  </r>
  <r>
    <d v="2024-01-25T00:00:00"/>
    <s v="net sales:product 3"/>
    <n v="12.49"/>
    <x v="9"/>
    <n v="487.11"/>
    <x v="3"/>
    <x v="3"/>
    <x v="0"/>
    <x v="0"/>
    <n v="487.11"/>
  </r>
  <r>
    <d v="2024-01-26T00:00:00"/>
    <s v="cogs:product 1"/>
    <n v="5.99"/>
    <x v="26"/>
    <n v="125.79"/>
    <x v="1"/>
    <x v="1"/>
    <x v="0"/>
    <x v="0"/>
    <n v="-125.79"/>
  </r>
  <r>
    <d v="2024-01-26T00:00:00"/>
    <s v="cogs:product 2"/>
    <n v="16.989999999999998"/>
    <x v="23"/>
    <n v="0"/>
    <x v="1"/>
    <x v="2"/>
    <x v="0"/>
    <x v="0"/>
    <n v="0"/>
  </r>
  <r>
    <d v="2024-01-26T00:00:00"/>
    <s v="cogs:product 3"/>
    <n v="8.49"/>
    <x v="51"/>
    <n v="1163.1300000000001"/>
    <x v="1"/>
    <x v="3"/>
    <x v="0"/>
    <x v="0"/>
    <n v="-1163.1300000000001"/>
  </r>
  <r>
    <d v="2024-01-26T00:00:00"/>
    <s v="marketing"/>
    <s v="NA"/>
    <x v="0"/>
    <n v="99.95"/>
    <x v="2"/>
    <x v="0"/>
    <x v="0"/>
    <x v="0"/>
    <n v="-99.95"/>
  </r>
  <r>
    <d v="2024-01-26T00:00:00"/>
    <s v="net sales:product 1"/>
    <n v="9.99"/>
    <x v="26"/>
    <n v="209.79"/>
    <x v="3"/>
    <x v="1"/>
    <x v="0"/>
    <x v="0"/>
    <n v="209.79"/>
  </r>
  <r>
    <d v="2024-01-26T00:00:00"/>
    <s v="net sales:product 2"/>
    <n v="24.99"/>
    <x v="23"/>
    <n v="0"/>
    <x v="3"/>
    <x v="2"/>
    <x v="0"/>
    <x v="0"/>
    <n v="0"/>
  </r>
  <r>
    <d v="2024-01-26T00:00:00"/>
    <s v="net sales:product 3"/>
    <n v="12.49"/>
    <x v="51"/>
    <n v="1711.13"/>
    <x v="3"/>
    <x v="3"/>
    <x v="0"/>
    <x v="0"/>
    <n v="1711.13"/>
  </r>
  <r>
    <d v="2024-01-27T00:00:00"/>
    <s v="cogs:product 1"/>
    <n v="5.99"/>
    <x v="52"/>
    <n v="545.09"/>
    <x v="1"/>
    <x v="1"/>
    <x v="0"/>
    <x v="0"/>
    <n v="-545.09"/>
  </r>
  <r>
    <d v="2024-01-27T00:00:00"/>
    <s v="cogs:product 2"/>
    <n v="16.989999999999998"/>
    <x v="13"/>
    <n v="118.92999999999999"/>
    <x v="1"/>
    <x v="2"/>
    <x v="0"/>
    <x v="0"/>
    <n v="-118.92999999999999"/>
  </r>
  <r>
    <d v="2024-01-27T00:00:00"/>
    <s v="cogs:product 3"/>
    <n v="8.49"/>
    <x v="53"/>
    <n v="1248.03"/>
    <x v="1"/>
    <x v="3"/>
    <x v="0"/>
    <x v="0"/>
    <n v="-1248.03"/>
  </r>
  <r>
    <d v="2024-01-27T00:00:00"/>
    <s v="marketing"/>
    <s v="NA"/>
    <x v="0"/>
    <n v="100"/>
    <x v="2"/>
    <x v="0"/>
    <x v="0"/>
    <x v="0"/>
    <n v="-100"/>
  </r>
  <r>
    <d v="2024-01-27T00:00:00"/>
    <s v="net sales:product 1"/>
    <n v="9.99"/>
    <x v="52"/>
    <n v="909.09"/>
    <x v="3"/>
    <x v="1"/>
    <x v="0"/>
    <x v="0"/>
    <n v="909.09"/>
  </r>
  <r>
    <d v="2024-01-27T00:00:00"/>
    <s v="net sales:product 2"/>
    <n v="24.99"/>
    <x v="13"/>
    <n v="174.92999999999998"/>
    <x v="3"/>
    <x v="2"/>
    <x v="0"/>
    <x v="0"/>
    <n v="174.92999999999998"/>
  </r>
  <r>
    <d v="2024-01-27T00:00:00"/>
    <s v="net sales:product 3"/>
    <n v="12.49"/>
    <x v="53"/>
    <n v="1836.03"/>
    <x v="3"/>
    <x v="3"/>
    <x v="0"/>
    <x v="0"/>
    <n v="1836.03"/>
  </r>
  <r>
    <d v="2024-01-28T00:00:00"/>
    <s v="cogs:product 1"/>
    <n v="5.99"/>
    <x v="54"/>
    <n v="263.56"/>
    <x v="1"/>
    <x v="1"/>
    <x v="0"/>
    <x v="0"/>
    <n v="-263.56"/>
  </r>
  <r>
    <d v="2024-01-28T00:00:00"/>
    <s v="cogs:product 2"/>
    <n v="16.989999999999998"/>
    <x v="42"/>
    <n v="101.94"/>
    <x v="1"/>
    <x v="2"/>
    <x v="0"/>
    <x v="0"/>
    <n v="-101.94"/>
  </r>
  <r>
    <d v="2024-01-28T00:00:00"/>
    <s v="cogs:product 3"/>
    <n v="8.49"/>
    <x v="55"/>
    <n v="1910.25"/>
    <x v="1"/>
    <x v="3"/>
    <x v="0"/>
    <x v="0"/>
    <n v="-1910.25"/>
  </r>
  <r>
    <d v="2024-01-28T00:00:00"/>
    <s v="marketing"/>
    <s v="NA"/>
    <x v="0"/>
    <n v="100.06"/>
    <x v="2"/>
    <x v="0"/>
    <x v="0"/>
    <x v="0"/>
    <n v="-100.06"/>
  </r>
  <r>
    <d v="2024-01-28T00:00:00"/>
    <s v="net sales:product 1"/>
    <n v="9.99"/>
    <x v="54"/>
    <n v="439.56"/>
    <x v="3"/>
    <x v="1"/>
    <x v="0"/>
    <x v="0"/>
    <n v="439.56"/>
  </r>
  <r>
    <d v="2024-01-28T00:00:00"/>
    <s v="net sales:product 2"/>
    <n v="24.99"/>
    <x v="42"/>
    <n v="149.94"/>
    <x v="3"/>
    <x v="2"/>
    <x v="0"/>
    <x v="0"/>
    <n v="149.94"/>
  </r>
  <r>
    <d v="2024-01-28T00:00:00"/>
    <s v="net sales:product 3"/>
    <n v="12.49"/>
    <x v="55"/>
    <n v="2810.25"/>
    <x v="3"/>
    <x v="3"/>
    <x v="0"/>
    <x v="0"/>
    <n v="2810.25"/>
  </r>
  <r>
    <d v="2024-01-29T00:00:00"/>
    <s v="cogs:product 1"/>
    <n v="5.99"/>
    <x v="56"/>
    <n v="521.13"/>
    <x v="1"/>
    <x v="1"/>
    <x v="0"/>
    <x v="0"/>
    <n v="-521.13"/>
  </r>
  <r>
    <d v="2024-01-29T00:00:00"/>
    <s v="cogs:product 2"/>
    <n v="16.989999999999998"/>
    <x v="25"/>
    <n v="16.989999999999998"/>
    <x v="1"/>
    <x v="2"/>
    <x v="0"/>
    <x v="0"/>
    <n v="-16.989999999999998"/>
  </r>
  <r>
    <d v="2024-01-29T00:00:00"/>
    <s v="cogs:product 3"/>
    <n v="8.49"/>
    <x v="57"/>
    <n v="1451.79"/>
    <x v="1"/>
    <x v="3"/>
    <x v="0"/>
    <x v="0"/>
    <n v="-1451.79"/>
  </r>
  <r>
    <d v="2024-01-29T00:00:00"/>
    <s v="marketing"/>
    <s v="NA"/>
    <x v="0"/>
    <n v="100.01"/>
    <x v="2"/>
    <x v="0"/>
    <x v="0"/>
    <x v="0"/>
    <n v="-100.01"/>
  </r>
  <r>
    <d v="2024-01-29T00:00:00"/>
    <s v="net sales:product 1"/>
    <n v="9.99"/>
    <x v="56"/>
    <n v="869.13"/>
    <x v="3"/>
    <x v="1"/>
    <x v="0"/>
    <x v="0"/>
    <n v="869.13"/>
  </r>
  <r>
    <d v="2024-01-29T00:00:00"/>
    <s v="net sales:product 2"/>
    <n v="24.99"/>
    <x v="25"/>
    <n v="24.99"/>
    <x v="3"/>
    <x v="2"/>
    <x v="0"/>
    <x v="0"/>
    <n v="24.99"/>
  </r>
  <r>
    <d v="2024-01-29T00:00:00"/>
    <s v="net sales:product 3"/>
    <n v="12.49"/>
    <x v="57"/>
    <n v="2135.79"/>
    <x v="3"/>
    <x v="3"/>
    <x v="0"/>
    <x v="0"/>
    <n v="2135.79"/>
  </r>
  <r>
    <d v="2024-01-30T00:00:00"/>
    <s v="cogs:product 1"/>
    <n v="5.99"/>
    <x v="58"/>
    <n v="251.58"/>
    <x v="1"/>
    <x v="1"/>
    <x v="0"/>
    <x v="0"/>
    <n v="-251.58"/>
  </r>
  <r>
    <d v="2024-01-30T00:00:00"/>
    <s v="cogs:product 2"/>
    <n v="16.989999999999998"/>
    <x v="22"/>
    <n v="169.89999999999998"/>
    <x v="1"/>
    <x v="2"/>
    <x v="0"/>
    <x v="0"/>
    <n v="-169.89999999999998"/>
  </r>
  <r>
    <d v="2024-01-30T00:00:00"/>
    <s v="cogs:product 3"/>
    <n v="8.49"/>
    <x v="59"/>
    <n v="500.91"/>
    <x v="1"/>
    <x v="3"/>
    <x v="0"/>
    <x v="0"/>
    <n v="-500.91"/>
  </r>
  <r>
    <d v="2024-01-30T00:00:00"/>
    <s v="marketing"/>
    <s v="NA"/>
    <x v="0"/>
    <n v="99.94"/>
    <x v="2"/>
    <x v="0"/>
    <x v="0"/>
    <x v="0"/>
    <n v="-99.94"/>
  </r>
  <r>
    <d v="2024-01-30T00:00:00"/>
    <s v="net sales:product 1"/>
    <n v="9.99"/>
    <x v="58"/>
    <n v="419.58"/>
    <x v="3"/>
    <x v="1"/>
    <x v="0"/>
    <x v="0"/>
    <n v="419.58"/>
  </r>
  <r>
    <d v="2024-01-30T00:00:00"/>
    <s v="net sales:product 2"/>
    <n v="24.99"/>
    <x v="22"/>
    <n v="249.89999999999998"/>
    <x v="3"/>
    <x v="2"/>
    <x v="0"/>
    <x v="0"/>
    <n v="249.89999999999998"/>
  </r>
  <r>
    <d v="2024-01-30T00:00:00"/>
    <s v="net sales:product 3"/>
    <n v="12.49"/>
    <x v="59"/>
    <n v="736.91"/>
    <x v="3"/>
    <x v="3"/>
    <x v="0"/>
    <x v="0"/>
    <n v="736.91"/>
  </r>
  <r>
    <d v="2024-01-31T00:00:00"/>
    <s v="cogs:product 1"/>
    <n v="5.99"/>
    <x v="60"/>
    <n v="137.77000000000001"/>
    <x v="1"/>
    <x v="1"/>
    <x v="0"/>
    <x v="0"/>
    <n v="-137.77000000000001"/>
  </r>
  <r>
    <d v="2024-01-31T00:00:00"/>
    <s v="cogs:product 2"/>
    <n v="16.989999999999998"/>
    <x v="2"/>
    <n v="50.97"/>
    <x v="1"/>
    <x v="2"/>
    <x v="0"/>
    <x v="0"/>
    <n v="0"/>
  </r>
  <r>
    <d v="2024-01-31T00:00:00"/>
    <s v="cogs:product 3"/>
    <n v="8.49"/>
    <x v="61"/>
    <n v="823.53"/>
    <x v="1"/>
    <x v="3"/>
    <x v="0"/>
    <x v="0"/>
    <n v="-425.29"/>
  </r>
  <r>
    <d v="2024-01-31T00:00:00"/>
    <s v="marketing"/>
    <s v="NA"/>
    <x v="0"/>
    <n v="99.98"/>
    <x v="2"/>
    <x v="0"/>
    <x v="0"/>
    <x v="0"/>
    <n v="-50.97"/>
  </r>
  <r>
    <d v="2024-01-31T00:00:00"/>
    <s v="net sales:product 1"/>
    <n v="9.99"/>
    <x v="60"/>
    <n v="229.77"/>
    <x v="3"/>
    <x v="1"/>
    <x v="0"/>
    <x v="0"/>
    <n v="-662.22"/>
  </r>
  <r>
    <d v="2024-01-31T00:00:00"/>
    <s v="net sales:product 2"/>
    <n v="24.99"/>
    <x v="2"/>
    <n v="74.97"/>
    <x v="3"/>
    <x v="2"/>
    <x v="0"/>
    <x v="0"/>
    <n v="-99.990000000000009"/>
  </r>
  <r>
    <d v="2024-01-31T00:00:00"/>
    <s v="net sales:product 3"/>
    <n v="12.49"/>
    <x v="61"/>
    <n v="1211.53"/>
    <x v="3"/>
    <x v="3"/>
    <x v="0"/>
    <x v="0"/>
    <n v="709.29"/>
  </r>
  <r>
    <d v="2024-02-01T00:00:00"/>
    <s v="amortization"/>
    <s v="NA"/>
    <x v="0"/>
    <n v="50"/>
    <x v="0"/>
    <x v="0"/>
    <x v="0"/>
    <x v="1"/>
    <n v="74.97"/>
  </r>
  <r>
    <d v="2024-02-01T00:00:00"/>
    <s v="cogs:product 1"/>
    <n v="5.99"/>
    <x v="62"/>
    <n v="419.3"/>
    <x v="1"/>
    <x v="1"/>
    <x v="0"/>
    <x v="1"/>
    <n v="974.22"/>
  </r>
  <r>
    <d v="2024-02-01T00:00:00"/>
    <s v="cogs:product 2"/>
    <n v="16.989999999999998"/>
    <x v="10"/>
    <n v="33.979999999999997"/>
    <x v="1"/>
    <x v="2"/>
    <x v="0"/>
    <x v="1"/>
    <n v="-2000"/>
  </r>
  <r>
    <d v="2024-02-01T00:00:00"/>
    <s v="cogs:product 3"/>
    <n v="8.49"/>
    <x v="36"/>
    <n v="1273.5"/>
    <x v="1"/>
    <x v="3"/>
    <x v="0"/>
    <x v="1"/>
    <n v="-389.35"/>
  </r>
  <r>
    <d v="2024-02-01T00:00:00"/>
    <s v="marketing"/>
    <s v="NA"/>
    <x v="0"/>
    <n v="100.03"/>
    <x v="2"/>
    <x v="0"/>
    <x v="0"/>
    <x v="1"/>
    <n v="-50.97"/>
  </r>
  <r>
    <d v="2024-02-01T00:00:00"/>
    <s v="net sales:product 1"/>
    <n v="9.99"/>
    <x v="62"/>
    <n v="699.30000000000007"/>
    <x v="3"/>
    <x v="1"/>
    <x v="0"/>
    <x v="1"/>
    <n v="-1918.74"/>
  </r>
  <r>
    <d v="2024-02-01T00:00:00"/>
    <s v="net sales:product 2"/>
    <n v="24.99"/>
    <x v="10"/>
    <n v="49.98"/>
    <x v="3"/>
    <x v="2"/>
    <x v="0"/>
    <x v="1"/>
    <n v="-99.960000000000008"/>
  </r>
  <r>
    <d v="2024-02-01T00:00:00"/>
    <s v="net sales:product 3"/>
    <n v="12.49"/>
    <x v="36"/>
    <n v="1873.5"/>
    <x v="3"/>
    <x v="3"/>
    <x v="0"/>
    <x v="1"/>
    <n v="649.35"/>
  </r>
  <r>
    <d v="2024-02-01T00:00:00"/>
    <s v="overhead"/>
    <s v="NA"/>
    <x v="0"/>
    <n v="2000"/>
    <x v="4"/>
    <x v="0"/>
    <x v="0"/>
    <x v="1"/>
    <n v="74.97"/>
  </r>
  <r>
    <d v="2024-02-02T00:00:00"/>
    <s v="cogs:product 1"/>
    <n v="5.99"/>
    <x v="18"/>
    <n v="509.15000000000003"/>
    <x v="1"/>
    <x v="1"/>
    <x v="0"/>
    <x v="1"/>
    <n v="2822.7400000000002"/>
  </r>
  <r>
    <d v="2024-02-02T00:00:00"/>
    <s v="cogs:product 2"/>
    <n v="16.989999999999998"/>
    <x v="13"/>
    <n v="118.92999999999999"/>
    <x v="1"/>
    <x v="2"/>
    <x v="0"/>
    <x v="1"/>
    <n v="-221.63"/>
  </r>
  <r>
    <d v="2024-02-02T00:00:00"/>
    <s v="cogs:product 3"/>
    <n v="8.49"/>
    <x v="63"/>
    <n v="1944.21"/>
    <x v="1"/>
    <x v="3"/>
    <x v="0"/>
    <x v="1"/>
    <n v="-152.91"/>
  </r>
  <r>
    <d v="2024-02-02T00:00:00"/>
    <s v="marketing"/>
    <s v="NA"/>
    <x v="0"/>
    <n v="99.97"/>
    <x v="2"/>
    <x v="0"/>
    <x v="0"/>
    <x v="1"/>
    <n v="-1884.78"/>
  </r>
  <r>
    <d v="2024-02-02T00:00:00"/>
    <s v="net sales:product 1"/>
    <n v="9.99"/>
    <x v="18"/>
    <n v="849.15"/>
    <x v="3"/>
    <x v="1"/>
    <x v="0"/>
    <x v="1"/>
    <n v="-99.91"/>
  </r>
  <r>
    <d v="2024-02-02T00:00:00"/>
    <s v="net sales:product 2"/>
    <n v="24.99"/>
    <x v="13"/>
    <n v="174.92999999999998"/>
    <x v="3"/>
    <x v="2"/>
    <x v="0"/>
    <x v="1"/>
    <n v="369.63"/>
  </r>
  <r>
    <d v="2024-02-02T00:00:00"/>
    <s v="net sales:product 3"/>
    <n v="12.49"/>
    <x v="63"/>
    <n v="2860.21"/>
    <x v="3"/>
    <x v="3"/>
    <x v="0"/>
    <x v="1"/>
    <n v="224.91"/>
  </r>
  <r>
    <d v="2024-02-02T00:00:00"/>
    <s v="payroll"/>
    <s v="NA"/>
    <x v="0"/>
    <n v="1200"/>
    <x v="5"/>
    <x v="0"/>
    <x v="0"/>
    <x v="1"/>
    <n v="2772.78"/>
  </r>
  <r>
    <d v="2024-02-03T00:00:00"/>
    <s v="cogs:product 1"/>
    <n v="5.99"/>
    <x v="64"/>
    <n v="119.80000000000001"/>
    <x v="1"/>
    <x v="1"/>
    <x v="0"/>
    <x v="1"/>
    <n v="-233.61"/>
  </r>
  <r>
    <d v="2024-02-03T00:00:00"/>
    <s v="cogs:product 2"/>
    <n v="16.989999999999998"/>
    <x v="10"/>
    <n v="33.979999999999997"/>
    <x v="1"/>
    <x v="2"/>
    <x v="0"/>
    <x v="1"/>
    <n v="-33.979999999999997"/>
  </r>
  <r>
    <d v="2024-02-03T00:00:00"/>
    <s v="cogs:product 3"/>
    <n v="8.49"/>
    <x v="65"/>
    <n v="1392.3600000000001"/>
    <x v="1"/>
    <x v="3"/>
    <x v="0"/>
    <x v="1"/>
    <n v="-1528.2"/>
  </r>
  <r>
    <d v="2024-02-03T00:00:00"/>
    <s v="marketing"/>
    <s v="NA"/>
    <x v="0"/>
    <n v="99.93"/>
    <x v="2"/>
    <x v="0"/>
    <x v="0"/>
    <x v="1"/>
    <n v="-99.98"/>
  </r>
  <r>
    <d v="2024-02-03T00:00:00"/>
    <s v="net sales:product 1"/>
    <n v="9.99"/>
    <x v="64"/>
    <n v="199.8"/>
    <x v="3"/>
    <x v="1"/>
    <x v="0"/>
    <x v="1"/>
    <n v="389.61"/>
  </r>
  <r>
    <d v="2024-02-03T00:00:00"/>
    <s v="net sales:product 2"/>
    <n v="24.99"/>
    <x v="10"/>
    <n v="49.98"/>
    <x v="3"/>
    <x v="2"/>
    <x v="0"/>
    <x v="1"/>
    <n v="49.98"/>
  </r>
  <r>
    <d v="2024-02-03T00:00:00"/>
    <s v="net sales:product 3"/>
    <n v="12.49"/>
    <x v="65"/>
    <n v="2048.36"/>
    <x v="3"/>
    <x v="3"/>
    <x v="0"/>
    <x v="1"/>
    <n v="2248.1999999999998"/>
  </r>
  <r>
    <d v="2024-02-04T00:00:00"/>
    <s v="cogs:product 1"/>
    <n v="5.99"/>
    <x v="66"/>
    <n v="281.53000000000003"/>
    <x v="1"/>
    <x v="1"/>
    <x v="0"/>
    <x v="1"/>
    <n v="-437.27000000000004"/>
  </r>
  <r>
    <d v="2024-02-04T00:00:00"/>
    <s v="cogs:product 2"/>
    <n v="16.989999999999998"/>
    <x v="23"/>
    <n v="0"/>
    <x v="1"/>
    <x v="2"/>
    <x v="0"/>
    <x v="1"/>
    <n v="-118.92999999999999"/>
  </r>
  <r>
    <d v="2024-02-04T00:00:00"/>
    <s v="cogs:product 3"/>
    <n v="8.49"/>
    <x v="67"/>
    <n v="1536.69"/>
    <x v="1"/>
    <x v="3"/>
    <x v="0"/>
    <x v="1"/>
    <n v="-806.55000000000007"/>
  </r>
  <r>
    <d v="2024-02-04T00:00:00"/>
    <s v="marketing"/>
    <s v="NA"/>
    <x v="0"/>
    <n v="99.95"/>
    <x v="2"/>
    <x v="0"/>
    <x v="0"/>
    <x v="1"/>
    <n v="-100.03"/>
  </r>
  <r>
    <d v="2024-02-04T00:00:00"/>
    <s v="net sales:product 1"/>
    <n v="9.99"/>
    <x v="66"/>
    <n v="469.53000000000003"/>
    <x v="3"/>
    <x v="1"/>
    <x v="0"/>
    <x v="1"/>
    <n v="729.27"/>
  </r>
  <r>
    <d v="2024-02-04T00:00:00"/>
    <s v="net sales:product 2"/>
    <n v="24.99"/>
    <x v="23"/>
    <n v="0"/>
    <x v="3"/>
    <x v="2"/>
    <x v="0"/>
    <x v="1"/>
    <n v="174.92999999999998"/>
  </r>
  <r>
    <d v="2024-02-04T00:00:00"/>
    <s v="net sales:product 3"/>
    <n v="12.49"/>
    <x v="67"/>
    <n v="2260.69"/>
    <x v="3"/>
    <x v="3"/>
    <x v="0"/>
    <x v="1"/>
    <n v="1186.55"/>
  </r>
  <r>
    <d v="2024-02-05T00:00:00"/>
    <s v="cogs:product 1"/>
    <n v="5.99"/>
    <x v="35"/>
    <n v="113.81"/>
    <x v="1"/>
    <x v="1"/>
    <x v="0"/>
    <x v="1"/>
    <n v="-1200"/>
  </r>
  <r>
    <d v="2024-02-05T00:00:00"/>
    <s v="cogs:product 2"/>
    <n v="16.989999999999998"/>
    <x v="19"/>
    <n v="67.959999999999994"/>
    <x v="1"/>
    <x v="2"/>
    <x v="0"/>
    <x v="1"/>
    <n v="-227.62"/>
  </r>
  <r>
    <d v="2024-02-05T00:00:00"/>
    <s v="cogs:product 3"/>
    <n v="8.49"/>
    <x v="68"/>
    <n v="1205.58"/>
    <x v="1"/>
    <x v="3"/>
    <x v="0"/>
    <x v="1"/>
    <n v="-135.91999999999999"/>
  </r>
  <r>
    <d v="2024-02-05T00:00:00"/>
    <s v="marketing"/>
    <s v="NA"/>
    <x v="0"/>
    <n v="100.04"/>
    <x v="2"/>
    <x v="0"/>
    <x v="0"/>
    <x v="1"/>
    <n v="-874.47"/>
  </r>
  <r>
    <d v="2024-02-05T00:00:00"/>
    <s v="net sales:product 1"/>
    <n v="9.99"/>
    <x v="35"/>
    <n v="189.81"/>
    <x v="3"/>
    <x v="1"/>
    <x v="0"/>
    <x v="1"/>
    <n v="-100.08"/>
  </r>
  <r>
    <d v="2024-02-05T00:00:00"/>
    <s v="net sales:product 2"/>
    <n v="24.99"/>
    <x v="19"/>
    <n v="99.96"/>
    <x v="3"/>
    <x v="2"/>
    <x v="0"/>
    <x v="1"/>
    <n v="379.62"/>
  </r>
  <r>
    <d v="2024-02-05T00:00:00"/>
    <s v="net sales:product 3"/>
    <n v="12.49"/>
    <x v="68"/>
    <n v="1773.58"/>
    <x v="3"/>
    <x v="3"/>
    <x v="0"/>
    <x v="1"/>
    <n v="199.92"/>
  </r>
  <r>
    <d v="2024-02-06T00:00:00"/>
    <s v="cogs:product 1"/>
    <n v="5.99"/>
    <x v="69"/>
    <n v="461.23"/>
    <x v="1"/>
    <x v="1"/>
    <x v="0"/>
    <x v="1"/>
    <n v="1286.47"/>
  </r>
  <r>
    <d v="2024-02-06T00:00:00"/>
    <s v="cogs:product 2"/>
    <n v="16.989999999999998"/>
    <x v="10"/>
    <n v="33.979999999999997"/>
    <x v="1"/>
    <x v="2"/>
    <x v="0"/>
    <x v="1"/>
    <n v="-509.15000000000003"/>
  </r>
  <r>
    <d v="2024-02-06T00:00:00"/>
    <s v="cogs:product 3"/>
    <n v="8.49"/>
    <x v="70"/>
    <n v="1681.02"/>
    <x v="1"/>
    <x v="3"/>
    <x v="0"/>
    <x v="1"/>
    <n v="-67.959999999999994"/>
  </r>
  <r>
    <d v="2024-02-06T00:00:00"/>
    <s v="marketing"/>
    <s v="NA"/>
    <x v="0"/>
    <n v="99.990000000000009"/>
    <x v="2"/>
    <x v="0"/>
    <x v="0"/>
    <x v="1"/>
    <n v="-619.77"/>
  </r>
  <r>
    <d v="2024-02-06T00:00:00"/>
    <s v="net sales:product 1"/>
    <n v="9.99"/>
    <x v="69"/>
    <n v="769.23"/>
    <x v="3"/>
    <x v="1"/>
    <x v="0"/>
    <x v="1"/>
    <n v="-100.01"/>
  </r>
  <r>
    <d v="2024-02-06T00:00:00"/>
    <s v="net sales:product 2"/>
    <n v="24.99"/>
    <x v="10"/>
    <n v="49.98"/>
    <x v="3"/>
    <x v="2"/>
    <x v="0"/>
    <x v="1"/>
    <n v="849.15"/>
  </r>
  <r>
    <d v="2024-02-06T00:00:00"/>
    <s v="net sales:product 3"/>
    <n v="12.49"/>
    <x v="70"/>
    <n v="2473.02"/>
    <x v="3"/>
    <x v="3"/>
    <x v="0"/>
    <x v="1"/>
    <n v="99.96"/>
  </r>
  <r>
    <d v="2024-02-07T00:00:00"/>
    <s v="cogs:product 1"/>
    <n v="5.99"/>
    <x v="35"/>
    <n v="113.81"/>
    <x v="1"/>
    <x v="1"/>
    <x v="0"/>
    <x v="1"/>
    <n v="911.77"/>
  </r>
  <r>
    <d v="2024-02-07T00:00:00"/>
    <s v="cogs:product 2"/>
    <n v="16.989999999999998"/>
    <x v="19"/>
    <n v="67.959999999999994"/>
    <x v="1"/>
    <x v="2"/>
    <x v="0"/>
    <x v="1"/>
    <n v="-53.910000000000004"/>
  </r>
  <r>
    <d v="2024-02-07T00:00:00"/>
    <s v="cogs:product 3"/>
    <n v="8.49"/>
    <x v="71"/>
    <n v="704.67000000000007"/>
    <x v="1"/>
    <x v="3"/>
    <x v="0"/>
    <x v="1"/>
    <n v="-118.92999999999999"/>
  </r>
  <r>
    <d v="2024-02-07T00:00:00"/>
    <s v="marketing"/>
    <s v="NA"/>
    <x v="0"/>
    <n v="100.06"/>
    <x v="2"/>
    <x v="0"/>
    <x v="0"/>
    <x v="1"/>
    <n v="-2114.0100000000002"/>
  </r>
  <r>
    <d v="2024-02-07T00:00:00"/>
    <s v="net sales:product 1"/>
    <n v="9.99"/>
    <x v="35"/>
    <n v="189.81"/>
    <x v="3"/>
    <x v="1"/>
    <x v="0"/>
    <x v="1"/>
    <n v="-99.92"/>
  </r>
  <r>
    <d v="2024-02-07T00:00:00"/>
    <s v="net sales:product 2"/>
    <n v="24.99"/>
    <x v="19"/>
    <n v="99.96"/>
    <x v="3"/>
    <x v="2"/>
    <x v="0"/>
    <x v="1"/>
    <n v="89.91"/>
  </r>
  <r>
    <d v="2024-02-07T00:00:00"/>
    <s v="net sales:product 3"/>
    <n v="12.49"/>
    <x v="71"/>
    <n v="1036.67"/>
    <x v="3"/>
    <x v="3"/>
    <x v="0"/>
    <x v="1"/>
    <n v="174.92999999999998"/>
  </r>
  <r>
    <d v="2024-02-08T00:00:00"/>
    <s v="cogs:product 1"/>
    <n v="5.99"/>
    <x v="72"/>
    <n v="143.76"/>
    <x v="1"/>
    <x v="1"/>
    <x v="0"/>
    <x v="1"/>
    <n v="3110.01"/>
  </r>
  <r>
    <d v="2024-02-08T00:00:00"/>
    <s v="cogs:product 2"/>
    <n v="16.989999999999998"/>
    <x v="7"/>
    <n v="152.91"/>
    <x v="1"/>
    <x v="2"/>
    <x v="0"/>
    <x v="1"/>
    <n v="-71.88"/>
  </r>
  <r>
    <d v="2024-02-08T00:00:00"/>
    <s v="cogs:product 3"/>
    <n v="8.49"/>
    <x v="73"/>
    <n v="568.83000000000004"/>
    <x v="1"/>
    <x v="3"/>
    <x v="0"/>
    <x v="1"/>
    <n v="-169.89999999999998"/>
  </r>
  <r>
    <d v="2024-02-08T00:00:00"/>
    <s v="marketing"/>
    <s v="NA"/>
    <x v="0"/>
    <n v="100.06"/>
    <x v="2"/>
    <x v="0"/>
    <x v="0"/>
    <x v="1"/>
    <n v="0"/>
  </r>
  <r>
    <d v="2024-02-08T00:00:00"/>
    <s v="net sales:product 1"/>
    <n v="9.99"/>
    <x v="72"/>
    <n v="239.76"/>
    <x v="3"/>
    <x v="1"/>
    <x v="0"/>
    <x v="1"/>
    <n v="-99.92"/>
  </r>
  <r>
    <d v="2024-02-08T00:00:00"/>
    <s v="net sales:product 2"/>
    <n v="24.99"/>
    <x v="7"/>
    <n v="224.91"/>
    <x v="3"/>
    <x v="2"/>
    <x v="0"/>
    <x v="1"/>
    <n v="119.88"/>
  </r>
  <r>
    <d v="2024-02-08T00:00:00"/>
    <s v="net sales:product 3"/>
    <n v="12.49"/>
    <x v="73"/>
    <n v="836.83"/>
    <x v="3"/>
    <x v="3"/>
    <x v="0"/>
    <x v="1"/>
    <n v="249.89999999999998"/>
  </r>
  <r>
    <d v="2024-02-09T00:00:00"/>
    <s v="cogs:product 1"/>
    <n v="5.99"/>
    <x v="16"/>
    <n v="47.92"/>
    <x v="1"/>
    <x v="1"/>
    <x v="0"/>
    <x v="1"/>
    <n v="0"/>
  </r>
  <r>
    <d v="2024-02-09T00:00:00"/>
    <s v="cogs:product 2"/>
    <n v="16.989999999999998"/>
    <x v="16"/>
    <n v="135.91999999999999"/>
    <x v="1"/>
    <x v="2"/>
    <x v="0"/>
    <x v="1"/>
    <n v="-593.01"/>
  </r>
  <r>
    <d v="2024-02-09T00:00:00"/>
    <s v="cogs:product 3"/>
    <n v="8.49"/>
    <x v="36"/>
    <n v="1273.5"/>
    <x v="1"/>
    <x v="3"/>
    <x v="0"/>
    <x v="1"/>
    <n v="-16.989999999999998"/>
  </r>
  <r>
    <d v="2024-02-09T00:00:00"/>
    <s v="marketing"/>
    <s v="NA"/>
    <x v="0"/>
    <n v="99.990000000000009"/>
    <x v="2"/>
    <x v="0"/>
    <x v="0"/>
    <x v="1"/>
    <n v="-178.29"/>
  </r>
  <r>
    <d v="2024-02-09T00:00:00"/>
    <s v="net sales:product 1"/>
    <n v="9.99"/>
    <x v="16"/>
    <n v="79.92"/>
    <x v="3"/>
    <x v="1"/>
    <x v="0"/>
    <x v="1"/>
    <n v="-100.05"/>
  </r>
  <r>
    <d v="2024-02-09T00:00:00"/>
    <s v="net sales:product 2"/>
    <n v="24.99"/>
    <x v="16"/>
    <n v="199.92"/>
    <x v="3"/>
    <x v="2"/>
    <x v="0"/>
    <x v="1"/>
    <n v="989.01"/>
  </r>
  <r>
    <d v="2024-02-09T00:00:00"/>
    <s v="net sales:product 3"/>
    <n v="12.49"/>
    <x v="36"/>
    <n v="1873.5"/>
    <x v="3"/>
    <x v="3"/>
    <x v="0"/>
    <x v="1"/>
    <n v="24.99"/>
  </r>
  <r>
    <d v="2024-02-10T00:00:00"/>
    <s v="cogs:product 1"/>
    <n v="5.99"/>
    <x v="48"/>
    <n v="371.38"/>
    <x v="1"/>
    <x v="1"/>
    <x v="0"/>
    <x v="1"/>
    <n v="262.29000000000002"/>
  </r>
  <r>
    <d v="2024-02-10T00:00:00"/>
    <s v="cogs:product 2"/>
    <n v="16.989999999999998"/>
    <x v="29"/>
    <n v="84.949999999999989"/>
    <x v="1"/>
    <x v="2"/>
    <x v="0"/>
    <x v="1"/>
    <n v="-125.79"/>
  </r>
  <r>
    <d v="2024-02-10T00:00:00"/>
    <s v="cogs:product 3"/>
    <n v="8.49"/>
    <x v="74"/>
    <n v="466.95"/>
    <x v="1"/>
    <x v="3"/>
    <x v="0"/>
    <x v="1"/>
    <n v="-33.979999999999997"/>
  </r>
  <r>
    <d v="2024-02-10T00:00:00"/>
    <s v="marketing"/>
    <s v="NA"/>
    <x v="0"/>
    <n v="100.03"/>
    <x v="2"/>
    <x v="0"/>
    <x v="0"/>
    <x v="1"/>
    <n v="-1332.93"/>
  </r>
  <r>
    <d v="2024-02-10T00:00:00"/>
    <s v="net sales:product 1"/>
    <n v="9.99"/>
    <x v="48"/>
    <n v="619.38"/>
    <x v="3"/>
    <x v="1"/>
    <x v="0"/>
    <x v="1"/>
    <n v="-99.94"/>
  </r>
  <r>
    <d v="2024-02-10T00:00:00"/>
    <s v="net sales:product 2"/>
    <n v="24.99"/>
    <x v="29"/>
    <n v="124.94999999999999"/>
    <x v="3"/>
    <x v="2"/>
    <x v="0"/>
    <x v="1"/>
    <n v="209.79"/>
  </r>
  <r>
    <d v="2024-02-10T00:00:00"/>
    <s v="net sales:product 3"/>
    <n v="12.49"/>
    <x v="74"/>
    <n v="686.95"/>
    <x v="3"/>
    <x v="3"/>
    <x v="0"/>
    <x v="1"/>
    <n v="49.98"/>
  </r>
  <r>
    <d v="2024-02-11T00:00:00"/>
    <s v="cogs:product 1"/>
    <n v="5.99"/>
    <x v="75"/>
    <n v="449.25"/>
    <x v="1"/>
    <x v="1"/>
    <x v="0"/>
    <x v="1"/>
    <n v="1960.93"/>
  </r>
  <r>
    <d v="2024-02-11T00:00:00"/>
    <s v="cogs:product 2"/>
    <n v="16.989999999999998"/>
    <x v="23"/>
    <n v="0"/>
    <x v="1"/>
    <x v="2"/>
    <x v="0"/>
    <x v="1"/>
    <n v="-347.42"/>
  </r>
  <r>
    <d v="2024-02-11T00:00:00"/>
    <s v="cogs:product 3"/>
    <n v="8.49"/>
    <x v="40"/>
    <n v="2012.13"/>
    <x v="1"/>
    <x v="3"/>
    <x v="0"/>
    <x v="1"/>
    <n v="-84.949999999999989"/>
  </r>
  <r>
    <d v="2024-02-11T00:00:00"/>
    <s v="marketing"/>
    <s v="NA"/>
    <x v="0"/>
    <n v="100.03"/>
    <x v="2"/>
    <x v="0"/>
    <x v="0"/>
    <x v="1"/>
    <n v="-144.33000000000001"/>
  </r>
  <r>
    <d v="2024-02-11T00:00:00"/>
    <s v="net sales:product 1"/>
    <n v="9.99"/>
    <x v="75"/>
    <n v="749.25"/>
    <x v="3"/>
    <x v="1"/>
    <x v="0"/>
    <x v="1"/>
    <n v="-100.08"/>
  </r>
  <r>
    <d v="2024-02-11T00:00:00"/>
    <s v="net sales:product 2"/>
    <n v="24.99"/>
    <x v="23"/>
    <n v="0"/>
    <x v="3"/>
    <x v="2"/>
    <x v="0"/>
    <x v="1"/>
    <n v="579.41999999999996"/>
  </r>
  <r>
    <d v="2024-02-11T00:00:00"/>
    <s v="net sales:product 3"/>
    <n v="12.49"/>
    <x v="40"/>
    <n v="2960.13"/>
    <x v="3"/>
    <x v="3"/>
    <x v="0"/>
    <x v="1"/>
    <n v="124.94999999999999"/>
  </r>
  <r>
    <d v="2024-02-12T00:00:00"/>
    <s v="cogs:product 1"/>
    <n v="5.99"/>
    <x v="76"/>
    <n v="443.26"/>
    <x v="1"/>
    <x v="1"/>
    <x v="0"/>
    <x v="1"/>
    <n v="212.33"/>
  </r>
  <r>
    <d v="2024-02-12T00:00:00"/>
    <s v="cogs:product 2"/>
    <n v="16.989999999999998"/>
    <x v="25"/>
    <n v="16.989999999999998"/>
    <x v="1"/>
    <x v="2"/>
    <x v="0"/>
    <x v="1"/>
    <n v="-107.82000000000001"/>
  </r>
  <r>
    <d v="2024-02-12T00:00:00"/>
    <s v="cogs:product 3"/>
    <n v="8.49"/>
    <x v="31"/>
    <n v="152.82"/>
    <x v="1"/>
    <x v="3"/>
    <x v="0"/>
    <x v="1"/>
    <n v="-33.979999999999997"/>
  </r>
  <r>
    <d v="2024-02-12T00:00:00"/>
    <s v="marketing"/>
    <s v="NA"/>
    <x v="0"/>
    <n v="99.91"/>
    <x v="2"/>
    <x v="0"/>
    <x v="0"/>
    <x v="1"/>
    <n v="-950.88"/>
  </r>
  <r>
    <d v="2024-02-12T00:00:00"/>
    <s v="net sales:product 1"/>
    <n v="9.99"/>
    <x v="76"/>
    <n v="739.26"/>
    <x v="3"/>
    <x v="1"/>
    <x v="0"/>
    <x v="1"/>
    <n v="-99.98"/>
  </r>
  <r>
    <d v="2024-02-12T00:00:00"/>
    <s v="net sales:product 2"/>
    <n v="24.99"/>
    <x v="25"/>
    <n v="24.99"/>
    <x v="3"/>
    <x v="2"/>
    <x v="0"/>
    <x v="1"/>
    <n v="179.82"/>
  </r>
  <r>
    <d v="2024-02-12T00:00:00"/>
    <s v="net sales:product 3"/>
    <n v="12.49"/>
    <x v="31"/>
    <n v="224.82"/>
    <x v="3"/>
    <x v="3"/>
    <x v="0"/>
    <x v="1"/>
    <n v="49.98"/>
  </r>
  <r>
    <d v="2024-02-13T00:00:00"/>
    <s v="cogs:product 1"/>
    <n v="5.99"/>
    <x v="13"/>
    <n v="41.93"/>
    <x v="1"/>
    <x v="1"/>
    <x v="0"/>
    <x v="1"/>
    <n v="1398.88"/>
  </r>
  <r>
    <d v="2024-02-13T00:00:00"/>
    <s v="cogs:product 2"/>
    <n v="16.989999999999998"/>
    <x v="25"/>
    <n v="16.989999999999998"/>
    <x v="1"/>
    <x v="2"/>
    <x v="0"/>
    <x v="1"/>
    <n v="-485.19"/>
  </r>
  <r>
    <d v="2024-02-13T00:00:00"/>
    <s v="cogs:product 3"/>
    <n v="8.49"/>
    <x v="77"/>
    <n v="1069.74"/>
    <x v="1"/>
    <x v="3"/>
    <x v="0"/>
    <x v="1"/>
    <n v="-16.989999999999998"/>
  </r>
  <r>
    <d v="2024-02-13T00:00:00"/>
    <s v="marketing"/>
    <s v="NA"/>
    <x v="0"/>
    <n v="100.04"/>
    <x v="2"/>
    <x v="0"/>
    <x v="0"/>
    <x v="1"/>
    <n v="-1137.6600000000001"/>
  </r>
  <r>
    <d v="2024-02-13T00:00:00"/>
    <s v="net sales:product 1"/>
    <n v="9.99"/>
    <x v="13"/>
    <n v="69.930000000000007"/>
    <x v="3"/>
    <x v="1"/>
    <x v="0"/>
    <x v="1"/>
    <n v="-99.9"/>
  </r>
  <r>
    <d v="2024-02-13T00:00:00"/>
    <s v="net sales:product 2"/>
    <n v="24.99"/>
    <x v="25"/>
    <n v="24.99"/>
    <x v="3"/>
    <x v="2"/>
    <x v="0"/>
    <x v="1"/>
    <n v="809.19"/>
  </r>
  <r>
    <d v="2024-02-13T00:00:00"/>
    <s v="net sales:product 3"/>
    <n v="12.49"/>
    <x v="77"/>
    <n v="1573.74"/>
    <x v="3"/>
    <x v="3"/>
    <x v="0"/>
    <x v="1"/>
    <n v="24.99"/>
  </r>
  <r>
    <d v="2024-02-14T00:00:00"/>
    <s v="cogs:product 1"/>
    <n v="5.99"/>
    <x v="78"/>
    <n v="335.44"/>
    <x v="1"/>
    <x v="1"/>
    <x v="0"/>
    <x v="1"/>
    <n v="1673.66"/>
  </r>
  <r>
    <d v="2024-02-14T00:00:00"/>
    <s v="cogs:product 2"/>
    <n v="16.989999999999998"/>
    <x v="13"/>
    <n v="118.92999999999999"/>
    <x v="1"/>
    <x v="2"/>
    <x v="0"/>
    <x v="1"/>
    <n v="-113.81"/>
  </r>
  <r>
    <d v="2024-02-14T00:00:00"/>
    <s v="cogs:product 3"/>
    <n v="8.49"/>
    <x v="55"/>
    <n v="1910.25"/>
    <x v="1"/>
    <x v="3"/>
    <x v="0"/>
    <x v="1"/>
    <n v="-84.949999999999989"/>
  </r>
  <r>
    <d v="2024-02-14T00:00:00"/>
    <s v="marketing"/>
    <s v="NA"/>
    <x v="0"/>
    <n v="99.92"/>
    <x v="2"/>
    <x v="0"/>
    <x v="0"/>
    <x v="1"/>
    <n v="-1273.5"/>
  </r>
  <r>
    <d v="2024-02-14T00:00:00"/>
    <s v="net sales:product 1"/>
    <n v="9.99"/>
    <x v="78"/>
    <n v="559.44000000000005"/>
    <x v="3"/>
    <x v="1"/>
    <x v="0"/>
    <x v="1"/>
    <n v="-1297"/>
  </r>
  <r>
    <d v="2024-02-14T00:00:00"/>
    <s v="net sales:product 2"/>
    <n v="24.99"/>
    <x v="13"/>
    <n v="174.92999999999998"/>
    <x v="3"/>
    <x v="2"/>
    <x v="0"/>
    <x v="1"/>
    <n v="-99.91"/>
  </r>
  <r>
    <d v="2024-02-14T00:00:00"/>
    <s v="net sales:product 3"/>
    <n v="12.49"/>
    <x v="55"/>
    <n v="2810.25"/>
    <x v="3"/>
    <x v="3"/>
    <x v="0"/>
    <x v="1"/>
    <n v="189.81"/>
  </r>
  <r>
    <d v="2024-02-15T00:00:00"/>
    <s v="cogs:product 1"/>
    <n v="5.99"/>
    <x v="79"/>
    <n v="377.37"/>
    <x v="1"/>
    <x v="1"/>
    <x v="0"/>
    <x v="1"/>
    <n v="124.94999999999999"/>
  </r>
  <r>
    <d v="2024-02-15T00:00:00"/>
    <s v="cogs:product 2"/>
    <n v="16.989999999999998"/>
    <x v="10"/>
    <n v="33.979999999999997"/>
    <x v="1"/>
    <x v="2"/>
    <x v="0"/>
    <x v="1"/>
    <n v="1873.5"/>
  </r>
  <r>
    <d v="2024-02-15T00:00:00"/>
    <s v="cogs:product 3"/>
    <n v="8.49"/>
    <x v="80"/>
    <n v="365.07"/>
    <x v="1"/>
    <x v="3"/>
    <x v="0"/>
    <x v="1"/>
    <n v="-324.25"/>
  </r>
  <r>
    <d v="2024-02-15T00:00:00"/>
    <s v="interest"/>
    <s v="NA"/>
    <x v="0"/>
    <n v="1242.56"/>
    <x v="6"/>
    <x v="0"/>
    <x v="0"/>
    <x v="1"/>
    <n v="-47.92"/>
  </r>
  <r>
    <d v="2024-02-15T00:00:00"/>
    <s v="marketing"/>
    <s v="NA"/>
    <x v="0"/>
    <n v="99.91"/>
    <x v="2"/>
    <x v="0"/>
    <x v="0"/>
    <x v="1"/>
    <n v="-135.91999999999999"/>
  </r>
  <r>
    <d v="2024-02-15T00:00:00"/>
    <s v="net sales:product 1"/>
    <n v="9.99"/>
    <x v="79"/>
    <n v="629.37"/>
    <x v="3"/>
    <x v="1"/>
    <x v="0"/>
    <x v="1"/>
    <n v="-1731.96"/>
  </r>
  <r>
    <d v="2024-02-15T00:00:00"/>
    <s v="net sales:product 2"/>
    <n v="24.99"/>
    <x v="10"/>
    <n v="49.98"/>
    <x v="3"/>
    <x v="2"/>
    <x v="0"/>
    <x v="1"/>
    <n v="-99.990000000000009"/>
  </r>
  <r>
    <d v="2024-02-15T00:00:00"/>
    <s v="net sales:product 3"/>
    <n v="12.49"/>
    <x v="80"/>
    <n v="537.07000000000005"/>
    <x v="3"/>
    <x v="3"/>
    <x v="0"/>
    <x v="1"/>
    <n v="79.92"/>
  </r>
  <r>
    <d v="2024-02-15T00:00:00"/>
    <s v="overhead"/>
    <s v="NA"/>
    <x v="0"/>
    <n v="305.56"/>
    <x v="4"/>
    <x v="0"/>
    <x v="0"/>
    <x v="1"/>
    <n v="199.92"/>
  </r>
  <r>
    <d v="2024-02-16T00:00:00"/>
    <s v="cogs:product 1"/>
    <n v="5.99"/>
    <x v="60"/>
    <n v="137.77000000000001"/>
    <x v="1"/>
    <x v="1"/>
    <x v="0"/>
    <x v="1"/>
    <n v="2547.96"/>
  </r>
  <r>
    <d v="2024-02-16T00:00:00"/>
    <s v="cogs:product 2"/>
    <n v="16.989999999999998"/>
    <x v="29"/>
    <n v="84.949999999999989"/>
    <x v="1"/>
    <x v="2"/>
    <x v="0"/>
    <x v="1"/>
    <n v="-395.34000000000003"/>
  </r>
  <r>
    <d v="2024-02-16T00:00:00"/>
    <s v="cogs:product 3"/>
    <n v="8.49"/>
    <x v="19"/>
    <n v="33.96"/>
    <x v="1"/>
    <x v="3"/>
    <x v="0"/>
    <x v="1"/>
    <n v="-33.979999999999997"/>
  </r>
  <r>
    <d v="2024-02-16T00:00:00"/>
    <s v="marketing"/>
    <s v="NA"/>
    <x v="0"/>
    <n v="100.05"/>
    <x v="2"/>
    <x v="0"/>
    <x v="0"/>
    <x v="1"/>
    <n v="-212.25"/>
  </r>
  <r>
    <d v="2024-02-16T00:00:00"/>
    <s v="net sales:product 1"/>
    <n v="9.99"/>
    <x v="60"/>
    <n v="229.77"/>
    <x v="3"/>
    <x v="1"/>
    <x v="0"/>
    <x v="1"/>
    <n v="-99.98"/>
  </r>
  <r>
    <d v="2024-02-16T00:00:00"/>
    <s v="net sales:product 2"/>
    <n v="24.99"/>
    <x v="29"/>
    <n v="124.94999999999999"/>
    <x v="3"/>
    <x v="2"/>
    <x v="0"/>
    <x v="1"/>
    <n v="659.34"/>
  </r>
  <r>
    <d v="2024-02-16T00:00:00"/>
    <s v="net sales:product 3"/>
    <n v="12.49"/>
    <x v="19"/>
    <n v="49.96"/>
    <x v="3"/>
    <x v="3"/>
    <x v="0"/>
    <x v="1"/>
    <n v="49.98"/>
  </r>
  <r>
    <d v="2024-02-16T00:00:00"/>
    <s v="payroll"/>
    <s v="NA"/>
    <x v="0"/>
    <n v="1200"/>
    <x v="5"/>
    <x v="0"/>
    <x v="0"/>
    <x v="1"/>
    <n v="312.25"/>
  </r>
  <r>
    <d v="2024-02-17T00:00:00"/>
    <s v="cogs:product 1"/>
    <n v="5.99"/>
    <x v="58"/>
    <n v="251.58"/>
    <x v="1"/>
    <x v="1"/>
    <x v="0"/>
    <x v="1"/>
    <n v="-509.15000000000003"/>
  </r>
  <r>
    <d v="2024-02-17T00:00:00"/>
    <s v="cogs:product 2"/>
    <n v="16.989999999999998"/>
    <x v="42"/>
    <n v="101.94"/>
    <x v="1"/>
    <x v="2"/>
    <x v="0"/>
    <x v="1"/>
    <n v="-118.92999999999999"/>
  </r>
  <r>
    <d v="2024-02-17T00:00:00"/>
    <s v="cogs:product 3"/>
    <n v="8.49"/>
    <x v="81"/>
    <n v="1519.71"/>
    <x v="1"/>
    <x v="3"/>
    <x v="0"/>
    <x v="1"/>
    <n v="-2012.13"/>
  </r>
  <r>
    <d v="2024-02-17T00:00:00"/>
    <s v="marketing"/>
    <s v="NA"/>
    <x v="0"/>
    <n v="100.04"/>
    <x v="2"/>
    <x v="0"/>
    <x v="0"/>
    <x v="1"/>
    <n v="-100.09"/>
  </r>
  <r>
    <d v="2024-02-17T00:00:00"/>
    <s v="net sales:product 1"/>
    <n v="9.99"/>
    <x v="58"/>
    <n v="419.58"/>
    <x v="3"/>
    <x v="1"/>
    <x v="0"/>
    <x v="1"/>
    <n v="849.15"/>
  </r>
  <r>
    <d v="2024-02-17T00:00:00"/>
    <s v="net sales:product 2"/>
    <n v="24.99"/>
    <x v="42"/>
    <n v="149.94"/>
    <x v="3"/>
    <x v="2"/>
    <x v="0"/>
    <x v="1"/>
    <n v="174.92999999999998"/>
  </r>
  <r>
    <d v="2024-02-17T00:00:00"/>
    <s v="net sales:product 3"/>
    <n v="12.49"/>
    <x v="81"/>
    <n v="2235.71"/>
    <x v="3"/>
    <x v="3"/>
    <x v="0"/>
    <x v="1"/>
    <n v="2960.13"/>
  </r>
  <r>
    <d v="2024-02-18T00:00:00"/>
    <s v="cogs:product 1"/>
    <n v="5.99"/>
    <x v="16"/>
    <n v="47.92"/>
    <x v="1"/>
    <x v="1"/>
    <x v="0"/>
    <x v="1"/>
    <n v="-551.08000000000004"/>
  </r>
  <r>
    <d v="2024-02-18T00:00:00"/>
    <s v="cogs:product 2"/>
    <n v="16.989999999999998"/>
    <x v="2"/>
    <n v="50.97"/>
    <x v="1"/>
    <x v="2"/>
    <x v="0"/>
    <x v="1"/>
    <n v="-101.94"/>
  </r>
  <r>
    <d v="2024-02-18T00:00:00"/>
    <s v="cogs:product 3"/>
    <n v="8.49"/>
    <x v="82"/>
    <n v="755.61"/>
    <x v="1"/>
    <x v="3"/>
    <x v="0"/>
    <x v="1"/>
    <n v="-1842.3300000000002"/>
  </r>
  <r>
    <d v="2024-02-18T00:00:00"/>
    <s v="marketing"/>
    <s v="NA"/>
    <x v="0"/>
    <n v="100.04"/>
    <x v="2"/>
    <x v="0"/>
    <x v="0"/>
    <x v="1"/>
    <n v="-99.93"/>
  </r>
  <r>
    <d v="2024-02-18T00:00:00"/>
    <s v="net sales:product 1"/>
    <n v="9.99"/>
    <x v="16"/>
    <n v="79.92"/>
    <x v="3"/>
    <x v="1"/>
    <x v="0"/>
    <x v="1"/>
    <n v="919.08"/>
  </r>
  <r>
    <d v="2024-02-18T00:00:00"/>
    <s v="net sales:product 2"/>
    <n v="24.99"/>
    <x v="2"/>
    <n v="74.97"/>
    <x v="3"/>
    <x v="2"/>
    <x v="0"/>
    <x v="1"/>
    <n v="149.94"/>
  </r>
  <r>
    <d v="2024-02-18T00:00:00"/>
    <s v="net sales:product 3"/>
    <n v="12.49"/>
    <x v="82"/>
    <n v="1111.6100000000001"/>
    <x v="3"/>
    <x v="3"/>
    <x v="0"/>
    <x v="1"/>
    <n v="2710.33"/>
  </r>
  <r>
    <d v="2024-02-19T00:00:00"/>
    <s v="cogs:product 1"/>
    <n v="5.99"/>
    <x v="16"/>
    <n v="47.92"/>
    <x v="1"/>
    <x v="1"/>
    <x v="0"/>
    <x v="1"/>
    <n v="-1200"/>
  </r>
  <r>
    <d v="2024-02-19T00:00:00"/>
    <s v="cogs:product 2"/>
    <n v="16.989999999999998"/>
    <x v="16"/>
    <n v="135.91999999999999"/>
    <x v="1"/>
    <x v="2"/>
    <x v="0"/>
    <x v="1"/>
    <n v="-191.68"/>
  </r>
  <r>
    <d v="2024-02-19T00:00:00"/>
    <s v="cogs:product 3"/>
    <n v="8.49"/>
    <x v="23"/>
    <n v="0"/>
    <x v="1"/>
    <x v="3"/>
    <x v="0"/>
    <x v="1"/>
    <n v="-67.959999999999994"/>
  </r>
  <r>
    <d v="2024-02-19T00:00:00"/>
    <s v="marketing"/>
    <s v="NA"/>
    <x v="0"/>
    <n v="100.08"/>
    <x v="2"/>
    <x v="0"/>
    <x v="0"/>
    <x v="1"/>
    <n v="-93.39"/>
  </r>
  <r>
    <d v="2024-02-19T00:00:00"/>
    <s v="net sales:product 1"/>
    <n v="9.99"/>
    <x v="16"/>
    <n v="79.92"/>
    <x v="3"/>
    <x v="1"/>
    <x v="0"/>
    <x v="1"/>
    <n v="-99.960000000000008"/>
  </r>
  <r>
    <d v="2024-02-19T00:00:00"/>
    <s v="net sales:product 2"/>
    <n v="24.99"/>
    <x v="16"/>
    <n v="199.92"/>
    <x v="3"/>
    <x v="2"/>
    <x v="0"/>
    <x v="1"/>
    <n v="319.68"/>
  </r>
  <r>
    <d v="2024-02-19T00:00:00"/>
    <s v="net sales:product 3"/>
    <n v="12.49"/>
    <x v="23"/>
    <n v="0"/>
    <x v="3"/>
    <x v="3"/>
    <x v="0"/>
    <x v="1"/>
    <n v="99.96"/>
  </r>
  <r>
    <d v="2024-02-20T00:00:00"/>
    <s v="cogs:product 1"/>
    <n v="5.99"/>
    <x v="83"/>
    <n v="275.54000000000002"/>
    <x v="1"/>
    <x v="1"/>
    <x v="0"/>
    <x v="1"/>
    <n v="137.39000000000001"/>
  </r>
  <r>
    <d v="2024-02-20T00:00:00"/>
    <s v="cogs:product 2"/>
    <n v="16.989999999999998"/>
    <x v="25"/>
    <n v="16.989999999999998"/>
    <x v="1"/>
    <x v="2"/>
    <x v="0"/>
    <x v="1"/>
    <n v="-29.950000000000003"/>
  </r>
  <r>
    <d v="2024-02-20T00:00:00"/>
    <s v="cogs:product 3"/>
    <n v="8.49"/>
    <x v="80"/>
    <n v="365.07"/>
    <x v="1"/>
    <x v="3"/>
    <x v="0"/>
    <x v="1"/>
    <n v="-33.979999999999997"/>
  </r>
  <r>
    <d v="2024-02-20T00:00:00"/>
    <s v="marketing"/>
    <s v="NA"/>
    <x v="0"/>
    <n v="100"/>
    <x v="2"/>
    <x v="0"/>
    <x v="0"/>
    <x v="1"/>
    <n v="-84.9"/>
  </r>
  <r>
    <d v="2024-02-20T00:00:00"/>
    <s v="net sales:product 1"/>
    <n v="9.99"/>
    <x v="83"/>
    <n v="459.54"/>
    <x v="3"/>
    <x v="1"/>
    <x v="0"/>
    <x v="1"/>
    <n v="-100.03"/>
  </r>
  <r>
    <d v="2024-02-20T00:00:00"/>
    <s v="net sales:product 2"/>
    <n v="24.99"/>
    <x v="25"/>
    <n v="24.99"/>
    <x v="3"/>
    <x v="2"/>
    <x v="0"/>
    <x v="1"/>
    <n v="49.95"/>
  </r>
  <r>
    <d v="2024-02-20T00:00:00"/>
    <s v="net sales:product 3"/>
    <n v="12.49"/>
    <x v="80"/>
    <n v="537.07000000000005"/>
    <x v="3"/>
    <x v="3"/>
    <x v="0"/>
    <x v="1"/>
    <n v="49.98"/>
  </r>
  <r>
    <d v="2024-02-21T00:00:00"/>
    <s v="cogs:product 1"/>
    <n v="5.99"/>
    <x v="6"/>
    <n v="221.63"/>
    <x v="1"/>
    <x v="1"/>
    <x v="0"/>
    <x v="1"/>
    <n v="124.9"/>
  </r>
  <r>
    <d v="2024-02-21T00:00:00"/>
    <s v="cogs:product 2"/>
    <n v="16.989999999999998"/>
    <x v="7"/>
    <n v="152.91"/>
    <x v="1"/>
    <x v="2"/>
    <x v="0"/>
    <x v="1"/>
    <n v="-407.32"/>
  </r>
  <r>
    <d v="2024-02-21T00:00:00"/>
    <s v="cogs:product 3"/>
    <n v="8.49"/>
    <x v="4"/>
    <n v="551.85"/>
    <x v="1"/>
    <x v="3"/>
    <x v="0"/>
    <x v="1"/>
    <n v="-101.94"/>
  </r>
  <r>
    <d v="2024-02-21T00:00:00"/>
    <s v="marketing"/>
    <s v="NA"/>
    <x v="0"/>
    <n v="99.92"/>
    <x v="2"/>
    <x v="0"/>
    <x v="0"/>
    <x v="1"/>
    <n v="-2088.54"/>
  </r>
  <r>
    <d v="2024-02-21T00:00:00"/>
    <s v="net sales:product 1"/>
    <n v="9.99"/>
    <x v="6"/>
    <n v="369.63"/>
    <x v="3"/>
    <x v="1"/>
    <x v="0"/>
    <x v="1"/>
    <n v="-99.97"/>
  </r>
  <r>
    <d v="2024-02-21T00:00:00"/>
    <s v="net sales:product 2"/>
    <n v="24.99"/>
    <x v="7"/>
    <n v="224.91"/>
    <x v="3"/>
    <x v="2"/>
    <x v="0"/>
    <x v="1"/>
    <n v="679.32"/>
  </r>
  <r>
    <d v="2024-02-21T00:00:00"/>
    <s v="net sales:product 3"/>
    <n v="12.49"/>
    <x v="4"/>
    <n v="811.85"/>
    <x v="3"/>
    <x v="3"/>
    <x v="0"/>
    <x v="1"/>
    <n v="149.94"/>
  </r>
  <r>
    <d v="2024-02-22T00:00:00"/>
    <s v="cogs:product 1"/>
    <n v="5.99"/>
    <x v="76"/>
    <n v="443.26"/>
    <x v="1"/>
    <x v="1"/>
    <x v="0"/>
    <x v="1"/>
    <n v="3072.54"/>
  </r>
  <r>
    <d v="2024-02-22T00:00:00"/>
    <s v="cogs:product 2"/>
    <n v="16.989999999999998"/>
    <x v="23"/>
    <n v="0"/>
    <x v="1"/>
    <x v="2"/>
    <x v="0"/>
    <x v="1"/>
    <n v="-371.38"/>
  </r>
  <r>
    <d v="2024-02-22T00:00:00"/>
    <s v="cogs:product 3"/>
    <n v="8.49"/>
    <x v="64"/>
    <n v="169.8"/>
    <x v="1"/>
    <x v="3"/>
    <x v="0"/>
    <x v="1"/>
    <n v="-50.97"/>
  </r>
  <r>
    <d v="2024-02-22T00:00:00"/>
    <s v="marketing"/>
    <s v="NA"/>
    <x v="0"/>
    <n v="100.05"/>
    <x v="2"/>
    <x v="0"/>
    <x v="0"/>
    <x v="1"/>
    <n v="-1978.17"/>
  </r>
  <r>
    <d v="2024-02-22T00:00:00"/>
    <s v="net sales:product 1"/>
    <n v="9.99"/>
    <x v="76"/>
    <n v="739.26"/>
    <x v="3"/>
    <x v="1"/>
    <x v="0"/>
    <x v="1"/>
    <n v="-99.94"/>
  </r>
  <r>
    <d v="2024-02-22T00:00:00"/>
    <s v="net sales:product 2"/>
    <n v="24.99"/>
    <x v="23"/>
    <n v="0"/>
    <x v="3"/>
    <x v="2"/>
    <x v="0"/>
    <x v="1"/>
    <n v="619.38"/>
  </r>
  <r>
    <d v="2024-02-22T00:00:00"/>
    <s v="net sales:product 3"/>
    <n v="12.49"/>
    <x v="64"/>
    <n v="249.8"/>
    <x v="3"/>
    <x v="3"/>
    <x v="0"/>
    <x v="1"/>
    <n v="74.97"/>
  </r>
  <r>
    <d v="2024-02-23T00:00:00"/>
    <s v="cogs:product 1"/>
    <n v="5.99"/>
    <x v="7"/>
    <n v="53.910000000000004"/>
    <x v="1"/>
    <x v="1"/>
    <x v="0"/>
    <x v="1"/>
    <n v="2910.17"/>
  </r>
  <r>
    <d v="2024-02-23T00:00:00"/>
    <s v="cogs:product 2"/>
    <n v="16.989999999999998"/>
    <x v="42"/>
    <n v="101.94"/>
    <x v="1"/>
    <x v="2"/>
    <x v="0"/>
    <x v="1"/>
    <n v="-539.1"/>
  </r>
  <r>
    <d v="2024-02-23T00:00:00"/>
    <s v="cogs:product 3"/>
    <n v="8.49"/>
    <x v="84"/>
    <n v="2046.0900000000001"/>
    <x v="1"/>
    <x v="3"/>
    <x v="0"/>
    <x v="1"/>
    <n v="-67.959999999999994"/>
  </r>
  <r>
    <d v="2024-02-23T00:00:00"/>
    <s v="marketing"/>
    <s v="NA"/>
    <x v="0"/>
    <n v="99.93"/>
    <x v="2"/>
    <x v="0"/>
    <x v="0"/>
    <x v="1"/>
    <n v="-178.29"/>
  </r>
  <r>
    <d v="2024-02-23T00:00:00"/>
    <s v="net sales:product 1"/>
    <n v="9.99"/>
    <x v="7"/>
    <n v="89.91"/>
    <x v="3"/>
    <x v="1"/>
    <x v="0"/>
    <x v="1"/>
    <n v="-99.93"/>
  </r>
  <r>
    <d v="2024-02-23T00:00:00"/>
    <s v="net sales:product 2"/>
    <n v="24.99"/>
    <x v="42"/>
    <n v="149.94"/>
    <x v="3"/>
    <x v="2"/>
    <x v="0"/>
    <x v="1"/>
    <n v="899.1"/>
  </r>
  <r>
    <d v="2024-02-23T00:00:00"/>
    <s v="net sales:product 3"/>
    <n v="12.49"/>
    <x v="84"/>
    <n v="3010.09"/>
    <x v="3"/>
    <x v="3"/>
    <x v="0"/>
    <x v="1"/>
    <n v="99.96"/>
  </r>
  <r>
    <d v="2024-02-24T00:00:00"/>
    <s v="cogs:product 1"/>
    <n v="5.99"/>
    <x v="85"/>
    <n v="209.65"/>
    <x v="1"/>
    <x v="1"/>
    <x v="0"/>
    <x v="1"/>
    <n v="262.29000000000002"/>
  </r>
  <r>
    <d v="2024-02-24T00:00:00"/>
    <s v="cogs:product 2"/>
    <n v="16.989999999999998"/>
    <x v="13"/>
    <n v="118.92999999999999"/>
    <x v="1"/>
    <x v="2"/>
    <x v="0"/>
    <x v="1"/>
    <n v="-233.61"/>
  </r>
  <r>
    <d v="2024-02-24T00:00:00"/>
    <s v="cogs:product 3"/>
    <n v="8.49"/>
    <x v="50"/>
    <n v="764.1"/>
    <x v="1"/>
    <x v="3"/>
    <x v="0"/>
    <x v="1"/>
    <n v="-50.97"/>
  </r>
  <r>
    <d v="2024-02-24T00:00:00"/>
    <s v="marketing"/>
    <s v="NA"/>
    <x v="0"/>
    <n v="99.97"/>
    <x v="2"/>
    <x v="0"/>
    <x v="0"/>
    <x v="1"/>
    <n v="-331.11"/>
  </r>
  <r>
    <d v="2024-02-24T00:00:00"/>
    <s v="net sales:product 1"/>
    <n v="9.99"/>
    <x v="85"/>
    <n v="349.65000000000003"/>
    <x v="3"/>
    <x v="1"/>
    <x v="0"/>
    <x v="1"/>
    <n v="-99.92"/>
  </r>
  <r>
    <d v="2024-02-24T00:00:00"/>
    <s v="net sales:product 2"/>
    <n v="24.99"/>
    <x v="13"/>
    <n v="174.92999999999998"/>
    <x v="3"/>
    <x v="2"/>
    <x v="0"/>
    <x v="1"/>
    <n v="389.61"/>
  </r>
  <r>
    <d v="2024-02-24T00:00:00"/>
    <s v="net sales:product 3"/>
    <n v="12.49"/>
    <x v="50"/>
    <n v="1124.0999999999999"/>
    <x v="3"/>
    <x v="3"/>
    <x v="0"/>
    <x v="1"/>
    <n v="74.97"/>
  </r>
  <r>
    <d v="2024-02-25T00:00:00"/>
    <s v="cogs:product 1"/>
    <n v="5.99"/>
    <x v="86"/>
    <n v="167.72"/>
    <x v="1"/>
    <x v="1"/>
    <x v="0"/>
    <x v="1"/>
    <n v="487.11"/>
  </r>
  <r>
    <d v="2024-02-25T00:00:00"/>
    <s v="cogs:product 2"/>
    <n v="16.989999999999998"/>
    <x v="16"/>
    <n v="135.91999999999999"/>
    <x v="1"/>
    <x v="2"/>
    <x v="0"/>
    <x v="1"/>
    <n v="-125.79"/>
  </r>
  <r>
    <d v="2024-02-25T00:00:00"/>
    <s v="cogs:product 3"/>
    <n v="8.49"/>
    <x v="71"/>
    <n v="704.67000000000007"/>
    <x v="1"/>
    <x v="3"/>
    <x v="0"/>
    <x v="1"/>
    <n v="0"/>
  </r>
  <r>
    <d v="2024-02-25T00:00:00"/>
    <s v="marketing"/>
    <s v="NA"/>
    <x v="0"/>
    <n v="99.92"/>
    <x v="2"/>
    <x v="0"/>
    <x v="0"/>
    <x v="1"/>
    <n v="-1163.1300000000001"/>
  </r>
  <r>
    <d v="2024-02-25T00:00:00"/>
    <s v="net sales:product 1"/>
    <n v="9.99"/>
    <x v="86"/>
    <n v="279.72000000000003"/>
    <x v="3"/>
    <x v="1"/>
    <x v="0"/>
    <x v="1"/>
    <n v="-99.95"/>
  </r>
  <r>
    <d v="2024-02-25T00:00:00"/>
    <s v="net sales:product 2"/>
    <n v="24.99"/>
    <x v="16"/>
    <n v="199.92"/>
    <x v="3"/>
    <x v="2"/>
    <x v="0"/>
    <x v="1"/>
    <n v="209.79"/>
  </r>
  <r>
    <d v="2024-02-25T00:00:00"/>
    <s v="net sales:product 3"/>
    <n v="12.49"/>
    <x v="71"/>
    <n v="1036.67"/>
    <x v="3"/>
    <x v="3"/>
    <x v="0"/>
    <x v="1"/>
    <n v="0"/>
  </r>
  <r>
    <d v="2024-02-26T00:00:00"/>
    <s v="cogs:product 1"/>
    <n v="5.99"/>
    <x v="6"/>
    <n v="221.63"/>
    <x v="1"/>
    <x v="1"/>
    <x v="0"/>
    <x v="1"/>
    <n v="1711.13"/>
  </r>
  <r>
    <d v="2024-02-26T00:00:00"/>
    <s v="cogs:product 2"/>
    <n v="16.989999999999998"/>
    <x v="22"/>
    <n v="169.89999999999998"/>
    <x v="1"/>
    <x v="2"/>
    <x v="0"/>
    <x v="1"/>
    <n v="-545.09"/>
  </r>
  <r>
    <d v="2024-02-26T00:00:00"/>
    <s v="cogs:product 3"/>
    <n v="8.49"/>
    <x v="13"/>
    <n v="59.43"/>
    <x v="1"/>
    <x v="3"/>
    <x v="0"/>
    <x v="1"/>
    <n v="-118.92999999999999"/>
  </r>
  <r>
    <d v="2024-02-26T00:00:00"/>
    <s v="marketing"/>
    <s v="NA"/>
    <x v="0"/>
    <n v="99.95"/>
    <x v="2"/>
    <x v="0"/>
    <x v="0"/>
    <x v="1"/>
    <n v="-1248.03"/>
  </r>
  <r>
    <d v="2024-02-26T00:00:00"/>
    <s v="net sales:product 1"/>
    <n v="9.99"/>
    <x v="6"/>
    <n v="369.63"/>
    <x v="3"/>
    <x v="1"/>
    <x v="0"/>
    <x v="1"/>
    <n v="-100"/>
  </r>
  <r>
    <d v="2024-02-26T00:00:00"/>
    <s v="net sales:product 2"/>
    <n v="24.99"/>
    <x v="22"/>
    <n v="249.89999999999998"/>
    <x v="3"/>
    <x v="2"/>
    <x v="0"/>
    <x v="1"/>
    <n v="909.09"/>
  </r>
  <r>
    <d v="2024-02-26T00:00:00"/>
    <s v="net sales:product 3"/>
    <n v="12.49"/>
    <x v="13"/>
    <n v="87.43"/>
    <x v="3"/>
    <x v="3"/>
    <x v="0"/>
    <x v="1"/>
    <n v="174.92999999999998"/>
  </r>
  <r>
    <d v="2024-02-27T00:00:00"/>
    <s v="cogs:product 1"/>
    <n v="5.99"/>
    <x v="42"/>
    <n v="35.94"/>
    <x v="1"/>
    <x v="1"/>
    <x v="0"/>
    <x v="1"/>
    <n v="1836.03"/>
  </r>
  <r>
    <d v="2024-02-27T00:00:00"/>
    <s v="cogs:product 2"/>
    <n v="16.989999999999998"/>
    <x v="29"/>
    <n v="84.949999999999989"/>
    <x v="1"/>
    <x v="2"/>
    <x v="0"/>
    <x v="1"/>
    <n v="-263.56"/>
  </r>
  <r>
    <d v="2024-02-27T00:00:00"/>
    <s v="cogs:product 3"/>
    <n v="8.49"/>
    <x v="87"/>
    <n v="135.84"/>
    <x v="1"/>
    <x v="3"/>
    <x v="0"/>
    <x v="1"/>
    <n v="-101.94"/>
  </r>
  <r>
    <d v="2024-02-27T00:00:00"/>
    <s v="marketing"/>
    <s v="NA"/>
    <x v="0"/>
    <n v="100.09"/>
    <x v="2"/>
    <x v="0"/>
    <x v="0"/>
    <x v="1"/>
    <n v="-1910.25"/>
  </r>
  <r>
    <d v="2024-02-27T00:00:00"/>
    <s v="net sales:product 1"/>
    <n v="9.99"/>
    <x v="42"/>
    <n v="59.94"/>
    <x v="3"/>
    <x v="1"/>
    <x v="0"/>
    <x v="1"/>
    <n v="-100.06"/>
  </r>
  <r>
    <d v="2024-02-27T00:00:00"/>
    <s v="net sales:product 2"/>
    <n v="24.99"/>
    <x v="29"/>
    <n v="124.94999999999999"/>
    <x v="3"/>
    <x v="2"/>
    <x v="0"/>
    <x v="1"/>
    <n v="439.56"/>
  </r>
  <r>
    <d v="2024-02-27T00:00:00"/>
    <s v="net sales:product 3"/>
    <n v="12.49"/>
    <x v="87"/>
    <n v="199.84"/>
    <x v="3"/>
    <x v="3"/>
    <x v="0"/>
    <x v="1"/>
    <n v="149.94"/>
  </r>
  <r>
    <d v="2024-02-28T00:00:00"/>
    <s v="cogs:product 1"/>
    <n v="5.99"/>
    <x v="88"/>
    <n v="161.73000000000002"/>
    <x v="1"/>
    <x v="1"/>
    <x v="0"/>
    <x v="1"/>
    <n v="2810.25"/>
  </r>
  <r>
    <d v="2024-02-28T00:00:00"/>
    <s v="cogs:product 2"/>
    <n v="16.989999999999998"/>
    <x v="22"/>
    <n v="169.89999999999998"/>
    <x v="1"/>
    <x v="2"/>
    <x v="0"/>
    <x v="1"/>
    <n v="-521.13"/>
  </r>
  <r>
    <d v="2024-02-28T00:00:00"/>
    <s v="cogs:product 3"/>
    <n v="8.49"/>
    <x v="23"/>
    <n v="0"/>
    <x v="1"/>
    <x v="3"/>
    <x v="0"/>
    <x v="1"/>
    <n v="-16.989999999999998"/>
  </r>
  <r>
    <d v="2024-02-28T00:00:00"/>
    <s v="marketing"/>
    <s v="NA"/>
    <x v="0"/>
    <n v="99.960000000000008"/>
    <x v="2"/>
    <x v="0"/>
    <x v="0"/>
    <x v="1"/>
    <n v="-1451.79"/>
  </r>
  <r>
    <d v="2024-02-28T00:00:00"/>
    <s v="net sales:product 1"/>
    <n v="9.99"/>
    <x v="88"/>
    <n v="269.73"/>
    <x v="3"/>
    <x v="1"/>
    <x v="0"/>
    <x v="1"/>
    <n v="-100.01"/>
  </r>
  <r>
    <d v="2024-02-28T00:00:00"/>
    <s v="net sales:product 2"/>
    <n v="24.99"/>
    <x v="22"/>
    <n v="249.89999999999998"/>
    <x v="3"/>
    <x v="2"/>
    <x v="0"/>
    <x v="1"/>
    <n v="869.13"/>
  </r>
  <r>
    <d v="2024-02-28T00:00:00"/>
    <s v="net sales:product 3"/>
    <n v="12.49"/>
    <x v="23"/>
    <n v="0"/>
    <x v="3"/>
    <x v="3"/>
    <x v="0"/>
    <x v="1"/>
    <n v="24.99"/>
  </r>
  <r>
    <d v="2024-02-29T00:00:00"/>
    <s v="cogs:product 1"/>
    <n v="5.99"/>
    <x v="14"/>
    <n v="569.05000000000007"/>
    <x v="1"/>
    <x v="1"/>
    <x v="0"/>
    <x v="1"/>
    <n v="2135.79"/>
  </r>
  <r>
    <d v="2024-02-29T00:00:00"/>
    <s v="cogs:product 2"/>
    <n v="16.989999999999998"/>
    <x v="13"/>
    <n v="118.92999999999999"/>
    <x v="1"/>
    <x v="2"/>
    <x v="0"/>
    <x v="1"/>
    <n v="-251.58"/>
  </r>
  <r>
    <d v="2024-02-29T00:00:00"/>
    <s v="cogs:product 3"/>
    <n v="8.49"/>
    <x v="89"/>
    <n v="959.37"/>
    <x v="1"/>
    <x v="3"/>
    <x v="0"/>
    <x v="1"/>
    <n v="-169.89999999999998"/>
  </r>
  <r>
    <d v="2024-02-29T00:00:00"/>
    <s v="marketing"/>
    <s v="NA"/>
    <x v="0"/>
    <n v="100.04"/>
    <x v="2"/>
    <x v="0"/>
    <x v="0"/>
    <x v="1"/>
    <n v="-500.91"/>
  </r>
  <r>
    <d v="2024-02-29T00:00:00"/>
    <s v="net sales:product 1"/>
    <n v="9.99"/>
    <x v="14"/>
    <n v="949.05000000000007"/>
    <x v="3"/>
    <x v="1"/>
    <x v="0"/>
    <x v="1"/>
    <n v="-99.94"/>
  </r>
  <r>
    <d v="2024-02-29T00:00:00"/>
    <s v="net sales:product 2"/>
    <n v="24.99"/>
    <x v="13"/>
    <n v="174.92999999999998"/>
    <x v="3"/>
    <x v="2"/>
    <x v="0"/>
    <x v="1"/>
    <n v="419.58"/>
  </r>
  <r>
    <d v="2024-02-29T00:00:00"/>
    <s v="net sales:product 3"/>
    <n v="12.49"/>
    <x v="89"/>
    <n v="1411.3700000000001"/>
    <x v="3"/>
    <x v="3"/>
    <x v="0"/>
    <x v="1"/>
    <n v="249.89999999999998"/>
  </r>
  <r>
    <d v="2024-03-01T00:00:00"/>
    <s v="amortization"/>
    <s v="NA"/>
    <x v="0"/>
    <n v="50"/>
    <x v="0"/>
    <x v="0"/>
    <x v="0"/>
    <x v="2"/>
    <n v="736.91"/>
  </r>
  <r>
    <d v="2024-03-01T00:00:00"/>
    <s v="cogs:product 1"/>
    <n v="5.99"/>
    <x v="29"/>
    <n v="29.950000000000003"/>
    <x v="1"/>
    <x v="1"/>
    <x v="0"/>
    <x v="2"/>
    <n v="-137.77000000000001"/>
  </r>
  <r>
    <d v="2024-03-01T00:00:00"/>
    <s v="cogs:product 2"/>
    <n v="16.989999999999998"/>
    <x v="7"/>
    <n v="152.91"/>
    <x v="1"/>
    <x v="2"/>
    <x v="0"/>
    <x v="2"/>
    <n v="-50.97"/>
  </r>
  <r>
    <d v="2024-03-01T00:00:00"/>
    <s v="cogs:product 3"/>
    <n v="8.49"/>
    <x v="54"/>
    <n v="373.56"/>
    <x v="1"/>
    <x v="3"/>
    <x v="0"/>
    <x v="2"/>
    <n v="-823.53"/>
  </r>
  <r>
    <d v="2024-03-01T00:00:00"/>
    <s v="marketing"/>
    <s v="NA"/>
    <x v="0"/>
    <n v="99.95"/>
    <x v="2"/>
    <x v="0"/>
    <x v="0"/>
    <x v="2"/>
    <n v="-99.98"/>
  </r>
  <r>
    <d v="2024-03-01T00:00:00"/>
    <s v="net sales:product 1"/>
    <n v="9.99"/>
    <x v="29"/>
    <n v="49.95"/>
    <x v="3"/>
    <x v="1"/>
    <x v="0"/>
    <x v="2"/>
    <n v="229.77"/>
  </r>
  <r>
    <d v="2024-03-01T00:00:00"/>
    <s v="net sales:product 2"/>
    <n v="24.99"/>
    <x v="7"/>
    <n v="224.91"/>
    <x v="3"/>
    <x v="2"/>
    <x v="0"/>
    <x v="2"/>
    <n v="74.97"/>
  </r>
  <r>
    <d v="2024-03-01T00:00:00"/>
    <s v="net sales:product 3"/>
    <n v="12.49"/>
    <x v="54"/>
    <n v="549.56000000000006"/>
    <x v="3"/>
    <x v="3"/>
    <x v="0"/>
    <x v="2"/>
    <n v="1211.53"/>
  </r>
  <r>
    <d v="2024-03-01T00:00:00"/>
    <s v="overhead"/>
    <s v="NA"/>
    <x v="0"/>
    <n v="2000"/>
    <x v="4"/>
    <x v="0"/>
    <x v="0"/>
    <x v="2"/>
    <n v="0"/>
  </r>
  <r>
    <d v="2024-03-01T00:00:00"/>
    <s v="payroll"/>
    <s v="NA"/>
    <x v="0"/>
    <n v="1200"/>
    <x v="5"/>
    <x v="0"/>
    <x v="0"/>
    <x v="2"/>
    <n v="-419.3"/>
  </r>
  <r>
    <d v="2024-03-02T00:00:00"/>
    <s v="cogs:product 1"/>
    <n v="5.99"/>
    <x v="19"/>
    <n v="23.96"/>
    <x v="1"/>
    <x v="1"/>
    <x v="0"/>
    <x v="2"/>
    <n v="-33.979999999999997"/>
  </r>
  <r>
    <d v="2024-03-02T00:00:00"/>
    <s v="cogs:product 2"/>
    <n v="16.989999999999998"/>
    <x v="29"/>
    <n v="84.949999999999989"/>
    <x v="1"/>
    <x v="2"/>
    <x v="0"/>
    <x v="2"/>
    <n v="-1273.5"/>
  </r>
  <r>
    <d v="2024-03-02T00:00:00"/>
    <s v="cogs:product 3"/>
    <n v="8.49"/>
    <x v="14"/>
    <n v="806.55000000000007"/>
    <x v="1"/>
    <x v="3"/>
    <x v="0"/>
    <x v="2"/>
    <n v="-100.03"/>
  </r>
  <r>
    <d v="2024-03-02T00:00:00"/>
    <s v="marketing"/>
    <s v="NA"/>
    <x v="0"/>
    <n v="100.04"/>
    <x v="2"/>
    <x v="0"/>
    <x v="0"/>
    <x v="2"/>
    <n v="699.30000000000007"/>
  </r>
  <r>
    <d v="2024-03-02T00:00:00"/>
    <s v="net sales:product 1"/>
    <n v="9.99"/>
    <x v="19"/>
    <n v="39.96"/>
    <x v="3"/>
    <x v="1"/>
    <x v="0"/>
    <x v="2"/>
    <n v="49.98"/>
  </r>
  <r>
    <d v="2024-03-02T00:00:00"/>
    <s v="net sales:product 2"/>
    <n v="24.99"/>
    <x v="29"/>
    <n v="124.94999999999999"/>
    <x v="3"/>
    <x v="2"/>
    <x v="0"/>
    <x v="2"/>
    <n v="1873.5"/>
  </r>
  <r>
    <d v="2024-03-02T00:00:00"/>
    <s v="net sales:product 3"/>
    <n v="12.49"/>
    <x v="14"/>
    <n v="1186.55"/>
    <x v="3"/>
    <x v="3"/>
    <x v="0"/>
    <x v="2"/>
    <n v="-2000"/>
  </r>
  <r>
    <d v="2024-03-03T00:00:00"/>
    <s v="cogs:product 1"/>
    <n v="5.99"/>
    <x v="25"/>
    <n v="5.99"/>
    <x v="1"/>
    <x v="1"/>
    <x v="0"/>
    <x v="2"/>
    <n v="-509.15000000000003"/>
  </r>
  <r>
    <d v="2024-03-03T00:00:00"/>
    <s v="cogs:product 2"/>
    <n v="16.989999999999998"/>
    <x v="10"/>
    <n v="33.979999999999997"/>
    <x v="1"/>
    <x v="2"/>
    <x v="0"/>
    <x v="2"/>
    <n v="-118.92999999999999"/>
  </r>
  <r>
    <d v="2024-03-03T00:00:00"/>
    <s v="cogs:product 3"/>
    <n v="8.49"/>
    <x v="90"/>
    <n v="1035.78"/>
    <x v="1"/>
    <x v="3"/>
    <x v="0"/>
    <x v="2"/>
    <n v="-1944.21"/>
  </r>
  <r>
    <d v="2024-03-03T00:00:00"/>
    <s v="marketing"/>
    <s v="NA"/>
    <x v="0"/>
    <n v="100"/>
    <x v="2"/>
    <x v="0"/>
    <x v="0"/>
    <x v="2"/>
    <n v="-99.97"/>
  </r>
  <r>
    <d v="2024-03-03T00:00:00"/>
    <s v="net sales:product 1"/>
    <n v="9.99"/>
    <x v="25"/>
    <n v="9.99"/>
    <x v="3"/>
    <x v="1"/>
    <x v="0"/>
    <x v="2"/>
    <n v="849.15"/>
  </r>
  <r>
    <d v="2024-03-03T00:00:00"/>
    <s v="net sales:product 2"/>
    <n v="24.99"/>
    <x v="10"/>
    <n v="49.98"/>
    <x v="3"/>
    <x v="2"/>
    <x v="0"/>
    <x v="2"/>
    <n v="174.92999999999998"/>
  </r>
  <r>
    <d v="2024-03-03T00:00:00"/>
    <s v="net sales:product 3"/>
    <n v="12.49"/>
    <x v="90"/>
    <n v="1523.78"/>
    <x v="3"/>
    <x v="3"/>
    <x v="0"/>
    <x v="2"/>
    <n v="2860.21"/>
  </r>
  <r>
    <d v="2024-03-04T00:00:00"/>
    <s v="cogs:product 1"/>
    <n v="5.99"/>
    <x v="10"/>
    <n v="11.98"/>
    <x v="1"/>
    <x v="1"/>
    <x v="0"/>
    <x v="2"/>
    <n v="-1200"/>
  </r>
  <r>
    <d v="2024-03-04T00:00:00"/>
    <s v="cogs:product 2"/>
    <n v="16.989999999999998"/>
    <x v="13"/>
    <n v="118.92999999999999"/>
    <x v="1"/>
    <x v="2"/>
    <x v="0"/>
    <x v="2"/>
    <n v="-119.80000000000001"/>
  </r>
  <r>
    <d v="2024-03-04T00:00:00"/>
    <s v="cogs:product 3"/>
    <n v="8.49"/>
    <x v="91"/>
    <n v="1494.24"/>
    <x v="1"/>
    <x v="3"/>
    <x v="0"/>
    <x v="2"/>
    <n v="-33.979999999999997"/>
  </r>
  <r>
    <d v="2024-03-04T00:00:00"/>
    <s v="marketing"/>
    <s v="NA"/>
    <x v="0"/>
    <n v="100.01"/>
    <x v="2"/>
    <x v="0"/>
    <x v="0"/>
    <x v="2"/>
    <n v="-1392.3600000000001"/>
  </r>
  <r>
    <d v="2024-03-04T00:00:00"/>
    <s v="net sales:product 1"/>
    <n v="9.99"/>
    <x v="10"/>
    <n v="19.98"/>
    <x v="3"/>
    <x v="1"/>
    <x v="0"/>
    <x v="2"/>
    <n v="-99.93"/>
  </r>
  <r>
    <d v="2024-03-04T00:00:00"/>
    <s v="net sales:product 2"/>
    <n v="24.99"/>
    <x v="13"/>
    <n v="174.92999999999998"/>
    <x v="3"/>
    <x v="2"/>
    <x v="0"/>
    <x v="2"/>
    <n v="199.8"/>
  </r>
  <r>
    <d v="2024-03-04T00:00:00"/>
    <s v="net sales:product 3"/>
    <n v="12.49"/>
    <x v="91"/>
    <n v="2198.2400000000002"/>
    <x v="3"/>
    <x v="3"/>
    <x v="0"/>
    <x v="2"/>
    <n v="49.98"/>
  </r>
  <r>
    <d v="2024-03-05T00:00:00"/>
    <s v="cogs:product 1"/>
    <n v="5.99"/>
    <x v="92"/>
    <n v="317.47000000000003"/>
    <x v="1"/>
    <x v="1"/>
    <x v="0"/>
    <x v="2"/>
    <n v="2048.36"/>
  </r>
  <r>
    <d v="2024-03-05T00:00:00"/>
    <s v="cogs:product 2"/>
    <n v="16.989999999999998"/>
    <x v="29"/>
    <n v="84.949999999999989"/>
    <x v="1"/>
    <x v="2"/>
    <x v="0"/>
    <x v="2"/>
    <n v="-281.53000000000003"/>
  </r>
  <r>
    <d v="2024-03-05T00:00:00"/>
    <s v="cogs:product 3"/>
    <n v="8.49"/>
    <x v="93"/>
    <n v="1078.23"/>
    <x v="1"/>
    <x v="3"/>
    <x v="0"/>
    <x v="2"/>
    <n v="0"/>
  </r>
  <r>
    <d v="2024-03-05T00:00:00"/>
    <s v="marketing"/>
    <s v="NA"/>
    <x v="0"/>
    <n v="100.07000000000001"/>
    <x v="2"/>
    <x v="0"/>
    <x v="0"/>
    <x v="2"/>
    <n v="-1536.69"/>
  </r>
  <r>
    <d v="2024-03-05T00:00:00"/>
    <s v="net sales:product 1"/>
    <n v="9.99"/>
    <x v="92"/>
    <n v="529.47"/>
    <x v="3"/>
    <x v="1"/>
    <x v="0"/>
    <x v="2"/>
    <n v="-99.95"/>
  </r>
  <r>
    <d v="2024-03-05T00:00:00"/>
    <s v="net sales:product 2"/>
    <n v="24.99"/>
    <x v="29"/>
    <n v="124.94999999999999"/>
    <x v="3"/>
    <x v="2"/>
    <x v="0"/>
    <x v="2"/>
    <n v="469.53000000000003"/>
  </r>
  <r>
    <d v="2024-03-05T00:00:00"/>
    <s v="net sales:product 3"/>
    <n v="12.49"/>
    <x v="93"/>
    <n v="1586.23"/>
    <x v="3"/>
    <x v="3"/>
    <x v="0"/>
    <x v="2"/>
    <n v="0"/>
  </r>
  <r>
    <d v="2024-03-06T00:00:00"/>
    <s v="cogs:product 1"/>
    <n v="5.99"/>
    <x v="2"/>
    <n v="17.97"/>
    <x v="1"/>
    <x v="1"/>
    <x v="0"/>
    <x v="2"/>
    <n v="2260.69"/>
  </r>
  <r>
    <d v="2024-03-06T00:00:00"/>
    <s v="cogs:product 2"/>
    <n v="16.989999999999998"/>
    <x v="2"/>
    <n v="50.97"/>
    <x v="1"/>
    <x v="2"/>
    <x v="0"/>
    <x v="2"/>
    <n v="-113.81"/>
  </r>
  <r>
    <d v="2024-03-06T00:00:00"/>
    <s v="cogs:product 3"/>
    <n v="8.49"/>
    <x v="94"/>
    <n v="1698"/>
    <x v="1"/>
    <x v="3"/>
    <x v="0"/>
    <x v="2"/>
    <n v="-67.959999999999994"/>
  </r>
  <r>
    <d v="2024-03-06T00:00:00"/>
    <s v="marketing"/>
    <s v="NA"/>
    <x v="0"/>
    <n v="100.01"/>
    <x v="2"/>
    <x v="0"/>
    <x v="0"/>
    <x v="2"/>
    <n v="-1205.58"/>
  </r>
  <r>
    <d v="2024-03-06T00:00:00"/>
    <s v="net sales:product 1"/>
    <n v="9.99"/>
    <x v="2"/>
    <n v="29.97"/>
    <x v="3"/>
    <x v="1"/>
    <x v="0"/>
    <x v="2"/>
    <n v="-100.04"/>
  </r>
  <r>
    <d v="2024-03-06T00:00:00"/>
    <s v="net sales:product 2"/>
    <n v="24.99"/>
    <x v="2"/>
    <n v="74.97"/>
    <x v="3"/>
    <x v="2"/>
    <x v="0"/>
    <x v="2"/>
    <n v="189.81"/>
  </r>
  <r>
    <d v="2024-03-06T00:00:00"/>
    <s v="net sales:product 3"/>
    <n v="12.49"/>
    <x v="94"/>
    <n v="2498"/>
    <x v="3"/>
    <x v="3"/>
    <x v="0"/>
    <x v="2"/>
    <n v="99.96"/>
  </r>
  <r>
    <d v="2024-03-07T00:00:00"/>
    <s v="cogs:product 1"/>
    <n v="5.99"/>
    <x v="95"/>
    <n v="359.40000000000003"/>
    <x v="1"/>
    <x v="1"/>
    <x v="0"/>
    <x v="2"/>
    <n v="1773.58"/>
  </r>
  <r>
    <d v="2024-03-07T00:00:00"/>
    <s v="cogs:product 2"/>
    <n v="16.989999999999998"/>
    <x v="22"/>
    <n v="169.89999999999998"/>
    <x v="1"/>
    <x v="2"/>
    <x v="0"/>
    <x v="2"/>
    <n v="-461.23"/>
  </r>
  <r>
    <d v="2024-03-07T00:00:00"/>
    <s v="cogs:product 3"/>
    <n v="8.49"/>
    <x v="96"/>
    <n v="1604.6100000000001"/>
    <x v="1"/>
    <x v="3"/>
    <x v="0"/>
    <x v="2"/>
    <n v="-33.979999999999997"/>
  </r>
  <r>
    <d v="2024-03-07T00:00:00"/>
    <s v="marketing"/>
    <s v="NA"/>
    <x v="0"/>
    <n v="100.03"/>
    <x v="2"/>
    <x v="0"/>
    <x v="0"/>
    <x v="2"/>
    <n v="-1681.02"/>
  </r>
  <r>
    <d v="2024-03-07T00:00:00"/>
    <s v="net sales:product 1"/>
    <n v="9.99"/>
    <x v="95"/>
    <n v="599.4"/>
    <x v="3"/>
    <x v="1"/>
    <x v="0"/>
    <x v="2"/>
    <n v="-99.990000000000009"/>
  </r>
  <r>
    <d v="2024-03-07T00:00:00"/>
    <s v="net sales:product 2"/>
    <n v="24.99"/>
    <x v="22"/>
    <n v="249.89999999999998"/>
    <x v="3"/>
    <x v="2"/>
    <x v="0"/>
    <x v="2"/>
    <n v="769.23"/>
  </r>
  <r>
    <d v="2024-03-07T00:00:00"/>
    <s v="net sales:product 3"/>
    <n v="12.49"/>
    <x v="96"/>
    <n v="2360.61"/>
    <x v="3"/>
    <x v="3"/>
    <x v="0"/>
    <x v="2"/>
    <n v="49.98"/>
  </r>
  <r>
    <d v="2024-03-08T00:00:00"/>
    <s v="cogs:product 1"/>
    <n v="5.99"/>
    <x v="25"/>
    <n v="5.99"/>
    <x v="1"/>
    <x v="1"/>
    <x v="0"/>
    <x v="2"/>
    <n v="2473.02"/>
  </r>
  <r>
    <d v="2024-03-08T00:00:00"/>
    <s v="cogs:product 2"/>
    <n v="16.989999999999998"/>
    <x v="42"/>
    <n v="101.94"/>
    <x v="1"/>
    <x v="2"/>
    <x v="0"/>
    <x v="2"/>
    <n v="-113.81"/>
  </r>
  <r>
    <d v="2024-03-08T00:00:00"/>
    <s v="cogs:product 3"/>
    <n v="8.49"/>
    <x v="97"/>
    <n v="483.93"/>
    <x v="1"/>
    <x v="3"/>
    <x v="0"/>
    <x v="2"/>
    <n v="-67.959999999999994"/>
  </r>
  <r>
    <d v="2024-03-08T00:00:00"/>
    <s v="marketing"/>
    <s v="NA"/>
    <x v="0"/>
    <n v="99.9"/>
    <x v="2"/>
    <x v="0"/>
    <x v="0"/>
    <x v="2"/>
    <n v="-704.67000000000007"/>
  </r>
  <r>
    <d v="2024-03-08T00:00:00"/>
    <s v="net sales:product 1"/>
    <n v="9.99"/>
    <x v="25"/>
    <n v="9.99"/>
    <x v="3"/>
    <x v="1"/>
    <x v="0"/>
    <x v="2"/>
    <n v="-100.06"/>
  </r>
  <r>
    <d v="2024-03-08T00:00:00"/>
    <s v="net sales:product 2"/>
    <n v="24.99"/>
    <x v="42"/>
    <n v="149.94"/>
    <x v="3"/>
    <x v="2"/>
    <x v="0"/>
    <x v="2"/>
    <n v="189.81"/>
  </r>
  <r>
    <d v="2024-03-08T00:00:00"/>
    <s v="net sales:product 3"/>
    <n v="12.49"/>
    <x v="97"/>
    <n v="711.93000000000006"/>
    <x v="3"/>
    <x v="3"/>
    <x v="0"/>
    <x v="2"/>
    <n v="99.96"/>
  </r>
  <r>
    <d v="2024-03-09T00:00:00"/>
    <s v="cogs:product 1"/>
    <n v="5.99"/>
    <x v="98"/>
    <n v="269.55"/>
    <x v="1"/>
    <x v="1"/>
    <x v="0"/>
    <x v="2"/>
    <n v="1036.67"/>
  </r>
  <r>
    <d v="2024-03-09T00:00:00"/>
    <s v="cogs:product 2"/>
    <n v="16.989999999999998"/>
    <x v="29"/>
    <n v="84.949999999999989"/>
    <x v="1"/>
    <x v="2"/>
    <x v="0"/>
    <x v="2"/>
    <n v="-143.76"/>
  </r>
  <r>
    <d v="2024-03-09T00:00:00"/>
    <s v="cogs:product 3"/>
    <n v="8.49"/>
    <x v="99"/>
    <n v="1129.17"/>
    <x v="1"/>
    <x v="3"/>
    <x v="0"/>
    <x v="2"/>
    <n v="-152.91"/>
  </r>
  <r>
    <d v="2024-03-09T00:00:00"/>
    <s v="marketing"/>
    <s v="NA"/>
    <x v="0"/>
    <n v="99.92"/>
    <x v="2"/>
    <x v="0"/>
    <x v="0"/>
    <x v="2"/>
    <n v="-568.83000000000004"/>
  </r>
  <r>
    <d v="2024-03-09T00:00:00"/>
    <s v="net sales:product 1"/>
    <n v="9.99"/>
    <x v="98"/>
    <n v="449.55"/>
    <x v="3"/>
    <x v="1"/>
    <x v="0"/>
    <x v="2"/>
    <n v="-100.06"/>
  </r>
  <r>
    <d v="2024-03-09T00:00:00"/>
    <s v="net sales:product 2"/>
    <n v="24.99"/>
    <x v="29"/>
    <n v="124.94999999999999"/>
    <x v="3"/>
    <x v="2"/>
    <x v="0"/>
    <x v="2"/>
    <n v="239.76"/>
  </r>
  <r>
    <d v="2024-03-09T00:00:00"/>
    <s v="net sales:product 3"/>
    <n v="12.49"/>
    <x v="99"/>
    <n v="1661.17"/>
    <x v="3"/>
    <x v="3"/>
    <x v="0"/>
    <x v="2"/>
    <n v="224.91"/>
  </r>
  <r>
    <d v="2024-03-10T00:00:00"/>
    <s v="cogs:product 1"/>
    <n v="5.99"/>
    <x v="100"/>
    <n v="527.12"/>
    <x v="1"/>
    <x v="1"/>
    <x v="0"/>
    <x v="2"/>
    <n v="836.83"/>
  </r>
  <r>
    <d v="2024-03-10T00:00:00"/>
    <s v="cogs:product 2"/>
    <n v="16.989999999999998"/>
    <x v="29"/>
    <n v="84.949999999999989"/>
    <x v="1"/>
    <x v="2"/>
    <x v="0"/>
    <x v="2"/>
    <n v="-47.92"/>
  </r>
  <r>
    <d v="2024-03-10T00:00:00"/>
    <s v="cogs:product 3"/>
    <n v="8.49"/>
    <x v="58"/>
    <n v="356.58"/>
    <x v="1"/>
    <x v="3"/>
    <x v="0"/>
    <x v="2"/>
    <n v="-135.91999999999999"/>
  </r>
  <r>
    <d v="2024-03-10T00:00:00"/>
    <s v="marketing"/>
    <s v="NA"/>
    <x v="0"/>
    <n v="100.09"/>
    <x v="2"/>
    <x v="0"/>
    <x v="0"/>
    <x v="2"/>
    <n v="-1273.5"/>
  </r>
  <r>
    <d v="2024-03-10T00:00:00"/>
    <s v="net sales:product 1"/>
    <n v="9.99"/>
    <x v="100"/>
    <n v="879.12"/>
    <x v="3"/>
    <x v="1"/>
    <x v="0"/>
    <x v="2"/>
    <n v="-99.990000000000009"/>
  </r>
  <r>
    <d v="2024-03-10T00:00:00"/>
    <s v="net sales:product 2"/>
    <n v="24.99"/>
    <x v="29"/>
    <n v="124.94999999999999"/>
    <x v="3"/>
    <x v="2"/>
    <x v="0"/>
    <x v="2"/>
    <n v="79.92"/>
  </r>
  <r>
    <d v="2024-03-10T00:00:00"/>
    <s v="net sales:product 3"/>
    <n v="12.49"/>
    <x v="58"/>
    <n v="524.58000000000004"/>
    <x v="3"/>
    <x v="3"/>
    <x v="0"/>
    <x v="2"/>
    <n v="199.92"/>
  </r>
  <r>
    <d v="2024-03-11T00:00:00"/>
    <s v="cogs:product 1"/>
    <n v="5.99"/>
    <x v="83"/>
    <n v="275.54000000000002"/>
    <x v="1"/>
    <x v="1"/>
    <x v="0"/>
    <x v="2"/>
    <n v="1873.5"/>
  </r>
  <r>
    <d v="2024-03-11T00:00:00"/>
    <s v="cogs:product 2"/>
    <n v="16.989999999999998"/>
    <x v="7"/>
    <n v="152.91"/>
    <x v="1"/>
    <x v="2"/>
    <x v="0"/>
    <x v="2"/>
    <n v="-371.38"/>
  </r>
  <r>
    <d v="2024-03-11T00:00:00"/>
    <s v="cogs:product 3"/>
    <n v="8.49"/>
    <x v="101"/>
    <n v="670.71"/>
    <x v="1"/>
    <x v="3"/>
    <x v="0"/>
    <x v="2"/>
    <n v="-84.949999999999989"/>
  </r>
  <r>
    <d v="2024-03-11T00:00:00"/>
    <s v="marketing"/>
    <s v="NA"/>
    <x v="0"/>
    <n v="99.95"/>
    <x v="2"/>
    <x v="0"/>
    <x v="0"/>
    <x v="2"/>
    <n v="-466.95"/>
  </r>
  <r>
    <d v="2024-03-11T00:00:00"/>
    <s v="net sales:product 1"/>
    <n v="9.99"/>
    <x v="83"/>
    <n v="459.54"/>
    <x v="3"/>
    <x v="1"/>
    <x v="0"/>
    <x v="2"/>
    <n v="-100.03"/>
  </r>
  <r>
    <d v="2024-03-11T00:00:00"/>
    <s v="net sales:product 2"/>
    <n v="24.99"/>
    <x v="7"/>
    <n v="224.91"/>
    <x v="3"/>
    <x v="2"/>
    <x v="0"/>
    <x v="2"/>
    <n v="619.38"/>
  </r>
  <r>
    <d v="2024-03-11T00:00:00"/>
    <s v="net sales:product 3"/>
    <n v="12.49"/>
    <x v="101"/>
    <n v="986.71"/>
    <x v="3"/>
    <x v="3"/>
    <x v="0"/>
    <x v="2"/>
    <n v="124.94999999999999"/>
  </r>
  <r>
    <d v="2024-03-12T00:00:00"/>
    <s v="cogs:product 1"/>
    <n v="5.99"/>
    <x v="24"/>
    <n v="593.01"/>
    <x v="1"/>
    <x v="1"/>
    <x v="0"/>
    <x v="2"/>
    <n v="686.95"/>
  </r>
  <r>
    <d v="2024-03-12T00:00:00"/>
    <s v="cogs:product 2"/>
    <n v="16.989999999999998"/>
    <x v="10"/>
    <n v="33.979999999999997"/>
    <x v="1"/>
    <x v="2"/>
    <x v="0"/>
    <x v="2"/>
    <n v="-449.25"/>
  </r>
  <r>
    <d v="2024-03-12T00:00:00"/>
    <s v="cogs:product 3"/>
    <n v="8.49"/>
    <x v="77"/>
    <n v="1069.74"/>
    <x v="1"/>
    <x v="3"/>
    <x v="0"/>
    <x v="2"/>
    <n v="0"/>
  </r>
  <r>
    <d v="2024-03-12T00:00:00"/>
    <s v="marketing"/>
    <s v="NA"/>
    <x v="0"/>
    <n v="100.07000000000001"/>
    <x v="2"/>
    <x v="0"/>
    <x v="0"/>
    <x v="2"/>
    <n v="-2012.13"/>
  </r>
  <r>
    <d v="2024-03-12T00:00:00"/>
    <s v="net sales:product 1"/>
    <n v="9.99"/>
    <x v="24"/>
    <n v="989.01"/>
    <x v="3"/>
    <x v="1"/>
    <x v="0"/>
    <x v="2"/>
    <n v="-100.03"/>
  </r>
  <r>
    <d v="2024-03-12T00:00:00"/>
    <s v="net sales:product 2"/>
    <n v="24.99"/>
    <x v="10"/>
    <n v="49.98"/>
    <x v="3"/>
    <x v="2"/>
    <x v="0"/>
    <x v="2"/>
    <n v="749.25"/>
  </r>
  <r>
    <d v="2024-03-12T00:00:00"/>
    <s v="net sales:product 3"/>
    <n v="12.49"/>
    <x v="77"/>
    <n v="1573.74"/>
    <x v="3"/>
    <x v="3"/>
    <x v="0"/>
    <x v="2"/>
    <n v="0"/>
  </r>
  <r>
    <d v="2024-03-13T00:00:00"/>
    <s v="cogs:product 1"/>
    <n v="5.99"/>
    <x v="102"/>
    <n v="305.49"/>
    <x v="1"/>
    <x v="1"/>
    <x v="0"/>
    <x v="2"/>
    <n v="2960.13"/>
  </r>
  <r>
    <d v="2024-03-13T00:00:00"/>
    <s v="cogs:product 2"/>
    <n v="16.989999999999998"/>
    <x v="16"/>
    <n v="135.91999999999999"/>
    <x v="1"/>
    <x v="2"/>
    <x v="0"/>
    <x v="2"/>
    <n v="-443.26"/>
  </r>
  <r>
    <d v="2024-03-13T00:00:00"/>
    <s v="cogs:product 3"/>
    <n v="8.49"/>
    <x v="103"/>
    <n v="1001.82"/>
    <x v="1"/>
    <x v="3"/>
    <x v="0"/>
    <x v="2"/>
    <n v="-16.989999999999998"/>
  </r>
  <r>
    <d v="2024-03-13T00:00:00"/>
    <s v="marketing"/>
    <s v="NA"/>
    <x v="0"/>
    <n v="99.92"/>
    <x v="2"/>
    <x v="0"/>
    <x v="0"/>
    <x v="2"/>
    <n v="-152.82"/>
  </r>
  <r>
    <d v="2024-03-13T00:00:00"/>
    <s v="net sales:product 1"/>
    <n v="9.99"/>
    <x v="102"/>
    <n v="509.49"/>
    <x v="3"/>
    <x v="1"/>
    <x v="0"/>
    <x v="2"/>
    <n v="-99.91"/>
  </r>
  <r>
    <d v="2024-03-13T00:00:00"/>
    <s v="net sales:product 2"/>
    <n v="24.99"/>
    <x v="16"/>
    <n v="199.92"/>
    <x v="3"/>
    <x v="2"/>
    <x v="0"/>
    <x v="2"/>
    <n v="739.26"/>
  </r>
  <r>
    <d v="2024-03-13T00:00:00"/>
    <s v="net sales:product 3"/>
    <n v="12.49"/>
    <x v="103"/>
    <n v="1473.82"/>
    <x v="3"/>
    <x v="3"/>
    <x v="0"/>
    <x v="2"/>
    <n v="24.99"/>
  </r>
  <r>
    <d v="2024-03-14T00:00:00"/>
    <s v="cogs:product 1"/>
    <n v="5.99"/>
    <x v="104"/>
    <n v="413.31"/>
    <x v="1"/>
    <x v="1"/>
    <x v="0"/>
    <x v="2"/>
    <n v="224.82"/>
  </r>
  <r>
    <d v="2024-03-14T00:00:00"/>
    <s v="cogs:product 2"/>
    <n v="16.989999999999998"/>
    <x v="10"/>
    <n v="33.979999999999997"/>
    <x v="1"/>
    <x v="2"/>
    <x v="0"/>
    <x v="2"/>
    <n v="-41.93"/>
  </r>
  <r>
    <d v="2024-03-14T00:00:00"/>
    <s v="cogs:product 3"/>
    <n v="8.49"/>
    <x v="105"/>
    <n v="696.18000000000006"/>
    <x v="1"/>
    <x v="3"/>
    <x v="0"/>
    <x v="2"/>
    <n v="-16.989999999999998"/>
  </r>
  <r>
    <d v="2024-03-14T00:00:00"/>
    <s v="marketing"/>
    <s v="NA"/>
    <x v="0"/>
    <n v="100.10000000000001"/>
    <x v="2"/>
    <x v="0"/>
    <x v="0"/>
    <x v="2"/>
    <n v="-1069.74"/>
  </r>
  <r>
    <d v="2024-03-14T00:00:00"/>
    <s v="net sales:product 1"/>
    <n v="9.99"/>
    <x v="104"/>
    <n v="689.31000000000006"/>
    <x v="3"/>
    <x v="1"/>
    <x v="0"/>
    <x v="2"/>
    <n v="-100.04"/>
  </r>
  <r>
    <d v="2024-03-14T00:00:00"/>
    <s v="net sales:product 2"/>
    <n v="24.99"/>
    <x v="10"/>
    <n v="49.98"/>
    <x v="3"/>
    <x v="2"/>
    <x v="0"/>
    <x v="2"/>
    <n v="69.930000000000007"/>
  </r>
  <r>
    <d v="2024-03-14T00:00:00"/>
    <s v="net sales:product 3"/>
    <n v="12.49"/>
    <x v="105"/>
    <n v="1024.18"/>
    <x v="3"/>
    <x v="3"/>
    <x v="0"/>
    <x v="2"/>
    <n v="24.99"/>
  </r>
  <r>
    <d v="2024-03-15T00:00:00"/>
    <s v="cogs:product 1"/>
    <n v="5.99"/>
    <x v="86"/>
    <n v="167.72"/>
    <x v="1"/>
    <x v="1"/>
    <x v="0"/>
    <x v="2"/>
    <n v="1573.74"/>
  </r>
  <r>
    <d v="2024-03-15T00:00:00"/>
    <s v="cogs:product 2"/>
    <n v="16.989999999999998"/>
    <x v="25"/>
    <n v="16.989999999999998"/>
    <x v="1"/>
    <x v="2"/>
    <x v="0"/>
    <x v="2"/>
    <n v="-335.44"/>
  </r>
  <r>
    <d v="2024-03-15T00:00:00"/>
    <s v="cogs:product 3"/>
    <n v="8.49"/>
    <x v="40"/>
    <n v="2012.13"/>
    <x v="1"/>
    <x v="3"/>
    <x v="0"/>
    <x v="2"/>
    <n v="-118.92999999999999"/>
  </r>
  <r>
    <d v="2024-03-15T00:00:00"/>
    <s v="interest"/>
    <s v="NA"/>
    <x v="0"/>
    <n v="1214.1199999999999"/>
    <x v="6"/>
    <x v="0"/>
    <x v="0"/>
    <x v="2"/>
    <n v="-1910.25"/>
  </r>
  <r>
    <d v="2024-03-15T00:00:00"/>
    <s v="marketing"/>
    <s v="NA"/>
    <x v="0"/>
    <n v="99.990000000000009"/>
    <x v="2"/>
    <x v="0"/>
    <x v="0"/>
    <x v="2"/>
    <n v="-99.92"/>
  </r>
  <r>
    <d v="2024-03-15T00:00:00"/>
    <s v="net sales:product 1"/>
    <n v="9.99"/>
    <x v="86"/>
    <n v="279.72000000000003"/>
    <x v="3"/>
    <x v="1"/>
    <x v="0"/>
    <x v="2"/>
    <n v="559.44000000000005"/>
  </r>
  <r>
    <d v="2024-03-15T00:00:00"/>
    <s v="net sales:product 2"/>
    <n v="24.99"/>
    <x v="25"/>
    <n v="24.99"/>
    <x v="3"/>
    <x v="2"/>
    <x v="0"/>
    <x v="2"/>
    <n v="174.92999999999998"/>
  </r>
  <r>
    <d v="2024-03-15T00:00:00"/>
    <s v="net sales:product 3"/>
    <n v="12.49"/>
    <x v="40"/>
    <n v="2960.13"/>
    <x v="3"/>
    <x v="3"/>
    <x v="0"/>
    <x v="2"/>
    <n v="2810.25"/>
  </r>
  <r>
    <d v="2024-03-15T00:00:00"/>
    <s v="overhead"/>
    <s v="NA"/>
    <x v="0"/>
    <n v="303.52999999999997"/>
    <x v="4"/>
    <x v="0"/>
    <x v="0"/>
    <x v="2"/>
    <n v="-377.37"/>
  </r>
  <r>
    <d v="2024-03-15T00:00:00"/>
    <s v="payroll"/>
    <s v="NA"/>
    <x v="0"/>
    <n v="1200"/>
    <x v="5"/>
    <x v="0"/>
    <x v="0"/>
    <x v="2"/>
    <n v="-33.979999999999997"/>
  </r>
  <r>
    <d v="2024-03-16T00:00:00"/>
    <s v="cogs:product 1"/>
    <n v="5.99"/>
    <x v="106"/>
    <n v="587.02"/>
    <x v="1"/>
    <x v="1"/>
    <x v="0"/>
    <x v="2"/>
    <n v="-365.07"/>
  </r>
  <r>
    <d v="2024-03-16T00:00:00"/>
    <s v="cogs:product 2"/>
    <n v="16.989999999999998"/>
    <x v="16"/>
    <n v="135.91999999999999"/>
    <x v="1"/>
    <x v="2"/>
    <x v="0"/>
    <x v="2"/>
    <n v="-1242.56"/>
  </r>
  <r>
    <d v="2024-03-16T00:00:00"/>
    <s v="cogs:product 3"/>
    <n v="8.49"/>
    <x v="105"/>
    <n v="696.18000000000006"/>
    <x v="1"/>
    <x v="3"/>
    <x v="0"/>
    <x v="2"/>
    <n v="-99.91"/>
  </r>
  <r>
    <d v="2024-03-16T00:00:00"/>
    <s v="marketing"/>
    <s v="NA"/>
    <x v="0"/>
    <n v="99.91"/>
    <x v="2"/>
    <x v="0"/>
    <x v="0"/>
    <x v="2"/>
    <n v="629.37"/>
  </r>
  <r>
    <d v="2024-03-16T00:00:00"/>
    <s v="net sales:product 1"/>
    <n v="9.99"/>
    <x v="106"/>
    <n v="979.02"/>
    <x v="3"/>
    <x v="1"/>
    <x v="0"/>
    <x v="2"/>
    <n v="49.98"/>
  </r>
  <r>
    <d v="2024-03-16T00:00:00"/>
    <s v="net sales:product 2"/>
    <n v="24.99"/>
    <x v="16"/>
    <n v="199.92"/>
    <x v="3"/>
    <x v="2"/>
    <x v="0"/>
    <x v="2"/>
    <n v="537.07000000000005"/>
  </r>
  <r>
    <d v="2024-03-16T00:00:00"/>
    <s v="net sales:product 3"/>
    <n v="12.49"/>
    <x v="105"/>
    <n v="1024.18"/>
    <x v="3"/>
    <x v="3"/>
    <x v="0"/>
    <x v="2"/>
    <n v="-305.56"/>
  </r>
  <r>
    <d v="2024-03-17T00:00:00"/>
    <s v="cogs:product 1"/>
    <n v="5.99"/>
    <x v="66"/>
    <n v="281.53000000000003"/>
    <x v="1"/>
    <x v="1"/>
    <x v="0"/>
    <x v="2"/>
    <n v="-137.77000000000001"/>
  </r>
  <r>
    <d v="2024-03-17T00:00:00"/>
    <s v="cogs:product 2"/>
    <n v="16.989999999999998"/>
    <x v="2"/>
    <n v="50.97"/>
    <x v="1"/>
    <x v="2"/>
    <x v="0"/>
    <x v="2"/>
    <n v="-84.949999999999989"/>
  </r>
  <r>
    <d v="2024-03-17T00:00:00"/>
    <s v="cogs:product 3"/>
    <n v="8.49"/>
    <x v="76"/>
    <n v="628.26"/>
    <x v="1"/>
    <x v="3"/>
    <x v="0"/>
    <x v="2"/>
    <n v="-33.96"/>
  </r>
  <r>
    <d v="2024-03-17T00:00:00"/>
    <s v="marketing"/>
    <s v="NA"/>
    <x v="0"/>
    <n v="100.09"/>
    <x v="2"/>
    <x v="0"/>
    <x v="0"/>
    <x v="2"/>
    <n v="-100.05"/>
  </r>
  <r>
    <d v="2024-03-17T00:00:00"/>
    <s v="net sales:product 1"/>
    <n v="9.99"/>
    <x v="66"/>
    <n v="469.53000000000003"/>
    <x v="3"/>
    <x v="1"/>
    <x v="0"/>
    <x v="2"/>
    <n v="229.77"/>
  </r>
  <r>
    <d v="2024-03-17T00:00:00"/>
    <s v="net sales:product 2"/>
    <n v="24.99"/>
    <x v="2"/>
    <n v="74.97"/>
    <x v="3"/>
    <x v="2"/>
    <x v="0"/>
    <x v="2"/>
    <n v="124.94999999999999"/>
  </r>
  <r>
    <d v="2024-03-17T00:00:00"/>
    <s v="net sales:product 3"/>
    <n v="12.49"/>
    <x v="76"/>
    <n v="924.26"/>
    <x v="3"/>
    <x v="3"/>
    <x v="0"/>
    <x v="2"/>
    <n v="49.96"/>
  </r>
  <r>
    <d v="2024-03-18T00:00:00"/>
    <s v="cogs:product 1"/>
    <n v="5.99"/>
    <x v="54"/>
    <n v="263.56"/>
    <x v="1"/>
    <x v="1"/>
    <x v="0"/>
    <x v="2"/>
    <n v="-1200"/>
  </r>
  <r>
    <d v="2024-03-18T00:00:00"/>
    <s v="cogs:product 2"/>
    <n v="16.989999999999998"/>
    <x v="19"/>
    <n v="67.959999999999994"/>
    <x v="1"/>
    <x v="2"/>
    <x v="0"/>
    <x v="2"/>
    <n v="-251.58"/>
  </r>
  <r>
    <d v="2024-03-18T00:00:00"/>
    <s v="cogs:product 3"/>
    <n v="8.49"/>
    <x v="14"/>
    <n v="806.55000000000007"/>
    <x v="1"/>
    <x v="3"/>
    <x v="0"/>
    <x v="2"/>
    <n v="-101.94"/>
  </r>
  <r>
    <d v="2024-03-18T00:00:00"/>
    <s v="marketing"/>
    <s v="NA"/>
    <x v="0"/>
    <n v="99.92"/>
    <x v="2"/>
    <x v="0"/>
    <x v="0"/>
    <x v="2"/>
    <n v="-1519.71"/>
  </r>
  <r>
    <d v="2024-03-18T00:00:00"/>
    <s v="net sales:product 1"/>
    <n v="9.99"/>
    <x v="54"/>
    <n v="439.56"/>
    <x v="3"/>
    <x v="1"/>
    <x v="0"/>
    <x v="2"/>
    <n v="-100.04"/>
  </r>
  <r>
    <d v="2024-03-18T00:00:00"/>
    <s v="net sales:product 2"/>
    <n v="24.99"/>
    <x v="19"/>
    <n v="99.96"/>
    <x v="3"/>
    <x v="2"/>
    <x v="0"/>
    <x v="2"/>
    <n v="419.58"/>
  </r>
  <r>
    <d v="2024-03-18T00:00:00"/>
    <s v="net sales:product 3"/>
    <n v="12.49"/>
    <x v="14"/>
    <n v="1186.55"/>
    <x v="3"/>
    <x v="3"/>
    <x v="0"/>
    <x v="2"/>
    <n v="149.94"/>
  </r>
  <r>
    <d v="2024-03-19T00:00:00"/>
    <s v="cogs:product 1"/>
    <n v="5.99"/>
    <x v="107"/>
    <n v="197.67000000000002"/>
    <x v="1"/>
    <x v="1"/>
    <x v="0"/>
    <x v="2"/>
    <n v="2235.71"/>
  </r>
  <r>
    <d v="2024-03-19T00:00:00"/>
    <s v="cogs:product 2"/>
    <n v="16.989999999999998"/>
    <x v="19"/>
    <n v="67.959999999999994"/>
    <x v="1"/>
    <x v="2"/>
    <x v="0"/>
    <x v="2"/>
    <n v="-47.92"/>
  </r>
  <r>
    <d v="2024-03-19T00:00:00"/>
    <s v="cogs:product 3"/>
    <n v="8.49"/>
    <x v="102"/>
    <n v="432.99"/>
    <x v="1"/>
    <x v="3"/>
    <x v="0"/>
    <x v="2"/>
    <n v="-50.97"/>
  </r>
  <r>
    <d v="2024-03-19T00:00:00"/>
    <s v="marketing"/>
    <s v="NA"/>
    <x v="0"/>
    <n v="100"/>
    <x v="2"/>
    <x v="0"/>
    <x v="0"/>
    <x v="2"/>
    <n v="-755.61"/>
  </r>
  <r>
    <d v="2024-03-19T00:00:00"/>
    <s v="net sales:product 1"/>
    <n v="9.99"/>
    <x v="107"/>
    <n v="329.67"/>
    <x v="3"/>
    <x v="1"/>
    <x v="0"/>
    <x v="2"/>
    <n v="-100.04"/>
  </r>
  <r>
    <d v="2024-03-19T00:00:00"/>
    <s v="net sales:product 2"/>
    <n v="24.99"/>
    <x v="19"/>
    <n v="99.96"/>
    <x v="3"/>
    <x v="2"/>
    <x v="0"/>
    <x v="2"/>
    <n v="79.92"/>
  </r>
  <r>
    <d v="2024-03-19T00:00:00"/>
    <s v="net sales:product 3"/>
    <n v="12.49"/>
    <x v="102"/>
    <n v="636.99"/>
    <x v="3"/>
    <x v="3"/>
    <x v="0"/>
    <x v="2"/>
    <n v="74.97"/>
  </r>
  <r>
    <d v="2024-03-20T00:00:00"/>
    <s v="cogs:product 1"/>
    <n v="5.99"/>
    <x v="7"/>
    <n v="53.910000000000004"/>
    <x v="1"/>
    <x v="1"/>
    <x v="0"/>
    <x v="2"/>
    <n v="1111.6100000000001"/>
  </r>
  <r>
    <d v="2024-03-20T00:00:00"/>
    <s v="cogs:product 2"/>
    <n v="16.989999999999998"/>
    <x v="42"/>
    <n v="101.94"/>
    <x v="1"/>
    <x v="2"/>
    <x v="0"/>
    <x v="2"/>
    <n v="-47.92"/>
  </r>
  <r>
    <d v="2024-03-20T00:00:00"/>
    <s v="cogs:product 3"/>
    <n v="8.49"/>
    <x v="23"/>
    <n v="0"/>
    <x v="1"/>
    <x v="3"/>
    <x v="0"/>
    <x v="2"/>
    <n v="-135.91999999999999"/>
  </r>
  <r>
    <d v="2024-03-20T00:00:00"/>
    <s v="marketing"/>
    <s v="NA"/>
    <x v="0"/>
    <n v="100.08"/>
    <x v="2"/>
    <x v="0"/>
    <x v="0"/>
    <x v="2"/>
    <n v="0"/>
  </r>
  <r>
    <d v="2024-03-20T00:00:00"/>
    <s v="net sales:product 1"/>
    <n v="9.99"/>
    <x v="7"/>
    <n v="89.91"/>
    <x v="3"/>
    <x v="1"/>
    <x v="0"/>
    <x v="2"/>
    <n v="-100.08"/>
  </r>
  <r>
    <d v="2024-03-20T00:00:00"/>
    <s v="net sales:product 2"/>
    <n v="24.99"/>
    <x v="42"/>
    <n v="149.94"/>
    <x v="3"/>
    <x v="2"/>
    <x v="0"/>
    <x v="2"/>
    <n v="79.92"/>
  </r>
  <r>
    <d v="2024-03-20T00:00:00"/>
    <s v="net sales:product 3"/>
    <n v="12.49"/>
    <x v="23"/>
    <n v="0"/>
    <x v="3"/>
    <x v="3"/>
    <x v="0"/>
    <x v="2"/>
    <n v="199.92"/>
  </r>
  <r>
    <d v="2024-03-21T00:00:00"/>
    <s v="cogs:product 1"/>
    <n v="5.99"/>
    <x v="80"/>
    <n v="257.57"/>
    <x v="1"/>
    <x v="1"/>
    <x v="0"/>
    <x v="2"/>
    <n v="0"/>
  </r>
  <r>
    <d v="2024-03-21T00:00:00"/>
    <s v="cogs:product 2"/>
    <n v="16.989999999999998"/>
    <x v="29"/>
    <n v="84.949999999999989"/>
    <x v="1"/>
    <x v="2"/>
    <x v="0"/>
    <x v="2"/>
    <n v="-275.54000000000002"/>
  </r>
  <r>
    <d v="2024-03-21T00:00:00"/>
    <s v="cogs:product 3"/>
    <n v="8.49"/>
    <x v="64"/>
    <n v="169.8"/>
    <x v="1"/>
    <x v="3"/>
    <x v="0"/>
    <x v="2"/>
    <n v="-16.989999999999998"/>
  </r>
  <r>
    <d v="2024-03-21T00:00:00"/>
    <s v="marketing"/>
    <s v="NA"/>
    <x v="0"/>
    <n v="100.08"/>
    <x v="2"/>
    <x v="0"/>
    <x v="0"/>
    <x v="2"/>
    <n v="-365.07"/>
  </r>
  <r>
    <d v="2024-03-21T00:00:00"/>
    <s v="net sales:product 1"/>
    <n v="9.99"/>
    <x v="80"/>
    <n v="429.57"/>
    <x v="3"/>
    <x v="1"/>
    <x v="0"/>
    <x v="2"/>
    <n v="-100"/>
  </r>
  <r>
    <d v="2024-03-21T00:00:00"/>
    <s v="net sales:product 2"/>
    <n v="24.99"/>
    <x v="29"/>
    <n v="124.94999999999999"/>
    <x v="3"/>
    <x v="2"/>
    <x v="0"/>
    <x v="2"/>
    <n v="459.54"/>
  </r>
  <r>
    <d v="2024-03-21T00:00:00"/>
    <s v="net sales:product 3"/>
    <n v="12.49"/>
    <x v="64"/>
    <n v="249.8"/>
    <x v="3"/>
    <x v="3"/>
    <x v="0"/>
    <x v="2"/>
    <n v="24.99"/>
  </r>
  <r>
    <d v="2024-03-22T00:00:00"/>
    <s v="cogs:product 1"/>
    <n v="5.99"/>
    <x v="25"/>
    <n v="5.99"/>
    <x v="1"/>
    <x v="1"/>
    <x v="0"/>
    <x v="2"/>
    <n v="537.07000000000005"/>
  </r>
  <r>
    <d v="2024-03-22T00:00:00"/>
    <s v="cogs:product 2"/>
    <n v="16.989999999999998"/>
    <x v="29"/>
    <n v="84.949999999999989"/>
    <x v="1"/>
    <x v="2"/>
    <x v="0"/>
    <x v="2"/>
    <n v="-221.63"/>
  </r>
  <r>
    <d v="2024-03-22T00:00:00"/>
    <s v="cogs:product 3"/>
    <n v="8.49"/>
    <x v="108"/>
    <n v="815.04"/>
    <x v="1"/>
    <x v="3"/>
    <x v="0"/>
    <x v="2"/>
    <n v="-152.91"/>
  </r>
  <r>
    <d v="2024-03-22T00:00:00"/>
    <s v="marketing"/>
    <s v="NA"/>
    <x v="0"/>
    <n v="99.92"/>
    <x v="2"/>
    <x v="0"/>
    <x v="0"/>
    <x v="2"/>
    <n v="-551.85"/>
  </r>
  <r>
    <d v="2024-03-22T00:00:00"/>
    <s v="net sales:product 1"/>
    <n v="9.99"/>
    <x v="25"/>
    <n v="9.99"/>
    <x v="3"/>
    <x v="1"/>
    <x v="0"/>
    <x v="2"/>
    <n v="-99.92"/>
  </r>
  <r>
    <d v="2024-03-22T00:00:00"/>
    <s v="net sales:product 2"/>
    <n v="24.99"/>
    <x v="29"/>
    <n v="124.94999999999999"/>
    <x v="3"/>
    <x v="2"/>
    <x v="0"/>
    <x v="2"/>
    <n v="369.63"/>
  </r>
  <r>
    <d v="2024-03-22T00:00:00"/>
    <s v="net sales:product 3"/>
    <n v="12.49"/>
    <x v="108"/>
    <n v="1199.04"/>
    <x v="3"/>
    <x v="3"/>
    <x v="0"/>
    <x v="2"/>
    <n v="224.91"/>
  </r>
  <r>
    <d v="2024-03-23T00:00:00"/>
    <s v="cogs:product 1"/>
    <n v="5.99"/>
    <x v="98"/>
    <n v="269.55"/>
    <x v="1"/>
    <x v="1"/>
    <x v="0"/>
    <x v="2"/>
    <n v="811.85"/>
  </r>
  <r>
    <d v="2024-03-23T00:00:00"/>
    <s v="cogs:product 2"/>
    <n v="16.989999999999998"/>
    <x v="25"/>
    <n v="16.989999999999998"/>
    <x v="1"/>
    <x v="2"/>
    <x v="0"/>
    <x v="2"/>
    <n v="-443.26"/>
  </r>
  <r>
    <d v="2024-03-23T00:00:00"/>
    <s v="cogs:product 3"/>
    <n v="8.49"/>
    <x v="109"/>
    <n v="1859.31"/>
    <x v="1"/>
    <x v="3"/>
    <x v="0"/>
    <x v="2"/>
    <n v="0"/>
  </r>
  <r>
    <d v="2024-03-23T00:00:00"/>
    <s v="marketing"/>
    <s v="NA"/>
    <x v="0"/>
    <n v="100.02"/>
    <x v="2"/>
    <x v="0"/>
    <x v="0"/>
    <x v="2"/>
    <n v="-169.8"/>
  </r>
  <r>
    <d v="2024-03-23T00:00:00"/>
    <s v="net sales:product 1"/>
    <n v="9.99"/>
    <x v="98"/>
    <n v="449.55"/>
    <x v="3"/>
    <x v="1"/>
    <x v="0"/>
    <x v="2"/>
    <n v="-100.05"/>
  </r>
  <r>
    <d v="2024-03-23T00:00:00"/>
    <s v="net sales:product 2"/>
    <n v="24.99"/>
    <x v="25"/>
    <n v="24.99"/>
    <x v="3"/>
    <x v="2"/>
    <x v="0"/>
    <x v="2"/>
    <n v="739.26"/>
  </r>
  <r>
    <d v="2024-03-23T00:00:00"/>
    <s v="net sales:product 3"/>
    <n v="12.49"/>
    <x v="109"/>
    <n v="2735.31"/>
    <x v="3"/>
    <x v="3"/>
    <x v="0"/>
    <x v="2"/>
    <n v="0"/>
  </r>
  <r>
    <d v="2024-03-24T00:00:00"/>
    <s v="cogs:product 1"/>
    <n v="5.99"/>
    <x v="110"/>
    <n v="365.39"/>
    <x v="1"/>
    <x v="1"/>
    <x v="0"/>
    <x v="2"/>
    <n v="249.8"/>
  </r>
  <r>
    <d v="2024-03-24T00:00:00"/>
    <s v="cogs:product 2"/>
    <n v="16.989999999999998"/>
    <x v="10"/>
    <n v="33.979999999999997"/>
    <x v="1"/>
    <x v="2"/>
    <x v="0"/>
    <x v="2"/>
    <n v="-53.910000000000004"/>
  </r>
  <r>
    <d v="2024-03-24T00:00:00"/>
    <s v="cogs:product 3"/>
    <n v="8.49"/>
    <x v="14"/>
    <n v="806.55000000000007"/>
    <x v="1"/>
    <x v="3"/>
    <x v="0"/>
    <x v="2"/>
    <n v="-101.94"/>
  </r>
  <r>
    <d v="2024-03-24T00:00:00"/>
    <s v="marketing"/>
    <s v="NA"/>
    <x v="0"/>
    <n v="100.02"/>
    <x v="2"/>
    <x v="0"/>
    <x v="0"/>
    <x v="2"/>
    <n v="-2046.0900000000001"/>
  </r>
  <r>
    <d v="2024-03-24T00:00:00"/>
    <s v="net sales:product 1"/>
    <n v="9.99"/>
    <x v="110"/>
    <n v="609.39"/>
    <x v="3"/>
    <x v="1"/>
    <x v="0"/>
    <x v="2"/>
    <n v="-99.93"/>
  </r>
  <r>
    <d v="2024-03-24T00:00:00"/>
    <s v="net sales:product 2"/>
    <n v="24.99"/>
    <x v="10"/>
    <n v="49.98"/>
    <x v="3"/>
    <x v="2"/>
    <x v="0"/>
    <x v="2"/>
    <n v="89.91"/>
  </r>
  <r>
    <d v="2024-03-24T00:00:00"/>
    <s v="net sales:product 3"/>
    <n v="12.49"/>
    <x v="14"/>
    <n v="1186.55"/>
    <x v="3"/>
    <x v="3"/>
    <x v="0"/>
    <x v="2"/>
    <n v="149.94"/>
  </r>
  <r>
    <d v="2024-03-25T00:00:00"/>
    <s v="cogs:product 1"/>
    <n v="5.99"/>
    <x v="111"/>
    <n v="131.78"/>
    <x v="1"/>
    <x v="1"/>
    <x v="0"/>
    <x v="2"/>
    <n v="3010.09"/>
  </r>
  <r>
    <d v="2024-03-25T00:00:00"/>
    <s v="cogs:product 2"/>
    <n v="16.989999999999998"/>
    <x v="42"/>
    <n v="101.94"/>
    <x v="1"/>
    <x v="2"/>
    <x v="0"/>
    <x v="2"/>
    <n v="-209.65"/>
  </r>
  <r>
    <d v="2024-03-25T00:00:00"/>
    <s v="cogs:product 3"/>
    <n v="8.49"/>
    <x v="112"/>
    <n v="1146.1500000000001"/>
    <x v="1"/>
    <x v="3"/>
    <x v="0"/>
    <x v="2"/>
    <n v="-118.92999999999999"/>
  </r>
  <r>
    <d v="2024-03-25T00:00:00"/>
    <s v="marketing"/>
    <s v="NA"/>
    <x v="0"/>
    <n v="100"/>
    <x v="2"/>
    <x v="0"/>
    <x v="0"/>
    <x v="2"/>
    <n v="-764.1"/>
  </r>
  <r>
    <d v="2024-03-25T00:00:00"/>
    <s v="net sales:product 1"/>
    <n v="9.99"/>
    <x v="111"/>
    <n v="219.78"/>
    <x v="3"/>
    <x v="1"/>
    <x v="0"/>
    <x v="2"/>
    <n v="-99.97"/>
  </r>
  <r>
    <d v="2024-03-25T00:00:00"/>
    <s v="net sales:product 2"/>
    <n v="24.99"/>
    <x v="42"/>
    <n v="149.94"/>
    <x v="3"/>
    <x v="2"/>
    <x v="0"/>
    <x v="2"/>
    <n v="349.65000000000003"/>
  </r>
  <r>
    <d v="2024-03-25T00:00:00"/>
    <s v="net sales:product 3"/>
    <n v="12.49"/>
    <x v="112"/>
    <n v="1686.15"/>
    <x v="3"/>
    <x v="3"/>
    <x v="0"/>
    <x v="2"/>
    <n v="174.92999999999998"/>
  </r>
  <r>
    <d v="2024-03-26T00:00:00"/>
    <s v="cogs:product 1"/>
    <n v="5.99"/>
    <x v="46"/>
    <n v="407.32"/>
    <x v="1"/>
    <x v="1"/>
    <x v="0"/>
    <x v="2"/>
    <n v="1124.0999999999999"/>
  </r>
  <r>
    <d v="2024-03-26T00:00:00"/>
    <s v="cogs:product 2"/>
    <n v="16.989999999999998"/>
    <x v="13"/>
    <n v="118.92999999999999"/>
    <x v="1"/>
    <x v="2"/>
    <x v="0"/>
    <x v="2"/>
    <n v="-167.72"/>
  </r>
  <r>
    <d v="2024-03-26T00:00:00"/>
    <s v="cogs:product 3"/>
    <n v="8.49"/>
    <x v="61"/>
    <n v="823.53"/>
    <x v="1"/>
    <x v="3"/>
    <x v="0"/>
    <x v="2"/>
    <n v="-135.91999999999999"/>
  </r>
  <r>
    <d v="2024-03-26T00:00:00"/>
    <s v="marketing"/>
    <s v="NA"/>
    <x v="0"/>
    <n v="99.9"/>
    <x v="2"/>
    <x v="0"/>
    <x v="0"/>
    <x v="2"/>
    <n v="-704.67000000000007"/>
  </r>
  <r>
    <d v="2024-03-26T00:00:00"/>
    <s v="net sales:product 1"/>
    <n v="9.99"/>
    <x v="46"/>
    <n v="679.32"/>
    <x v="3"/>
    <x v="1"/>
    <x v="0"/>
    <x v="2"/>
    <n v="-99.92"/>
  </r>
  <r>
    <d v="2024-03-26T00:00:00"/>
    <s v="net sales:product 2"/>
    <n v="24.99"/>
    <x v="13"/>
    <n v="174.92999999999998"/>
    <x v="3"/>
    <x v="2"/>
    <x v="0"/>
    <x v="2"/>
    <n v="279.72000000000003"/>
  </r>
  <r>
    <d v="2024-03-26T00:00:00"/>
    <s v="net sales:product 3"/>
    <n v="12.49"/>
    <x v="61"/>
    <n v="1211.53"/>
    <x v="3"/>
    <x v="3"/>
    <x v="0"/>
    <x v="2"/>
    <n v="199.92"/>
  </r>
  <r>
    <d v="2024-03-27T00:00:00"/>
    <s v="cogs:product 1"/>
    <n v="5.99"/>
    <x v="45"/>
    <n v="65.89"/>
    <x v="1"/>
    <x v="1"/>
    <x v="0"/>
    <x v="2"/>
    <n v="1036.67"/>
  </r>
  <r>
    <d v="2024-03-27T00:00:00"/>
    <s v="cogs:product 2"/>
    <n v="16.989999999999998"/>
    <x v="42"/>
    <n v="101.94"/>
    <x v="1"/>
    <x v="2"/>
    <x v="0"/>
    <x v="2"/>
    <n v="-221.63"/>
  </r>
  <r>
    <d v="2024-03-27T00:00:00"/>
    <s v="cogs:product 3"/>
    <n v="8.49"/>
    <x v="91"/>
    <n v="1494.24"/>
    <x v="1"/>
    <x v="3"/>
    <x v="0"/>
    <x v="2"/>
    <n v="-169.89999999999998"/>
  </r>
  <r>
    <d v="2024-03-27T00:00:00"/>
    <s v="marketing"/>
    <s v="NA"/>
    <x v="0"/>
    <n v="100.02"/>
    <x v="2"/>
    <x v="0"/>
    <x v="0"/>
    <x v="2"/>
    <n v="-59.43"/>
  </r>
  <r>
    <d v="2024-03-27T00:00:00"/>
    <s v="net sales:product 1"/>
    <n v="9.99"/>
    <x v="45"/>
    <n v="109.89"/>
    <x v="3"/>
    <x v="1"/>
    <x v="0"/>
    <x v="2"/>
    <n v="-99.95"/>
  </r>
  <r>
    <d v="2024-03-27T00:00:00"/>
    <s v="net sales:product 2"/>
    <n v="24.99"/>
    <x v="42"/>
    <n v="149.94"/>
    <x v="3"/>
    <x v="2"/>
    <x v="0"/>
    <x v="2"/>
    <n v="369.63"/>
  </r>
  <r>
    <d v="2024-03-27T00:00:00"/>
    <s v="net sales:product 3"/>
    <n v="12.49"/>
    <x v="91"/>
    <n v="2198.2400000000002"/>
    <x v="3"/>
    <x v="3"/>
    <x v="0"/>
    <x v="2"/>
    <n v="249.89999999999998"/>
  </r>
  <r>
    <d v="2024-03-28T00:00:00"/>
    <s v="cogs:product 1"/>
    <n v="5.99"/>
    <x v="58"/>
    <n v="251.58"/>
    <x v="1"/>
    <x v="1"/>
    <x v="0"/>
    <x v="2"/>
    <n v="87.43"/>
  </r>
  <r>
    <d v="2024-03-28T00:00:00"/>
    <s v="cogs:product 2"/>
    <n v="16.989999999999998"/>
    <x v="2"/>
    <n v="50.97"/>
    <x v="1"/>
    <x v="2"/>
    <x v="0"/>
    <x v="2"/>
    <n v="-35.94"/>
  </r>
  <r>
    <d v="2024-03-28T00:00:00"/>
    <s v="cogs:product 3"/>
    <n v="8.49"/>
    <x v="46"/>
    <n v="577.32000000000005"/>
    <x v="1"/>
    <x v="3"/>
    <x v="0"/>
    <x v="2"/>
    <n v="-84.949999999999989"/>
  </r>
  <r>
    <d v="2024-03-28T00:00:00"/>
    <s v="marketing"/>
    <s v="NA"/>
    <x v="0"/>
    <n v="100.06"/>
    <x v="2"/>
    <x v="0"/>
    <x v="0"/>
    <x v="2"/>
    <n v="-135.84"/>
  </r>
  <r>
    <d v="2024-03-28T00:00:00"/>
    <s v="net sales:product 1"/>
    <n v="9.99"/>
    <x v="58"/>
    <n v="419.58"/>
    <x v="3"/>
    <x v="1"/>
    <x v="0"/>
    <x v="2"/>
    <n v="-100.09"/>
  </r>
  <r>
    <d v="2024-03-28T00:00:00"/>
    <s v="net sales:product 2"/>
    <n v="24.99"/>
    <x v="2"/>
    <n v="74.97"/>
    <x v="3"/>
    <x v="2"/>
    <x v="0"/>
    <x v="2"/>
    <n v="59.94"/>
  </r>
  <r>
    <d v="2024-03-28T00:00:00"/>
    <s v="net sales:product 3"/>
    <n v="12.49"/>
    <x v="46"/>
    <n v="849.32"/>
    <x v="3"/>
    <x v="3"/>
    <x v="0"/>
    <x v="2"/>
    <n v="124.94999999999999"/>
  </r>
  <r>
    <d v="2024-03-29T00:00:00"/>
    <s v="cogs:product 1"/>
    <n v="5.99"/>
    <x v="113"/>
    <n v="185.69"/>
    <x v="1"/>
    <x v="1"/>
    <x v="0"/>
    <x v="2"/>
    <n v="199.84"/>
  </r>
  <r>
    <d v="2024-03-29T00:00:00"/>
    <s v="cogs:product 2"/>
    <n v="16.989999999999998"/>
    <x v="10"/>
    <n v="33.979999999999997"/>
    <x v="1"/>
    <x v="2"/>
    <x v="0"/>
    <x v="2"/>
    <n v="-161.73000000000002"/>
  </r>
  <r>
    <d v="2024-03-29T00:00:00"/>
    <s v="cogs:product 3"/>
    <n v="8.49"/>
    <x v="79"/>
    <n v="534.87"/>
    <x v="1"/>
    <x v="3"/>
    <x v="0"/>
    <x v="2"/>
    <n v="-169.89999999999998"/>
  </r>
  <r>
    <d v="2024-03-29T00:00:00"/>
    <s v="marketing"/>
    <s v="NA"/>
    <x v="0"/>
    <n v="99.94"/>
    <x v="2"/>
    <x v="0"/>
    <x v="0"/>
    <x v="2"/>
    <n v="0"/>
  </r>
  <r>
    <d v="2024-03-29T00:00:00"/>
    <s v="net sales:product 1"/>
    <n v="9.99"/>
    <x v="113"/>
    <n v="309.69"/>
    <x v="3"/>
    <x v="1"/>
    <x v="0"/>
    <x v="2"/>
    <n v="-99.960000000000008"/>
  </r>
  <r>
    <d v="2024-03-29T00:00:00"/>
    <s v="net sales:product 2"/>
    <n v="24.99"/>
    <x v="10"/>
    <n v="49.98"/>
    <x v="3"/>
    <x v="2"/>
    <x v="0"/>
    <x v="2"/>
    <n v="269.73"/>
  </r>
  <r>
    <d v="2024-03-29T00:00:00"/>
    <s v="net sales:product 3"/>
    <n v="12.49"/>
    <x v="79"/>
    <n v="786.87"/>
    <x v="3"/>
    <x v="3"/>
    <x v="0"/>
    <x v="2"/>
    <n v="249.89999999999998"/>
  </r>
  <r>
    <d v="2024-03-29T00:00:00"/>
    <s v="payroll"/>
    <s v="NA"/>
    <x v="0"/>
    <n v="1200"/>
    <x v="5"/>
    <x v="0"/>
    <x v="0"/>
    <x v="2"/>
    <n v="0"/>
  </r>
  <r>
    <d v="2024-03-30T00:00:00"/>
    <s v="cogs:product 1"/>
    <n v="5.99"/>
    <x v="114"/>
    <n v="287.52"/>
    <x v="1"/>
    <x v="1"/>
    <x v="0"/>
    <x v="2"/>
    <n v="-569.05000000000007"/>
  </r>
  <r>
    <d v="2024-03-30T00:00:00"/>
    <s v="cogs:product 2"/>
    <n v="16.989999999999998"/>
    <x v="2"/>
    <n v="50.97"/>
    <x v="1"/>
    <x v="2"/>
    <x v="0"/>
    <x v="2"/>
    <n v="-118.92999999999999"/>
  </r>
  <r>
    <d v="2024-03-30T00:00:00"/>
    <s v="cogs:product 3"/>
    <n v="8.49"/>
    <x v="24"/>
    <n v="840.51"/>
    <x v="1"/>
    <x v="3"/>
    <x v="0"/>
    <x v="2"/>
    <n v="-959.37"/>
  </r>
  <r>
    <d v="2024-03-30T00:00:00"/>
    <s v="marketing"/>
    <s v="NA"/>
    <x v="0"/>
    <n v="100.04"/>
    <x v="2"/>
    <x v="0"/>
    <x v="0"/>
    <x v="2"/>
    <n v="-100.04"/>
  </r>
  <r>
    <d v="2024-03-30T00:00:00"/>
    <s v="net sales:product 1"/>
    <n v="9.99"/>
    <x v="114"/>
    <n v="479.52"/>
    <x v="3"/>
    <x v="1"/>
    <x v="0"/>
    <x v="2"/>
    <n v="949.05000000000007"/>
  </r>
  <r>
    <d v="2024-03-30T00:00:00"/>
    <s v="net sales:product 2"/>
    <n v="24.99"/>
    <x v="2"/>
    <n v="74.97"/>
    <x v="3"/>
    <x v="2"/>
    <x v="0"/>
    <x v="2"/>
    <n v="174.92999999999998"/>
  </r>
  <r>
    <d v="2024-03-30T00:00:00"/>
    <s v="net sales:product 3"/>
    <n v="12.49"/>
    <x v="24"/>
    <n v="1236.51"/>
    <x v="3"/>
    <x v="3"/>
    <x v="0"/>
    <x v="2"/>
    <n v="1411.3700000000001"/>
  </r>
  <r>
    <d v="2024-03-31T00:00:00"/>
    <s v="cogs:product 1"/>
    <n v="5.99"/>
    <x v="83"/>
    <n v="275.54000000000002"/>
    <x v="1"/>
    <x v="1"/>
    <x v="0"/>
    <x v="2"/>
    <n v="0"/>
  </r>
  <r>
    <d v="2024-03-31T00:00:00"/>
    <s v="cogs:product 2"/>
    <n v="16.989999999999998"/>
    <x v="16"/>
    <n v="135.91999999999999"/>
    <x v="1"/>
    <x v="2"/>
    <x v="0"/>
    <x v="2"/>
    <n v="-29.950000000000003"/>
  </r>
  <r>
    <d v="2024-03-31T00:00:00"/>
    <s v="cogs:product 3"/>
    <n v="8.49"/>
    <x v="23"/>
    <n v="0"/>
    <x v="1"/>
    <x v="3"/>
    <x v="0"/>
    <x v="2"/>
    <n v="-152.91"/>
  </r>
  <r>
    <d v="2024-03-31T00:00:00"/>
    <s v="marketing"/>
    <s v="NA"/>
    <x v="0"/>
    <n v="99.91"/>
    <x v="2"/>
    <x v="0"/>
    <x v="0"/>
    <x v="2"/>
    <n v="-373.56"/>
  </r>
  <r>
    <d v="2024-03-31T00:00:00"/>
    <s v="net sales:product 1"/>
    <n v="9.99"/>
    <x v="83"/>
    <n v="459.54"/>
    <x v="3"/>
    <x v="1"/>
    <x v="0"/>
    <x v="2"/>
    <n v="-99.95"/>
  </r>
  <r>
    <d v="2024-03-31T00:00:00"/>
    <s v="net sales:product 2"/>
    <n v="24.99"/>
    <x v="16"/>
    <n v="199.92"/>
    <x v="3"/>
    <x v="2"/>
    <x v="0"/>
    <x v="2"/>
    <n v="49.95"/>
  </r>
  <r>
    <d v="2024-03-31T00:00:00"/>
    <s v="net sales:product 3"/>
    <n v="12.49"/>
    <x v="23"/>
    <n v="0"/>
    <x v="3"/>
    <x v="3"/>
    <x v="0"/>
    <x v="2"/>
    <n v="224.91"/>
  </r>
  <r>
    <d v="2024-04-01T00:00:00"/>
    <s v="amortization"/>
    <s v="NA"/>
    <x v="0"/>
    <n v="50"/>
    <x v="0"/>
    <x v="0"/>
    <x v="0"/>
    <x v="3"/>
    <n v="549.56000000000006"/>
  </r>
  <r>
    <d v="2024-04-01T00:00:00"/>
    <s v="cogs:product 1"/>
    <n v="5.99"/>
    <x v="106"/>
    <n v="587.02"/>
    <x v="1"/>
    <x v="1"/>
    <x v="0"/>
    <x v="3"/>
    <n v="-2000"/>
  </r>
  <r>
    <d v="2024-04-01T00:00:00"/>
    <s v="cogs:product 2"/>
    <n v="16.989999999999998"/>
    <x v="10"/>
    <n v="33.979999999999997"/>
    <x v="1"/>
    <x v="2"/>
    <x v="0"/>
    <x v="3"/>
    <n v="-1200"/>
  </r>
  <r>
    <d v="2024-04-01T00:00:00"/>
    <s v="cogs:product 3"/>
    <n v="8.49"/>
    <x v="10"/>
    <n v="16.98"/>
    <x v="1"/>
    <x v="3"/>
    <x v="0"/>
    <x v="3"/>
    <n v="-23.96"/>
  </r>
  <r>
    <d v="2024-04-01T00:00:00"/>
    <s v="marketing"/>
    <s v="NA"/>
    <x v="0"/>
    <n v="99.98"/>
    <x v="2"/>
    <x v="0"/>
    <x v="0"/>
    <x v="3"/>
    <n v="-84.949999999999989"/>
  </r>
  <r>
    <d v="2024-04-01T00:00:00"/>
    <s v="net sales:product 1"/>
    <n v="9.99"/>
    <x v="106"/>
    <n v="979.02"/>
    <x v="3"/>
    <x v="1"/>
    <x v="0"/>
    <x v="3"/>
    <n v="-806.55000000000007"/>
  </r>
  <r>
    <d v="2024-04-01T00:00:00"/>
    <s v="net sales:product 2"/>
    <n v="24.99"/>
    <x v="10"/>
    <n v="49.98"/>
    <x v="3"/>
    <x v="2"/>
    <x v="0"/>
    <x v="3"/>
    <n v="-100.04"/>
  </r>
  <r>
    <d v="2024-04-01T00:00:00"/>
    <s v="net sales:product 3"/>
    <n v="12.49"/>
    <x v="10"/>
    <n v="24.98"/>
    <x v="3"/>
    <x v="3"/>
    <x v="0"/>
    <x v="3"/>
    <n v="39.96"/>
  </r>
  <r>
    <d v="2024-04-01T00:00:00"/>
    <s v="overhead"/>
    <s v="NA"/>
    <x v="0"/>
    <n v="2000"/>
    <x v="4"/>
    <x v="0"/>
    <x v="0"/>
    <x v="3"/>
    <n v="124.94999999999999"/>
  </r>
  <r>
    <d v="2024-04-02T00:00:00"/>
    <s v="cogs:product 1"/>
    <n v="5.99"/>
    <x v="115"/>
    <n v="455.24"/>
    <x v="1"/>
    <x v="1"/>
    <x v="0"/>
    <x v="3"/>
    <n v="1186.55"/>
  </r>
  <r>
    <d v="2024-04-02T00:00:00"/>
    <s v="cogs:product 2"/>
    <n v="16.989999999999998"/>
    <x v="16"/>
    <n v="135.91999999999999"/>
    <x v="1"/>
    <x v="2"/>
    <x v="0"/>
    <x v="3"/>
    <n v="-5.99"/>
  </r>
  <r>
    <d v="2024-04-02T00:00:00"/>
    <s v="cogs:product 3"/>
    <n v="8.49"/>
    <x v="116"/>
    <n v="1502.73"/>
    <x v="1"/>
    <x v="3"/>
    <x v="0"/>
    <x v="3"/>
    <n v="-33.979999999999997"/>
  </r>
  <r>
    <d v="2024-04-02T00:00:00"/>
    <s v="marketing"/>
    <s v="NA"/>
    <x v="0"/>
    <n v="100.03"/>
    <x v="2"/>
    <x v="0"/>
    <x v="0"/>
    <x v="3"/>
    <n v="-1035.78"/>
  </r>
  <r>
    <d v="2024-04-02T00:00:00"/>
    <s v="net sales:product 1"/>
    <n v="9.99"/>
    <x v="115"/>
    <n v="759.24"/>
    <x v="3"/>
    <x v="1"/>
    <x v="0"/>
    <x v="3"/>
    <n v="-100"/>
  </r>
  <r>
    <d v="2024-04-02T00:00:00"/>
    <s v="net sales:product 2"/>
    <n v="24.99"/>
    <x v="16"/>
    <n v="199.92"/>
    <x v="3"/>
    <x v="2"/>
    <x v="0"/>
    <x v="3"/>
    <n v="9.99"/>
  </r>
  <r>
    <d v="2024-04-02T00:00:00"/>
    <s v="net sales:product 3"/>
    <n v="12.49"/>
    <x v="116"/>
    <n v="2210.73"/>
    <x v="3"/>
    <x v="3"/>
    <x v="0"/>
    <x v="3"/>
    <n v="49.98"/>
  </r>
  <r>
    <d v="2024-04-03T00:00:00"/>
    <s v="cogs:product 1"/>
    <n v="5.99"/>
    <x v="102"/>
    <n v="305.49"/>
    <x v="1"/>
    <x v="1"/>
    <x v="0"/>
    <x v="3"/>
    <n v="1523.78"/>
  </r>
  <r>
    <d v="2024-04-03T00:00:00"/>
    <s v="cogs:product 2"/>
    <n v="16.989999999999998"/>
    <x v="7"/>
    <n v="152.91"/>
    <x v="1"/>
    <x v="2"/>
    <x v="0"/>
    <x v="3"/>
    <n v="-11.98"/>
  </r>
  <r>
    <d v="2024-04-03T00:00:00"/>
    <s v="cogs:product 3"/>
    <n v="8.49"/>
    <x v="117"/>
    <n v="730.14"/>
    <x v="1"/>
    <x v="3"/>
    <x v="0"/>
    <x v="3"/>
    <n v="-118.92999999999999"/>
  </r>
  <r>
    <d v="2024-04-03T00:00:00"/>
    <s v="marketing"/>
    <s v="NA"/>
    <x v="0"/>
    <n v="100.02"/>
    <x v="2"/>
    <x v="0"/>
    <x v="0"/>
    <x v="3"/>
    <n v="-1494.24"/>
  </r>
  <r>
    <d v="2024-04-03T00:00:00"/>
    <s v="net sales:product 1"/>
    <n v="9.99"/>
    <x v="102"/>
    <n v="509.49"/>
    <x v="3"/>
    <x v="1"/>
    <x v="0"/>
    <x v="3"/>
    <n v="-100.01"/>
  </r>
  <r>
    <d v="2024-04-03T00:00:00"/>
    <s v="net sales:product 2"/>
    <n v="24.99"/>
    <x v="7"/>
    <n v="224.91"/>
    <x v="3"/>
    <x v="2"/>
    <x v="0"/>
    <x v="3"/>
    <n v="19.98"/>
  </r>
  <r>
    <d v="2024-04-03T00:00:00"/>
    <s v="net sales:product 3"/>
    <n v="12.49"/>
    <x v="117"/>
    <n v="1074.1400000000001"/>
    <x v="3"/>
    <x v="3"/>
    <x v="0"/>
    <x v="3"/>
    <n v="174.92999999999998"/>
  </r>
  <r>
    <d v="2024-04-04T00:00:00"/>
    <s v="cogs:product 1"/>
    <n v="5.99"/>
    <x v="14"/>
    <n v="569.05000000000007"/>
    <x v="1"/>
    <x v="1"/>
    <x v="0"/>
    <x v="3"/>
    <n v="2198.2400000000002"/>
  </r>
  <r>
    <d v="2024-04-04T00:00:00"/>
    <s v="cogs:product 2"/>
    <n v="16.989999999999998"/>
    <x v="25"/>
    <n v="16.989999999999998"/>
    <x v="1"/>
    <x v="2"/>
    <x v="0"/>
    <x v="3"/>
    <n v="-317.47000000000003"/>
  </r>
  <r>
    <d v="2024-04-04T00:00:00"/>
    <s v="cogs:product 3"/>
    <n v="8.49"/>
    <x v="6"/>
    <n v="314.13"/>
    <x v="1"/>
    <x v="3"/>
    <x v="0"/>
    <x v="3"/>
    <n v="-84.949999999999989"/>
  </r>
  <r>
    <d v="2024-04-04T00:00:00"/>
    <s v="marketing"/>
    <s v="NA"/>
    <x v="0"/>
    <n v="100.02"/>
    <x v="2"/>
    <x v="0"/>
    <x v="0"/>
    <x v="3"/>
    <n v="-1078.23"/>
  </r>
  <r>
    <d v="2024-04-04T00:00:00"/>
    <s v="net sales:product 1"/>
    <n v="9.99"/>
    <x v="14"/>
    <n v="949.05000000000007"/>
    <x v="3"/>
    <x v="1"/>
    <x v="0"/>
    <x v="3"/>
    <n v="-100.07000000000001"/>
  </r>
  <r>
    <d v="2024-04-04T00:00:00"/>
    <s v="net sales:product 2"/>
    <n v="24.99"/>
    <x v="25"/>
    <n v="24.99"/>
    <x v="3"/>
    <x v="2"/>
    <x v="0"/>
    <x v="3"/>
    <n v="529.47"/>
  </r>
  <r>
    <d v="2024-04-04T00:00:00"/>
    <s v="net sales:product 3"/>
    <n v="12.49"/>
    <x v="6"/>
    <n v="462.13"/>
    <x v="3"/>
    <x v="3"/>
    <x v="0"/>
    <x v="3"/>
    <n v="124.94999999999999"/>
  </r>
  <r>
    <d v="2024-04-05T00:00:00"/>
    <s v="cogs:product 1"/>
    <n v="5.99"/>
    <x v="111"/>
    <n v="131.78"/>
    <x v="1"/>
    <x v="1"/>
    <x v="0"/>
    <x v="3"/>
    <n v="1586.23"/>
  </r>
  <r>
    <d v="2024-04-05T00:00:00"/>
    <s v="cogs:product 2"/>
    <n v="16.989999999999998"/>
    <x v="19"/>
    <n v="67.959999999999994"/>
    <x v="1"/>
    <x v="2"/>
    <x v="0"/>
    <x v="3"/>
    <n v="-17.97"/>
  </r>
  <r>
    <d v="2024-04-05T00:00:00"/>
    <s v="cogs:product 3"/>
    <n v="8.49"/>
    <x v="84"/>
    <n v="2046.0900000000001"/>
    <x v="1"/>
    <x v="3"/>
    <x v="0"/>
    <x v="3"/>
    <n v="-50.97"/>
  </r>
  <r>
    <d v="2024-04-05T00:00:00"/>
    <s v="marketing"/>
    <s v="NA"/>
    <x v="0"/>
    <n v="99.98"/>
    <x v="2"/>
    <x v="0"/>
    <x v="0"/>
    <x v="3"/>
    <n v="-1698"/>
  </r>
  <r>
    <d v="2024-04-05T00:00:00"/>
    <s v="net sales:product 1"/>
    <n v="9.99"/>
    <x v="111"/>
    <n v="219.78"/>
    <x v="3"/>
    <x v="1"/>
    <x v="0"/>
    <x v="3"/>
    <n v="-100.01"/>
  </r>
  <r>
    <d v="2024-04-05T00:00:00"/>
    <s v="net sales:product 2"/>
    <n v="24.99"/>
    <x v="19"/>
    <n v="99.96"/>
    <x v="3"/>
    <x v="2"/>
    <x v="0"/>
    <x v="3"/>
    <n v="29.97"/>
  </r>
  <r>
    <d v="2024-04-05T00:00:00"/>
    <s v="net sales:product 3"/>
    <n v="12.49"/>
    <x v="84"/>
    <n v="3010.09"/>
    <x v="3"/>
    <x v="3"/>
    <x v="0"/>
    <x v="3"/>
    <n v="74.97"/>
  </r>
  <r>
    <d v="2024-04-06T00:00:00"/>
    <s v="cogs:product 1"/>
    <n v="5.99"/>
    <x v="35"/>
    <n v="113.81"/>
    <x v="1"/>
    <x v="1"/>
    <x v="0"/>
    <x v="3"/>
    <n v="2498"/>
  </r>
  <r>
    <d v="2024-04-06T00:00:00"/>
    <s v="cogs:product 2"/>
    <n v="16.989999999999998"/>
    <x v="16"/>
    <n v="135.91999999999999"/>
    <x v="1"/>
    <x v="2"/>
    <x v="0"/>
    <x v="3"/>
    <n v="-359.40000000000003"/>
  </r>
  <r>
    <d v="2024-04-06T00:00:00"/>
    <s v="cogs:product 3"/>
    <n v="8.49"/>
    <x v="38"/>
    <n v="560.34"/>
    <x v="1"/>
    <x v="3"/>
    <x v="0"/>
    <x v="3"/>
    <n v="-169.89999999999998"/>
  </r>
  <r>
    <d v="2024-04-06T00:00:00"/>
    <s v="marketing"/>
    <s v="NA"/>
    <x v="0"/>
    <n v="99.990000000000009"/>
    <x v="2"/>
    <x v="0"/>
    <x v="0"/>
    <x v="3"/>
    <n v="-1604.6100000000001"/>
  </r>
  <r>
    <d v="2024-04-06T00:00:00"/>
    <s v="net sales:product 1"/>
    <n v="9.99"/>
    <x v="35"/>
    <n v="189.81"/>
    <x v="3"/>
    <x v="1"/>
    <x v="0"/>
    <x v="3"/>
    <n v="-100.03"/>
  </r>
  <r>
    <d v="2024-04-06T00:00:00"/>
    <s v="net sales:product 2"/>
    <n v="24.99"/>
    <x v="16"/>
    <n v="199.92"/>
    <x v="3"/>
    <x v="2"/>
    <x v="0"/>
    <x v="3"/>
    <n v="599.4"/>
  </r>
  <r>
    <d v="2024-04-06T00:00:00"/>
    <s v="net sales:product 3"/>
    <n v="12.49"/>
    <x v="38"/>
    <n v="824.34"/>
    <x v="3"/>
    <x v="3"/>
    <x v="0"/>
    <x v="3"/>
    <n v="249.89999999999998"/>
  </r>
  <r>
    <d v="2024-04-07T00:00:00"/>
    <s v="cogs:product 1"/>
    <n v="5.99"/>
    <x v="16"/>
    <n v="47.92"/>
    <x v="1"/>
    <x v="1"/>
    <x v="0"/>
    <x v="3"/>
    <n v="2360.61"/>
  </r>
  <r>
    <d v="2024-04-07T00:00:00"/>
    <s v="cogs:product 2"/>
    <n v="16.989999999999998"/>
    <x v="2"/>
    <n v="50.97"/>
    <x v="1"/>
    <x v="2"/>
    <x v="0"/>
    <x v="3"/>
    <n v="-5.99"/>
  </r>
  <r>
    <d v="2024-04-07T00:00:00"/>
    <s v="cogs:product 3"/>
    <n v="8.49"/>
    <x v="118"/>
    <n v="1562.16"/>
    <x v="1"/>
    <x v="3"/>
    <x v="0"/>
    <x v="3"/>
    <n v="-101.94"/>
  </r>
  <r>
    <d v="2024-04-07T00:00:00"/>
    <s v="marketing"/>
    <s v="NA"/>
    <x v="0"/>
    <n v="99.97"/>
    <x v="2"/>
    <x v="0"/>
    <x v="0"/>
    <x v="3"/>
    <n v="-483.93"/>
  </r>
  <r>
    <d v="2024-04-07T00:00:00"/>
    <s v="net sales:product 1"/>
    <n v="9.99"/>
    <x v="16"/>
    <n v="79.92"/>
    <x v="3"/>
    <x v="1"/>
    <x v="0"/>
    <x v="3"/>
    <n v="-99.9"/>
  </r>
  <r>
    <d v="2024-04-07T00:00:00"/>
    <s v="net sales:product 2"/>
    <n v="24.99"/>
    <x v="2"/>
    <n v="74.97"/>
    <x v="3"/>
    <x v="2"/>
    <x v="0"/>
    <x v="3"/>
    <n v="9.99"/>
  </r>
  <r>
    <d v="2024-04-07T00:00:00"/>
    <s v="net sales:product 3"/>
    <n v="12.49"/>
    <x v="118"/>
    <n v="2298.16"/>
    <x v="3"/>
    <x v="3"/>
    <x v="0"/>
    <x v="3"/>
    <n v="149.94"/>
  </r>
  <r>
    <d v="2024-04-08T00:00:00"/>
    <s v="cogs:product 1"/>
    <n v="5.99"/>
    <x v="115"/>
    <n v="455.24"/>
    <x v="1"/>
    <x v="1"/>
    <x v="0"/>
    <x v="3"/>
    <n v="711.93000000000006"/>
  </r>
  <r>
    <d v="2024-04-08T00:00:00"/>
    <s v="cogs:product 2"/>
    <n v="16.989999999999998"/>
    <x v="7"/>
    <n v="152.91"/>
    <x v="1"/>
    <x v="2"/>
    <x v="0"/>
    <x v="3"/>
    <n v="-269.55"/>
  </r>
  <r>
    <d v="2024-04-08T00:00:00"/>
    <s v="cogs:product 3"/>
    <n v="8.49"/>
    <x v="52"/>
    <n v="772.59"/>
    <x v="1"/>
    <x v="3"/>
    <x v="0"/>
    <x v="3"/>
    <n v="-84.949999999999989"/>
  </r>
  <r>
    <d v="2024-04-08T00:00:00"/>
    <s v="marketing"/>
    <s v="NA"/>
    <x v="0"/>
    <n v="100.04"/>
    <x v="2"/>
    <x v="0"/>
    <x v="0"/>
    <x v="3"/>
    <n v="-1129.17"/>
  </r>
  <r>
    <d v="2024-04-08T00:00:00"/>
    <s v="net sales:product 1"/>
    <n v="9.99"/>
    <x v="115"/>
    <n v="759.24"/>
    <x v="3"/>
    <x v="1"/>
    <x v="0"/>
    <x v="3"/>
    <n v="-99.92"/>
  </r>
  <r>
    <d v="2024-04-08T00:00:00"/>
    <s v="net sales:product 2"/>
    <n v="24.99"/>
    <x v="7"/>
    <n v="224.91"/>
    <x v="3"/>
    <x v="2"/>
    <x v="0"/>
    <x v="3"/>
    <n v="449.55"/>
  </r>
  <r>
    <d v="2024-04-08T00:00:00"/>
    <s v="net sales:product 3"/>
    <n v="12.49"/>
    <x v="52"/>
    <n v="1136.5899999999999"/>
    <x v="3"/>
    <x v="3"/>
    <x v="0"/>
    <x v="3"/>
    <n v="124.94999999999999"/>
  </r>
  <r>
    <d v="2024-04-09T00:00:00"/>
    <s v="cogs:product 1"/>
    <n v="5.99"/>
    <x v="19"/>
    <n v="23.96"/>
    <x v="1"/>
    <x v="1"/>
    <x v="0"/>
    <x v="3"/>
    <n v="1661.17"/>
  </r>
  <r>
    <d v="2024-04-09T00:00:00"/>
    <s v="cogs:product 2"/>
    <n v="16.989999999999998"/>
    <x v="19"/>
    <n v="67.959999999999994"/>
    <x v="1"/>
    <x v="2"/>
    <x v="0"/>
    <x v="3"/>
    <n v="-527.12"/>
  </r>
  <r>
    <d v="2024-04-09T00:00:00"/>
    <s v="cogs:product 3"/>
    <n v="8.49"/>
    <x v="63"/>
    <n v="1944.21"/>
    <x v="1"/>
    <x v="3"/>
    <x v="0"/>
    <x v="3"/>
    <n v="-84.949999999999989"/>
  </r>
  <r>
    <d v="2024-04-09T00:00:00"/>
    <s v="marketing"/>
    <s v="NA"/>
    <x v="0"/>
    <n v="100.05"/>
    <x v="2"/>
    <x v="0"/>
    <x v="0"/>
    <x v="3"/>
    <n v="-356.58"/>
  </r>
  <r>
    <d v="2024-04-09T00:00:00"/>
    <s v="net sales:product 1"/>
    <n v="9.99"/>
    <x v="19"/>
    <n v="39.96"/>
    <x v="3"/>
    <x v="1"/>
    <x v="0"/>
    <x v="3"/>
    <n v="-100.09"/>
  </r>
  <r>
    <d v="2024-04-09T00:00:00"/>
    <s v="net sales:product 2"/>
    <n v="24.99"/>
    <x v="19"/>
    <n v="99.96"/>
    <x v="3"/>
    <x v="2"/>
    <x v="0"/>
    <x v="3"/>
    <n v="879.12"/>
  </r>
  <r>
    <d v="2024-04-09T00:00:00"/>
    <s v="net sales:product 3"/>
    <n v="12.49"/>
    <x v="63"/>
    <n v="2860.21"/>
    <x v="3"/>
    <x v="3"/>
    <x v="0"/>
    <x v="3"/>
    <n v="124.94999999999999"/>
  </r>
  <r>
    <d v="2024-04-10T00:00:00"/>
    <s v="cogs:product 1"/>
    <n v="5.99"/>
    <x v="54"/>
    <n v="263.56"/>
    <x v="1"/>
    <x v="1"/>
    <x v="0"/>
    <x v="3"/>
    <n v="524.58000000000004"/>
  </r>
  <r>
    <d v="2024-04-10T00:00:00"/>
    <s v="cogs:product 2"/>
    <n v="16.989999999999998"/>
    <x v="7"/>
    <n v="152.91"/>
    <x v="1"/>
    <x v="2"/>
    <x v="0"/>
    <x v="3"/>
    <n v="-275.54000000000002"/>
  </r>
  <r>
    <d v="2024-04-10T00:00:00"/>
    <s v="cogs:product 3"/>
    <n v="8.49"/>
    <x v="119"/>
    <n v="416.01"/>
    <x v="1"/>
    <x v="3"/>
    <x v="0"/>
    <x v="3"/>
    <n v="-152.91"/>
  </r>
  <r>
    <d v="2024-04-10T00:00:00"/>
    <s v="marketing"/>
    <s v="NA"/>
    <x v="0"/>
    <n v="100"/>
    <x v="2"/>
    <x v="0"/>
    <x v="0"/>
    <x v="3"/>
    <n v="-670.71"/>
  </r>
  <r>
    <d v="2024-04-10T00:00:00"/>
    <s v="net sales:product 1"/>
    <n v="9.99"/>
    <x v="54"/>
    <n v="439.56"/>
    <x v="3"/>
    <x v="1"/>
    <x v="0"/>
    <x v="3"/>
    <n v="-99.95"/>
  </r>
  <r>
    <d v="2024-04-10T00:00:00"/>
    <s v="net sales:product 2"/>
    <n v="24.99"/>
    <x v="7"/>
    <n v="224.91"/>
    <x v="3"/>
    <x v="2"/>
    <x v="0"/>
    <x v="3"/>
    <n v="459.54"/>
  </r>
  <r>
    <d v="2024-04-10T00:00:00"/>
    <s v="net sales:product 3"/>
    <n v="12.49"/>
    <x v="119"/>
    <n v="612.01"/>
    <x v="3"/>
    <x v="3"/>
    <x v="0"/>
    <x v="3"/>
    <n v="224.91"/>
  </r>
  <r>
    <d v="2024-04-11T00:00:00"/>
    <s v="cogs:product 1"/>
    <n v="5.99"/>
    <x v="120"/>
    <n v="479.20000000000005"/>
    <x v="1"/>
    <x v="1"/>
    <x v="0"/>
    <x v="3"/>
    <n v="986.71"/>
  </r>
  <r>
    <d v="2024-04-11T00:00:00"/>
    <s v="cogs:product 2"/>
    <n v="16.989999999999998"/>
    <x v="2"/>
    <n v="50.97"/>
    <x v="1"/>
    <x v="2"/>
    <x v="0"/>
    <x v="3"/>
    <n v="-593.01"/>
  </r>
  <r>
    <d v="2024-04-11T00:00:00"/>
    <s v="cogs:product 3"/>
    <n v="8.49"/>
    <x v="121"/>
    <n v="1714.98"/>
    <x v="1"/>
    <x v="3"/>
    <x v="0"/>
    <x v="3"/>
    <n v="-33.979999999999997"/>
  </r>
  <r>
    <d v="2024-04-11T00:00:00"/>
    <s v="marketing"/>
    <s v="NA"/>
    <x v="0"/>
    <n v="100.06"/>
    <x v="2"/>
    <x v="0"/>
    <x v="0"/>
    <x v="3"/>
    <n v="-1069.74"/>
  </r>
  <r>
    <d v="2024-04-11T00:00:00"/>
    <s v="net sales:product 1"/>
    <n v="9.99"/>
    <x v="120"/>
    <n v="799.2"/>
    <x v="3"/>
    <x v="1"/>
    <x v="0"/>
    <x v="3"/>
    <n v="-100.07000000000001"/>
  </r>
  <r>
    <d v="2024-04-11T00:00:00"/>
    <s v="net sales:product 2"/>
    <n v="24.99"/>
    <x v="2"/>
    <n v="74.97"/>
    <x v="3"/>
    <x v="2"/>
    <x v="0"/>
    <x v="3"/>
    <n v="989.01"/>
  </r>
  <r>
    <d v="2024-04-11T00:00:00"/>
    <s v="net sales:product 3"/>
    <n v="12.49"/>
    <x v="121"/>
    <n v="2522.98"/>
    <x v="3"/>
    <x v="3"/>
    <x v="0"/>
    <x v="3"/>
    <n v="49.98"/>
  </r>
  <r>
    <d v="2024-04-12T00:00:00"/>
    <s v="cogs:product 1"/>
    <n v="5.99"/>
    <x v="83"/>
    <n v="275.54000000000002"/>
    <x v="1"/>
    <x v="1"/>
    <x v="0"/>
    <x v="3"/>
    <n v="1573.74"/>
  </r>
  <r>
    <d v="2024-04-12T00:00:00"/>
    <s v="cogs:product 2"/>
    <n v="16.989999999999998"/>
    <x v="7"/>
    <n v="152.91"/>
    <x v="1"/>
    <x v="2"/>
    <x v="0"/>
    <x v="3"/>
    <n v="-305.49"/>
  </r>
  <r>
    <d v="2024-04-12T00:00:00"/>
    <s v="cogs:product 3"/>
    <n v="8.49"/>
    <x v="54"/>
    <n v="373.56"/>
    <x v="1"/>
    <x v="3"/>
    <x v="0"/>
    <x v="3"/>
    <n v="-135.91999999999999"/>
  </r>
  <r>
    <d v="2024-04-12T00:00:00"/>
    <s v="marketing"/>
    <s v="NA"/>
    <x v="0"/>
    <n v="99.95"/>
    <x v="2"/>
    <x v="0"/>
    <x v="0"/>
    <x v="3"/>
    <n v="-1001.82"/>
  </r>
  <r>
    <d v="2024-04-12T00:00:00"/>
    <s v="net sales:product 1"/>
    <n v="9.99"/>
    <x v="83"/>
    <n v="459.54"/>
    <x v="3"/>
    <x v="1"/>
    <x v="0"/>
    <x v="3"/>
    <n v="-99.92"/>
  </r>
  <r>
    <d v="2024-04-12T00:00:00"/>
    <s v="net sales:product 2"/>
    <n v="24.99"/>
    <x v="7"/>
    <n v="224.91"/>
    <x v="3"/>
    <x v="2"/>
    <x v="0"/>
    <x v="3"/>
    <n v="509.49"/>
  </r>
  <r>
    <d v="2024-04-12T00:00:00"/>
    <s v="net sales:product 3"/>
    <n v="12.49"/>
    <x v="54"/>
    <n v="549.56000000000006"/>
    <x v="3"/>
    <x v="3"/>
    <x v="0"/>
    <x v="3"/>
    <n v="199.92"/>
  </r>
  <r>
    <d v="2024-04-12T00:00:00"/>
    <s v="payroll"/>
    <s v="NA"/>
    <x v="0"/>
    <n v="1200"/>
    <x v="5"/>
    <x v="0"/>
    <x v="0"/>
    <x v="3"/>
    <n v="1473.82"/>
  </r>
  <r>
    <d v="2024-04-13T00:00:00"/>
    <s v="cogs:product 1"/>
    <n v="5.99"/>
    <x v="78"/>
    <n v="335.44"/>
    <x v="1"/>
    <x v="1"/>
    <x v="0"/>
    <x v="3"/>
    <n v="-413.31"/>
  </r>
  <r>
    <d v="2024-04-13T00:00:00"/>
    <s v="cogs:product 2"/>
    <n v="16.989999999999998"/>
    <x v="2"/>
    <n v="50.97"/>
    <x v="1"/>
    <x v="2"/>
    <x v="0"/>
    <x v="3"/>
    <n v="-33.979999999999997"/>
  </r>
  <r>
    <d v="2024-04-13T00:00:00"/>
    <s v="cogs:product 3"/>
    <n v="8.49"/>
    <x v="57"/>
    <n v="1451.79"/>
    <x v="1"/>
    <x v="3"/>
    <x v="0"/>
    <x v="3"/>
    <n v="-696.18000000000006"/>
  </r>
  <r>
    <d v="2024-04-13T00:00:00"/>
    <s v="marketing"/>
    <s v="NA"/>
    <x v="0"/>
    <n v="99.9"/>
    <x v="2"/>
    <x v="0"/>
    <x v="0"/>
    <x v="3"/>
    <n v="-100.10000000000001"/>
  </r>
  <r>
    <d v="2024-04-13T00:00:00"/>
    <s v="net sales:product 1"/>
    <n v="9.99"/>
    <x v="78"/>
    <n v="559.44000000000005"/>
    <x v="3"/>
    <x v="1"/>
    <x v="0"/>
    <x v="3"/>
    <n v="689.31000000000006"/>
  </r>
  <r>
    <d v="2024-04-13T00:00:00"/>
    <s v="net sales:product 2"/>
    <n v="24.99"/>
    <x v="2"/>
    <n v="74.97"/>
    <x v="3"/>
    <x v="2"/>
    <x v="0"/>
    <x v="3"/>
    <n v="49.98"/>
  </r>
  <r>
    <d v="2024-04-13T00:00:00"/>
    <s v="net sales:product 3"/>
    <n v="12.49"/>
    <x v="57"/>
    <n v="2135.79"/>
    <x v="3"/>
    <x v="3"/>
    <x v="0"/>
    <x v="3"/>
    <n v="1024.18"/>
  </r>
  <r>
    <d v="2024-04-14T00:00:00"/>
    <s v="cogs:product 1"/>
    <n v="5.99"/>
    <x v="122"/>
    <n v="155.74"/>
    <x v="1"/>
    <x v="1"/>
    <x v="0"/>
    <x v="3"/>
    <n v="-167.72"/>
  </r>
  <r>
    <d v="2024-04-14T00:00:00"/>
    <s v="cogs:product 2"/>
    <n v="16.989999999999998"/>
    <x v="22"/>
    <n v="169.89999999999998"/>
    <x v="1"/>
    <x v="2"/>
    <x v="0"/>
    <x v="3"/>
    <n v="-16.989999999999998"/>
  </r>
  <r>
    <d v="2024-04-14T00:00:00"/>
    <s v="cogs:product 3"/>
    <n v="8.49"/>
    <x v="21"/>
    <n v="101.88"/>
    <x v="1"/>
    <x v="3"/>
    <x v="0"/>
    <x v="3"/>
    <n v="-2012.13"/>
  </r>
  <r>
    <d v="2024-04-14T00:00:00"/>
    <s v="marketing"/>
    <s v="NA"/>
    <x v="0"/>
    <n v="99.91"/>
    <x v="2"/>
    <x v="0"/>
    <x v="0"/>
    <x v="3"/>
    <n v="-1214.1199999999999"/>
  </r>
  <r>
    <d v="2024-04-14T00:00:00"/>
    <s v="net sales:product 1"/>
    <n v="9.99"/>
    <x v="122"/>
    <n v="259.74"/>
    <x v="3"/>
    <x v="1"/>
    <x v="0"/>
    <x v="3"/>
    <n v="-99.990000000000009"/>
  </r>
  <r>
    <d v="2024-04-14T00:00:00"/>
    <s v="net sales:product 2"/>
    <n v="24.99"/>
    <x v="22"/>
    <n v="249.89999999999998"/>
    <x v="3"/>
    <x v="2"/>
    <x v="0"/>
    <x v="3"/>
    <n v="279.72000000000003"/>
  </r>
  <r>
    <d v="2024-04-14T00:00:00"/>
    <s v="net sales:product 3"/>
    <n v="12.49"/>
    <x v="21"/>
    <n v="149.88"/>
    <x v="3"/>
    <x v="3"/>
    <x v="0"/>
    <x v="3"/>
    <n v="24.99"/>
  </r>
  <r>
    <d v="2024-04-15T00:00:00"/>
    <s v="cogs:product 1"/>
    <n v="5.99"/>
    <x v="74"/>
    <n v="329.45"/>
    <x v="1"/>
    <x v="1"/>
    <x v="0"/>
    <x v="3"/>
    <n v="2960.13"/>
  </r>
  <r>
    <d v="2024-04-15T00:00:00"/>
    <s v="cogs:product 2"/>
    <n v="16.989999999999998"/>
    <x v="19"/>
    <n v="67.959999999999994"/>
    <x v="1"/>
    <x v="2"/>
    <x v="0"/>
    <x v="3"/>
    <n v="-303.52999999999997"/>
  </r>
  <r>
    <d v="2024-04-15T00:00:00"/>
    <s v="cogs:product 3"/>
    <n v="8.49"/>
    <x v="123"/>
    <n v="1103.7"/>
    <x v="1"/>
    <x v="3"/>
    <x v="0"/>
    <x v="3"/>
    <n v="-1200"/>
  </r>
  <r>
    <d v="2024-04-15T00:00:00"/>
    <s v="interest"/>
    <s v="NA"/>
    <x v="0"/>
    <n v="1290.6400000000001"/>
    <x v="6"/>
    <x v="0"/>
    <x v="0"/>
    <x v="3"/>
    <n v="-587.02"/>
  </r>
  <r>
    <d v="2024-04-15T00:00:00"/>
    <s v="marketing"/>
    <s v="NA"/>
    <x v="0"/>
    <n v="99.990000000000009"/>
    <x v="2"/>
    <x v="0"/>
    <x v="0"/>
    <x v="3"/>
    <n v="-135.91999999999999"/>
  </r>
  <r>
    <d v="2024-04-15T00:00:00"/>
    <s v="net sales:product 1"/>
    <n v="9.99"/>
    <x v="74"/>
    <n v="549.45000000000005"/>
    <x v="3"/>
    <x v="1"/>
    <x v="0"/>
    <x v="3"/>
    <n v="-696.18000000000006"/>
  </r>
  <r>
    <d v="2024-04-15T00:00:00"/>
    <s v="net sales:product 2"/>
    <n v="24.99"/>
    <x v="19"/>
    <n v="99.96"/>
    <x v="3"/>
    <x v="2"/>
    <x v="0"/>
    <x v="3"/>
    <n v="-99.91"/>
  </r>
  <r>
    <d v="2024-04-15T00:00:00"/>
    <s v="net sales:product 3"/>
    <n v="12.49"/>
    <x v="123"/>
    <n v="1623.7"/>
    <x v="3"/>
    <x v="3"/>
    <x v="0"/>
    <x v="3"/>
    <n v="979.02"/>
  </r>
  <r>
    <d v="2024-04-15T00:00:00"/>
    <s v="overhead"/>
    <s v="NA"/>
    <x v="0"/>
    <n v="293.93"/>
    <x v="4"/>
    <x v="0"/>
    <x v="0"/>
    <x v="3"/>
    <n v="199.92"/>
  </r>
  <r>
    <d v="2024-04-16T00:00:00"/>
    <s v="cogs:product 1"/>
    <n v="5.99"/>
    <x v="29"/>
    <n v="29.950000000000003"/>
    <x v="1"/>
    <x v="1"/>
    <x v="0"/>
    <x v="3"/>
    <n v="1024.18"/>
  </r>
  <r>
    <d v="2024-04-16T00:00:00"/>
    <s v="cogs:product 2"/>
    <n v="16.989999999999998"/>
    <x v="29"/>
    <n v="84.949999999999989"/>
    <x v="1"/>
    <x v="2"/>
    <x v="0"/>
    <x v="3"/>
    <n v="-281.53000000000003"/>
  </r>
  <r>
    <d v="2024-04-16T00:00:00"/>
    <s v="cogs:product 3"/>
    <n v="8.49"/>
    <x v="124"/>
    <n v="288.66000000000003"/>
    <x v="1"/>
    <x v="3"/>
    <x v="0"/>
    <x v="3"/>
    <n v="-50.97"/>
  </r>
  <r>
    <d v="2024-04-16T00:00:00"/>
    <s v="marketing"/>
    <s v="NA"/>
    <x v="0"/>
    <n v="100.05"/>
    <x v="2"/>
    <x v="0"/>
    <x v="0"/>
    <x v="3"/>
    <n v="-628.26"/>
  </r>
  <r>
    <d v="2024-04-16T00:00:00"/>
    <s v="net sales:product 1"/>
    <n v="9.99"/>
    <x v="29"/>
    <n v="49.95"/>
    <x v="3"/>
    <x v="1"/>
    <x v="0"/>
    <x v="3"/>
    <n v="-100.09"/>
  </r>
  <r>
    <d v="2024-04-16T00:00:00"/>
    <s v="net sales:product 2"/>
    <n v="24.99"/>
    <x v="29"/>
    <n v="124.94999999999999"/>
    <x v="3"/>
    <x v="2"/>
    <x v="0"/>
    <x v="3"/>
    <n v="469.53000000000003"/>
  </r>
  <r>
    <d v="2024-04-16T00:00:00"/>
    <s v="net sales:product 3"/>
    <n v="12.49"/>
    <x v="124"/>
    <n v="424.66"/>
    <x v="3"/>
    <x v="3"/>
    <x v="0"/>
    <x v="3"/>
    <n v="74.97"/>
  </r>
  <r>
    <d v="2024-04-17T00:00:00"/>
    <s v="cogs:product 1"/>
    <n v="5.99"/>
    <x v="120"/>
    <n v="479.20000000000005"/>
    <x v="1"/>
    <x v="1"/>
    <x v="0"/>
    <x v="3"/>
    <n v="924.26"/>
  </r>
  <r>
    <d v="2024-04-17T00:00:00"/>
    <s v="cogs:product 2"/>
    <n v="16.989999999999998"/>
    <x v="7"/>
    <n v="152.91"/>
    <x v="1"/>
    <x v="2"/>
    <x v="0"/>
    <x v="3"/>
    <n v="-263.56"/>
  </r>
  <r>
    <d v="2024-04-17T00:00:00"/>
    <s v="cogs:product 3"/>
    <n v="8.49"/>
    <x v="23"/>
    <n v="0"/>
    <x v="1"/>
    <x v="3"/>
    <x v="0"/>
    <x v="3"/>
    <n v="-67.959999999999994"/>
  </r>
  <r>
    <d v="2024-04-17T00:00:00"/>
    <s v="marketing"/>
    <s v="NA"/>
    <x v="0"/>
    <n v="99.960000000000008"/>
    <x v="2"/>
    <x v="0"/>
    <x v="0"/>
    <x v="3"/>
    <n v="-806.55000000000007"/>
  </r>
  <r>
    <d v="2024-04-17T00:00:00"/>
    <s v="net sales:product 1"/>
    <n v="9.99"/>
    <x v="120"/>
    <n v="799.2"/>
    <x v="3"/>
    <x v="1"/>
    <x v="0"/>
    <x v="3"/>
    <n v="-99.92"/>
  </r>
  <r>
    <d v="2024-04-17T00:00:00"/>
    <s v="net sales:product 2"/>
    <n v="24.99"/>
    <x v="7"/>
    <n v="224.91"/>
    <x v="3"/>
    <x v="2"/>
    <x v="0"/>
    <x v="3"/>
    <n v="439.56"/>
  </r>
  <r>
    <d v="2024-04-17T00:00:00"/>
    <s v="net sales:product 3"/>
    <n v="12.49"/>
    <x v="23"/>
    <n v="0"/>
    <x v="3"/>
    <x v="3"/>
    <x v="0"/>
    <x v="3"/>
    <n v="99.96"/>
  </r>
  <r>
    <d v="2024-04-18T00:00:00"/>
    <s v="cogs:product 1"/>
    <n v="5.99"/>
    <x v="80"/>
    <n v="257.57"/>
    <x v="1"/>
    <x v="1"/>
    <x v="0"/>
    <x v="3"/>
    <n v="1186.55"/>
  </r>
  <r>
    <d v="2024-04-18T00:00:00"/>
    <s v="cogs:product 2"/>
    <n v="16.989999999999998"/>
    <x v="19"/>
    <n v="67.959999999999994"/>
    <x v="1"/>
    <x v="2"/>
    <x v="0"/>
    <x v="3"/>
    <n v="-197.67000000000002"/>
  </r>
  <r>
    <d v="2024-04-18T00:00:00"/>
    <s v="cogs:product 3"/>
    <n v="8.49"/>
    <x v="87"/>
    <n v="135.84"/>
    <x v="1"/>
    <x v="3"/>
    <x v="0"/>
    <x v="3"/>
    <n v="-67.959999999999994"/>
  </r>
  <r>
    <d v="2024-04-18T00:00:00"/>
    <s v="marketing"/>
    <s v="NA"/>
    <x v="0"/>
    <n v="100.02"/>
    <x v="2"/>
    <x v="0"/>
    <x v="0"/>
    <x v="3"/>
    <n v="-432.99"/>
  </r>
  <r>
    <d v="2024-04-18T00:00:00"/>
    <s v="net sales:product 1"/>
    <n v="9.99"/>
    <x v="80"/>
    <n v="429.57"/>
    <x v="3"/>
    <x v="1"/>
    <x v="0"/>
    <x v="3"/>
    <n v="-100"/>
  </r>
  <r>
    <d v="2024-04-18T00:00:00"/>
    <s v="net sales:product 2"/>
    <n v="24.99"/>
    <x v="19"/>
    <n v="99.96"/>
    <x v="3"/>
    <x v="2"/>
    <x v="0"/>
    <x v="3"/>
    <n v="329.67"/>
  </r>
  <r>
    <d v="2024-04-18T00:00:00"/>
    <s v="net sales:product 3"/>
    <n v="12.49"/>
    <x v="87"/>
    <n v="199.84"/>
    <x v="3"/>
    <x v="3"/>
    <x v="0"/>
    <x v="3"/>
    <n v="99.96"/>
  </r>
  <r>
    <d v="2024-04-19T00:00:00"/>
    <s v="cogs:product 1"/>
    <n v="5.99"/>
    <x v="71"/>
    <n v="497.17"/>
    <x v="1"/>
    <x v="1"/>
    <x v="0"/>
    <x v="3"/>
    <n v="636.99"/>
  </r>
  <r>
    <d v="2024-04-19T00:00:00"/>
    <s v="cogs:product 2"/>
    <n v="16.989999999999998"/>
    <x v="10"/>
    <n v="33.979999999999997"/>
    <x v="1"/>
    <x v="2"/>
    <x v="0"/>
    <x v="3"/>
    <n v="-53.910000000000004"/>
  </r>
  <r>
    <d v="2024-04-19T00:00:00"/>
    <s v="cogs:product 3"/>
    <n v="8.49"/>
    <x v="125"/>
    <n v="1400.8500000000001"/>
    <x v="1"/>
    <x v="3"/>
    <x v="0"/>
    <x v="3"/>
    <n v="-101.94"/>
  </r>
  <r>
    <d v="2024-04-19T00:00:00"/>
    <s v="marketing"/>
    <s v="NA"/>
    <x v="0"/>
    <n v="100.06"/>
    <x v="2"/>
    <x v="0"/>
    <x v="0"/>
    <x v="3"/>
    <n v="0"/>
  </r>
  <r>
    <d v="2024-04-19T00:00:00"/>
    <s v="net sales:product 1"/>
    <n v="9.99"/>
    <x v="71"/>
    <n v="829.17000000000007"/>
    <x v="3"/>
    <x v="1"/>
    <x v="0"/>
    <x v="3"/>
    <n v="-100.08"/>
  </r>
  <r>
    <d v="2024-04-19T00:00:00"/>
    <s v="net sales:product 2"/>
    <n v="24.99"/>
    <x v="10"/>
    <n v="49.98"/>
    <x v="3"/>
    <x v="2"/>
    <x v="0"/>
    <x v="3"/>
    <n v="89.91"/>
  </r>
  <r>
    <d v="2024-04-19T00:00:00"/>
    <s v="net sales:product 3"/>
    <n v="12.49"/>
    <x v="125"/>
    <n v="2060.85"/>
    <x v="3"/>
    <x v="3"/>
    <x v="0"/>
    <x v="3"/>
    <n v="149.94"/>
  </r>
  <r>
    <d v="2024-04-20T00:00:00"/>
    <s v="cogs:product 1"/>
    <n v="5.99"/>
    <x v="107"/>
    <n v="197.67000000000002"/>
    <x v="1"/>
    <x v="1"/>
    <x v="0"/>
    <x v="3"/>
    <n v="0"/>
  </r>
  <r>
    <d v="2024-04-20T00:00:00"/>
    <s v="cogs:product 2"/>
    <n v="16.989999999999998"/>
    <x v="2"/>
    <n v="50.97"/>
    <x v="1"/>
    <x v="2"/>
    <x v="0"/>
    <x v="3"/>
    <n v="-257.57"/>
  </r>
  <r>
    <d v="2024-04-20T00:00:00"/>
    <s v="cogs:product 3"/>
    <n v="8.49"/>
    <x v="99"/>
    <n v="1129.17"/>
    <x v="1"/>
    <x v="3"/>
    <x v="0"/>
    <x v="3"/>
    <n v="-84.949999999999989"/>
  </r>
  <r>
    <d v="2024-04-20T00:00:00"/>
    <s v="marketing"/>
    <s v="NA"/>
    <x v="0"/>
    <n v="99.91"/>
    <x v="2"/>
    <x v="0"/>
    <x v="0"/>
    <x v="3"/>
    <n v="-169.8"/>
  </r>
  <r>
    <d v="2024-04-20T00:00:00"/>
    <s v="net sales:product 1"/>
    <n v="9.99"/>
    <x v="107"/>
    <n v="329.67"/>
    <x v="3"/>
    <x v="1"/>
    <x v="0"/>
    <x v="3"/>
    <n v="-100.08"/>
  </r>
  <r>
    <d v="2024-04-20T00:00:00"/>
    <s v="net sales:product 2"/>
    <n v="24.99"/>
    <x v="2"/>
    <n v="74.97"/>
    <x v="3"/>
    <x v="2"/>
    <x v="0"/>
    <x v="3"/>
    <n v="429.57"/>
  </r>
  <r>
    <d v="2024-04-20T00:00:00"/>
    <s v="net sales:product 3"/>
    <n v="12.49"/>
    <x v="99"/>
    <n v="1661.17"/>
    <x v="3"/>
    <x v="3"/>
    <x v="0"/>
    <x v="3"/>
    <n v="124.94999999999999"/>
  </r>
  <r>
    <d v="2024-04-21T00:00:00"/>
    <s v="cogs:product 1"/>
    <n v="5.99"/>
    <x v="6"/>
    <n v="221.63"/>
    <x v="1"/>
    <x v="1"/>
    <x v="0"/>
    <x v="3"/>
    <n v="249.8"/>
  </r>
  <r>
    <d v="2024-04-21T00:00:00"/>
    <s v="cogs:product 2"/>
    <n v="16.989999999999998"/>
    <x v="10"/>
    <n v="33.979999999999997"/>
    <x v="1"/>
    <x v="2"/>
    <x v="0"/>
    <x v="3"/>
    <n v="-5.99"/>
  </r>
  <r>
    <d v="2024-04-21T00:00:00"/>
    <s v="cogs:product 3"/>
    <n v="8.49"/>
    <x v="82"/>
    <n v="755.61"/>
    <x v="1"/>
    <x v="3"/>
    <x v="0"/>
    <x v="3"/>
    <n v="-84.949999999999989"/>
  </r>
  <r>
    <d v="2024-04-21T00:00:00"/>
    <s v="marketing"/>
    <s v="NA"/>
    <x v="0"/>
    <n v="100.05"/>
    <x v="2"/>
    <x v="0"/>
    <x v="0"/>
    <x v="3"/>
    <n v="-815.04"/>
  </r>
  <r>
    <d v="2024-04-21T00:00:00"/>
    <s v="net sales:product 1"/>
    <n v="9.99"/>
    <x v="6"/>
    <n v="369.63"/>
    <x v="3"/>
    <x v="1"/>
    <x v="0"/>
    <x v="3"/>
    <n v="-99.92"/>
  </r>
  <r>
    <d v="2024-04-21T00:00:00"/>
    <s v="net sales:product 2"/>
    <n v="24.99"/>
    <x v="10"/>
    <n v="49.98"/>
    <x v="3"/>
    <x v="2"/>
    <x v="0"/>
    <x v="3"/>
    <n v="9.99"/>
  </r>
  <r>
    <d v="2024-04-21T00:00:00"/>
    <s v="net sales:product 3"/>
    <n v="12.49"/>
    <x v="82"/>
    <n v="1111.6100000000001"/>
    <x v="3"/>
    <x v="3"/>
    <x v="0"/>
    <x v="3"/>
    <n v="124.94999999999999"/>
  </r>
  <r>
    <d v="2024-04-22T00:00:00"/>
    <s v="cogs:product 1"/>
    <n v="5.99"/>
    <x v="78"/>
    <n v="335.44"/>
    <x v="1"/>
    <x v="1"/>
    <x v="0"/>
    <x v="3"/>
    <n v="1199.04"/>
  </r>
  <r>
    <d v="2024-04-22T00:00:00"/>
    <s v="cogs:product 2"/>
    <n v="16.989999999999998"/>
    <x v="42"/>
    <n v="101.94"/>
    <x v="1"/>
    <x v="2"/>
    <x v="0"/>
    <x v="3"/>
    <n v="-269.55"/>
  </r>
  <r>
    <d v="2024-04-22T00:00:00"/>
    <s v="cogs:product 3"/>
    <n v="8.49"/>
    <x v="23"/>
    <n v="0"/>
    <x v="1"/>
    <x v="3"/>
    <x v="0"/>
    <x v="3"/>
    <n v="-16.989999999999998"/>
  </r>
  <r>
    <d v="2024-04-22T00:00:00"/>
    <s v="marketing"/>
    <s v="NA"/>
    <x v="0"/>
    <n v="99.98"/>
    <x v="2"/>
    <x v="0"/>
    <x v="0"/>
    <x v="3"/>
    <n v="-1859.31"/>
  </r>
  <r>
    <d v="2024-04-22T00:00:00"/>
    <s v="net sales:product 1"/>
    <n v="9.99"/>
    <x v="78"/>
    <n v="559.44000000000005"/>
    <x v="3"/>
    <x v="1"/>
    <x v="0"/>
    <x v="3"/>
    <n v="-100.02"/>
  </r>
  <r>
    <d v="2024-04-22T00:00:00"/>
    <s v="net sales:product 2"/>
    <n v="24.99"/>
    <x v="42"/>
    <n v="149.94"/>
    <x v="3"/>
    <x v="2"/>
    <x v="0"/>
    <x v="3"/>
    <n v="449.55"/>
  </r>
  <r>
    <d v="2024-04-22T00:00:00"/>
    <s v="net sales:product 3"/>
    <n v="12.49"/>
    <x v="23"/>
    <n v="0"/>
    <x v="3"/>
    <x v="3"/>
    <x v="0"/>
    <x v="3"/>
    <n v="24.99"/>
  </r>
  <r>
    <d v="2024-04-23T00:00:00"/>
    <s v="cogs:product 1"/>
    <n v="5.99"/>
    <x v="88"/>
    <n v="161.73000000000002"/>
    <x v="1"/>
    <x v="1"/>
    <x v="0"/>
    <x v="3"/>
    <n v="2735.31"/>
  </r>
  <r>
    <d v="2024-04-23T00:00:00"/>
    <s v="cogs:product 2"/>
    <n v="16.989999999999998"/>
    <x v="13"/>
    <n v="118.92999999999999"/>
    <x v="1"/>
    <x v="2"/>
    <x v="0"/>
    <x v="3"/>
    <n v="-365.39"/>
  </r>
  <r>
    <d v="2024-04-23T00:00:00"/>
    <s v="cogs:product 3"/>
    <n v="8.49"/>
    <x v="126"/>
    <n v="1426.32"/>
    <x v="1"/>
    <x v="3"/>
    <x v="0"/>
    <x v="3"/>
    <n v="-33.979999999999997"/>
  </r>
  <r>
    <d v="2024-04-23T00:00:00"/>
    <s v="marketing"/>
    <s v="NA"/>
    <x v="0"/>
    <n v="99.92"/>
    <x v="2"/>
    <x v="0"/>
    <x v="0"/>
    <x v="3"/>
    <n v="-806.55000000000007"/>
  </r>
  <r>
    <d v="2024-04-23T00:00:00"/>
    <s v="net sales:product 1"/>
    <n v="9.99"/>
    <x v="88"/>
    <n v="269.73"/>
    <x v="3"/>
    <x v="1"/>
    <x v="0"/>
    <x v="3"/>
    <n v="-100.02"/>
  </r>
  <r>
    <d v="2024-04-23T00:00:00"/>
    <s v="net sales:product 2"/>
    <n v="24.99"/>
    <x v="13"/>
    <n v="174.92999999999998"/>
    <x v="3"/>
    <x v="2"/>
    <x v="0"/>
    <x v="3"/>
    <n v="609.39"/>
  </r>
  <r>
    <d v="2024-04-23T00:00:00"/>
    <s v="net sales:product 3"/>
    <n v="12.49"/>
    <x v="126"/>
    <n v="2098.3200000000002"/>
    <x v="3"/>
    <x v="3"/>
    <x v="0"/>
    <x v="3"/>
    <n v="49.98"/>
  </r>
  <r>
    <d v="2024-04-24T00:00:00"/>
    <s v="cogs:product 1"/>
    <n v="5.99"/>
    <x v="127"/>
    <n v="83.86"/>
    <x v="1"/>
    <x v="1"/>
    <x v="0"/>
    <x v="3"/>
    <n v="1186.55"/>
  </r>
  <r>
    <d v="2024-04-24T00:00:00"/>
    <s v="cogs:product 2"/>
    <n v="16.989999999999998"/>
    <x v="42"/>
    <n v="101.94"/>
    <x v="1"/>
    <x v="2"/>
    <x v="0"/>
    <x v="3"/>
    <n v="-131.78"/>
  </r>
  <r>
    <d v="2024-04-24T00:00:00"/>
    <s v="cogs:product 3"/>
    <n v="8.49"/>
    <x v="26"/>
    <n v="178.29"/>
    <x v="1"/>
    <x v="3"/>
    <x v="0"/>
    <x v="3"/>
    <n v="-101.94"/>
  </r>
  <r>
    <d v="2024-04-24T00:00:00"/>
    <s v="marketing"/>
    <s v="NA"/>
    <x v="0"/>
    <n v="100.03"/>
    <x v="2"/>
    <x v="0"/>
    <x v="0"/>
    <x v="3"/>
    <n v="-1146.1500000000001"/>
  </r>
  <r>
    <d v="2024-04-24T00:00:00"/>
    <s v="net sales:product 1"/>
    <n v="9.99"/>
    <x v="127"/>
    <n v="139.86000000000001"/>
    <x v="3"/>
    <x v="1"/>
    <x v="0"/>
    <x v="3"/>
    <n v="-100"/>
  </r>
  <r>
    <d v="2024-04-24T00:00:00"/>
    <s v="net sales:product 2"/>
    <n v="24.99"/>
    <x v="42"/>
    <n v="149.94"/>
    <x v="3"/>
    <x v="2"/>
    <x v="0"/>
    <x v="3"/>
    <n v="219.78"/>
  </r>
  <r>
    <d v="2024-04-24T00:00:00"/>
    <s v="net sales:product 3"/>
    <n v="12.49"/>
    <x v="26"/>
    <n v="262.29000000000002"/>
    <x v="3"/>
    <x v="3"/>
    <x v="0"/>
    <x v="3"/>
    <n v="149.94"/>
  </r>
  <r>
    <d v="2024-04-25T00:00:00"/>
    <s v="cogs:product 1"/>
    <n v="5.99"/>
    <x v="128"/>
    <n v="245.59"/>
    <x v="1"/>
    <x v="1"/>
    <x v="0"/>
    <x v="3"/>
    <n v="1686.15"/>
  </r>
  <r>
    <d v="2024-04-25T00:00:00"/>
    <s v="cogs:product 2"/>
    <n v="16.989999999999998"/>
    <x v="23"/>
    <n v="0"/>
    <x v="1"/>
    <x v="2"/>
    <x v="0"/>
    <x v="3"/>
    <n v="-407.32"/>
  </r>
  <r>
    <d v="2024-04-25T00:00:00"/>
    <s v="cogs:product 3"/>
    <n v="8.49"/>
    <x v="9"/>
    <n v="331.11"/>
    <x v="1"/>
    <x v="3"/>
    <x v="0"/>
    <x v="3"/>
    <n v="-118.92999999999999"/>
  </r>
  <r>
    <d v="2024-04-25T00:00:00"/>
    <s v="marketing"/>
    <s v="NA"/>
    <x v="0"/>
    <n v="99.9"/>
    <x v="2"/>
    <x v="0"/>
    <x v="0"/>
    <x v="3"/>
    <n v="-823.53"/>
  </r>
  <r>
    <d v="2024-04-25T00:00:00"/>
    <s v="net sales:product 1"/>
    <n v="9.99"/>
    <x v="128"/>
    <n v="409.59000000000003"/>
    <x v="3"/>
    <x v="1"/>
    <x v="0"/>
    <x v="3"/>
    <n v="-99.9"/>
  </r>
  <r>
    <d v="2024-04-25T00:00:00"/>
    <s v="net sales:product 2"/>
    <n v="24.99"/>
    <x v="23"/>
    <n v="0"/>
    <x v="3"/>
    <x v="2"/>
    <x v="0"/>
    <x v="3"/>
    <n v="679.32"/>
  </r>
  <r>
    <d v="2024-04-25T00:00:00"/>
    <s v="net sales:product 3"/>
    <n v="12.49"/>
    <x v="9"/>
    <n v="487.11"/>
    <x v="3"/>
    <x v="3"/>
    <x v="0"/>
    <x v="3"/>
    <n v="174.92999999999998"/>
  </r>
  <r>
    <d v="2024-04-26T00:00:00"/>
    <s v="cogs:product 1"/>
    <n v="5.99"/>
    <x v="97"/>
    <n v="341.43"/>
    <x v="1"/>
    <x v="1"/>
    <x v="0"/>
    <x v="3"/>
    <n v="1211.53"/>
  </r>
  <r>
    <d v="2024-04-26T00:00:00"/>
    <s v="cogs:product 2"/>
    <n v="16.989999999999998"/>
    <x v="10"/>
    <n v="33.979999999999997"/>
    <x v="1"/>
    <x v="2"/>
    <x v="0"/>
    <x v="3"/>
    <n v="-65.89"/>
  </r>
  <r>
    <d v="2024-04-26T00:00:00"/>
    <s v="cogs:product 3"/>
    <n v="8.49"/>
    <x v="86"/>
    <n v="237.72"/>
    <x v="1"/>
    <x v="3"/>
    <x v="0"/>
    <x v="3"/>
    <n v="-101.94"/>
  </r>
  <r>
    <d v="2024-04-26T00:00:00"/>
    <s v="marketing"/>
    <s v="NA"/>
    <x v="0"/>
    <n v="100.07000000000001"/>
    <x v="2"/>
    <x v="0"/>
    <x v="0"/>
    <x v="3"/>
    <n v="-1494.24"/>
  </r>
  <r>
    <d v="2024-04-26T00:00:00"/>
    <s v="net sales:product 1"/>
    <n v="9.99"/>
    <x v="97"/>
    <n v="569.43000000000006"/>
    <x v="3"/>
    <x v="1"/>
    <x v="0"/>
    <x v="3"/>
    <n v="-100.02"/>
  </r>
  <r>
    <d v="2024-04-26T00:00:00"/>
    <s v="net sales:product 2"/>
    <n v="24.99"/>
    <x v="10"/>
    <n v="49.98"/>
    <x v="3"/>
    <x v="2"/>
    <x v="0"/>
    <x v="3"/>
    <n v="109.89"/>
  </r>
  <r>
    <d v="2024-04-26T00:00:00"/>
    <s v="net sales:product 3"/>
    <n v="12.49"/>
    <x v="86"/>
    <n v="349.72"/>
    <x v="3"/>
    <x v="3"/>
    <x v="0"/>
    <x v="3"/>
    <n v="149.94"/>
  </r>
  <r>
    <d v="2024-04-26T00:00:00"/>
    <s v="payroll"/>
    <s v="NA"/>
    <x v="0"/>
    <n v="1200"/>
    <x v="5"/>
    <x v="0"/>
    <x v="0"/>
    <x v="3"/>
    <n v="2198.2400000000002"/>
  </r>
  <r>
    <d v="2024-04-27T00:00:00"/>
    <s v="cogs:product 1"/>
    <n v="5.99"/>
    <x v="41"/>
    <n v="551.08000000000004"/>
    <x v="1"/>
    <x v="1"/>
    <x v="0"/>
    <x v="3"/>
    <n v="-251.58"/>
  </r>
  <r>
    <d v="2024-04-27T00:00:00"/>
    <s v="cogs:product 2"/>
    <n v="16.989999999999998"/>
    <x v="19"/>
    <n v="67.959999999999994"/>
    <x v="1"/>
    <x v="2"/>
    <x v="0"/>
    <x v="3"/>
    <n v="-50.97"/>
  </r>
  <r>
    <d v="2024-04-27T00:00:00"/>
    <s v="cogs:product 3"/>
    <n v="8.49"/>
    <x v="34"/>
    <n v="1137.6600000000001"/>
    <x v="1"/>
    <x v="3"/>
    <x v="0"/>
    <x v="3"/>
    <n v="-577.32000000000005"/>
  </r>
  <r>
    <d v="2024-04-27T00:00:00"/>
    <s v="marketing"/>
    <s v="NA"/>
    <x v="0"/>
    <n v="100"/>
    <x v="2"/>
    <x v="0"/>
    <x v="0"/>
    <x v="3"/>
    <n v="-100.06"/>
  </r>
  <r>
    <d v="2024-04-27T00:00:00"/>
    <s v="net sales:product 1"/>
    <n v="9.99"/>
    <x v="41"/>
    <n v="919.08"/>
    <x v="3"/>
    <x v="1"/>
    <x v="0"/>
    <x v="3"/>
    <n v="419.58"/>
  </r>
  <r>
    <d v="2024-04-27T00:00:00"/>
    <s v="net sales:product 2"/>
    <n v="24.99"/>
    <x v="19"/>
    <n v="99.96"/>
    <x v="3"/>
    <x v="2"/>
    <x v="0"/>
    <x v="3"/>
    <n v="74.97"/>
  </r>
  <r>
    <d v="2024-04-27T00:00:00"/>
    <s v="net sales:product 3"/>
    <n v="12.49"/>
    <x v="34"/>
    <n v="1673.66"/>
    <x v="3"/>
    <x v="3"/>
    <x v="0"/>
    <x v="3"/>
    <n v="849.32"/>
  </r>
  <r>
    <d v="2024-04-28T00:00:00"/>
    <s v="cogs:product 1"/>
    <n v="5.99"/>
    <x v="105"/>
    <n v="491.18"/>
    <x v="1"/>
    <x v="1"/>
    <x v="0"/>
    <x v="3"/>
    <n v="-185.69"/>
  </r>
  <r>
    <d v="2024-04-28T00:00:00"/>
    <s v="cogs:product 2"/>
    <n v="16.989999999999998"/>
    <x v="42"/>
    <n v="101.94"/>
    <x v="1"/>
    <x v="2"/>
    <x v="0"/>
    <x v="3"/>
    <n v="-33.979999999999997"/>
  </r>
  <r>
    <d v="2024-04-28T00:00:00"/>
    <s v="cogs:product 3"/>
    <n v="8.49"/>
    <x v="67"/>
    <n v="1536.69"/>
    <x v="1"/>
    <x v="3"/>
    <x v="0"/>
    <x v="3"/>
    <n v="-534.87"/>
  </r>
  <r>
    <d v="2024-04-28T00:00:00"/>
    <s v="marketing"/>
    <s v="NA"/>
    <x v="0"/>
    <n v="100.06"/>
    <x v="2"/>
    <x v="0"/>
    <x v="0"/>
    <x v="3"/>
    <n v="-99.94"/>
  </r>
  <r>
    <d v="2024-04-28T00:00:00"/>
    <s v="net sales:product 1"/>
    <n v="9.99"/>
    <x v="105"/>
    <n v="819.18000000000006"/>
    <x v="3"/>
    <x v="1"/>
    <x v="0"/>
    <x v="3"/>
    <n v="309.69"/>
  </r>
  <r>
    <d v="2024-04-28T00:00:00"/>
    <s v="net sales:product 2"/>
    <n v="24.99"/>
    <x v="42"/>
    <n v="149.94"/>
    <x v="3"/>
    <x v="2"/>
    <x v="0"/>
    <x v="3"/>
    <n v="49.98"/>
  </r>
  <r>
    <d v="2024-04-28T00:00:00"/>
    <s v="net sales:product 3"/>
    <n v="12.49"/>
    <x v="67"/>
    <n v="2260.69"/>
    <x v="3"/>
    <x v="3"/>
    <x v="0"/>
    <x v="3"/>
    <n v="786.87"/>
  </r>
  <r>
    <d v="2024-04-29T00:00:00"/>
    <s v="cogs:product 1"/>
    <n v="5.99"/>
    <x v="48"/>
    <n v="371.38"/>
    <x v="1"/>
    <x v="1"/>
    <x v="0"/>
    <x v="3"/>
    <n v="-1200"/>
  </r>
  <r>
    <d v="2024-04-29T00:00:00"/>
    <s v="cogs:product 2"/>
    <n v="16.989999999999998"/>
    <x v="16"/>
    <n v="135.91999999999999"/>
    <x v="1"/>
    <x v="2"/>
    <x v="0"/>
    <x v="3"/>
    <n v="-287.52"/>
  </r>
  <r>
    <d v="2024-04-29T00:00:00"/>
    <s v="cogs:product 3"/>
    <n v="8.49"/>
    <x v="129"/>
    <n v="1341.42"/>
    <x v="1"/>
    <x v="3"/>
    <x v="0"/>
    <x v="3"/>
    <n v="-50.97"/>
  </r>
  <r>
    <d v="2024-04-29T00:00:00"/>
    <s v="marketing"/>
    <s v="NA"/>
    <x v="0"/>
    <n v="100"/>
    <x v="2"/>
    <x v="0"/>
    <x v="0"/>
    <x v="3"/>
    <n v="-840.51"/>
  </r>
  <r>
    <d v="2024-04-29T00:00:00"/>
    <s v="net sales:product 1"/>
    <n v="9.99"/>
    <x v="48"/>
    <n v="619.38"/>
    <x v="3"/>
    <x v="1"/>
    <x v="0"/>
    <x v="3"/>
    <n v="-100.04"/>
  </r>
  <r>
    <d v="2024-04-29T00:00:00"/>
    <s v="net sales:product 2"/>
    <n v="24.99"/>
    <x v="16"/>
    <n v="199.92"/>
    <x v="3"/>
    <x v="2"/>
    <x v="0"/>
    <x v="3"/>
    <n v="479.52"/>
  </r>
  <r>
    <d v="2024-04-29T00:00:00"/>
    <s v="net sales:product 3"/>
    <n v="12.49"/>
    <x v="129"/>
    <n v="1973.42"/>
    <x v="3"/>
    <x v="3"/>
    <x v="0"/>
    <x v="3"/>
    <n v="74.97"/>
  </r>
  <r>
    <d v="2024-04-30T00:00:00"/>
    <s v="cogs:product 1"/>
    <n v="5.99"/>
    <x v="111"/>
    <n v="131.78"/>
    <x v="1"/>
    <x v="1"/>
    <x v="0"/>
    <x v="3"/>
    <n v="1236.51"/>
  </r>
  <r>
    <d v="2024-04-30T00:00:00"/>
    <s v="cogs:product 2"/>
    <n v="16.989999999999998"/>
    <x v="16"/>
    <n v="135.91999999999999"/>
    <x v="1"/>
    <x v="2"/>
    <x v="0"/>
    <x v="3"/>
    <n v="-275.54000000000002"/>
  </r>
  <r>
    <d v="2024-04-30T00:00:00"/>
    <s v="cogs:product 3"/>
    <n v="8.49"/>
    <x v="80"/>
    <n v="365.07"/>
    <x v="1"/>
    <x v="3"/>
    <x v="0"/>
    <x v="3"/>
    <n v="-135.91999999999999"/>
  </r>
  <r>
    <d v="2024-04-30T00:00:00"/>
    <s v="marketing"/>
    <s v="NA"/>
    <x v="0"/>
    <n v="100.02"/>
    <x v="2"/>
    <x v="0"/>
    <x v="0"/>
    <x v="3"/>
    <n v="0"/>
  </r>
  <r>
    <d v="2024-04-30T00:00:00"/>
    <s v="net sales:product 1"/>
    <n v="9.99"/>
    <x v="111"/>
    <n v="219.78"/>
    <x v="3"/>
    <x v="1"/>
    <x v="0"/>
    <x v="3"/>
    <n v="-99.91"/>
  </r>
  <r>
    <d v="2024-04-30T00:00:00"/>
    <s v="net sales:product 2"/>
    <n v="24.99"/>
    <x v="16"/>
    <n v="199.92"/>
    <x v="3"/>
    <x v="2"/>
    <x v="0"/>
    <x v="3"/>
    <n v="459.54"/>
  </r>
  <r>
    <d v="2024-04-30T00:00:00"/>
    <s v="net sales:product 3"/>
    <n v="12.49"/>
    <x v="80"/>
    <n v="537.07000000000005"/>
    <x v="3"/>
    <x v="3"/>
    <x v="0"/>
    <x v="3"/>
    <n v="199.92"/>
  </r>
  <r>
    <d v="2024-05-01T00:00:00"/>
    <s v="amortization"/>
    <s v="NA"/>
    <x v="0"/>
    <n v="50"/>
    <x v="0"/>
    <x v="0"/>
    <x v="0"/>
    <x v="4"/>
    <n v="0"/>
  </r>
  <r>
    <d v="2024-05-01T00:00:00"/>
    <s v="cogs:product 1"/>
    <n v="5.99"/>
    <x v="102"/>
    <n v="305.49"/>
    <x v="1"/>
    <x v="1"/>
    <x v="0"/>
    <x v="4"/>
    <n v="0"/>
  </r>
  <r>
    <d v="2024-05-01T00:00:00"/>
    <s v="cogs:product 2"/>
    <n v="16.989999999999998"/>
    <x v="23"/>
    <n v="0"/>
    <x v="1"/>
    <x v="2"/>
    <x v="0"/>
    <x v="4"/>
    <n v="-587.02"/>
  </r>
  <r>
    <d v="2024-05-01T00:00:00"/>
    <s v="cogs:product 3"/>
    <n v="8.49"/>
    <x v="130"/>
    <n v="339.6"/>
    <x v="1"/>
    <x v="3"/>
    <x v="0"/>
    <x v="4"/>
    <n v="-33.979999999999997"/>
  </r>
  <r>
    <d v="2024-05-01T00:00:00"/>
    <s v="marketing"/>
    <s v="NA"/>
    <x v="0"/>
    <n v="99.960000000000008"/>
    <x v="2"/>
    <x v="0"/>
    <x v="0"/>
    <x v="4"/>
    <n v="-16.98"/>
  </r>
  <r>
    <d v="2024-05-01T00:00:00"/>
    <s v="net sales:product 1"/>
    <n v="9.99"/>
    <x v="102"/>
    <n v="509.49"/>
    <x v="3"/>
    <x v="1"/>
    <x v="0"/>
    <x v="4"/>
    <n v="-99.98"/>
  </r>
  <r>
    <d v="2024-05-01T00:00:00"/>
    <s v="net sales:product 2"/>
    <n v="24.99"/>
    <x v="23"/>
    <n v="0"/>
    <x v="3"/>
    <x v="2"/>
    <x v="0"/>
    <x v="4"/>
    <n v="979.02"/>
  </r>
  <r>
    <d v="2024-05-01T00:00:00"/>
    <s v="net sales:product 3"/>
    <n v="12.49"/>
    <x v="130"/>
    <n v="499.6"/>
    <x v="3"/>
    <x v="3"/>
    <x v="0"/>
    <x v="4"/>
    <n v="49.98"/>
  </r>
  <r>
    <d v="2024-05-01T00:00:00"/>
    <s v="overhead"/>
    <s v="NA"/>
    <x v="0"/>
    <n v="2000"/>
    <x v="4"/>
    <x v="0"/>
    <x v="0"/>
    <x v="4"/>
    <n v="24.98"/>
  </r>
  <r>
    <d v="2024-05-02T00:00:00"/>
    <s v="cogs:product 1"/>
    <n v="5.99"/>
    <x v="111"/>
    <n v="131.78"/>
    <x v="1"/>
    <x v="1"/>
    <x v="0"/>
    <x v="4"/>
    <n v="-2000"/>
  </r>
  <r>
    <d v="2024-05-02T00:00:00"/>
    <s v="cogs:product 2"/>
    <n v="16.989999999999998"/>
    <x v="2"/>
    <n v="50.97"/>
    <x v="1"/>
    <x v="2"/>
    <x v="0"/>
    <x v="4"/>
    <n v="-455.24"/>
  </r>
  <r>
    <d v="2024-05-02T00:00:00"/>
    <s v="cogs:product 3"/>
    <n v="8.49"/>
    <x v="125"/>
    <n v="1400.8500000000001"/>
    <x v="1"/>
    <x v="3"/>
    <x v="0"/>
    <x v="4"/>
    <n v="-135.91999999999999"/>
  </r>
  <r>
    <d v="2024-05-02T00:00:00"/>
    <s v="marketing"/>
    <s v="NA"/>
    <x v="0"/>
    <n v="100.06"/>
    <x v="2"/>
    <x v="0"/>
    <x v="0"/>
    <x v="4"/>
    <n v="-1502.73"/>
  </r>
  <r>
    <d v="2024-05-02T00:00:00"/>
    <s v="net sales:product 1"/>
    <n v="9.99"/>
    <x v="111"/>
    <n v="219.78"/>
    <x v="3"/>
    <x v="1"/>
    <x v="0"/>
    <x v="4"/>
    <n v="-100.03"/>
  </r>
  <r>
    <d v="2024-05-02T00:00:00"/>
    <s v="net sales:product 2"/>
    <n v="24.99"/>
    <x v="2"/>
    <n v="74.97"/>
    <x v="3"/>
    <x v="2"/>
    <x v="0"/>
    <x v="4"/>
    <n v="759.24"/>
  </r>
  <r>
    <d v="2024-05-02T00:00:00"/>
    <s v="net sales:product 3"/>
    <n v="12.49"/>
    <x v="125"/>
    <n v="2060.85"/>
    <x v="3"/>
    <x v="3"/>
    <x v="0"/>
    <x v="4"/>
    <n v="199.92"/>
  </r>
  <r>
    <d v="2024-05-03T00:00:00"/>
    <s v="cogs:product 1"/>
    <n v="5.99"/>
    <x v="59"/>
    <n v="353.41"/>
    <x v="1"/>
    <x v="1"/>
    <x v="0"/>
    <x v="4"/>
    <n v="2210.73"/>
  </r>
  <r>
    <d v="2024-05-03T00:00:00"/>
    <s v="cogs:product 2"/>
    <n v="16.989999999999998"/>
    <x v="2"/>
    <n v="50.97"/>
    <x v="1"/>
    <x v="2"/>
    <x v="0"/>
    <x v="4"/>
    <n v="-305.49"/>
  </r>
  <r>
    <d v="2024-05-03T00:00:00"/>
    <s v="cogs:product 3"/>
    <n v="8.49"/>
    <x v="131"/>
    <n v="798.06000000000006"/>
    <x v="1"/>
    <x v="3"/>
    <x v="0"/>
    <x v="4"/>
    <n v="-152.91"/>
  </r>
  <r>
    <d v="2024-05-03T00:00:00"/>
    <s v="marketing"/>
    <s v="NA"/>
    <x v="0"/>
    <n v="99.92"/>
    <x v="2"/>
    <x v="0"/>
    <x v="0"/>
    <x v="4"/>
    <n v="-730.14"/>
  </r>
  <r>
    <d v="2024-05-03T00:00:00"/>
    <s v="net sales:product 1"/>
    <n v="9.99"/>
    <x v="59"/>
    <n v="589.41"/>
    <x v="3"/>
    <x v="1"/>
    <x v="0"/>
    <x v="4"/>
    <n v="-100.02"/>
  </r>
  <r>
    <d v="2024-05-03T00:00:00"/>
    <s v="net sales:product 2"/>
    <n v="24.99"/>
    <x v="2"/>
    <n v="74.97"/>
    <x v="3"/>
    <x v="2"/>
    <x v="0"/>
    <x v="4"/>
    <n v="509.49"/>
  </r>
  <r>
    <d v="2024-05-03T00:00:00"/>
    <s v="net sales:product 3"/>
    <n v="12.49"/>
    <x v="131"/>
    <n v="1174.06"/>
    <x v="3"/>
    <x v="3"/>
    <x v="0"/>
    <x v="4"/>
    <n v="224.91"/>
  </r>
  <r>
    <d v="2024-05-04T00:00:00"/>
    <s v="cogs:product 1"/>
    <n v="5.99"/>
    <x v="86"/>
    <n v="167.72"/>
    <x v="1"/>
    <x v="1"/>
    <x v="0"/>
    <x v="4"/>
    <n v="1074.1400000000001"/>
  </r>
  <r>
    <d v="2024-05-04T00:00:00"/>
    <s v="cogs:product 2"/>
    <n v="16.989999999999998"/>
    <x v="2"/>
    <n v="50.97"/>
    <x v="1"/>
    <x v="2"/>
    <x v="0"/>
    <x v="4"/>
    <n v="-569.05000000000007"/>
  </r>
  <r>
    <d v="2024-05-04T00:00:00"/>
    <s v="cogs:product 3"/>
    <n v="8.49"/>
    <x v="132"/>
    <n v="1969.68"/>
    <x v="1"/>
    <x v="3"/>
    <x v="0"/>
    <x v="4"/>
    <n v="-16.989999999999998"/>
  </r>
  <r>
    <d v="2024-05-04T00:00:00"/>
    <s v="marketing"/>
    <s v="NA"/>
    <x v="0"/>
    <n v="99.98"/>
    <x v="2"/>
    <x v="0"/>
    <x v="0"/>
    <x v="4"/>
    <n v="-314.13"/>
  </r>
  <r>
    <d v="2024-05-04T00:00:00"/>
    <s v="net sales:product 1"/>
    <n v="9.99"/>
    <x v="86"/>
    <n v="279.72000000000003"/>
    <x v="3"/>
    <x v="1"/>
    <x v="0"/>
    <x v="4"/>
    <n v="-100.02"/>
  </r>
  <r>
    <d v="2024-05-04T00:00:00"/>
    <s v="net sales:product 2"/>
    <n v="24.99"/>
    <x v="2"/>
    <n v="74.97"/>
    <x v="3"/>
    <x v="2"/>
    <x v="0"/>
    <x v="4"/>
    <n v="949.05000000000007"/>
  </r>
  <r>
    <d v="2024-05-04T00:00:00"/>
    <s v="net sales:product 3"/>
    <n v="12.49"/>
    <x v="132"/>
    <n v="2897.68"/>
    <x v="3"/>
    <x v="3"/>
    <x v="0"/>
    <x v="4"/>
    <n v="24.99"/>
  </r>
  <r>
    <d v="2024-05-05T00:00:00"/>
    <s v="cogs:product 1"/>
    <n v="5.99"/>
    <x v="100"/>
    <n v="527.12"/>
    <x v="1"/>
    <x v="1"/>
    <x v="0"/>
    <x v="4"/>
    <n v="462.13"/>
  </r>
  <r>
    <d v="2024-05-05T00:00:00"/>
    <s v="cogs:product 2"/>
    <n v="16.989999999999998"/>
    <x v="29"/>
    <n v="84.949999999999989"/>
    <x v="1"/>
    <x v="2"/>
    <x v="0"/>
    <x v="4"/>
    <n v="-131.78"/>
  </r>
  <r>
    <d v="2024-05-05T00:00:00"/>
    <s v="cogs:product 3"/>
    <n v="8.49"/>
    <x v="61"/>
    <n v="823.53"/>
    <x v="1"/>
    <x v="3"/>
    <x v="0"/>
    <x v="4"/>
    <n v="-67.959999999999994"/>
  </r>
  <r>
    <d v="2024-05-05T00:00:00"/>
    <s v="marketing"/>
    <s v="NA"/>
    <x v="0"/>
    <n v="100.09"/>
    <x v="2"/>
    <x v="0"/>
    <x v="0"/>
    <x v="4"/>
    <n v="-2046.0900000000001"/>
  </r>
  <r>
    <d v="2024-05-05T00:00:00"/>
    <s v="net sales:product 1"/>
    <n v="9.99"/>
    <x v="100"/>
    <n v="879.12"/>
    <x v="3"/>
    <x v="1"/>
    <x v="0"/>
    <x v="4"/>
    <n v="-99.98"/>
  </r>
  <r>
    <d v="2024-05-05T00:00:00"/>
    <s v="net sales:product 2"/>
    <n v="24.99"/>
    <x v="29"/>
    <n v="124.94999999999999"/>
    <x v="3"/>
    <x v="2"/>
    <x v="0"/>
    <x v="4"/>
    <n v="219.78"/>
  </r>
  <r>
    <d v="2024-05-05T00:00:00"/>
    <s v="net sales:product 3"/>
    <n v="12.49"/>
    <x v="61"/>
    <n v="1211.53"/>
    <x v="3"/>
    <x v="3"/>
    <x v="0"/>
    <x v="4"/>
    <n v="99.96"/>
  </r>
  <r>
    <d v="2024-05-06T00:00:00"/>
    <s v="cogs:product 1"/>
    <n v="5.99"/>
    <x v="79"/>
    <n v="377.37"/>
    <x v="1"/>
    <x v="1"/>
    <x v="0"/>
    <x v="4"/>
    <n v="3010.09"/>
  </r>
  <r>
    <d v="2024-05-06T00:00:00"/>
    <s v="cogs:product 2"/>
    <n v="16.989999999999998"/>
    <x v="10"/>
    <n v="33.979999999999997"/>
    <x v="1"/>
    <x v="2"/>
    <x v="0"/>
    <x v="4"/>
    <n v="-113.81"/>
  </r>
  <r>
    <d v="2024-05-06T00:00:00"/>
    <s v="cogs:product 3"/>
    <n v="8.49"/>
    <x v="18"/>
    <n v="721.65"/>
    <x v="1"/>
    <x v="3"/>
    <x v="0"/>
    <x v="4"/>
    <n v="-135.91999999999999"/>
  </r>
  <r>
    <d v="2024-05-06T00:00:00"/>
    <s v="marketing"/>
    <s v="NA"/>
    <x v="0"/>
    <n v="99.960000000000008"/>
    <x v="2"/>
    <x v="0"/>
    <x v="0"/>
    <x v="4"/>
    <n v="-560.34"/>
  </r>
  <r>
    <d v="2024-05-06T00:00:00"/>
    <s v="net sales:product 1"/>
    <n v="9.99"/>
    <x v="79"/>
    <n v="629.37"/>
    <x v="3"/>
    <x v="1"/>
    <x v="0"/>
    <x v="4"/>
    <n v="-99.990000000000009"/>
  </r>
  <r>
    <d v="2024-05-06T00:00:00"/>
    <s v="net sales:product 2"/>
    <n v="24.99"/>
    <x v="10"/>
    <n v="49.98"/>
    <x v="3"/>
    <x v="2"/>
    <x v="0"/>
    <x v="4"/>
    <n v="189.81"/>
  </r>
  <r>
    <d v="2024-05-06T00:00:00"/>
    <s v="net sales:product 3"/>
    <n v="12.49"/>
    <x v="18"/>
    <n v="1061.6500000000001"/>
    <x v="3"/>
    <x v="3"/>
    <x v="0"/>
    <x v="4"/>
    <n v="199.92"/>
  </r>
  <r>
    <d v="2024-05-07T00:00:00"/>
    <s v="cogs:product 1"/>
    <n v="5.99"/>
    <x v="29"/>
    <n v="29.950000000000003"/>
    <x v="1"/>
    <x v="1"/>
    <x v="0"/>
    <x v="4"/>
    <n v="824.34"/>
  </r>
  <r>
    <d v="2024-05-07T00:00:00"/>
    <s v="cogs:product 2"/>
    <n v="16.989999999999998"/>
    <x v="42"/>
    <n v="101.94"/>
    <x v="1"/>
    <x v="2"/>
    <x v="0"/>
    <x v="4"/>
    <n v="-47.92"/>
  </r>
  <r>
    <d v="2024-05-07T00:00:00"/>
    <s v="cogs:product 3"/>
    <n v="8.49"/>
    <x v="105"/>
    <n v="696.18000000000006"/>
    <x v="1"/>
    <x v="3"/>
    <x v="0"/>
    <x v="4"/>
    <n v="-50.97"/>
  </r>
  <r>
    <d v="2024-05-07T00:00:00"/>
    <s v="marketing"/>
    <s v="NA"/>
    <x v="0"/>
    <n v="100.07000000000001"/>
    <x v="2"/>
    <x v="0"/>
    <x v="0"/>
    <x v="4"/>
    <n v="-1562.16"/>
  </r>
  <r>
    <d v="2024-05-07T00:00:00"/>
    <s v="net sales:product 1"/>
    <n v="9.99"/>
    <x v="29"/>
    <n v="49.95"/>
    <x v="3"/>
    <x v="1"/>
    <x v="0"/>
    <x v="4"/>
    <n v="-99.97"/>
  </r>
  <r>
    <d v="2024-05-07T00:00:00"/>
    <s v="net sales:product 2"/>
    <n v="24.99"/>
    <x v="42"/>
    <n v="149.94"/>
    <x v="3"/>
    <x v="2"/>
    <x v="0"/>
    <x v="4"/>
    <n v="79.92"/>
  </r>
  <r>
    <d v="2024-05-07T00:00:00"/>
    <s v="net sales:product 3"/>
    <n v="12.49"/>
    <x v="105"/>
    <n v="1024.18"/>
    <x v="3"/>
    <x v="3"/>
    <x v="0"/>
    <x v="4"/>
    <n v="74.97"/>
  </r>
  <r>
    <d v="2024-05-08T00:00:00"/>
    <s v="cogs:product 1"/>
    <n v="5.99"/>
    <x v="9"/>
    <n v="233.61"/>
    <x v="1"/>
    <x v="1"/>
    <x v="0"/>
    <x v="4"/>
    <n v="2298.16"/>
  </r>
  <r>
    <d v="2024-05-08T00:00:00"/>
    <s v="cogs:product 2"/>
    <n v="16.989999999999998"/>
    <x v="42"/>
    <n v="101.94"/>
    <x v="1"/>
    <x v="2"/>
    <x v="0"/>
    <x v="4"/>
    <n v="-455.24"/>
  </r>
  <r>
    <d v="2024-05-08T00:00:00"/>
    <s v="cogs:product 3"/>
    <n v="8.49"/>
    <x v="127"/>
    <n v="118.86"/>
    <x v="1"/>
    <x v="3"/>
    <x v="0"/>
    <x v="4"/>
    <n v="-152.91"/>
  </r>
  <r>
    <d v="2024-05-08T00:00:00"/>
    <s v="marketing"/>
    <s v="NA"/>
    <x v="0"/>
    <n v="99.93"/>
    <x v="2"/>
    <x v="0"/>
    <x v="0"/>
    <x v="4"/>
    <n v="-772.59"/>
  </r>
  <r>
    <d v="2024-05-08T00:00:00"/>
    <s v="net sales:product 1"/>
    <n v="9.99"/>
    <x v="9"/>
    <n v="389.61"/>
    <x v="3"/>
    <x v="1"/>
    <x v="0"/>
    <x v="4"/>
    <n v="-100.04"/>
  </r>
  <r>
    <d v="2024-05-08T00:00:00"/>
    <s v="net sales:product 2"/>
    <n v="24.99"/>
    <x v="42"/>
    <n v="149.94"/>
    <x v="3"/>
    <x v="2"/>
    <x v="0"/>
    <x v="4"/>
    <n v="759.24"/>
  </r>
  <r>
    <d v="2024-05-08T00:00:00"/>
    <s v="net sales:product 3"/>
    <n v="12.49"/>
    <x v="127"/>
    <n v="174.86"/>
    <x v="3"/>
    <x v="3"/>
    <x v="0"/>
    <x v="4"/>
    <n v="224.91"/>
  </r>
  <r>
    <d v="2024-05-09T00:00:00"/>
    <s v="cogs:product 1"/>
    <n v="5.99"/>
    <x v="50"/>
    <n v="539.1"/>
    <x v="1"/>
    <x v="1"/>
    <x v="0"/>
    <x v="4"/>
    <n v="1136.5899999999999"/>
  </r>
  <r>
    <d v="2024-05-09T00:00:00"/>
    <s v="cogs:product 2"/>
    <n v="16.989999999999998"/>
    <x v="19"/>
    <n v="67.959999999999994"/>
    <x v="1"/>
    <x v="2"/>
    <x v="0"/>
    <x v="4"/>
    <n v="-23.96"/>
  </r>
  <r>
    <d v="2024-05-09T00:00:00"/>
    <s v="cogs:product 3"/>
    <n v="8.49"/>
    <x v="133"/>
    <n v="1171.6200000000001"/>
    <x v="1"/>
    <x v="3"/>
    <x v="0"/>
    <x v="4"/>
    <n v="-67.959999999999994"/>
  </r>
  <r>
    <d v="2024-05-09T00:00:00"/>
    <s v="marketing"/>
    <s v="NA"/>
    <x v="0"/>
    <n v="99.95"/>
    <x v="2"/>
    <x v="0"/>
    <x v="0"/>
    <x v="4"/>
    <n v="-1944.21"/>
  </r>
  <r>
    <d v="2024-05-09T00:00:00"/>
    <s v="net sales:product 1"/>
    <n v="9.99"/>
    <x v="50"/>
    <n v="899.1"/>
    <x v="3"/>
    <x v="1"/>
    <x v="0"/>
    <x v="4"/>
    <n v="-100.05"/>
  </r>
  <r>
    <d v="2024-05-09T00:00:00"/>
    <s v="net sales:product 2"/>
    <n v="24.99"/>
    <x v="19"/>
    <n v="99.96"/>
    <x v="3"/>
    <x v="2"/>
    <x v="0"/>
    <x v="4"/>
    <n v="39.96"/>
  </r>
  <r>
    <d v="2024-05-09T00:00:00"/>
    <s v="net sales:product 3"/>
    <n v="12.49"/>
    <x v="133"/>
    <n v="1723.6200000000001"/>
    <x v="3"/>
    <x v="3"/>
    <x v="0"/>
    <x v="4"/>
    <n v="99.96"/>
  </r>
  <r>
    <d v="2024-05-10T00:00:00"/>
    <s v="cogs:product 1"/>
    <n v="5.99"/>
    <x v="134"/>
    <n v="383.36"/>
    <x v="1"/>
    <x v="1"/>
    <x v="0"/>
    <x v="4"/>
    <n v="2860.21"/>
  </r>
  <r>
    <d v="2024-05-10T00:00:00"/>
    <s v="cogs:product 2"/>
    <n v="16.989999999999998"/>
    <x v="22"/>
    <n v="169.89999999999998"/>
    <x v="1"/>
    <x v="2"/>
    <x v="0"/>
    <x v="4"/>
    <n v="-263.56"/>
  </r>
  <r>
    <d v="2024-05-10T00:00:00"/>
    <s v="cogs:product 3"/>
    <n v="8.49"/>
    <x v="107"/>
    <n v="280.17"/>
    <x v="1"/>
    <x v="3"/>
    <x v="0"/>
    <x v="4"/>
    <n v="-152.91"/>
  </r>
  <r>
    <d v="2024-05-10T00:00:00"/>
    <s v="marketing"/>
    <s v="NA"/>
    <x v="0"/>
    <n v="99.93"/>
    <x v="2"/>
    <x v="0"/>
    <x v="0"/>
    <x v="4"/>
    <n v="-416.01"/>
  </r>
  <r>
    <d v="2024-05-10T00:00:00"/>
    <s v="net sales:product 1"/>
    <n v="9.99"/>
    <x v="134"/>
    <n v="639.36"/>
    <x v="3"/>
    <x v="1"/>
    <x v="0"/>
    <x v="4"/>
    <n v="-100"/>
  </r>
  <r>
    <d v="2024-05-10T00:00:00"/>
    <s v="net sales:product 2"/>
    <n v="24.99"/>
    <x v="22"/>
    <n v="249.89999999999998"/>
    <x v="3"/>
    <x v="2"/>
    <x v="0"/>
    <x v="4"/>
    <n v="439.56"/>
  </r>
  <r>
    <d v="2024-05-10T00:00:00"/>
    <s v="net sales:product 3"/>
    <n v="12.49"/>
    <x v="107"/>
    <n v="412.17"/>
    <x v="3"/>
    <x v="3"/>
    <x v="0"/>
    <x v="4"/>
    <n v="224.91"/>
  </r>
  <r>
    <d v="2024-05-10T00:00:00"/>
    <s v="payroll"/>
    <s v="NA"/>
    <x v="0"/>
    <n v="1200"/>
    <x v="5"/>
    <x v="0"/>
    <x v="0"/>
    <x v="4"/>
    <n v="612.01"/>
  </r>
  <r>
    <d v="2024-05-11T00:00:00"/>
    <s v="cogs:product 1"/>
    <n v="5.99"/>
    <x v="135"/>
    <n v="179.70000000000002"/>
    <x v="1"/>
    <x v="1"/>
    <x v="0"/>
    <x v="4"/>
    <n v="-479.20000000000005"/>
  </r>
  <r>
    <d v="2024-05-11T00:00:00"/>
    <s v="cogs:product 2"/>
    <n v="16.989999999999998"/>
    <x v="29"/>
    <n v="84.949999999999989"/>
    <x v="1"/>
    <x v="2"/>
    <x v="0"/>
    <x v="4"/>
    <n v="-50.97"/>
  </r>
  <r>
    <d v="2024-05-11T00:00:00"/>
    <s v="cogs:product 3"/>
    <n v="8.49"/>
    <x v="102"/>
    <n v="432.99"/>
    <x v="1"/>
    <x v="3"/>
    <x v="0"/>
    <x v="4"/>
    <n v="-1714.98"/>
  </r>
  <r>
    <d v="2024-05-11T00:00:00"/>
    <s v="marketing"/>
    <s v="NA"/>
    <x v="0"/>
    <n v="100.05"/>
    <x v="2"/>
    <x v="0"/>
    <x v="0"/>
    <x v="4"/>
    <n v="-100.06"/>
  </r>
  <r>
    <d v="2024-05-11T00:00:00"/>
    <s v="net sales:product 1"/>
    <n v="9.99"/>
    <x v="135"/>
    <n v="299.7"/>
    <x v="3"/>
    <x v="1"/>
    <x v="0"/>
    <x v="4"/>
    <n v="799.2"/>
  </r>
  <r>
    <d v="2024-05-11T00:00:00"/>
    <s v="net sales:product 2"/>
    <n v="24.99"/>
    <x v="29"/>
    <n v="124.94999999999999"/>
    <x v="3"/>
    <x v="2"/>
    <x v="0"/>
    <x v="4"/>
    <n v="74.97"/>
  </r>
  <r>
    <d v="2024-05-11T00:00:00"/>
    <s v="net sales:product 3"/>
    <n v="12.49"/>
    <x v="102"/>
    <n v="636.99"/>
    <x v="3"/>
    <x v="3"/>
    <x v="0"/>
    <x v="4"/>
    <n v="2522.98"/>
  </r>
  <r>
    <d v="2024-05-12T00:00:00"/>
    <s v="cogs:product 1"/>
    <n v="5.99"/>
    <x v="30"/>
    <n v="101.83"/>
    <x v="1"/>
    <x v="1"/>
    <x v="0"/>
    <x v="4"/>
    <n v="-275.54000000000002"/>
  </r>
  <r>
    <d v="2024-05-12T00:00:00"/>
    <s v="cogs:product 2"/>
    <n v="16.989999999999998"/>
    <x v="19"/>
    <n v="67.959999999999994"/>
    <x v="1"/>
    <x v="2"/>
    <x v="0"/>
    <x v="4"/>
    <n v="-152.91"/>
  </r>
  <r>
    <d v="2024-05-12T00:00:00"/>
    <s v="cogs:product 3"/>
    <n v="8.49"/>
    <x v="136"/>
    <n v="1214.07"/>
    <x v="1"/>
    <x v="3"/>
    <x v="0"/>
    <x v="4"/>
    <n v="-373.56"/>
  </r>
  <r>
    <d v="2024-05-12T00:00:00"/>
    <s v="marketing"/>
    <s v="NA"/>
    <x v="0"/>
    <n v="100.08"/>
    <x v="2"/>
    <x v="0"/>
    <x v="0"/>
    <x v="4"/>
    <n v="-99.95"/>
  </r>
  <r>
    <d v="2024-05-12T00:00:00"/>
    <s v="net sales:product 1"/>
    <n v="9.99"/>
    <x v="30"/>
    <n v="169.83"/>
    <x v="3"/>
    <x v="1"/>
    <x v="0"/>
    <x v="4"/>
    <n v="459.54"/>
  </r>
  <r>
    <d v="2024-05-12T00:00:00"/>
    <s v="net sales:product 2"/>
    <n v="24.99"/>
    <x v="19"/>
    <n v="99.96"/>
    <x v="3"/>
    <x v="2"/>
    <x v="0"/>
    <x v="4"/>
    <n v="224.91"/>
  </r>
  <r>
    <d v="2024-05-12T00:00:00"/>
    <s v="net sales:product 3"/>
    <n v="12.49"/>
    <x v="136"/>
    <n v="1786.07"/>
    <x v="3"/>
    <x v="3"/>
    <x v="0"/>
    <x v="4"/>
    <n v="549.56000000000006"/>
  </r>
  <r>
    <d v="2024-05-13T00:00:00"/>
    <s v="cogs:product 1"/>
    <n v="5.99"/>
    <x v="137"/>
    <n v="299.5"/>
    <x v="1"/>
    <x v="1"/>
    <x v="0"/>
    <x v="4"/>
    <n v="-1200"/>
  </r>
  <r>
    <d v="2024-05-13T00:00:00"/>
    <s v="cogs:product 2"/>
    <n v="16.989999999999998"/>
    <x v="22"/>
    <n v="169.89999999999998"/>
    <x v="1"/>
    <x v="2"/>
    <x v="0"/>
    <x v="4"/>
    <n v="-335.44"/>
  </r>
  <r>
    <d v="2024-05-13T00:00:00"/>
    <s v="cogs:product 3"/>
    <n v="8.49"/>
    <x v="40"/>
    <n v="2012.13"/>
    <x v="1"/>
    <x v="3"/>
    <x v="0"/>
    <x v="4"/>
    <n v="-50.97"/>
  </r>
  <r>
    <d v="2024-05-13T00:00:00"/>
    <s v="marketing"/>
    <s v="NA"/>
    <x v="0"/>
    <n v="99.97"/>
    <x v="2"/>
    <x v="0"/>
    <x v="0"/>
    <x v="4"/>
    <n v="-1451.79"/>
  </r>
  <r>
    <d v="2024-05-13T00:00:00"/>
    <s v="net sales:product 1"/>
    <n v="9.99"/>
    <x v="137"/>
    <n v="499.5"/>
    <x v="3"/>
    <x v="1"/>
    <x v="0"/>
    <x v="4"/>
    <n v="-99.9"/>
  </r>
  <r>
    <d v="2024-05-13T00:00:00"/>
    <s v="net sales:product 2"/>
    <n v="24.99"/>
    <x v="22"/>
    <n v="249.89999999999998"/>
    <x v="3"/>
    <x v="2"/>
    <x v="0"/>
    <x v="4"/>
    <n v="559.44000000000005"/>
  </r>
  <r>
    <d v="2024-05-13T00:00:00"/>
    <s v="net sales:product 3"/>
    <n v="12.49"/>
    <x v="40"/>
    <n v="2960.13"/>
    <x v="3"/>
    <x v="3"/>
    <x v="0"/>
    <x v="4"/>
    <n v="74.97"/>
  </r>
  <r>
    <d v="2024-05-14T00:00:00"/>
    <s v="cogs:product 1"/>
    <n v="5.99"/>
    <x v="79"/>
    <n v="377.37"/>
    <x v="1"/>
    <x v="1"/>
    <x v="0"/>
    <x v="4"/>
    <n v="2135.79"/>
  </r>
  <r>
    <d v="2024-05-14T00:00:00"/>
    <s v="cogs:product 2"/>
    <n v="16.989999999999998"/>
    <x v="2"/>
    <n v="50.97"/>
    <x v="1"/>
    <x v="2"/>
    <x v="0"/>
    <x v="4"/>
    <n v="-155.74"/>
  </r>
  <r>
    <d v="2024-05-14T00:00:00"/>
    <s v="cogs:product 3"/>
    <n v="8.49"/>
    <x v="6"/>
    <n v="314.13"/>
    <x v="1"/>
    <x v="3"/>
    <x v="0"/>
    <x v="4"/>
    <n v="-169.89999999999998"/>
  </r>
  <r>
    <d v="2024-05-14T00:00:00"/>
    <s v="marketing"/>
    <s v="NA"/>
    <x v="0"/>
    <n v="100.09"/>
    <x v="2"/>
    <x v="0"/>
    <x v="0"/>
    <x v="4"/>
    <n v="-101.88"/>
  </r>
  <r>
    <d v="2024-05-14T00:00:00"/>
    <s v="net sales:product 1"/>
    <n v="9.99"/>
    <x v="79"/>
    <n v="629.37"/>
    <x v="3"/>
    <x v="1"/>
    <x v="0"/>
    <x v="4"/>
    <n v="-99.91"/>
  </r>
  <r>
    <d v="2024-05-14T00:00:00"/>
    <s v="net sales:product 2"/>
    <n v="24.99"/>
    <x v="2"/>
    <n v="74.97"/>
    <x v="3"/>
    <x v="2"/>
    <x v="0"/>
    <x v="4"/>
    <n v="259.74"/>
  </r>
  <r>
    <d v="2024-05-14T00:00:00"/>
    <s v="net sales:product 3"/>
    <n v="12.49"/>
    <x v="6"/>
    <n v="462.13"/>
    <x v="3"/>
    <x v="3"/>
    <x v="0"/>
    <x v="4"/>
    <n v="249.89999999999998"/>
  </r>
  <r>
    <d v="2024-05-15T00:00:00"/>
    <s v="cogs:product 1"/>
    <n v="5.99"/>
    <x v="66"/>
    <n v="281.53000000000003"/>
    <x v="1"/>
    <x v="1"/>
    <x v="0"/>
    <x v="4"/>
    <n v="149.88"/>
  </r>
  <r>
    <d v="2024-05-15T00:00:00"/>
    <s v="cogs:product 2"/>
    <n v="16.989999999999998"/>
    <x v="13"/>
    <n v="118.92999999999999"/>
    <x v="1"/>
    <x v="2"/>
    <x v="0"/>
    <x v="4"/>
    <n v="-329.45"/>
  </r>
  <r>
    <d v="2024-05-15T00:00:00"/>
    <s v="cogs:product 3"/>
    <n v="8.49"/>
    <x v="138"/>
    <n v="441.48"/>
    <x v="1"/>
    <x v="3"/>
    <x v="0"/>
    <x v="4"/>
    <n v="-67.959999999999994"/>
  </r>
  <r>
    <d v="2024-05-15T00:00:00"/>
    <s v="interest"/>
    <s v="NA"/>
    <x v="0"/>
    <n v="1262.4000000000001"/>
    <x v="6"/>
    <x v="0"/>
    <x v="0"/>
    <x v="4"/>
    <n v="-1103.7"/>
  </r>
  <r>
    <d v="2024-05-15T00:00:00"/>
    <s v="marketing"/>
    <s v="NA"/>
    <x v="0"/>
    <n v="99.95"/>
    <x v="2"/>
    <x v="0"/>
    <x v="0"/>
    <x v="4"/>
    <n v="-1290.6400000000001"/>
  </r>
  <r>
    <d v="2024-05-15T00:00:00"/>
    <s v="net sales:product 1"/>
    <n v="9.99"/>
    <x v="66"/>
    <n v="469.53000000000003"/>
    <x v="3"/>
    <x v="1"/>
    <x v="0"/>
    <x v="4"/>
    <n v="-99.990000000000009"/>
  </r>
  <r>
    <d v="2024-05-15T00:00:00"/>
    <s v="net sales:product 2"/>
    <n v="24.99"/>
    <x v="13"/>
    <n v="174.92999999999998"/>
    <x v="3"/>
    <x v="2"/>
    <x v="0"/>
    <x v="4"/>
    <n v="549.45000000000005"/>
  </r>
  <r>
    <d v="2024-05-15T00:00:00"/>
    <s v="net sales:product 3"/>
    <n v="12.49"/>
    <x v="138"/>
    <n v="649.48"/>
    <x v="3"/>
    <x v="3"/>
    <x v="0"/>
    <x v="4"/>
    <n v="99.96"/>
  </r>
  <r>
    <d v="2024-05-15T00:00:00"/>
    <s v="overhead"/>
    <s v="NA"/>
    <x v="0"/>
    <n v="315.60000000000002"/>
    <x v="4"/>
    <x v="0"/>
    <x v="0"/>
    <x v="4"/>
    <n v="1623.7"/>
  </r>
  <r>
    <d v="2024-05-16T00:00:00"/>
    <s v="cogs:product 1"/>
    <n v="5.99"/>
    <x v="113"/>
    <n v="185.69"/>
    <x v="1"/>
    <x v="1"/>
    <x v="0"/>
    <x v="4"/>
    <n v="-293.93"/>
  </r>
  <r>
    <d v="2024-05-16T00:00:00"/>
    <s v="cogs:product 2"/>
    <n v="16.989999999999998"/>
    <x v="25"/>
    <n v="16.989999999999998"/>
    <x v="1"/>
    <x v="2"/>
    <x v="0"/>
    <x v="4"/>
    <n v="-29.950000000000003"/>
  </r>
  <r>
    <d v="2024-05-16T00:00:00"/>
    <s v="cogs:product 3"/>
    <n v="8.49"/>
    <x v="97"/>
    <n v="483.93"/>
    <x v="1"/>
    <x v="3"/>
    <x v="0"/>
    <x v="4"/>
    <n v="-84.949999999999989"/>
  </r>
  <r>
    <d v="2024-05-16T00:00:00"/>
    <s v="marketing"/>
    <s v="NA"/>
    <x v="0"/>
    <n v="100.01"/>
    <x v="2"/>
    <x v="0"/>
    <x v="0"/>
    <x v="4"/>
    <n v="-288.66000000000003"/>
  </r>
  <r>
    <d v="2024-05-16T00:00:00"/>
    <s v="net sales:product 1"/>
    <n v="9.99"/>
    <x v="113"/>
    <n v="309.69"/>
    <x v="3"/>
    <x v="1"/>
    <x v="0"/>
    <x v="4"/>
    <n v="-100.05"/>
  </r>
  <r>
    <d v="2024-05-16T00:00:00"/>
    <s v="net sales:product 2"/>
    <n v="24.99"/>
    <x v="25"/>
    <n v="24.99"/>
    <x v="3"/>
    <x v="2"/>
    <x v="0"/>
    <x v="4"/>
    <n v="49.95"/>
  </r>
  <r>
    <d v="2024-05-16T00:00:00"/>
    <s v="net sales:product 3"/>
    <n v="12.49"/>
    <x v="97"/>
    <n v="711.93000000000006"/>
    <x v="3"/>
    <x v="3"/>
    <x v="0"/>
    <x v="4"/>
    <n v="124.94999999999999"/>
  </r>
  <r>
    <d v="2024-05-17T00:00:00"/>
    <s v="cogs:product 1"/>
    <n v="5.99"/>
    <x v="97"/>
    <n v="341.43"/>
    <x v="1"/>
    <x v="1"/>
    <x v="0"/>
    <x v="4"/>
    <n v="424.66"/>
  </r>
  <r>
    <d v="2024-05-17T00:00:00"/>
    <s v="cogs:product 2"/>
    <n v="16.989999999999998"/>
    <x v="22"/>
    <n v="169.89999999999998"/>
    <x v="1"/>
    <x v="2"/>
    <x v="0"/>
    <x v="4"/>
    <n v="-479.20000000000005"/>
  </r>
  <r>
    <d v="2024-05-17T00:00:00"/>
    <s v="cogs:product 3"/>
    <n v="8.49"/>
    <x v="106"/>
    <n v="832.02"/>
    <x v="1"/>
    <x v="3"/>
    <x v="0"/>
    <x v="4"/>
    <n v="-152.91"/>
  </r>
  <r>
    <d v="2024-05-17T00:00:00"/>
    <s v="marketing"/>
    <s v="NA"/>
    <x v="0"/>
    <n v="99.93"/>
    <x v="2"/>
    <x v="0"/>
    <x v="0"/>
    <x v="4"/>
    <n v="0"/>
  </r>
  <r>
    <d v="2024-05-17T00:00:00"/>
    <s v="net sales:product 1"/>
    <n v="9.99"/>
    <x v="97"/>
    <n v="569.43000000000006"/>
    <x v="3"/>
    <x v="1"/>
    <x v="0"/>
    <x v="4"/>
    <n v="-99.960000000000008"/>
  </r>
  <r>
    <d v="2024-05-17T00:00:00"/>
    <s v="net sales:product 2"/>
    <n v="24.99"/>
    <x v="22"/>
    <n v="249.89999999999998"/>
    <x v="3"/>
    <x v="2"/>
    <x v="0"/>
    <x v="4"/>
    <n v="799.2"/>
  </r>
  <r>
    <d v="2024-05-17T00:00:00"/>
    <s v="net sales:product 3"/>
    <n v="12.49"/>
    <x v="106"/>
    <n v="1224.02"/>
    <x v="3"/>
    <x v="3"/>
    <x v="0"/>
    <x v="4"/>
    <n v="224.91"/>
  </r>
  <r>
    <d v="2024-05-18T00:00:00"/>
    <s v="cogs:product 1"/>
    <n v="5.99"/>
    <x v="139"/>
    <n v="215.64000000000001"/>
    <x v="1"/>
    <x v="1"/>
    <x v="0"/>
    <x v="4"/>
    <n v="0"/>
  </r>
  <r>
    <d v="2024-05-18T00:00:00"/>
    <s v="cogs:product 2"/>
    <n v="16.989999999999998"/>
    <x v="42"/>
    <n v="101.94"/>
    <x v="1"/>
    <x v="2"/>
    <x v="0"/>
    <x v="4"/>
    <n v="-257.57"/>
  </r>
  <r>
    <d v="2024-05-18T00:00:00"/>
    <s v="cogs:product 3"/>
    <n v="8.49"/>
    <x v="140"/>
    <n v="246.21"/>
    <x v="1"/>
    <x v="3"/>
    <x v="0"/>
    <x v="4"/>
    <n v="-67.959999999999994"/>
  </r>
  <r>
    <d v="2024-05-18T00:00:00"/>
    <s v="marketing"/>
    <s v="NA"/>
    <x v="0"/>
    <n v="100.01"/>
    <x v="2"/>
    <x v="0"/>
    <x v="0"/>
    <x v="4"/>
    <n v="-135.84"/>
  </r>
  <r>
    <d v="2024-05-18T00:00:00"/>
    <s v="net sales:product 1"/>
    <n v="9.99"/>
    <x v="139"/>
    <n v="359.64"/>
    <x v="3"/>
    <x v="1"/>
    <x v="0"/>
    <x v="4"/>
    <n v="-100.02"/>
  </r>
  <r>
    <d v="2024-05-18T00:00:00"/>
    <s v="net sales:product 2"/>
    <n v="24.99"/>
    <x v="42"/>
    <n v="149.94"/>
    <x v="3"/>
    <x v="2"/>
    <x v="0"/>
    <x v="4"/>
    <n v="429.57"/>
  </r>
  <r>
    <d v="2024-05-18T00:00:00"/>
    <s v="net sales:product 3"/>
    <n v="12.49"/>
    <x v="140"/>
    <n v="362.21"/>
    <x v="3"/>
    <x v="3"/>
    <x v="0"/>
    <x v="4"/>
    <n v="99.96"/>
  </r>
  <r>
    <d v="2024-05-19T00:00:00"/>
    <s v="cogs:product 1"/>
    <n v="5.99"/>
    <x v="78"/>
    <n v="335.44"/>
    <x v="1"/>
    <x v="1"/>
    <x v="0"/>
    <x v="4"/>
    <n v="199.84"/>
  </r>
  <r>
    <d v="2024-05-19T00:00:00"/>
    <s v="cogs:product 2"/>
    <n v="16.989999999999998"/>
    <x v="19"/>
    <n v="67.959999999999994"/>
    <x v="1"/>
    <x v="2"/>
    <x v="0"/>
    <x v="4"/>
    <n v="-497.17"/>
  </r>
  <r>
    <d v="2024-05-19T00:00:00"/>
    <s v="cogs:product 3"/>
    <n v="8.49"/>
    <x v="141"/>
    <n v="1664.04"/>
    <x v="1"/>
    <x v="3"/>
    <x v="0"/>
    <x v="4"/>
    <n v="-33.979999999999997"/>
  </r>
  <r>
    <d v="2024-05-19T00:00:00"/>
    <s v="marketing"/>
    <s v="NA"/>
    <x v="0"/>
    <n v="99.91"/>
    <x v="2"/>
    <x v="0"/>
    <x v="0"/>
    <x v="4"/>
    <n v="-1400.8500000000001"/>
  </r>
  <r>
    <d v="2024-05-19T00:00:00"/>
    <s v="net sales:product 1"/>
    <n v="9.99"/>
    <x v="78"/>
    <n v="559.44000000000005"/>
    <x v="3"/>
    <x v="1"/>
    <x v="0"/>
    <x v="4"/>
    <n v="-100.06"/>
  </r>
  <r>
    <d v="2024-05-19T00:00:00"/>
    <s v="net sales:product 2"/>
    <n v="24.99"/>
    <x v="19"/>
    <n v="99.96"/>
    <x v="3"/>
    <x v="2"/>
    <x v="0"/>
    <x v="4"/>
    <n v="829.17000000000007"/>
  </r>
  <r>
    <d v="2024-05-19T00:00:00"/>
    <s v="net sales:product 3"/>
    <n v="12.49"/>
    <x v="141"/>
    <n v="2448.04"/>
    <x v="3"/>
    <x v="3"/>
    <x v="0"/>
    <x v="4"/>
    <n v="49.98"/>
  </r>
  <r>
    <d v="2024-05-20T00:00:00"/>
    <s v="cogs:product 1"/>
    <n v="5.99"/>
    <x v="119"/>
    <n v="293.51"/>
    <x v="1"/>
    <x v="1"/>
    <x v="0"/>
    <x v="4"/>
    <n v="2060.85"/>
  </r>
  <r>
    <d v="2024-05-20T00:00:00"/>
    <s v="cogs:product 2"/>
    <n v="16.989999999999998"/>
    <x v="42"/>
    <n v="101.94"/>
    <x v="1"/>
    <x v="2"/>
    <x v="0"/>
    <x v="4"/>
    <n v="-197.67000000000002"/>
  </r>
  <r>
    <d v="2024-05-20T00:00:00"/>
    <s v="cogs:product 3"/>
    <n v="8.49"/>
    <x v="42"/>
    <n v="50.94"/>
    <x v="1"/>
    <x v="3"/>
    <x v="0"/>
    <x v="4"/>
    <n v="-50.97"/>
  </r>
  <r>
    <d v="2024-05-20T00:00:00"/>
    <s v="marketing"/>
    <s v="NA"/>
    <x v="0"/>
    <n v="99.98"/>
    <x v="2"/>
    <x v="0"/>
    <x v="0"/>
    <x v="4"/>
    <n v="-1129.17"/>
  </r>
  <r>
    <d v="2024-05-20T00:00:00"/>
    <s v="net sales:product 1"/>
    <n v="9.99"/>
    <x v="119"/>
    <n v="489.51"/>
    <x v="3"/>
    <x v="1"/>
    <x v="0"/>
    <x v="4"/>
    <n v="-99.91"/>
  </r>
  <r>
    <d v="2024-05-20T00:00:00"/>
    <s v="net sales:product 2"/>
    <n v="24.99"/>
    <x v="42"/>
    <n v="149.94"/>
    <x v="3"/>
    <x v="2"/>
    <x v="0"/>
    <x v="4"/>
    <n v="329.67"/>
  </r>
  <r>
    <d v="2024-05-20T00:00:00"/>
    <s v="net sales:product 3"/>
    <n v="12.49"/>
    <x v="42"/>
    <n v="74.94"/>
    <x v="3"/>
    <x v="3"/>
    <x v="0"/>
    <x v="4"/>
    <n v="74.97"/>
  </r>
  <r>
    <d v="2024-05-21T00:00:00"/>
    <s v="cogs:product 1"/>
    <n v="5.99"/>
    <x v="58"/>
    <n v="251.58"/>
    <x v="1"/>
    <x v="1"/>
    <x v="0"/>
    <x v="4"/>
    <n v="1661.17"/>
  </r>
  <r>
    <d v="2024-05-21T00:00:00"/>
    <s v="cogs:product 2"/>
    <n v="16.989999999999998"/>
    <x v="16"/>
    <n v="135.91999999999999"/>
    <x v="1"/>
    <x v="2"/>
    <x v="0"/>
    <x v="4"/>
    <n v="-221.63"/>
  </r>
  <r>
    <d v="2024-05-21T00:00:00"/>
    <s v="cogs:product 3"/>
    <n v="8.49"/>
    <x v="44"/>
    <n v="271.68"/>
    <x v="1"/>
    <x v="3"/>
    <x v="0"/>
    <x v="4"/>
    <n v="-33.979999999999997"/>
  </r>
  <r>
    <d v="2024-05-21T00:00:00"/>
    <s v="marketing"/>
    <s v="NA"/>
    <x v="0"/>
    <n v="100.05"/>
    <x v="2"/>
    <x v="0"/>
    <x v="0"/>
    <x v="4"/>
    <n v="-755.61"/>
  </r>
  <r>
    <d v="2024-05-21T00:00:00"/>
    <s v="net sales:product 1"/>
    <n v="9.99"/>
    <x v="58"/>
    <n v="419.58"/>
    <x v="3"/>
    <x v="1"/>
    <x v="0"/>
    <x v="4"/>
    <n v="-100.05"/>
  </r>
  <r>
    <d v="2024-05-21T00:00:00"/>
    <s v="net sales:product 2"/>
    <n v="24.99"/>
    <x v="16"/>
    <n v="199.92"/>
    <x v="3"/>
    <x v="2"/>
    <x v="0"/>
    <x v="4"/>
    <n v="369.63"/>
  </r>
  <r>
    <d v="2024-05-21T00:00:00"/>
    <s v="net sales:product 3"/>
    <n v="12.49"/>
    <x v="44"/>
    <n v="399.68"/>
    <x v="3"/>
    <x v="3"/>
    <x v="0"/>
    <x v="4"/>
    <n v="49.98"/>
  </r>
  <r>
    <d v="2024-05-22T00:00:00"/>
    <s v="cogs:product 1"/>
    <n v="5.99"/>
    <x v="6"/>
    <n v="221.63"/>
    <x v="1"/>
    <x v="1"/>
    <x v="0"/>
    <x v="4"/>
    <n v="1111.6100000000001"/>
  </r>
  <r>
    <d v="2024-05-22T00:00:00"/>
    <s v="cogs:product 2"/>
    <n v="16.989999999999998"/>
    <x v="7"/>
    <n v="152.91"/>
    <x v="1"/>
    <x v="2"/>
    <x v="0"/>
    <x v="4"/>
    <n v="-335.44"/>
  </r>
  <r>
    <d v="2024-05-22T00:00:00"/>
    <s v="cogs:product 3"/>
    <n v="8.49"/>
    <x v="76"/>
    <n v="628.26"/>
    <x v="1"/>
    <x v="3"/>
    <x v="0"/>
    <x v="4"/>
    <n v="-101.94"/>
  </r>
  <r>
    <d v="2024-05-22T00:00:00"/>
    <s v="marketing"/>
    <s v="NA"/>
    <x v="0"/>
    <n v="99.94"/>
    <x v="2"/>
    <x v="0"/>
    <x v="0"/>
    <x v="4"/>
    <n v="0"/>
  </r>
  <r>
    <d v="2024-05-22T00:00:00"/>
    <s v="net sales:product 1"/>
    <n v="9.99"/>
    <x v="6"/>
    <n v="369.63"/>
    <x v="3"/>
    <x v="1"/>
    <x v="0"/>
    <x v="4"/>
    <n v="-99.98"/>
  </r>
  <r>
    <d v="2024-05-22T00:00:00"/>
    <s v="net sales:product 2"/>
    <n v="24.99"/>
    <x v="7"/>
    <n v="224.91"/>
    <x v="3"/>
    <x v="2"/>
    <x v="0"/>
    <x v="4"/>
    <n v="559.44000000000005"/>
  </r>
  <r>
    <d v="2024-05-22T00:00:00"/>
    <s v="net sales:product 3"/>
    <n v="12.49"/>
    <x v="76"/>
    <n v="924.26"/>
    <x v="3"/>
    <x v="3"/>
    <x v="0"/>
    <x v="4"/>
    <n v="149.94"/>
  </r>
  <r>
    <d v="2024-05-23T00:00:00"/>
    <s v="cogs:product 1"/>
    <n v="5.99"/>
    <x v="62"/>
    <n v="419.3"/>
    <x v="1"/>
    <x v="1"/>
    <x v="0"/>
    <x v="4"/>
    <n v="0"/>
  </r>
  <r>
    <d v="2024-05-23T00:00:00"/>
    <s v="cogs:product 2"/>
    <n v="16.989999999999998"/>
    <x v="23"/>
    <n v="0"/>
    <x v="1"/>
    <x v="2"/>
    <x v="0"/>
    <x v="4"/>
    <n v="-161.73000000000002"/>
  </r>
  <r>
    <d v="2024-05-23T00:00:00"/>
    <s v="cogs:product 3"/>
    <n v="8.49"/>
    <x v="142"/>
    <n v="1893.27"/>
    <x v="1"/>
    <x v="3"/>
    <x v="0"/>
    <x v="4"/>
    <n v="-118.92999999999999"/>
  </r>
  <r>
    <d v="2024-05-23T00:00:00"/>
    <s v="marketing"/>
    <s v="NA"/>
    <x v="0"/>
    <n v="100"/>
    <x v="2"/>
    <x v="0"/>
    <x v="0"/>
    <x v="4"/>
    <n v="-1426.32"/>
  </r>
  <r>
    <d v="2024-05-23T00:00:00"/>
    <s v="net sales:product 1"/>
    <n v="9.99"/>
    <x v="62"/>
    <n v="699.30000000000007"/>
    <x v="3"/>
    <x v="1"/>
    <x v="0"/>
    <x v="4"/>
    <n v="-99.92"/>
  </r>
  <r>
    <d v="2024-05-23T00:00:00"/>
    <s v="net sales:product 2"/>
    <n v="24.99"/>
    <x v="23"/>
    <n v="0"/>
    <x v="3"/>
    <x v="2"/>
    <x v="0"/>
    <x v="4"/>
    <n v="269.73"/>
  </r>
  <r>
    <d v="2024-05-23T00:00:00"/>
    <s v="net sales:product 3"/>
    <n v="12.49"/>
    <x v="142"/>
    <n v="2785.27"/>
    <x v="3"/>
    <x v="3"/>
    <x v="0"/>
    <x v="4"/>
    <n v="174.92999999999998"/>
  </r>
  <r>
    <d v="2024-05-24T00:00:00"/>
    <s v="cogs:product 1"/>
    <n v="5.99"/>
    <x v="72"/>
    <n v="143.76"/>
    <x v="1"/>
    <x v="1"/>
    <x v="0"/>
    <x v="4"/>
    <n v="2098.3200000000002"/>
  </r>
  <r>
    <d v="2024-05-24T00:00:00"/>
    <s v="cogs:product 2"/>
    <n v="16.989999999999998"/>
    <x v="7"/>
    <n v="152.91"/>
    <x v="1"/>
    <x v="2"/>
    <x v="0"/>
    <x v="4"/>
    <n v="-83.86"/>
  </r>
  <r>
    <d v="2024-05-24T00:00:00"/>
    <s v="cogs:product 3"/>
    <n v="8.49"/>
    <x v="143"/>
    <n v="1315.95"/>
    <x v="1"/>
    <x v="3"/>
    <x v="0"/>
    <x v="4"/>
    <n v="-101.94"/>
  </r>
  <r>
    <d v="2024-05-24T00:00:00"/>
    <s v="marketing"/>
    <s v="NA"/>
    <x v="0"/>
    <n v="99.93"/>
    <x v="2"/>
    <x v="0"/>
    <x v="0"/>
    <x v="4"/>
    <n v="-178.29"/>
  </r>
  <r>
    <d v="2024-05-24T00:00:00"/>
    <s v="net sales:product 1"/>
    <n v="9.99"/>
    <x v="72"/>
    <n v="239.76"/>
    <x v="3"/>
    <x v="1"/>
    <x v="0"/>
    <x v="4"/>
    <n v="-100.03"/>
  </r>
  <r>
    <d v="2024-05-24T00:00:00"/>
    <s v="net sales:product 2"/>
    <n v="24.99"/>
    <x v="7"/>
    <n v="224.91"/>
    <x v="3"/>
    <x v="2"/>
    <x v="0"/>
    <x v="4"/>
    <n v="139.86000000000001"/>
  </r>
  <r>
    <d v="2024-05-24T00:00:00"/>
    <s v="net sales:product 3"/>
    <n v="12.49"/>
    <x v="143"/>
    <n v="1935.95"/>
    <x v="3"/>
    <x v="3"/>
    <x v="0"/>
    <x v="4"/>
    <n v="149.94"/>
  </r>
  <r>
    <d v="2024-05-24T00:00:00"/>
    <s v="payroll"/>
    <s v="NA"/>
    <x v="0"/>
    <n v="1200"/>
    <x v="5"/>
    <x v="0"/>
    <x v="0"/>
    <x v="4"/>
    <n v="262.29000000000002"/>
  </r>
  <r>
    <d v="2024-05-25T00:00:00"/>
    <s v="cogs:product 1"/>
    <n v="5.99"/>
    <x v="23"/>
    <n v="0"/>
    <x v="1"/>
    <x v="1"/>
    <x v="0"/>
    <x v="4"/>
    <n v="-245.59"/>
  </r>
  <r>
    <d v="2024-05-25T00:00:00"/>
    <s v="cogs:product 2"/>
    <n v="16.989999999999998"/>
    <x v="7"/>
    <n v="152.91"/>
    <x v="1"/>
    <x v="2"/>
    <x v="0"/>
    <x v="4"/>
    <n v="0"/>
  </r>
  <r>
    <d v="2024-05-25T00:00:00"/>
    <s v="cogs:product 3"/>
    <n v="8.49"/>
    <x v="144"/>
    <n v="2097.0300000000002"/>
    <x v="1"/>
    <x v="3"/>
    <x v="0"/>
    <x v="4"/>
    <n v="-331.11"/>
  </r>
  <r>
    <d v="2024-05-25T00:00:00"/>
    <s v="marketing"/>
    <s v="NA"/>
    <x v="0"/>
    <n v="99.92"/>
    <x v="2"/>
    <x v="0"/>
    <x v="0"/>
    <x v="4"/>
    <n v="-99.9"/>
  </r>
  <r>
    <d v="2024-05-25T00:00:00"/>
    <s v="net sales:product 1"/>
    <n v="9.99"/>
    <x v="23"/>
    <n v="0"/>
    <x v="3"/>
    <x v="1"/>
    <x v="0"/>
    <x v="4"/>
    <n v="409.59000000000003"/>
  </r>
  <r>
    <d v="2024-05-25T00:00:00"/>
    <s v="net sales:product 2"/>
    <n v="24.99"/>
    <x v="7"/>
    <n v="224.91"/>
    <x v="3"/>
    <x v="2"/>
    <x v="0"/>
    <x v="4"/>
    <n v="0"/>
  </r>
  <r>
    <d v="2024-05-25T00:00:00"/>
    <s v="net sales:product 3"/>
    <n v="12.49"/>
    <x v="144"/>
    <n v="3085.03"/>
    <x v="3"/>
    <x v="3"/>
    <x v="0"/>
    <x v="4"/>
    <n v="487.11"/>
  </r>
  <r>
    <d v="2024-05-26T00:00:00"/>
    <s v="cogs:product 1"/>
    <n v="5.99"/>
    <x v="74"/>
    <n v="329.45"/>
    <x v="1"/>
    <x v="1"/>
    <x v="0"/>
    <x v="4"/>
    <n v="-341.43"/>
  </r>
  <r>
    <d v="2024-05-26T00:00:00"/>
    <s v="cogs:product 2"/>
    <n v="16.989999999999998"/>
    <x v="25"/>
    <n v="16.989999999999998"/>
    <x v="1"/>
    <x v="2"/>
    <x v="0"/>
    <x v="4"/>
    <n v="-33.979999999999997"/>
  </r>
  <r>
    <d v="2024-05-26T00:00:00"/>
    <s v="cogs:product 3"/>
    <n v="8.49"/>
    <x v="127"/>
    <n v="118.86"/>
    <x v="1"/>
    <x v="3"/>
    <x v="0"/>
    <x v="4"/>
    <n v="-237.72"/>
  </r>
  <r>
    <d v="2024-05-26T00:00:00"/>
    <s v="marketing"/>
    <s v="NA"/>
    <x v="0"/>
    <n v="100.07000000000001"/>
    <x v="2"/>
    <x v="0"/>
    <x v="0"/>
    <x v="4"/>
    <n v="-100.07000000000001"/>
  </r>
  <r>
    <d v="2024-05-26T00:00:00"/>
    <s v="net sales:product 1"/>
    <n v="9.99"/>
    <x v="74"/>
    <n v="549.45000000000005"/>
    <x v="3"/>
    <x v="1"/>
    <x v="0"/>
    <x v="4"/>
    <n v="569.43000000000006"/>
  </r>
  <r>
    <d v="2024-05-26T00:00:00"/>
    <s v="net sales:product 2"/>
    <n v="24.99"/>
    <x v="25"/>
    <n v="24.99"/>
    <x v="3"/>
    <x v="2"/>
    <x v="0"/>
    <x v="4"/>
    <n v="49.98"/>
  </r>
  <r>
    <d v="2024-05-26T00:00:00"/>
    <s v="net sales:product 3"/>
    <n v="12.49"/>
    <x v="127"/>
    <n v="174.86"/>
    <x v="3"/>
    <x v="3"/>
    <x v="0"/>
    <x v="4"/>
    <n v="349.72"/>
  </r>
  <r>
    <d v="2024-05-27T00:00:00"/>
    <s v="cogs:product 1"/>
    <n v="5.99"/>
    <x v="101"/>
    <n v="473.21000000000004"/>
    <x v="1"/>
    <x v="1"/>
    <x v="0"/>
    <x v="4"/>
    <n v="-1200"/>
  </r>
  <r>
    <d v="2024-05-27T00:00:00"/>
    <s v="cogs:product 2"/>
    <n v="16.989999999999998"/>
    <x v="29"/>
    <n v="84.949999999999989"/>
    <x v="1"/>
    <x v="2"/>
    <x v="0"/>
    <x v="4"/>
    <n v="-551.08000000000004"/>
  </r>
  <r>
    <d v="2024-05-27T00:00:00"/>
    <s v="cogs:product 3"/>
    <n v="8.49"/>
    <x v="49"/>
    <n v="1978.17"/>
    <x v="1"/>
    <x v="3"/>
    <x v="0"/>
    <x v="4"/>
    <n v="-67.959999999999994"/>
  </r>
  <r>
    <d v="2024-05-27T00:00:00"/>
    <s v="marketing"/>
    <s v="NA"/>
    <x v="0"/>
    <n v="100.08"/>
    <x v="2"/>
    <x v="0"/>
    <x v="0"/>
    <x v="4"/>
    <n v="-1137.6600000000001"/>
  </r>
  <r>
    <d v="2024-05-27T00:00:00"/>
    <s v="net sales:product 1"/>
    <n v="9.99"/>
    <x v="101"/>
    <n v="789.21"/>
    <x v="3"/>
    <x v="1"/>
    <x v="0"/>
    <x v="4"/>
    <n v="-100"/>
  </r>
  <r>
    <d v="2024-05-27T00:00:00"/>
    <s v="net sales:product 2"/>
    <n v="24.99"/>
    <x v="29"/>
    <n v="124.94999999999999"/>
    <x v="3"/>
    <x v="2"/>
    <x v="0"/>
    <x v="4"/>
    <n v="919.08"/>
  </r>
  <r>
    <d v="2024-05-27T00:00:00"/>
    <s v="net sales:product 3"/>
    <n v="12.49"/>
    <x v="49"/>
    <n v="2910.17"/>
    <x v="3"/>
    <x v="3"/>
    <x v="0"/>
    <x v="4"/>
    <n v="99.96"/>
  </r>
  <r>
    <d v="2024-05-28T00:00:00"/>
    <s v="cogs:product 1"/>
    <n v="5.99"/>
    <x v="73"/>
    <n v="401.33000000000004"/>
    <x v="1"/>
    <x v="1"/>
    <x v="0"/>
    <x v="4"/>
    <n v="1673.66"/>
  </r>
  <r>
    <d v="2024-05-28T00:00:00"/>
    <s v="cogs:product 2"/>
    <n v="16.989999999999998"/>
    <x v="29"/>
    <n v="84.949999999999989"/>
    <x v="1"/>
    <x v="2"/>
    <x v="0"/>
    <x v="4"/>
    <n v="-491.18"/>
  </r>
  <r>
    <d v="2024-05-28T00:00:00"/>
    <s v="cogs:product 3"/>
    <n v="8.49"/>
    <x v="68"/>
    <n v="1205.58"/>
    <x v="1"/>
    <x v="3"/>
    <x v="0"/>
    <x v="4"/>
    <n v="-101.94"/>
  </r>
  <r>
    <d v="2024-05-28T00:00:00"/>
    <s v="marketing"/>
    <s v="NA"/>
    <x v="0"/>
    <n v="99.9"/>
    <x v="2"/>
    <x v="0"/>
    <x v="0"/>
    <x v="4"/>
    <n v="-1536.69"/>
  </r>
  <r>
    <d v="2024-05-28T00:00:00"/>
    <s v="net sales:product 1"/>
    <n v="9.99"/>
    <x v="73"/>
    <n v="669.33"/>
    <x v="3"/>
    <x v="1"/>
    <x v="0"/>
    <x v="4"/>
    <n v="-100.06"/>
  </r>
  <r>
    <d v="2024-05-28T00:00:00"/>
    <s v="net sales:product 2"/>
    <n v="24.99"/>
    <x v="29"/>
    <n v="124.94999999999999"/>
    <x v="3"/>
    <x v="2"/>
    <x v="0"/>
    <x v="4"/>
    <n v="819.18000000000006"/>
  </r>
  <r>
    <d v="2024-05-28T00:00:00"/>
    <s v="net sales:product 3"/>
    <n v="12.49"/>
    <x v="68"/>
    <n v="1773.58"/>
    <x v="3"/>
    <x v="3"/>
    <x v="0"/>
    <x v="4"/>
    <n v="149.94"/>
  </r>
  <r>
    <d v="2024-05-29T00:00:00"/>
    <s v="cogs:product 1"/>
    <n v="5.99"/>
    <x v="105"/>
    <n v="491.18"/>
    <x v="1"/>
    <x v="1"/>
    <x v="0"/>
    <x v="4"/>
    <n v="2260.69"/>
  </r>
  <r>
    <d v="2024-05-29T00:00:00"/>
    <s v="cogs:product 2"/>
    <n v="16.989999999999998"/>
    <x v="16"/>
    <n v="135.91999999999999"/>
    <x v="1"/>
    <x v="2"/>
    <x v="0"/>
    <x v="4"/>
    <n v="-371.38"/>
  </r>
  <r>
    <d v="2024-05-29T00:00:00"/>
    <s v="cogs:product 3"/>
    <n v="8.49"/>
    <x v="23"/>
    <n v="0"/>
    <x v="1"/>
    <x v="3"/>
    <x v="0"/>
    <x v="4"/>
    <n v="-135.91999999999999"/>
  </r>
  <r>
    <d v="2024-05-29T00:00:00"/>
    <s v="marketing"/>
    <s v="NA"/>
    <x v="0"/>
    <n v="100.10000000000001"/>
    <x v="2"/>
    <x v="0"/>
    <x v="0"/>
    <x v="4"/>
    <n v="-1341.42"/>
  </r>
  <r>
    <d v="2024-05-29T00:00:00"/>
    <s v="net sales:product 1"/>
    <n v="9.99"/>
    <x v="105"/>
    <n v="819.18000000000006"/>
    <x v="3"/>
    <x v="1"/>
    <x v="0"/>
    <x v="4"/>
    <n v="-100"/>
  </r>
  <r>
    <d v="2024-05-29T00:00:00"/>
    <s v="net sales:product 2"/>
    <n v="24.99"/>
    <x v="16"/>
    <n v="199.92"/>
    <x v="3"/>
    <x v="2"/>
    <x v="0"/>
    <x v="4"/>
    <n v="619.38"/>
  </r>
  <r>
    <d v="2024-05-29T00:00:00"/>
    <s v="net sales:product 3"/>
    <n v="12.49"/>
    <x v="23"/>
    <n v="0"/>
    <x v="3"/>
    <x v="3"/>
    <x v="0"/>
    <x v="4"/>
    <n v="199.92"/>
  </r>
  <r>
    <d v="2024-05-30T00:00:00"/>
    <s v="cogs:product 1"/>
    <n v="5.99"/>
    <x v="66"/>
    <n v="281.53000000000003"/>
    <x v="1"/>
    <x v="1"/>
    <x v="0"/>
    <x v="4"/>
    <n v="1973.42"/>
  </r>
  <r>
    <d v="2024-05-30T00:00:00"/>
    <s v="cogs:product 2"/>
    <n v="16.989999999999998"/>
    <x v="29"/>
    <n v="84.949999999999989"/>
    <x v="1"/>
    <x v="2"/>
    <x v="0"/>
    <x v="4"/>
    <n v="-131.78"/>
  </r>
  <r>
    <d v="2024-05-30T00:00:00"/>
    <s v="cogs:product 3"/>
    <n v="8.49"/>
    <x v="54"/>
    <n v="373.56"/>
    <x v="1"/>
    <x v="3"/>
    <x v="0"/>
    <x v="4"/>
    <n v="-135.91999999999999"/>
  </r>
  <r>
    <d v="2024-05-30T00:00:00"/>
    <s v="marketing"/>
    <s v="NA"/>
    <x v="0"/>
    <n v="99.91"/>
    <x v="2"/>
    <x v="0"/>
    <x v="0"/>
    <x v="4"/>
    <n v="-365.07"/>
  </r>
  <r>
    <d v="2024-05-30T00:00:00"/>
    <s v="net sales:product 1"/>
    <n v="9.99"/>
    <x v="66"/>
    <n v="469.53000000000003"/>
    <x v="3"/>
    <x v="1"/>
    <x v="0"/>
    <x v="4"/>
    <n v="-100.02"/>
  </r>
  <r>
    <d v="2024-05-30T00:00:00"/>
    <s v="net sales:product 2"/>
    <n v="24.99"/>
    <x v="29"/>
    <n v="124.94999999999999"/>
    <x v="3"/>
    <x v="2"/>
    <x v="0"/>
    <x v="4"/>
    <n v="219.78"/>
  </r>
  <r>
    <d v="2024-05-30T00:00:00"/>
    <s v="net sales:product 3"/>
    <n v="12.49"/>
    <x v="54"/>
    <n v="549.56000000000006"/>
    <x v="3"/>
    <x v="3"/>
    <x v="0"/>
    <x v="4"/>
    <n v="199.92"/>
  </r>
  <r>
    <d v="2024-05-31T00:00:00"/>
    <s v="cogs:product 1"/>
    <n v="5.99"/>
    <x v="110"/>
    <n v="365.39"/>
    <x v="1"/>
    <x v="1"/>
    <x v="0"/>
    <x v="4"/>
    <n v="537.07000000000005"/>
  </r>
  <r>
    <d v="2024-05-31T00:00:00"/>
    <s v="cogs:product 2"/>
    <n v="16.989999999999998"/>
    <x v="25"/>
    <n v="16.989999999999998"/>
    <x v="1"/>
    <x v="2"/>
    <x v="0"/>
    <x v="4"/>
    <n v="0"/>
  </r>
  <r>
    <d v="2024-05-31T00:00:00"/>
    <s v="cogs:product 3"/>
    <n v="8.49"/>
    <x v="145"/>
    <n v="127.35000000000001"/>
    <x v="1"/>
    <x v="3"/>
    <x v="0"/>
    <x v="4"/>
    <n v="-305.49"/>
  </r>
  <r>
    <d v="2024-05-31T00:00:00"/>
    <s v="marketing"/>
    <s v="NA"/>
    <x v="0"/>
    <n v="99.98"/>
    <x v="2"/>
    <x v="0"/>
    <x v="0"/>
    <x v="4"/>
    <n v="0"/>
  </r>
  <r>
    <d v="2024-05-31T00:00:00"/>
    <s v="net sales:product 1"/>
    <n v="9.99"/>
    <x v="110"/>
    <n v="609.39"/>
    <x v="3"/>
    <x v="1"/>
    <x v="0"/>
    <x v="4"/>
    <n v="-339.6"/>
  </r>
  <r>
    <d v="2024-05-31T00:00:00"/>
    <s v="net sales:product 2"/>
    <n v="24.99"/>
    <x v="25"/>
    <n v="24.99"/>
    <x v="3"/>
    <x v="2"/>
    <x v="0"/>
    <x v="4"/>
    <n v="-99.960000000000008"/>
  </r>
  <r>
    <d v="2024-05-31T00:00:00"/>
    <s v="net sales:product 3"/>
    <n v="12.49"/>
    <x v="145"/>
    <n v="187.35"/>
    <x v="3"/>
    <x v="3"/>
    <x v="0"/>
    <x v="4"/>
    <n v="509.49"/>
  </r>
  <r>
    <d v="2024-06-01T00:00:00"/>
    <s v="amortization"/>
    <s v="NA"/>
    <x v="0"/>
    <n v="50"/>
    <x v="0"/>
    <x v="0"/>
    <x v="0"/>
    <x v="5"/>
    <n v="0"/>
  </r>
  <r>
    <d v="2024-06-01T00:00:00"/>
    <s v="cogs:product 1"/>
    <n v="5.99"/>
    <x v="2"/>
    <n v="17.97"/>
    <x v="1"/>
    <x v="1"/>
    <x v="0"/>
    <x v="5"/>
    <n v="499.6"/>
  </r>
  <r>
    <d v="2024-06-01T00:00:00"/>
    <s v="cogs:product 2"/>
    <n v="16.989999999999998"/>
    <x v="23"/>
    <n v="0"/>
    <x v="1"/>
    <x v="2"/>
    <x v="0"/>
    <x v="5"/>
    <n v="-2000"/>
  </r>
  <r>
    <d v="2024-06-01T00:00:00"/>
    <s v="cogs:product 3"/>
    <n v="8.49"/>
    <x v="79"/>
    <n v="534.87"/>
    <x v="1"/>
    <x v="3"/>
    <x v="0"/>
    <x v="5"/>
    <n v="-131.78"/>
  </r>
  <r>
    <d v="2024-06-01T00:00:00"/>
    <s v="marketing"/>
    <s v="NA"/>
    <x v="0"/>
    <n v="100.07000000000001"/>
    <x v="2"/>
    <x v="0"/>
    <x v="0"/>
    <x v="5"/>
    <n v="-50.97"/>
  </r>
  <r>
    <d v="2024-06-01T00:00:00"/>
    <s v="net sales:product 1"/>
    <n v="9.99"/>
    <x v="2"/>
    <n v="29.97"/>
    <x v="3"/>
    <x v="1"/>
    <x v="0"/>
    <x v="5"/>
    <n v="-1400.8500000000001"/>
  </r>
  <r>
    <d v="2024-06-01T00:00:00"/>
    <s v="net sales:product 2"/>
    <n v="24.99"/>
    <x v="23"/>
    <n v="0"/>
    <x v="3"/>
    <x v="2"/>
    <x v="0"/>
    <x v="5"/>
    <n v="-100.06"/>
  </r>
  <r>
    <d v="2024-06-01T00:00:00"/>
    <s v="net sales:product 3"/>
    <n v="12.49"/>
    <x v="79"/>
    <n v="786.87"/>
    <x v="3"/>
    <x v="3"/>
    <x v="0"/>
    <x v="5"/>
    <n v="219.78"/>
  </r>
  <r>
    <d v="2024-06-01T00:00:00"/>
    <s v="overhead"/>
    <s v="NA"/>
    <x v="0"/>
    <n v="2000"/>
    <x v="4"/>
    <x v="0"/>
    <x v="0"/>
    <x v="5"/>
    <n v="74.97"/>
  </r>
  <r>
    <d v="2024-06-02T00:00:00"/>
    <s v="cogs:product 1"/>
    <n v="5.99"/>
    <x v="100"/>
    <n v="527.12"/>
    <x v="1"/>
    <x v="1"/>
    <x v="0"/>
    <x v="5"/>
    <n v="2060.85"/>
  </r>
  <r>
    <d v="2024-06-02T00:00:00"/>
    <s v="cogs:product 2"/>
    <n v="16.989999999999998"/>
    <x v="2"/>
    <n v="50.97"/>
    <x v="1"/>
    <x v="2"/>
    <x v="0"/>
    <x v="5"/>
    <n v="-353.41"/>
  </r>
  <r>
    <d v="2024-06-02T00:00:00"/>
    <s v="cogs:product 3"/>
    <n v="8.49"/>
    <x v="146"/>
    <n v="1222.56"/>
    <x v="1"/>
    <x v="3"/>
    <x v="0"/>
    <x v="5"/>
    <n v="-50.97"/>
  </r>
  <r>
    <d v="2024-06-02T00:00:00"/>
    <s v="marketing"/>
    <s v="NA"/>
    <x v="0"/>
    <n v="100.04"/>
    <x v="2"/>
    <x v="0"/>
    <x v="0"/>
    <x v="5"/>
    <n v="-798.06000000000006"/>
  </r>
  <r>
    <d v="2024-06-02T00:00:00"/>
    <s v="net sales:product 1"/>
    <n v="9.99"/>
    <x v="100"/>
    <n v="879.12"/>
    <x v="3"/>
    <x v="1"/>
    <x v="0"/>
    <x v="5"/>
    <n v="-99.92"/>
  </r>
  <r>
    <d v="2024-06-02T00:00:00"/>
    <s v="net sales:product 2"/>
    <n v="24.99"/>
    <x v="2"/>
    <n v="74.97"/>
    <x v="3"/>
    <x v="2"/>
    <x v="0"/>
    <x v="5"/>
    <n v="589.41"/>
  </r>
  <r>
    <d v="2024-06-02T00:00:00"/>
    <s v="net sales:product 3"/>
    <n v="12.49"/>
    <x v="146"/>
    <n v="1798.56"/>
    <x v="3"/>
    <x v="3"/>
    <x v="0"/>
    <x v="5"/>
    <n v="74.97"/>
  </r>
  <r>
    <d v="2024-06-03T00:00:00"/>
    <s v="cogs:product 1"/>
    <n v="5.99"/>
    <x v="21"/>
    <n v="71.88"/>
    <x v="1"/>
    <x v="1"/>
    <x v="0"/>
    <x v="5"/>
    <n v="1174.06"/>
  </r>
  <r>
    <d v="2024-06-03T00:00:00"/>
    <s v="cogs:product 2"/>
    <n v="16.989999999999998"/>
    <x v="16"/>
    <n v="135.91999999999999"/>
    <x v="1"/>
    <x v="2"/>
    <x v="0"/>
    <x v="5"/>
    <n v="-167.72"/>
  </r>
  <r>
    <d v="2024-06-03T00:00:00"/>
    <s v="cogs:product 3"/>
    <n v="8.49"/>
    <x v="23"/>
    <n v="0"/>
    <x v="1"/>
    <x v="3"/>
    <x v="0"/>
    <x v="5"/>
    <n v="-50.97"/>
  </r>
  <r>
    <d v="2024-06-03T00:00:00"/>
    <s v="marketing"/>
    <s v="NA"/>
    <x v="0"/>
    <n v="100.03"/>
    <x v="2"/>
    <x v="0"/>
    <x v="0"/>
    <x v="5"/>
    <n v="-1969.68"/>
  </r>
  <r>
    <d v="2024-06-03T00:00:00"/>
    <s v="net sales:product 1"/>
    <n v="9.99"/>
    <x v="21"/>
    <n v="119.88"/>
    <x v="3"/>
    <x v="1"/>
    <x v="0"/>
    <x v="5"/>
    <n v="-99.98"/>
  </r>
  <r>
    <d v="2024-06-03T00:00:00"/>
    <s v="net sales:product 2"/>
    <n v="24.99"/>
    <x v="16"/>
    <n v="199.92"/>
    <x v="3"/>
    <x v="2"/>
    <x v="0"/>
    <x v="5"/>
    <n v="279.72000000000003"/>
  </r>
  <r>
    <d v="2024-06-03T00:00:00"/>
    <s v="net sales:product 3"/>
    <n v="12.49"/>
    <x v="23"/>
    <n v="0"/>
    <x v="3"/>
    <x v="3"/>
    <x v="0"/>
    <x v="5"/>
    <n v="74.97"/>
  </r>
  <r>
    <d v="2024-06-04T00:00:00"/>
    <s v="cogs:product 1"/>
    <n v="5.99"/>
    <x v="2"/>
    <n v="17.97"/>
    <x v="1"/>
    <x v="1"/>
    <x v="0"/>
    <x v="5"/>
    <n v="2897.68"/>
  </r>
  <r>
    <d v="2024-06-04T00:00:00"/>
    <s v="cogs:product 2"/>
    <n v="16.989999999999998"/>
    <x v="13"/>
    <n v="118.92999999999999"/>
    <x v="1"/>
    <x v="2"/>
    <x v="0"/>
    <x v="5"/>
    <n v="-527.12"/>
  </r>
  <r>
    <d v="2024-06-04T00:00:00"/>
    <s v="cogs:product 3"/>
    <n v="8.49"/>
    <x v="21"/>
    <n v="101.88"/>
    <x v="1"/>
    <x v="3"/>
    <x v="0"/>
    <x v="5"/>
    <n v="-84.949999999999989"/>
  </r>
  <r>
    <d v="2024-06-04T00:00:00"/>
    <s v="marketing"/>
    <s v="NA"/>
    <x v="0"/>
    <n v="100.02"/>
    <x v="2"/>
    <x v="0"/>
    <x v="0"/>
    <x v="5"/>
    <n v="-823.53"/>
  </r>
  <r>
    <d v="2024-06-04T00:00:00"/>
    <s v="net sales:product 1"/>
    <n v="9.99"/>
    <x v="2"/>
    <n v="29.97"/>
    <x v="3"/>
    <x v="1"/>
    <x v="0"/>
    <x v="5"/>
    <n v="-100.09"/>
  </r>
  <r>
    <d v="2024-06-04T00:00:00"/>
    <s v="net sales:product 2"/>
    <n v="24.99"/>
    <x v="13"/>
    <n v="174.92999999999998"/>
    <x v="3"/>
    <x v="2"/>
    <x v="0"/>
    <x v="5"/>
    <n v="879.12"/>
  </r>
  <r>
    <d v="2024-06-04T00:00:00"/>
    <s v="net sales:product 3"/>
    <n v="12.49"/>
    <x v="21"/>
    <n v="149.88"/>
    <x v="3"/>
    <x v="3"/>
    <x v="0"/>
    <x v="5"/>
    <n v="124.94999999999999"/>
  </r>
  <r>
    <d v="2024-06-05T00:00:00"/>
    <s v="cogs:product 1"/>
    <n v="5.99"/>
    <x v="95"/>
    <n v="359.40000000000003"/>
    <x v="1"/>
    <x v="1"/>
    <x v="0"/>
    <x v="5"/>
    <n v="1211.53"/>
  </r>
  <r>
    <d v="2024-06-05T00:00:00"/>
    <s v="cogs:product 2"/>
    <n v="16.989999999999998"/>
    <x v="29"/>
    <n v="84.949999999999989"/>
    <x v="1"/>
    <x v="2"/>
    <x v="0"/>
    <x v="5"/>
    <n v="-377.37"/>
  </r>
  <r>
    <d v="2024-06-05T00:00:00"/>
    <s v="cogs:product 3"/>
    <n v="8.49"/>
    <x v="147"/>
    <n v="1434.81"/>
    <x v="1"/>
    <x v="3"/>
    <x v="0"/>
    <x v="5"/>
    <n v="-33.979999999999997"/>
  </r>
  <r>
    <d v="2024-06-05T00:00:00"/>
    <s v="marketing"/>
    <s v="NA"/>
    <x v="0"/>
    <n v="100.09"/>
    <x v="2"/>
    <x v="0"/>
    <x v="0"/>
    <x v="5"/>
    <n v="-721.65"/>
  </r>
  <r>
    <d v="2024-06-05T00:00:00"/>
    <s v="net sales:product 1"/>
    <n v="9.99"/>
    <x v="95"/>
    <n v="599.4"/>
    <x v="3"/>
    <x v="1"/>
    <x v="0"/>
    <x v="5"/>
    <n v="-99.960000000000008"/>
  </r>
  <r>
    <d v="2024-06-05T00:00:00"/>
    <s v="net sales:product 2"/>
    <n v="24.99"/>
    <x v="29"/>
    <n v="124.94999999999999"/>
    <x v="3"/>
    <x v="2"/>
    <x v="0"/>
    <x v="5"/>
    <n v="629.37"/>
  </r>
  <r>
    <d v="2024-06-05T00:00:00"/>
    <s v="net sales:product 3"/>
    <n v="12.49"/>
    <x v="147"/>
    <n v="2110.81"/>
    <x v="3"/>
    <x v="3"/>
    <x v="0"/>
    <x v="5"/>
    <n v="49.98"/>
  </r>
  <r>
    <d v="2024-06-06T00:00:00"/>
    <s v="cogs:product 1"/>
    <n v="5.99"/>
    <x v="82"/>
    <n v="533.11"/>
    <x v="1"/>
    <x v="1"/>
    <x v="0"/>
    <x v="5"/>
    <n v="1061.6500000000001"/>
  </r>
  <r>
    <d v="2024-06-06T00:00:00"/>
    <s v="cogs:product 2"/>
    <n v="16.989999999999998"/>
    <x v="19"/>
    <n v="67.959999999999994"/>
    <x v="1"/>
    <x v="2"/>
    <x v="0"/>
    <x v="5"/>
    <n v="-29.950000000000003"/>
  </r>
  <r>
    <d v="2024-06-06T00:00:00"/>
    <s v="cogs:product 3"/>
    <n v="8.49"/>
    <x v="148"/>
    <n v="1587.63"/>
    <x v="1"/>
    <x v="3"/>
    <x v="0"/>
    <x v="5"/>
    <n v="-101.94"/>
  </r>
  <r>
    <d v="2024-06-06T00:00:00"/>
    <s v="marketing"/>
    <s v="NA"/>
    <x v="0"/>
    <n v="100.08"/>
    <x v="2"/>
    <x v="0"/>
    <x v="0"/>
    <x v="5"/>
    <n v="-696.18000000000006"/>
  </r>
  <r>
    <d v="2024-06-06T00:00:00"/>
    <s v="net sales:product 1"/>
    <n v="9.99"/>
    <x v="82"/>
    <n v="889.11"/>
    <x v="3"/>
    <x v="1"/>
    <x v="0"/>
    <x v="5"/>
    <n v="-100.07000000000001"/>
  </r>
  <r>
    <d v="2024-06-06T00:00:00"/>
    <s v="net sales:product 2"/>
    <n v="24.99"/>
    <x v="19"/>
    <n v="99.96"/>
    <x v="3"/>
    <x v="2"/>
    <x v="0"/>
    <x v="5"/>
    <n v="49.95"/>
  </r>
  <r>
    <d v="2024-06-06T00:00:00"/>
    <s v="net sales:product 3"/>
    <n v="12.49"/>
    <x v="148"/>
    <n v="2335.63"/>
    <x v="3"/>
    <x v="3"/>
    <x v="0"/>
    <x v="5"/>
    <n v="149.94"/>
  </r>
  <r>
    <d v="2024-06-07T00:00:00"/>
    <s v="cogs:product 1"/>
    <n v="5.99"/>
    <x v="86"/>
    <n v="167.72"/>
    <x v="1"/>
    <x v="1"/>
    <x v="0"/>
    <x v="5"/>
    <n v="1024.18"/>
  </r>
  <r>
    <d v="2024-06-07T00:00:00"/>
    <s v="cogs:product 2"/>
    <n v="16.989999999999998"/>
    <x v="2"/>
    <n v="50.97"/>
    <x v="1"/>
    <x v="2"/>
    <x v="0"/>
    <x v="5"/>
    <n v="-233.61"/>
  </r>
  <r>
    <d v="2024-06-07T00:00:00"/>
    <s v="cogs:product 3"/>
    <n v="8.49"/>
    <x v="70"/>
    <n v="1681.02"/>
    <x v="1"/>
    <x v="3"/>
    <x v="0"/>
    <x v="5"/>
    <n v="-101.94"/>
  </r>
  <r>
    <d v="2024-06-07T00:00:00"/>
    <s v="marketing"/>
    <s v="NA"/>
    <x v="0"/>
    <n v="100.05"/>
    <x v="2"/>
    <x v="0"/>
    <x v="0"/>
    <x v="5"/>
    <n v="-118.86"/>
  </r>
  <r>
    <d v="2024-06-07T00:00:00"/>
    <s v="net sales:product 1"/>
    <n v="9.99"/>
    <x v="86"/>
    <n v="279.72000000000003"/>
    <x v="3"/>
    <x v="1"/>
    <x v="0"/>
    <x v="5"/>
    <n v="-99.93"/>
  </r>
  <r>
    <d v="2024-06-07T00:00:00"/>
    <s v="net sales:product 2"/>
    <n v="24.99"/>
    <x v="2"/>
    <n v="74.97"/>
    <x v="3"/>
    <x v="2"/>
    <x v="0"/>
    <x v="5"/>
    <n v="389.61"/>
  </r>
  <r>
    <d v="2024-06-07T00:00:00"/>
    <s v="net sales:product 3"/>
    <n v="12.49"/>
    <x v="70"/>
    <n v="2473.02"/>
    <x v="3"/>
    <x v="3"/>
    <x v="0"/>
    <x v="5"/>
    <n v="149.94"/>
  </r>
  <r>
    <d v="2024-06-07T00:00:00"/>
    <s v="payroll"/>
    <s v="NA"/>
    <x v="0"/>
    <n v="1200"/>
    <x v="5"/>
    <x v="0"/>
    <x v="0"/>
    <x v="5"/>
    <n v="174.86"/>
  </r>
  <r>
    <d v="2024-06-08T00:00:00"/>
    <s v="cogs:product 1"/>
    <n v="5.99"/>
    <x v="33"/>
    <n v="485.19"/>
    <x v="1"/>
    <x v="1"/>
    <x v="0"/>
    <x v="5"/>
    <n v="-539.1"/>
  </r>
  <r>
    <d v="2024-06-08T00:00:00"/>
    <s v="cogs:product 2"/>
    <n v="16.989999999999998"/>
    <x v="22"/>
    <n v="169.89999999999998"/>
    <x v="1"/>
    <x v="2"/>
    <x v="0"/>
    <x v="5"/>
    <n v="-67.959999999999994"/>
  </r>
  <r>
    <d v="2024-06-08T00:00:00"/>
    <s v="cogs:product 3"/>
    <n v="8.49"/>
    <x v="76"/>
    <n v="628.26"/>
    <x v="1"/>
    <x v="3"/>
    <x v="0"/>
    <x v="5"/>
    <n v="-1171.6200000000001"/>
  </r>
  <r>
    <d v="2024-06-08T00:00:00"/>
    <s v="marketing"/>
    <s v="NA"/>
    <x v="0"/>
    <n v="100.02"/>
    <x v="2"/>
    <x v="0"/>
    <x v="0"/>
    <x v="5"/>
    <n v="-99.95"/>
  </r>
  <r>
    <d v="2024-06-08T00:00:00"/>
    <s v="net sales:product 1"/>
    <n v="9.99"/>
    <x v="33"/>
    <n v="809.19"/>
    <x v="3"/>
    <x v="1"/>
    <x v="0"/>
    <x v="5"/>
    <n v="899.1"/>
  </r>
  <r>
    <d v="2024-06-08T00:00:00"/>
    <s v="net sales:product 2"/>
    <n v="24.99"/>
    <x v="22"/>
    <n v="249.89999999999998"/>
    <x v="3"/>
    <x v="2"/>
    <x v="0"/>
    <x v="5"/>
    <n v="99.96"/>
  </r>
  <r>
    <d v="2024-06-08T00:00:00"/>
    <s v="net sales:product 3"/>
    <n v="12.49"/>
    <x v="76"/>
    <n v="924.26"/>
    <x v="3"/>
    <x v="3"/>
    <x v="0"/>
    <x v="5"/>
    <n v="1723.6200000000001"/>
  </r>
  <r>
    <d v="2024-06-09T00:00:00"/>
    <s v="cogs:product 1"/>
    <n v="5.99"/>
    <x v="104"/>
    <n v="413.31"/>
    <x v="1"/>
    <x v="1"/>
    <x v="0"/>
    <x v="5"/>
    <n v="-383.36"/>
  </r>
  <r>
    <d v="2024-06-09T00:00:00"/>
    <s v="cogs:product 2"/>
    <n v="16.989999999999998"/>
    <x v="19"/>
    <n v="67.959999999999994"/>
    <x v="1"/>
    <x v="2"/>
    <x v="0"/>
    <x v="5"/>
    <n v="-169.89999999999998"/>
  </r>
  <r>
    <d v="2024-06-09T00:00:00"/>
    <s v="cogs:product 3"/>
    <n v="8.49"/>
    <x v="149"/>
    <n v="1290.48"/>
    <x v="1"/>
    <x v="3"/>
    <x v="0"/>
    <x v="5"/>
    <n v="-280.17"/>
  </r>
  <r>
    <d v="2024-06-09T00:00:00"/>
    <s v="marketing"/>
    <s v="NA"/>
    <x v="0"/>
    <n v="99.990000000000009"/>
    <x v="2"/>
    <x v="0"/>
    <x v="0"/>
    <x v="5"/>
    <n v="-99.93"/>
  </r>
  <r>
    <d v="2024-06-09T00:00:00"/>
    <s v="net sales:product 1"/>
    <n v="9.99"/>
    <x v="104"/>
    <n v="689.31000000000006"/>
    <x v="3"/>
    <x v="1"/>
    <x v="0"/>
    <x v="5"/>
    <n v="639.36"/>
  </r>
  <r>
    <d v="2024-06-09T00:00:00"/>
    <s v="net sales:product 2"/>
    <n v="24.99"/>
    <x v="19"/>
    <n v="99.96"/>
    <x v="3"/>
    <x v="2"/>
    <x v="0"/>
    <x v="5"/>
    <n v="249.89999999999998"/>
  </r>
  <r>
    <d v="2024-06-09T00:00:00"/>
    <s v="net sales:product 3"/>
    <n v="12.49"/>
    <x v="149"/>
    <n v="1898.48"/>
    <x v="3"/>
    <x v="3"/>
    <x v="0"/>
    <x v="5"/>
    <n v="412.17"/>
  </r>
  <r>
    <d v="2024-06-10T00:00:00"/>
    <s v="cogs:product 1"/>
    <n v="5.99"/>
    <x v="72"/>
    <n v="143.76"/>
    <x v="1"/>
    <x v="1"/>
    <x v="0"/>
    <x v="5"/>
    <n v="-1200"/>
  </r>
  <r>
    <d v="2024-06-10T00:00:00"/>
    <s v="cogs:product 2"/>
    <n v="16.989999999999998"/>
    <x v="13"/>
    <n v="118.92999999999999"/>
    <x v="1"/>
    <x v="2"/>
    <x v="0"/>
    <x v="5"/>
    <n v="-179.70000000000002"/>
  </r>
  <r>
    <d v="2024-06-10T00:00:00"/>
    <s v="cogs:product 3"/>
    <n v="8.49"/>
    <x v="64"/>
    <n v="169.8"/>
    <x v="1"/>
    <x v="3"/>
    <x v="0"/>
    <x v="5"/>
    <n v="-84.949999999999989"/>
  </r>
  <r>
    <d v="2024-06-10T00:00:00"/>
    <s v="marketing"/>
    <s v="NA"/>
    <x v="0"/>
    <n v="99.95"/>
    <x v="2"/>
    <x v="0"/>
    <x v="0"/>
    <x v="5"/>
    <n v="-432.99"/>
  </r>
  <r>
    <d v="2024-06-10T00:00:00"/>
    <s v="net sales:product 1"/>
    <n v="9.99"/>
    <x v="72"/>
    <n v="239.76"/>
    <x v="3"/>
    <x v="1"/>
    <x v="0"/>
    <x v="5"/>
    <n v="-100.05"/>
  </r>
  <r>
    <d v="2024-06-10T00:00:00"/>
    <s v="net sales:product 2"/>
    <n v="24.99"/>
    <x v="13"/>
    <n v="174.92999999999998"/>
    <x v="3"/>
    <x v="2"/>
    <x v="0"/>
    <x v="5"/>
    <n v="299.7"/>
  </r>
  <r>
    <d v="2024-06-10T00:00:00"/>
    <s v="net sales:product 3"/>
    <n v="12.49"/>
    <x v="64"/>
    <n v="249.8"/>
    <x v="3"/>
    <x v="3"/>
    <x v="0"/>
    <x v="5"/>
    <n v="124.94999999999999"/>
  </r>
  <r>
    <d v="2024-06-11T00:00:00"/>
    <s v="cogs:product 1"/>
    <n v="5.99"/>
    <x v="127"/>
    <n v="83.86"/>
    <x v="1"/>
    <x v="1"/>
    <x v="0"/>
    <x v="5"/>
    <n v="636.99"/>
  </r>
  <r>
    <d v="2024-06-11T00:00:00"/>
    <s v="cogs:product 2"/>
    <n v="16.989999999999998"/>
    <x v="42"/>
    <n v="101.94"/>
    <x v="1"/>
    <x v="2"/>
    <x v="0"/>
    <x v="5"/>
    <n v="-101.83"/>
  </r>
  <r>
    <d v="2024-06-11T00:00:00"/>
    <s v="cogs:product 3"/>
    <n v="8.49"/>
    <x v="23"/>
    <n v="0"/>
    <x v="1"/>
    <x v="3"/>
    <x v="0"/>
    <x v="5"/>
    <n v="-67.959999999999994"/>
  </r>
  <r>
    <d v="2024-06-11T00:00:00"/>
    <s v="marketing"/>
    <s v="NA"/>
    <x v="0"/>
    <n v="99.98"/>
    <x v="2"/>
    <x v="0"/>
    <x v="0"/>
    <x v="5"/>
    <n v="-1214.07"/>
  </r>
  <r>
    <d v="2024-06-11T00:00:00"/>
    <s v="net sales:product 1"/>
    <n v="9.99"/>
    <x v="127"/>
    <n v="139.86000000000001"/>
    <x v="3"/>
    <x v="1"/>
    <x v="0"/>
    <x v="5"/>
    <n v="-100.08"/>
  </r>
  <r>
    <d v="2024-06-11T00:00:00"/>
    <s v="net sales:product 2"/>
    <n v="24.99"/>
    <x v="42"/>
    <n v="149.94"/>
    <x v="3"/>
    <x v="2"/>
    <x v="0"/>
    <x v="5"/>
    <n v="169.83"/>
  </r>
  <r>
    <d v="2024-06-11T00:00:00"/>
    <s v="net sales:product 3"/>
    <n v="12.49"/>
    <x v="23"/>
    <n v="0"/>
    <x v="3"/>
    <x v="3"/>
    <x v="0"/>
    <x v="5"/>
    <n v="99.96"/>
  </r>
  <r>
    <d v="2024-06-12T00:00:00"/>
    <s v="cogs:product 1"/>
    <n v="5.99"/>
    <x v="23"/>
    <n v="0"/>
    <x v="1"/>
    <x v="1"/>
    <x v="0"/>
    <x v="5"/>
    <n v="1786.07"/>
  </r>
  <r>
    <d v="2024-06-12T00:00:00"/>
    <s v="cogs:product 2"/>
    <n v="16.989999999999998"/>
    <x v="2"/>
    <n v="50.97"/>
    <x v="1"/>
    <x v="2"/>
    <x v="0"/>
    <x v="5"/>
    <n v="-299.5"/>
  </r>
  <r>
    <d v="2024-06-12T00:00:00"/>
    <s v="cogs:product 3"/>
    <n v="8.49"/>
    <x v="94"/>
    <n v="1698"/>
    <x v="1"/>
    <x v="3"/>
    <x v="0"/>
    <x v="5"/>
    <n v="-169.89999999999998"/>
  </r>
  <r>
    <d v="2024-06-12T00:00:00"/>
    <s v="marketing"/>
    <s v="NA"/>
    <x v="0"/>
    <n v="100.02"/>
    <x v="2"/>
    <x v="0"/>
    <x v="0"/>
    <x v="5"/>
    <n v="-2012.13"/>
  </r>
  <r>
    <d v="2024-06-12T00:00:00"/>
    <s v="net sales:product 1"/>
    <n v="9.99"/>
    <x v="23"/>
    <n v="0"/>
    <x v="3"/>
    <x v="1"/>
    <x v="0"/>
    <x v="5"/>
    <n v="-99.97"/>
  </r>
  <r>
    <d v="2024-06-12T00:00:00"/>
    <s v="net sales:product 2"/>
    <n v="24.99"/>
    <x v="2"/>
    <n v="74.97"/>
    <x v="3"/>
    <x v="2"/>
    <x v="0"/>
    <x v="5"/>
    <n v="499.5"/>
  </r>
  <r>
    <d v="2024-06-12T00:00:00"/>
    <s v="net sales:product 3"/>
    <n v="12.49"/>
    <x v="94"/>
    <n v="2498"/>
    <x v="3"/>
    <x v="3"/>
    <x v="0"/>
    <x v="5"/>
    <n v="249.89999999999998"/>
  </r>
  <r>
    <d v="2024-06-13T00:00:00"/>
    <s v="cogs:product 1"/>
    <n v="5.99"/>
    <x v="122"/>
    <n v="155.74"/>
    <x v="1"/>
    <x v="1"/>
    <x v="0"/>
    <x v="5"/>
    <n v="2960.13"/>
  </r>
  <r>
    <d v="2024-06-13T00:00:00"/>
    <s v="cogs:product 2"/>
    <n v="16.989999999999998"/>
    <x v="42"/>
    <n v="101.94"/>
    <x v="1"/>
    <x v="2"/>
    <x v="0"/>
    <x v="5"/>
    <n v="-377.37"/>
  </r>
  <r>
    <d v="2024-06-13T00:00:00"/>
    <s v="cogs:product 3"/>
    <n v="8.49"/>
    <x v="137"/>
    <n v="424.5"/>
    <x v="1"/>
    <x v="3"/>
    <x v="0"/>
    <x v="5"/>
    <n v="-50.97"/>
  </r>
  <r>
    <d v="2024-06-13T00:00:00"/>
    <s v="marketing"/>
    <s v="NA"/>
    <x v="0"/>
    <n v="99.94"/>
    <x v="2"/>
    <x v="0"/>
    <x v="0"/>
    <x v="5"/>
    <n v="-314.13"/>
  </r>
  <r>
    <d v="2024-06-13T00:00:00"/>
    <s v="net sales:product 1"/>
    <n v="9.99"/>
    <x v="122"/>
    <n v="259.74"/>
    <x v="3"/>
    <x v="1"/>
    <x v="0"/>
    <x v="5"/>
    <n v="-100.09"/>
  </r>
  <r>
    <d v="2024-06-13T00:00:00"/>
    <s v="net sales:product 2"/>
    <n v="24.99"/>
    <x v="42"/>
    <n v="149.94"/>
    <x v="3"/>
    <x v="2"/>
    <x v="0"/>
    <x v="5"/>
    <n v="629.37"/>
  </r>
  <r>
    <d v="2024-06-13T00:00:00"/>
    <s v="net sales:product 3"/>
    <n v="12.49"/>
    <x v="137"/>
    <n v="624.5"/>
    <x v="3"/>
    <x v="3"/>
    <x v="0"/>
    <x v="5"/>
    <n v="74.97"/>
  </r>
  <r>
    <d v="2024-06-14T00:00:00"/>
    <s v="cogs:product 1"/>
    <n v="5.99"/>
    <x v="35"/>
    <n v="113.81"/>
    <x v="1"/>
    <x v="1"/>
    <x v="0"/>
    <x v="5"/>
    <n v="462.13"/>
  </r>
  <r>
    <d v="2024-06-14T00:00:00"/>
    <s v="cogs:product 2"/>
    <n v="16.989999999999998"/>
    <x v="16"/>
    <n v="135.91999999999999"/>
    <x v="1"/>
    <x v="2"/>
    <x v="0"/>
    <x v="5"/>
    <n v="-281.53000000000003"/>
  </r>
  <r>
    <d v="2024-06-14T00:00:00"/>
    <s v="cogs:product 3"/>
    <n v="8.49"/>
    <x v="121"/>
    <n v="1714.98"/>
    <x v="1"/>
    <x v="3"/>
    <x v="0"/>
    <x v="5"/>
    <n v="-118.92999999999999"/>
  </r>
  <r>
    <d v="2024-06-14T00:00:00"/>
    <s v="marketing"/>
    <s v="NA"/>
    <x v="0"/>
    <n v="99.91"/>
    <x v="2"/>
    <x v="0"/>
    <x v="0"/>
    <x v="5"/>
    <n v="-441.48"/>
  </r>
  <r>
    <d v="2024-06-14T00:00:00"/>
    <s v="net sales:product 1"/>
    <n v="9.99"/>
    <x v="35"/>
    <n v="189.81"/>
    <x v="3"/>
    <x v="1"/>
    <x v="0"/>
    <x v="5"/>
    <n v="-1262.4000000000001"/>
  </r>
  <r>
    <d v="2024-06-14T00:00:00"/>
    <s v="net sales:product 2"/>
    <n v="24.99"/>
    <x v="16"/>
    <n v="199.92"/>
    <x v="3"/>
    <x v="2"/>
    <x v="0"/>
    <x v="5"/>
    <n v="-99.95"/>
  </r>
  <r>
    <d v="2024-06-14T00:00:00"/>
    <s v="net sales:product 3"/>
    <n v="12.49"/>
    <x v="121"/>
    <n v="2522.98"/>
    <x v="3"/>
    <x v="3"/>
    <x v="0"/>
    <x v="5"/>
    <n v="469.53000000000003"/>
  </r>
  <r>
    <d v="2024-06-15T00:00:00"/>
    <s v="cogs:product 1"/>
    <n v="5.99"/>
    <x v="128"/>
    <n v="245.59"/>
    <x v="1"/>
    <x v="1"/>
    <x v="0"/>
    <x v="5"/>
    <n v="174.92999999999998"/>
  </r>
  <r>
    <d v="2024-06-15T00:00:00"/>
    <s v="cogs:product 2"/>
    <n v="16.989999999999998"/>
    <x v="2"/>
    <n v="50.97"/>
    <x v="1"/>
    <x v="2"/>
    <x v="0"/>
    <x v="5"/>
    <n v="649.48"/>
  </r>
  <r>
    <d v="2024-06-15T00:00:00"/>
    <s v="cogs:product 3"/>
    <n v="8.49"/>
    <x v="150"/>
    <n v="1613.1000000000001"/>
    <x v="1"/>
    <x v="3"/>
    <x v="0"/>
    <x v="5"/>
    <n v="-315.60000000000002"/>
  </r>
  <r>
    <d v="2024-06-15T00:00:00"/>
    <s v="interest"/>
    <s v="NA"/>
    <x v="0"/>
    <n v="1286.44"/>
    <x v="6"/>
    <x v="0"/>
    <x v="0"/>
    <x v="5"/>
    <n v="-185.69"/>
  </r>
  <r>
    <d v="2024-06-15T00:00:00"/>
    <s v="marketing"/>
    <s v="NA"/>
    <x v="0"/>
    <n v="99.92"/>
    <x v="2"/>
    <x v="0"/>
    <x v="0"/>
    <x v="5"/>
    <n v="-16.989999999999998"/>
  </r>
  <r>
    <d v="2024-06-15T00:00:00"/>
    <s v="net sales:product 1"/>
    <n v="9.99"/>
    <x v="128"/>
    <n v="409.59000000000003"/>
    <x v="3"/>
    <x v="1"/>
    <x v="0"/>
    <x v="5"/>
    <n v="-483.93"/>
  </r>
  <r>
    <d v="2024-06-15T00:00:00"/>
    <s v="net sales:product 2"/>
    <n v="24.99"/>
    <x v="2"/>
    <n v="74.97"/>
    <x v="3"/>
    <x v="2"/>
    <x v="0"/>
    <x v="5"/>
    <n v="-100.01"/>
  </r>
  <r>
    <d v="2024-06-15T00:00:00"/>
    <s v="net sales:product 3"/>
    <n v="12.49"/>
    <x v="150"/>
    <n v="2373.1"/>
    <x v="3"/>
    <x v="3"/>
    <x v="0"/>
    <x v="5"/>
    <n v="309.69"/>
  </r>
  <r>
    <d v="2024-06-15T00:00:00"/>
    <s v="overhead"/>
    <s v="NA"/>
    <x v="0"/>
    <n v="314.10000000000002"/>
    <x v="4"/>
    <x v="0"/>
    <x v="0"/>
    <x v="5"/>
    <n v="24.99"/>
  </r>
  <r>
    <d v="2024-06-16T00:00:00"/>
    <s v="cogs:product 1"/>
    <n v="5.99"/>
    <x v="13"/>
    <n v="41.93"/>
    <x v="1"/>
    <x v="1"/>
    <x v="0"/>
    <x v="5"/>
    <n v="711.93000000000006"/>
  </r>
  <r>
    <d v="2024-06-16T00:00:00"/>
    <s v="cogs:product 2"/>
    <n v="16.989999999999998"/>
    <x v="16"/>
    <n v="135.91999999999999"/>
    <x v="1"/>
    <x v="2"/>
    <x v="0"/>
    <x v="5"/>
    <n v="-341.43"/>
  </r>
  <r>
    <d v="2024-06-16T00:00:00"/>
    <s v="cogs:product 3"/>
    <n v="8.49"/>
    <x v="54"/>
    <n v="373.56"/>
    <x v="1"/>
    <x v="3"/>
    <x v="0"/>
    <x v="5"/>
    <n v="-169.89999999999998"/>
  </r>
  <r>
    <d v="2024-06-16T00:00:00"/>
    <s v="marketing"/>
    <s v="NA"/>
    <x v="0"/>
    <n v="100.06"/>
    <x v="2"/>
    <x v="0"/>
    <x v="0"/>
    <x v="5"/>
    <n v="-832.02"/>
  </r>
  <r>
    <d v="2024-06-16T00:00:00"/>
    <s v="net sales:product 1"/>
    <n v="9.99"/>
    <x v="13"/>
    <n v="69.930000000000007"/>
    <x v="3"/>
    <x v="1"/>
    <x v="0"/>
    <x v="5"/>
    <n v="-99.93"/>
  </r>
  <r>
    <d v="2024-06-16T00:00:00"/>
    <s v="net sales:product 2"/>
    <n v="24.99"/>
    <x v="16"/>
    <n v="199.92"/>
    <x v="3"/>
    <x v="2"/>
    <x v="0"/>
    <x v="5"/>
    <n v="569.43000000000006"/>
  </r>
  <r>
    <d v="2024-06-16T00:00:00"/>
    <s v="net sales:product 3"/>
    <n v="12.49"/>
    <x v="54"/>
    <n v="549.56000000000006"/>
    <x v="3"/>
    <x v="3"/>
    <x v="0"/>
    <x v="5"/>
    <n v="249.89999999999998"/>
  </r>
  <r>
    <d v="2024-06-17T00:00:00"/>
    <s v="cogs:product 1"/>
    <n v="5.99"/>
    <x v="60"/>
    <n v="137.77000000000001"/>
    <x v="1"/>
    <x v="1"/>
    <x v="0"/>
    <x v="5"/>
    <n v="1224.02"/>
  </r>
  <r>
    <d v="2024-06-17T00:00:00"/>
    <s v="cogs:product 2"/>
    <n v="16.989999999999998"/>
    <x v="13"/>
    <n v="118.92999999999999"/>
    <x v="1"/>
    <x v="2"/>
    <x v="0"/>
    <x v="5"/>
    <n v="-215.64000000000001"/>
  </r>
  <r>
    <d v="2024-06-17T00:00:00"/>
    <s v="cogs:product 3"/>
    <n v="8.49"/>
    <x v="151"/>
    <n v="1765.92"/>
    <x v="1"/>
    <x v="3"/>
    <x v="0"/>
    <x v="5"/>
    <n v="-101.94"/>
  </r>
  <r>
    <d v="2024-06-17T00:00:00"/>
    <s v="marketing"/>
    <s v="NA"/>
    <x v="0"/>
    <n v="100.07000000000001"/>
    <x v="2"/>
    <x v="0"/>
    <x v="0"/>
    <x v="5"/>
    <n v="-246.21"/>
  </r>
  <r>
    <d v="2024-06-17T00:00:00"/>
    <s v="net sales:product 1"/>
    <n v="9.99"/>
    <x v="60"/>
    <n v="229.77"/>
    <x v="3"/>
    <x v="1"/>
    <x v="0"/>
    <x v="5"/>
    <n v="-100.01"/>
  </r>
  <r>
    <d v="2024-06-17T00:00:00"/>
    <s v="net sales:product 2"/>
    <n v="24.99"/>
    <x v="13"/>
    <n v="174.92999999999998"/>
    <x v="3"/>
    <x v="2"/>
    <x v="0"/>
    <x v="5"/>
    <n v="359.64"/>
  </r>
  <r>
    <d v="2024-06-17T00:00:00"/>
    <s v="net sales:product 3"/>
    <n v="12.49"/>
    <x v="151"/>
    <n v="2597.92"/>
    <x v="3"/>
    <x v="3"/>
    <x v="0"/>
    <x v="5"/>
    <n v="149.94"/>
  </r>
  <r>
    <d v="2024-06-18T00:00:00"/>
    <s v="cogs:product 1"/>
    <n v="5.99"/>
    <x v="76"/>
    <n v="443.26"/>
    <x v="1"/>
    <x v="1"/>
    <x v="0"/>
    <x v="5"/>
    <n v="362.21"/>
  </r>
  <r>
    <d v="2024-06-18T00:00:00"/>
    <s v="cogs:product 2"/>
    <n v="16.989999999999998"/>
    <x v="7"/>
    <n v="152.91"/>
    <x v="1"/>
    <x v="2"/>
    <x v="0"/>
    <x v="5"/>
    <n v="-335.44"/>
  </r>
  <r>
    <d v="2024-06-18T00:00:00"/>
    <s v="cogs:product 3"/>
    <n v="8.49"/>
    <x v="152"/>
    <n v="1647.06"/>
    <x v="1"/>
    <x v="3"/>
    <x v="0"/>
    <x v="5"/>
    <n v="-67.959999999999994"/>
  </r>
  <r>
    <d v="2024-06-18T00:00:00"/>
    <s v="marketing"/>
    <s v="NA"/>
    <x v="0"/>
    <n v="99.98"/>
    <x v="2"/>
    <x v="0"/>
    <x v="0"/>
    <x v="5"/>
    <n v="-1664.04"/>
  </r>
  <r>
    <d v="2024-06-18T00:00:00"/>
    <s v="net sales:product 1"/>
    <n v="9.99"/>
    <x v="76"/>
    <n v="739.26"/>
    <x v="3"/>
    <x v="1"/>
    <x v="0"/>
    <x v="5"/>
    <n v="-99.91"/>
  </r>
  <r>
    <d v="2024-06-18T00:00:00"/>
    <s v="net sales:product 2"/>
    <n v="24.99"/>
    <x v="7"/>
    <n v="224.91"/>
    <x v="3"/>
    <x v="2"/>
    <x v="0"/>
    <x v="5"/>
    <n v="559.44000000000005"/>
  </r>
  <r>
    <d v="2024-06-18T00:00:00"/>
    <s v="net sales:product 3"/>
    <n v="12.49"/>
    <x v="152"/>
    <n v="2423.06"/>
    <x v="3"/>
    <x v="3"/>
    <x v="0"/>
    <x v="5"/>
    <n v="99.96"/>
  </r>
  <r>
    <d v="2024-06-19T00:00:00"/>
    <s v="cogs:product 1"/>
    <n v="5.99"/>
    <x v="128"/>
    <n v="245.59"/>
    <x v="1"/>
    <x v="1"/>
    <x v="0"/>
    <x v="5"/>
    <n v="2448.04"/>
  </r>
  <r>
    <d v="2024-06-19T00:00:00"/>
    <s v="cogs:product 2"/>
    <n v="16.989999999999998"/>
    <x v="7"/>
    <n v="152.91"/>
    <x v="1"/>
    <x v="2"/>
    <x v="0"/>
    <x v="5"/>
    <n v="-293.51"/>
  </r>
  <r>
    <d v="2024-06-19T00:00:00"/>
    <s v="cogs:product 3"/>
    <n v="8.49"/>
    <x v="123"/>
    <n v="1103.7"/>
    <x v="1"/>
    <x v="3"/>
    <x v="0"/>
    <x v="5"/>
    <n v="-101.94"/>
  </r>
  <r>
    <d v="2024-06-19T00:00:00"/>
    <s v="marketing"/>
    <s v="NA"/>
    <x v="0"/>
    <n v="99.94"/>
    <x v="2"/>
    <x v="0"/>
    <x v="0"/>
    <x v="5"/>
    <n v="-50.94"/>
  </r>
  <r>
    <d v="2024-06-19T00:00:00"/>
    <s v="net sales:product 1"/>
    <n v="9.99"/>
    <x v="128"/>
    <n v="409.59000000000003"/>
    <x v="3"/>
    <x v="1"/>
    <x v="0"/>
    <x v="5"/>
    <n v="-99.98"/>
  </r>
  <r>
    <d v="2024-06-19T00:00:00"/>
    <s v="net sales:product 2"/>
    <n v="24.99"/>
    <x v="7"/>
    <n v="224.91"/>
    <x v="3"/>
    <x v="2"/>
    <x v="0"/>
    <x v="5"/>
    <n v="489.51"/>
  </r>
  <r>
    <d v="2024-06-19T00:00:00"/>
    <s v="net sales:product 3"/>
    <n v="12.49"/>
    <x v="123"/>
    <n v="1623.7"/>
    <x v="3"/>
    <x v="3"/>
    <x v="0"/>
    <x v="5"/>
    <n v="149.94"/>
  </r>
  <r>
    <d v="2024-06-20T00:00:00"/>
    <s v="cogs:product 1"/>
    <n v="5.99"/>
    <x v="41"/>
    <n v="551.08000000000004"/>
    <x v="1"/>
    <x v="1"/>
    <x v="0"/>
    <x v="5"/>
    <n v="74.94"/>
  </r>
  <r>
    <d v="2024-06-20T00:00:00"/>
    <s v="cogs:product 2"/>
    <n v="16.989999999999998"/>
    <x v="13"/>
    <n v="118.92999999999999"/>
    <x v="1"/>
    <x v="2"/>
    <x v="0"/>
    <x v="5"/>
    <n v="-251.58"/>
  </r>
  <r>
    <d v="2024-06-20T00:00:00"/>
    <s v="cogs:product 3"/>
    <n v="8.49"/>
    <x v="151"/>
    <n v="1765.92"/>
    <x v="1"/>
    <x v="3"/>
    <x v="0"/>
    <x v="5"/>
    <n v="-135.91999999999999"/>
  </r>
  <r>
    <d v="2024-06-20T00:00:00"/>
    <s v="marketing"/>
    <s v="NA"/>
    <x v="0"/>
    <n v="99.93"/>
    <x v="2"/>
    <x v="0"/>
    <x v="0"/>
    <x v="5"/>
    <n v="-271.68"/>
  </r>
  <r>
    <d v="2024-06-20T00:00:00"/>
    <s v="net sales:product 1"/>
    <n v="9.99"/>
    <x v="41"/>
    <n v="919.08"/>
    <x v="3"/>
    <x v="1"/>
    <x v="0"/>
    <x v="5"/>
    <n v="-100.05"/>
  </r>
  <r>
    <d v="2024-06-20T00:00:00"/>
    <s v="net sales:product 2"/>
    <n v="24.99"/>
    <x v="13"/>
    <n v="174.92999999999998"/>
    <x v="3"/>
    <x v="2"/>
    <x v="0"/>
    <x v="5"/>
    <n v="419.58"/>
  </r>
  <r>
    <d v="2024-06-20T00:00:00"/>
    <s v="net sales:product 3"/>
    <n v="12.49"/>
    <x v="151"/>
    <n v="2597.92"/>
    <x v="3"/>
    <x v="3"/>
    <x v="0"/>
    <x v="5"/>
    <n v="199.92"/>
  </r>
  <r>
    <d v="2024-06-21T00:00:00"/>
    <s v="cogs:product 1"/>
    <n v="5.99"/>
    <x v="14"/>
    <n v="569.05000000000007"/>
    <x v="1"/>
    <x v="1"/>
    <x v="0"/>
    <x v="5"/>
    <n v="399.68"/>
  </r>
  <r>
    <d v="2024-06-21T00:00:00"/>
    <s v="cogs:product 2"/>
    <n v="16.989999999999998"/>
    <x v="29"/>
    <n v="84.949999999999989"/>
    <x v="1"/>
    <x v="2"/>
    <x v="0"/>
    <x v="5"/>
    <n v="-221.63"/>
  </r>
  <r>
    <d v="2024-06-21T00:00:00"/>
    <s v="cogs:product 3"/>
    <n v="8.49"/>
    <x v="23"/>
    <n v="0"/>
    <x v="1"/>
    <x v="3"/>
    <x v="0"/>
    <x v="5"/>
    <n v="-152.91"/>
  </r>
  <r>
    <d v="2024-06-21T00:00:00"/>
    <s v="marketing"/>
    <s v="NA"/>
    <x v="0"/>
    <n v="100.03"/>
    <x v="2"/>
    <x v="0"/>
    <x v="0"/>
    <x v="5"/>
    <n v="-628.26"/>
  </r>
  <r>
    <d v="2024-06-21T00:00:00"/>
    <s v="net sales:product 1"/>
    <n v="9.99"/>
    <x v="14"/>
    <n v="949.05000000000007"/>
    <x v="3"/>
    <x v="1"/>
    <x v="0"/>
    <x v="5"/>
    <n v="-99.94"/>
  </r>
  <r>
    <d v="2024-06-21T00:00:00"/>
    <s v="net sales:product 2"/>
    <n v="24.99"/>
    <x v="29"/>
    <n v="124.94999999999999"/>
    <x v="3"/>
    <x v="2"/>
    <x v="0"/>
    <x v="5"/>
    <n v="369.63"/>
  </r>
  <r>
    <d v="2024-06-21T00:00:00"/>
    <s v="net sales:product 3"/>
    <n v="12.49"/>
    <x v="23"/>
    <n v="0"/>
    <x v="3"/>
    <x v="3"/>
    <x v="0"/>
    <x v="5"/>
    <n v="224.91"/>
  </r>
  <r>
    <d v="2024-06-21T00:00:00"/>
    <s v="payroll"/>
    <s v="NA"/>
    <x v="0"/>
    <n v="1200"/>
    <x v="5"/>
    <x v="0"/>
    <x v="0"/>
    <x v="5"/>
    <n v="924.26"/>
  </r>
  <r>
    <d v="2024-06-22T00:00:00"/>
    <s v="cogs:product 1"/>
    <n v="5.99"/>
    <x v="13"/>
    <n v="41.93"/>
    <x v="1"/>
    <x v="1"/>
    <x v="0"/>
    <x v="5"/>
    <n v="-419.3"/>
  </r>
  <r>
    <d v="2024-06-22T00:00:00"/>
    <s v="cogs:product 2"/>
    <n v="16.989999999999998"/>
    <x v="42"/>
    <n v="101.94"/>
    <x v="1"/>
    <x v="2"/>
    <x v="0"/>
    <x v="5"/>
    <n v="0"/>
  </r>
  <r>
    <d v="2024-06-22T00:00:00"/>
    <s v="cogs:product 3"/>
    <n v="8.49"/>
    <x v="133"/>
    <n v="1171.6200000000001"/>
    <x v="1"/>
    <x v="3"/>
    <x v="0"/>
    <x v="5"/>
    <n v="-1893.27"/>
  </r>
  <r>
    <d v="2024-06-22T00:00:00"/>
    <s v="marketing"/>
    <s v="NA"/>
    <x v="0"/>
    <n v="100.08"/>
    <x v="2"/>
    <x v="0"/>
    <x v="0"/>
    <x v="5"/>
    <n v="-100"/>
  </r>
  <r>
    <d v="2024-06-22T00:00:00"/>
    <s v="net sales:product 1"/>
    <n v="9.99"/>
    <x v="13"/>
    <n v="69.930000000000007"/>
    <x v="3"/>
    <x v="1"/>
    <x v="0"/>
    <x v="5"/>
    <n v="699.30000000000007"/>
  </r>
  <r>
    <d v="2024-06-22T00:00:00"/>
    <s v="net sales:product 2"/>
    <n v="24.99"/>
    <x v="42"/>
    <n v="149.94"/>
    <x v="3"/>
    <x v="2"/>
    <x v="0"/>
    <x v="5"/>
    <n v="0"/>
  </r>
  <r>
    <d v="2024-06-22T00:00:00"/>
    <s v="net sales:product 3"/>
    <n v="12.49"/>
    <x v="133"/>
    <n v="1723.6200000000001"/>
    <x v="3"/>
    <x v="3"/>
    <x v="0"/>
    <x v="5"/>
    <n v="2785.27"/>
  </r>
  <r>
    <d v="2024-06-23T00:00:00"/>
    <s v="cogs:product 1"/>
    <n v="5.99"/>
    <x v="41"/>
    <n v="551.08000000000004"/>
    <x v="1"/>
    <x v="1"/>
    <x v="0"/>
    <x v="5"/>
    <n v="-143.76"/>
  </r>
  <r>
    <d v="2024-06-23T00:00:00"/>
    <s v="cogs:product 2"/>
    <n v="16.989999999999998"/>
    <x v="10"/>
    <n v="33.979999999999997"/>
    <x v="1"/>
    <x v="2"/>
    <x v="0"/>
    <x v="5"/>
    <n v="-152.91"/>
  </r>
  <r>
    <d v="2024-06-23T00:00:00"/>
    <s v="cogs:product 3"/>
    <n v="8.49"/>
    <x v="66"/>
    <n v="399.03000000000003"/>
    <x v="1"/>
    <x v="3"/>
    <x v="0"/>
    <x v="5"/>
    <n v="-1315.95"/>
  </r>
  <r>
    <d v="2024-06-23T00:00:00"/>
    <s v="marketing"/>
    <s v="NA"/>
    <x v="0"/>
    <n v="100"/>
    <x v="2"/>
    <x v="0"/>
    <x v="0"/>
    <x v="5"/>
    <n v="-99.93"/>
  </r>
  <r>
    <d v="2024-06-23T00:00:00"/>
    <s v="net sales:product 1"/>
    <n v="9.99"/>
    <x v="41"/>
    <n v="919.08"/>
    <x v="3"/>
    <x v="1"/>
    <x v="0"/>
    <x v="5"/>
    <n v="239.76"/>
  </r>
  <r>
    <d v="2024-06-23T00:00:00"/>
    <s v="net sales:product 2"/>
    <n v="24.99"/>
    <x v="10"/>
    <n v="49.98"/>
    <x v="3"/>
    <x v="2"/>
    <x v="0"/>
    <x v="5"/>
    <n v="224.91"/>
  </r>
  <r>
    <d v="2024-06-23T00:00:00"/>
    <s v="net sales:product 3"/>
    <n v="12.49"/>
    <x v="66"/>
    <n v="587.03"/>
    <x v="3"/>
    <x v="3"/>
    <x v="0"/>
    <x v="5"/>
    <n v="1935.95"/>
  </r>
  <r>
    <d v="2024-06-24T00:00:00"/>
    <s v="cogs:product 1"/>
    <n v="5.99"/>
    <x v="86"/>
    <n v="167.72"/>
    <x v="1"/>
    <x v="1"/>
    <x v="0"/>
    <x v="5"/>
    <n v="-1200"/>
  </r>
  <r>
    <d v="2024-06-24T00:00:00"/>
    <s v="cogs:product 2"/>
    <n v="16.989999999999998"/>
    <x v="16"/>
    <n v="135.91999999999999"/>
    <x v="1"/>
    <x v="2"/>
    <x v="0"/>
    <x v="5"/>
    <n v="0"/>
  </r>
  <r>
    <d v="2024-06-24T00:00:00"/>
    <s v="cogs:product 3"/>
    <n v="8.49"/>
    <x v="153"/>
    <n v="1027.29"/>
    <x v="1"/>
    <x v="3"/>
    <x v="0"/>
    <x v="5"/>
    <n v="-152.91"/>
  </r>
  <r>
    <d v="2024-06-24T00:00:00"/>
    <s v="marketing"/>
    <s v="NA"/>
    <x v="0"/>
    <n v="100.03"/>
    <x v="2"/>
    <x v="0"/>
    <x v="0"/>
    <x v="5"/>
    <n v="-2097.0300000000002"/>
  </r>
  <r>
    <d v="2024-06-24T00:00:00"/>
    <s v="net sales:product 1"/>
    <n v="9.99"/>
    <x v="86"/>
    <n v="279.72000000000003"/>
    <x v="3"/>
    <x v="1"/>
    <x v="0"/>
    <x v="5"/>
    <n v="-99.92"/>
  </r>
  <r>
    <d v="2024-06-24T00:00:00"/>
    <s v="net sales:product 2"/>
    <n v="24.99"/>
    <x v="16"/>
    <n v="199.92"/>
    <x v="3"/>
    <x v="2"/>
    <x v="0"/>
    <x v="5"/>
    <n v="0"/>
  </r>
  <r>
    <d v="2024-06-24T00:00:00"/>
    <s v="net sales:product 3"/>
    <n v="12.49"/>
    <x v="153"/>
    <n v="1511.29"/>
    <x v="3"/>
    <x v="3"/>
    <x v="0"/>
    <x v="5"/>
    <n v="224.91"/>
  </r>
  <r>
    <d v="2024-06-25T00:00:00"/>
    <s v="cogs:product 1"/>
    <n v="5.99"/>
    <x v="74"/>
    <n v="329.45"/>
    <x v="1"/>
    <x v="1"/>
    <x v="0"/>
    <x v="5"/>
    <n v="3085.03"/>
  </r>
  <r>
    <d v="2024-06-25T00:00:00"/>
    <s v="cogs:product 2"/>
    <n v="16.989999999999998"/>
    <x v="42"/>
    <n v="101.94"/>
    <x v="1"/>
    <x v="2"/>
    <x v="0"/>
    <x v="5"/>
    <n v="-329.45"/>
  </r>
  <r>
    <d v="2024-06-25T00:00:00"/>
    <s v="cogs:product 3"/>
    <n v="8.49"/>
    <x v="154"/>
    <n v="1044.27"/>
    <x v="1"/>
    <x v="3"/>
    <x v="0"/>
    <x v="5"/>
    <n v="-16.989999999999998"/>
  </r>
  <r>
    <d v="2024-06-25T00:00:00"/>
    <s v="marketing"/>
    <s v="NA"/>
    <x v="0"/>
    <n v="99.98"/>
    <x v="2"/>
    <x v="0"/>
    <x v="0"/>
    <x v="5"/>
    <n v="-118.86"/>
  </r>
  <r>
    <d v="2024-06-25T00:00:00"/>
    <s v="net sales:product 1"/>
    <n v="9.99"/>
    <x v="74"/>
    <n v="549.45000000000005"/>
    <x v="3"/>
    <x v="1"/>
    <x v="0"/>
    <x v="5"/>
    <n v="-100.07000000000001"/>
  </r>
  <r>
    <d v="2024-06-25T00:00:00"/>
    <s v="net sales:product 2"/>
    <n v="24.99"/>
    <x v="42"/>
    <n v="149.94"/>
    <x v="3"/>
    <x v="2"/>
    <x v="0"/>
    <x v="5"/>
    <n v="549.45000000000005"/>
  </r>
  <r>
    <d v="2024-06-25T00:00:00"/>
    <s v="net sales:product 3"/>
    <n v="12.49"/>
    <x v="154"/>
    <n v="1536.27"/>
    <x v="3"/>
    <x v="3"/>
    <x v="0"/>
    <x v="5"/>
    <n v="24.99"/>
  </r>
  <r>
    <d v="2024-06-26T00:00:00"/>
    <s v="cogs:product 1"/>
    <n v="5.99"/>
    <x v="108"/>
    <n v="575.04"/>
    <x v="1"/>
    <x v="1"/>
    <x v="0"/>
    <x v="5"/>
    <n v="174.86"/>
  </r>
  <r>
    <d v="2024-06-26T00:00:00"/>
    <s v="cogs:product 2"/>
    <n v="16.989999999999998"/>
    <x v="25"/>
    <n v="16.989999999999998"/>
    <x v="1"/>
    <x v="2"/>
    <x v="0"/>
    <x v="5"/>
    <n v="-473.21000000000004"/>
  </r>
  <r>
    <d v="2024-06-26T00:00:00"/>
    <s v="cogs:product 3"/>
    <n v="8.49"/>
    <x v="57"/>
    <n v="1451.79"/>
    <x v="1"/>
    <x v="3"/>
    <x v="0"/>
    <x v="5"/>
    <n v="-84.949999999999989"/>
  </r>
  <r>
    <d v="2024-06-26T00:00:00"/>
    <s v="marketing"/>
    <s v="NA"/>
    <x v="0"/>
    <n v="100.06"/>
    <x v="2"/>
    <x v="0"/>
    <x v="0"/>
    <x v="5"/>
    <n v="-1978.17"/>
  </r>
  <r>
    <d v="2024-06-26T00:00:00"/>
    <s v="net sales:product 1"/>
    <n v="9.99"/>
    <x v="108"/>
    <n v="959.04"/>
    <x v="3"/>
    <x v="1"/>
    <x v="0"/>
    <x v="5"/>
    <n v="-100.08"/>
  </r>
  <r>
    <d v="2024-06-26T00:00:00"/>
    <s v="net sales:product 2"/>
    <n v="24.99"/>
    <x v="25"/>
    <n v="24.99"/>
    <x v="3"/>
    <x v="2"/>
    <x v="0"/>
    <x v="5"/>
    <n v="789.21"/>
  </r>
  <r>
    <d v="2024-06-26T00:00:00"/>
    <s v="net sales:product 3"/>
    <n v="12.49"/>
    <x v="57"/>
    <n v="2135.79"/>
    <x v="3"/>
    <x v="3"/>
    <x v="0"/>
    <x v="5"/>
    <n v="124.94999999999999"/>
  </r>
  <r>
    <d v="2024-06-27T00:00:00"/>
    <s v="cogs:product 1"/>
    <n v="5.99"/>
    <x v="4"/>
    <n v="389.35"/>
    <x v="1"/>
    <x v="1"/>
    <x v="0"/>
    <x v="5"/>
    <n v="2910.17"/>
  </r>
  <r>
    <d v="2024-06-27T00:00:00"/>
    <s v="cogs:product 2"/>
    <n v="16.989999999999998"/>
    <x v="7"/>
    <n v="152.91"/>
    <x v="1"/>
    <x v="2"/>
    <x v="0"/>
    <x v="5"/>
    <n v="-401.33000000000004"/>
  </r>
  <r>
    <d v="2024-06-27T00:00:00"/>
    <s v="cogs:product 3"/>
    <n v="8.49"/>
    <x v="27"/>
    <n v="1332.93"/>
    <x v="1"/>
    <x v="3"/>
    <x v="0"/>
    <x v="5"/>
    <n v="-84.949999999999989"/>
  </r>
  <r>
    <d v="2024-06-27T00:00:00"/>
    <s v="marketing"/>
    <s v="NA"/>
    <x v="0"/>
    <n v="100.01"/>
    <x v="2"/>
    <x v="0"/>
    <x v="0"/>
    <x v="5"/>
    <n v="-1205.58"/>
  </r>
  <r>
    <d v="2024-06-27T00:00:00"/>
    <s v="net sales:product 1"/>
    <n v="9.99"/>
    <x v="4"/>
    <n v="649.35"/>
    <x v="3"/>
    <x v="1"/>
    <x v="0"/>
    <x v="5"/>
    <n v="-99.9"/>
  </r>
  <r>
    <d v="2024-06-27T00:00:00"/>
    <s v="net sales:product 2"/>
    <n v="24.99"/>
    <x v="7"/>
    <n v="224.91"/>
    <x v="3"/>
    <x v="2"/>
    <x v="0"/>
    <x v="5"/>
    <n v="669.33"/>
  </r>
  <r>
    <d v="2024-06-27T00:00:00"/>
    <s v="net sales:product 3"/>
    <n v="12.49"/>
    <x v="27"/>
    <n v="1960.93"/>
    <x v="3"/>
    <x v="3"/>
    <x v="0"/>
    <x v="5"/>
    <n v="124.94999999999999"/>
  </r>
  <r>
    <d v="2024-06-28T00:00:00"/>
    <s v="cogs:product 1"/>
    <n v="5.99"/>
    <x v="44"/>
    <n v="191.68"/>
    <x v="1"/>
    <x v="1"/>
    <x v="0"/>
    <x v="5"/>
    <n v="1773.58"/>
  </r>
  <r>
    <d v="2024-06-28T00:00:00"/>
    <s v="cogs:product 2"/>
    <n v="16.989999999999998"/>
    <x v="29"/>
    <n v="84.949999999999989"/>
    <x v="1"/>
    <x v="2"/>
    <x v="0"/>
    <x v="5"/>
    <n v="-491.18"/>
  </r>
  <r>
    <d v="2024-06-28T00:00:00"/>
    <s v="cogs:product 3"/>
    <n v="8.49"/>
    <x v="19"/>
    <n v="33.96"/>
    <x v="1"/>
    <x v="3"/>
    <x v="0"/>
    <x v="5"/>
    <n v="-135.91999999999999"/>
  </r>
  <r>
    <d v="2024-06-28T00:00:00"/>
    <s v="marketing"/>
    <s v="NA"/>
    <x v="0"/>
    <n v="100.04"/>
    <x v="2"/>
    <x v="0"/>
    <x v="0"/>
    <x v="5"/>
    <n v="0"/>
  </r>
  <r>
    <d v="2024-06-28T00:00:00"/>
    <s v="net sales:product 1"/>
    <n v="9.99"/>
    <x v="44"/>
    <n v="319.68"/>
    <x v="3"/>
    <x v="1"/>
    <x v="0"/>
    <x v="5"/>
    <n v="-100.10000000000001"/>
  </r>
  <r>
    <d v="2024-06-28T00:00:00"/>
    <s v="net sales:product 2"/>
    <n v="24.99"/>
    <x v="29"/>
    <n v="124.94999999999999"/>
    <x v="3"/>
    <x v="2"/>
    <x v="0"/>
    <x v="5"/>
    <n v="819.18000000000006"/>
  </r>
  <r>
    <d v="2024-06-28T00:00:00"/>
    <s v="net sales:product 3"/>
    <n v="12.49"/>
    <x v="19"/>
    <n v="49.96"/>
    <x v="3"/>
    <x v="3"/>
    <x v="0"/>
    <x v="5"/>
    <n v="199.92"/>
  </r>
  <r>
    <d v="2024-06-29T00:00:00"/>
    <s v="cogs:product 1"/>
    <n v="5.99"/>
    <x v="85"/>
    <n v="209.65"/>
    <x v="1"/>
    <x v="1"/>
    <x v="0"/>
    <x v="5"/>
    <n v="0"/>
  </r>
  <r>
    <d v="2024-06-29T00:00:00"/>
    <s v="cogs:product 2"/>
    <n v="16.989999999999998"/>
    <x v="19"/>
    <n v="67.959999999999994"/>
    <x v="1"/>
    <x v="2"/>
    <x v="0"/>
    <x v="5"/>
    <n v="-281.53000000000003"/>
  </r>
  <r>
    <d v="2024-06-29T00:00:00"/>
    <s v="cogs:product 3"/>
    <n v="8.49"/>
    <x v="23"/>
    <n v="0"/>
    <x v="1"/>
    <x v="3"/>
    <x v="0"/>
    <x v="5"/>
    <n v="-84.949999999999989"/>
  </r>
  <r>
    <d v="2024-06-29T00:00:00"/>
    <s v="marketing"/>
    <s v="NA"/>
    <x v="0"/>
    <n v="100.04"/>
    <x v="2"/>
    <x v="0"/>
    <x v="0"/>
    <x v="5"/>
    <n v="-373.56"/>
  </r>
  <r>
    <d v="2024-06-29T00:00:00"/>
    <s v="net sales:product 1"/>
    <n v="9.99"/>
    <x v="85"/>
    <n v="349.65000000000003"/>
    <x v="3"/>
    <x v="1"/>
    <x v="0"/>
    <x v="5"/>
    <n v="-99.91"/>
  </r>
  <r>
    <d v="2024-06-29T00:00:00"/>
    <s v="net sales:product 2"/>
    <n v="24.99"/>
    <x v="19"/>
    <n v="99.96"/>
    <x v="3"/>
    <x v="2"/>
    <x v="0"/>
    <x v="5"/>
    <n v="469.53000000000003"/>
  </r>
  <r>
    <d v="2024-06-29T00:00:00"/>
    <s v="net sales:product 3"/>
    <n v="12.49"/>
    <x v="23"/>
    <n v="0"/>
    <x v="3"/>
    <x v="3"/>
    <x v="0"/>
    <x v="5"/>
    <n v="124.94999999999999"/>
  </r>
  <r>
    <d v="2024-06-30T00:00:00"/>
    <s v="cogs:product 1"/>
    <n v="5.99"/>
    <x v="52"/>
    <n v="545.09"/>
    <x v="1"/>
    <x v="1"/>
    <x v="0"/>
    <x v="5"/>
    <n v="549.56000000000006"/>
  </r>
  <r>
    <d v="2024-06-30T00:00:00"/>
    <s v="cogs:product 2"/>
    <n v="16.989999999999998"/>
    <x v="16"/>
    <n v="135.91999999999999"/>
    <x v="1"/>
    <x v="2"/>
    <x v="0"/>
    <x v="5"/>
    <n v="-365.39"/>
  </r>
  <r>
    <d v="2024-06-30T00:00:00"/>
    <s v="cogs:product 3"/>
    <n v="8.49"/>
    <x v="93"/>
    <n v="1078.23"/>
    <x v="1"/>
    <x v="3"/>
    <x v="0"/>
    <x v="5"/>
    <n v="-16.989999999999998"/>
  </r>
  <r>
    <d v="2024-06-30T00:00:00"/>
    <s v="marketing"/>
    <s v="NA"/>
    <x v="0"/>
    <n v="100"/>
    <x v="2"/>
    <x v="0"/>
    <x v="0"/>
    <x v="5"/>
    <n v="-127.35000000000001"/>
  </r>
  <r>
    <d v="2024-06-30T00:00:00"/>
    <s v="net sales:product 1"/>
    <n v="9.99"/>
    <x v="52"/>
    <n v="909.09"/>
    <x v="3"/>
    <x v="1"/>
    <x v="0"/>
    <x v="5"/>
    <n v="-99.98"/>
  </r>
  <r>
    <d v="2024-06-30T00:00:00"/>
    <s v="net sales:product 2"/>
    <n v="24.99"/>
    <x v="16"/>
    <n v="199.92"/>
    <x v="3"/>
    <x v="2"/>
    <x v="0"/>
    <x v="5"/>
    <n v="609.39"/>
  </r>
  <r>
    <d v="2024-06-30T00:00:00"/>
    <s v="net sales:product 3"/>
    <n v="12.49"/>
    <x v="93"/>
    <n v="1586.23"/>
    <x v="3"/>
    <x v="3"/>
    <x v="0"/>
    <x v="5"/>
    <n v="24.99"/>
  </r>
  <r>
    <d v="2024-07-01T00:00:00"/>
    <s v="amortization"/>
    <s v="NA"/>
    <x v="0"/>
    <n v="50"/>
    <x v="0"/>
    <x v="0"/>
    <x v="0"/>
    <x v="6"/>
    <n v="187.35"/>
  </r>
  <r>
    <d v="2024-07-01T00:00:00"/>
    <s v="cogs:product 1"/>
    <n v="5.99"/>
    <x v="80"/>
    <n v="257.57"/>
    <x v="1"/>
    <x v="1"/>
    <x v="0"/>
    <x v="6"/>
    <n v="0"/>
  </r>
  <r>
    <d v="2024-07-01T00:00:00"/>
    <s v="cogs:product 2"/>
    <n v="16.989999999999998"/>
    <x v="16"/>
    <n v="135.91999999999999"/>
    <x v="1"/>
    <x v="2"/>
    <x v="0"/>
    <x v="6"/>
    <n v="-17.97"/>
  </r>
  <r>
    <d v="2024-07-01T00:00:00"/>
    <s v="cogs:product 3"/>
    <n v="8.49"/>
    <x v="35"/>
    <n v="161.31"/>
    <x v="1"/>
    <x v="3"/>
    <x v="0"/>
    <x v="6"/>
    <n v="0"/>
  </r>
  <r>
    <d v="2024-07-01T00:00:00"/>
    <s v="marketing"/>
    <s v="NA"/>
    <x v="0"/>
    <n v="100.01"/>
    <x v="2"/>
    <x v="0"/>
    <x v="0"/>
    <x v="6"/>
    <n v="-534.87"/>
  </r>
  <r>
    <d v="2024-07-01T00:00:00"/>
    <s v="net sales:product 1"/>
    <n v="9.99"/>
    <x v="80"/>
    <n v="429.57"/>
    <x v="3"/>
    <x v="1"/>
    <x v="0"/>
    <x v="6"/>
    <n v="-100.07000000000001"/>
  </r>
  <r>
    <d v="2024-07-01T00:00:00"/>
    <s v="net sales:product 2"/>
    <n v="24.99"/>
    <x v="16"/>
    <n v="199.92"/>
    <x v="3"/>
    <x v="2"/>
    <x v="0"/>
    <x v="6"/>
    <n v="29.97"/>
  </r>
  <r>
    <d v="2024-07-01T00:00:00"/>
    <s v="net sales:product 3"/>
    <n v="12.49"/>
    <x v="35"/>
    <n v="237.31"/>
    <x v="3"/>
    <x v="3"/>
    <x v="0"/>
    <x v="6"/>
    <n v="0"/>
  </r>
  <r>
    <d v="2024-07-01T00:00:00"/>
    <s v="overhead"/>
    <s v="NA"/>
    <x v="0"/>
    <n v="2000"/>
    <x v="4"/>
    <x v="0"/>
    <x v="0"/>
    <x v="6"/>
    <n v="786.87"/>
  </r>
  <r>
    <d v="2024-07-02T00:00:00"/>
    <s v="cogs:product 1"/>
    <n v="5.99"/>
    <x v="18"/>
    <n v="509.15000000000003"/>
    <x v="1"/>
    <x v="1"/>
    <x v="0"/>
    <x v="6"/>
    <n v="-2000"/>
  </r>
  <r>
    <d v="2024-07-02T00:00:00"/>
    <s v="cogs:product 2"/>
    <n v="16.989999999999998"/>
    <x v="19"/>
    <n v="67.959999999999994"/>
    <x v="1"/>
    <x v="2"/>
    <x v="0"/>
    <x v="6"/>
    <n v="-527.12"/>
  </r>
  <r>
    <d v="2024-07-02T00:00:00"/>
    <s v="cogs:product 3"/>
    <n v="8.49"/>
    <x v="155"/>
    <n v="1366.89"/>
    <x v="1"/>
    <x v="3"/>
    <x v="0"/>
    <x v="6"/>
    <n v="-50.97"/>
  </r>
  <r>
    <d v="2024-07-02T00:00:00"/>
    <s v="marketing"/>
    <s v="NA"/>
    <x v="0"/>
    <n v="99.93"/>
    <x v="2"/>
    <x v="0"/>
    <x v="0"/>
    <x v="6"/>
    <n v="-1222.56"/>
  </r>
  <r>
    <d v="2024-07-02T00:00:00"/>
    <s v="net sales:product 1"/>
    <n v="9.99"/>
    <x v="18"/>
    <n v="849.15"/>
    <x v="3"/>
    <x v="1"/>
    <x v="0"/>
    <x v="6"/>
    <n v="-100.04"/>
  </r>
  <r>
    <d v="2024-07-02T00:00:00"/>
    <s v="net sales:product 2"/>
    <n v="24.99"/>
    <x v="19"/>
    <n v="99.96"/>
    <x v="3"/>
    <x v="2"/>
    <x v="0"/>
    <x v="6"/>
    <n v="879.12"/>
  </r>
  <r>
    <d v="2024-07-02T00:00:00"/>
    <s v="net sales:product 3"/>
    <n v="12.49"/>
    <x v="155"/>
    <n v="2010.89"/>
    <x v="3"/>
    <x v="3"/>
    <x v="0"/>
    <x v="6"/>
    <n v="74.97"/>
  </r>
  <r>
    <d v="2024-07-03T00:00:00"/>
    <s v="cogs:product 1"/>
    <n v="5.99"/>
    <x v="86"/>
    <n v="167.72"/>
    <x v="1"/>
    <x v="1"/>
    <x v="0"/>
    <x v="6"/>
    <n v="1798.56"/>
  </r>
  <r>
    <d v="2024-07-03T00:00:00"/>
    <s v="cogs:product 2"/>
    <n v="16.989999999999998"/>
    <x v="23"/>
    <n v="0"/>
    <x v="1"/>
    <x v="2"/>
    <x v="0"/>
    <x v="6"/>
    <n v="-71.88"/>
  </r>
  <r>
    <d v="2024-07-03T00:00:00"/>
    <s v="cogs:product 3"/>
    <n v="8.49"/>
    <x v="67"/>
    <n v="1536.69"/>
    <x v="1"/>
    <x v="3"/>
    <x v="0"/>
    <x v="6"/>
    <n v="-135.91999999999999"/>
  </r>
  <r>
    <d v="2024-07-03T00:00:00"/>
    <s v="marketing"/>
    <s v="NA"/>
    <x v="0"/>
    <n v="99.94"/>
    <x v="2"/>
    <x v="0"/>
    <x v="0"/>
    <x v="6"/>
    <n v="0"/>
  </r>
  <r>
    <d v="2024-07-03T00:00:00"/>
    <s v="net sales:product 1"/>
    <n v="9.99"/>
    <x v="86"/>
    <n v="279.72000000000003"/>
    <x v="3"/>
    <x v="1"/>
    <x v="0"/>
    <x v="6"/>
    <n v="-100.03"/>
  </r>
  <r>
    <d v="2024-07-03T00:00:00"/>
    <s v="net sales:product 2"/>
    <n v="24.99"/>
    <x v="23"/>
    <n v="0"/>
    <x v="3"/>
    <x v="2"/>
    <x v="0"/>
    <x v="6"/>
    <n v="119.88"/>
  </r>
  <r>
    <d v="2024-07-03T00:00:00"/>
    <s v="net sales:product 3"/>
    <n v="12.49"/>
    <x v="67"/>
    <n v="2260.69"/>
    <x v="3"/>
    <x v="3"/>
    <x v="0"/>
    <x v="6"/>
    <n v="199.92"/>
  </r>
  <r>
    <d v="2024-07-04T00:00:00"/>
    <s v="cogs:product 1"/>
    <n v="5.99"/>
    <x v="23"/>
    <n v="0"/>
    <x v="1"/>
    <x v="1"/>
    <x v="0"/>
    <x v="6"/>
    <n v="0"/>
  </r>
  <r>
    <d v="2024-07-04T00:00:00"/>
    <s v="cogs:product 2"/>
    <n v="16.989999999999998"/>
    <x v="10"/>
    <n v="33.979999999999997"/>
    <x v="1"/>
    <x v="2"/>
    <x v="0"/>
    <x v="6"/>
    <n v="-17.97"/>
  </r>
  <r>
    <d v="2024-07-04T00:00:00"/>
    <s v="cogs:product 3"/>
    <n v="8.49"/>
    <x v="156"/>
    <n v="1018.8000000000001"/>
    <x v="1"/>
    <x v="3"/>
    <x v="0"/>
    <x v="6"/>
    <n v="-118.92999999999999"/>
  </r>
  <r>
    <d v="2024-07-04T00:00:00"/>
    <s v="marketing"/>
    <s v="NA"/>
    <x v="0"/>
    <n v="99.94"/>
    <x v="2"/>
    <x v="0"/>
    <x v="0"/>
    <x v="6"/>
    <n v="-101.88"/>
  </r>
  <r>
    <d v="2024-07-04T00:00:00"/>
    <s v="net sales:product 1"/>
    <n v="9.99"/>
    <x v="23"/>
    <n v="0"/>
    <x v="3"/>
    <x v="1"/>
    <x v="0"/>
    <x v="6"/>
    <n v="-100.02"/>
  </r>
  <r>
    <d v="2024-07-04T00:00:00"/>
    <s v="net sales:product 2"/>
    <n v="24.99"/>
    <x v="10"/>
    <n v="49.98"/>
    <x v="3"/>
    <x v="2"/>
    <x v="0"/>
    <x v="6"/>
    <n v="29.97"/>
  </r>
  <r>
    <d v="2024-07-04T00:00:00"/>
    <s v="net sales:product 3"/>
    <n v="12.49"/>
    <x v="156"/>
    <n v="1498.8"/>
    <x v="3"/>
    <x v="3"/>
    <x v="0"/>
    <x v="6"/>
    <n v="174.92999999999998"/>
  </r>
  <r>
    <d v="2024-07-05T00:00:00"/>
    <s v="cogs:product 1"/>
    <n v="5.99"/>
    <x v="19"/>
    <n v="23.96"/>
    <x v="1"/>
    <x v="1"/>
    <x v="0"/>
    <x v="6"/>
    <n v="149.88"/>
  </r>
  <r>
    <d v="2024-07-05T00:00:00"/>
    <s v="cogs:product 2"/>
    <n v="16.989999999999998"/>
    <x v="16"/>
    <n v="135.91999999999999"/>
    <x v="1"/>
    <x v="2"/>
    <x v="0"/>
    <x v="6"/>
    <n v="-359.40000000000003"/>
  </r>
  <r>
    <d v="2024-07-05T00:00:00"/>
    <s v="cogs:product 3"/>
    <n v="8.49"/>
    <x v="29"/>
    <n v="42.45"/>
    <x v="1"/>
    <x v="3"/>
    <x v="0"/>
    <x v="6"/>
    <n v="-84.949999999999989"/>
  </r>
  <r>
    <d v="2024-07-05T00:00:00"/>
    <s v="marketing"/>
    <s v="NA"/>
    <x v="0"/>
    <n v="100.10000000000001"/>
    <x v="2"/>
    <x v="0"/>
    <x v="0"/>
    <x v="6"/>
    <n v="-1434.81"/>
  </r>
  <r>
    <d v="2024-07-05T00:00:00"/>
    <s v="net sales:product 1"/>
    <n v="9.99"/>
    <x v="19"/>
    <n v="39.96"/>
    <x v="3"/>
    <x v="1"/>
    <x v="0"/>
    <x v="6"/>
    <n v="-100.09"/>
  </r>
  <r>
    <d v="2024-07-05T00:00:00"/>
    <s v="net sales:product 2"/>
    <n v="24.99"/>
    <x v="16"/>
    <n v="199.92"/>
    <x v="3"/>
    <x v="2"/>
    <x v="0"/>
    <x v="6"/>
    <n v="599.4"/>
  </r>
  <r>
    <d v="2024-07-05T00:00:00"/>
    <s v="net sales:product 3"/>
    <n v="12.49"/>
    <x v="29"/>
    <n v="62.45"/>
    <x v="3"/>
    <x v="3"/>
    <x v="0"/>
    <x v="6"/>
    <n v="124.94999999999999"/>
  </r>
  <r>
    <d v="2024-07-05T00:00:00"/>
    <s v="payroll"/>
    <s v="NA"/>
    <x v="0"/>
    <n v="1200"/>
    <x v="5"/>
    <x v="0"/>
    <x v="0"/>
    <x v="6"/>
    <n v="2110.81"/>
  </r>
  <r>
    <d v="2024-07-06T00:00:00"/>
    <s v="cogs:product 1"/>
    <n v="5.99"/>
    <x v="114"/>
    <n v="287.52"/>
    <x v="1"/>
    <x v="1"/>
    <x v="0"/>
    <x v="6"/>
    <n v="-533.11"/>
  </r>
  <r>
    <d v="2024-07-06T00:00:00"/>
    <s v="cogs:product 2"/>
    <n v="16.989999999999998"/>
    <x v="42"/>
    <n v="101.94"/>
    <x v="1"/>
    <x v="2"/>
    <x v="0"/>
    <x v="6"/>
    <n v="-67.959999999999994"/>
  </r>
  <r>
    <d v="2024-07-06T00:00:00"/>
    <s v="cogs:product 3"/>
    <n v="8.49"/>
    <x v="157"/>
    <n v="1935.72"/>
    <x v="1"/>
    <x v="3"/>
    <x v="0"/>
    <x v="6"/>
    <n v="-1587.63"/>
  </r>
  <r>
    <d v="2024-07-06T00:00:00"/>
    <s v="marketing"/>
    <s v="NA"/>
    <x v="0"/>
    <n v="99.94"/>
    <x v="2"/>
    <x v="0"/>
    <x v="0"/>
    <x v="6"/>
    <n v="-100.08"/>
  </r>
  <r>
    <d v="2024-07-06T00:00:00"/>
    <s v="net sales:product 1"/>
    <n v="9.99"/>
    <x v="114"/>
    <n v="479.52"/>
    <x v="3"/>
    <x v="1"/>
    <x v="0"/>
    <x v="6"/>
    <n v="889.11"/>
  </r>
  <r>
    <d v="2024-07-06T00:00:00"/>
    <s v="net sales:product 2"/>
    <n v="24.99"/>
    <x v="42"/>
    <n v="149.94"/>
    <x v="3"/>
    <x v="2"/>
    <x v="0"/>
    <x v="6"/>
    <n v="99.96"/>
  </r>
  <r>
    <d v="2024-07-06T00:00:00"/>
    <s v="net sales:product 3"/>
    <n v="12.49"/>
    <x v="157"/>
    <n v="2847.7200000000003"/>
    <x v="3"/>
    <x v="3"/>
    <x v="0"/>
    <x v="6"/>
    <n v="2335.63"/>
  </r>
  <r>
    <d v="2024-07-07T00:00:00"/>
    <s v="cogs:product 1"/>
    <n v="5.99"/>
    <x v="100"/>
    <n v="527.12"/>
    <x v="1"/>
    <x v="1"/>
    <x v="0"/>
    <x v="6"/>
    <n v="-167.72"/>
  </r>
  <r>
    <d v="2024-07-07T00:00:00"/>
    <s v="cogs:product 2"/>
    <n v="16.989999999999998"/>
    <x v="19"/>
    <n v="67.959999999999994"/>
    <x v="1"/>
    <x v="2"/>
    <x v="0"/>
    <x v="6"/>
    <n v="-50.97"/>
  </r>
  <r>
    <d v="2024-07-07T00:00:00"/>
    <s v="cogs:product 3"/>
    <n v="8.49"/>
    <x v="19"/>
    <n v="33.96"/>
    <x v="1"/>
    <x v="3"/>
    <x v="0"/>
    <x v="6"/>
    <n v="-1681.02"/>
  </r>
  <r>
    <d v="2024-07-07T00:00:00"/>
    <s v="marketing"/>
    <s v="NA"/>
    <x v="0"/>
    <n v="100.02"/>
    <x v="2"/>
    <x v="0"/>
    <x v="0"/>
    <x v="6"/>
    <n v="-100.05"/>
  </r>
  <r>
    <d v="2024-07-07T00:00:00"/>
    <s v="net sales:product 1"/>
    <n v="9.99"/>
    <x v="100"/>
    <n v="879.12"/>
    <x v="3"/>
    <x v="1"/>
    <x v="0"/>
    <x v="6"/>
    <n v="279.72000000000003"/>
  </r>
  <r>
    <d v="2024-07-07T00:00:00"/>
    <s v="net sales:product 2"/>
    <n v="24.99"/>
    <x v="19"/>
    <n v="99.96"/>
    <x v="3"/>
    <x v="2"/>
    <x v="0"/>
    <x v="6"/>
    <n v="74.97"/>
  </r>
  <r>
    <d v="2024-07-07T00:00:00"/>
    <s v="net sales:product 3"/>
    <n v="12.49"/>
    <x v="19"/>
    <n v="49.96"/>
    <x v="3"/>
    <x v="3"/>
    <x v="0"/>
    <x v="6"/>
    <n v="2473.02"/>
  </r>
  <r>
    <d v="2024-07-08T00:00:00"/>
    <s v="cogs:product 1"/>
    <n v="5.99"/>
    <x v="117"/>
    <n v="515.14"/>
    <x v="1"/>
    <x v="1"/>
    <x v="0"/>
    <x v="6"/>
    <n v="-1200"/>
  </r>
  <r>
    <d v="2024-07-08T00:00:00"/>
    <s v="cogs:product 2"/>
    <n v="16.989999999999998"/>
    <x v="23"/>
    <n v="0"/>
    <x v="1"/>
    <x v="2"/>
    <x v="0"/>
    <x v="6"/>
    <n v="-485.19"/>
  </r>
  <r>
    <d v="2024-07-08T00:00:00"/>
    <s v="cogs:product 3"/>
    <n v="8.49"/>
    <x v="158"/>
    <n v="611.28"/>
    <x v="1"/>
    <x v="3"/>
    <x v="0"/>
    <x v="6"/>
    <n v="-169.89999999999998"/>
  </r>
  <r>
    <d v="2024-07-08T00:00:00"/>
    <s v="marketing"/>
    <s v="NA"/>
    <x v="0"/>
    <n v="100.02"/>
    <x v="2"/>
    <x v="0"/>
    <x v="0"/>
    <x v="6"/>
    <n v="-628.26"/>
  </r>
  <r>
    <d v="2024-07-08T00:00:00"/>
    <s v="net sales:product 1"/>
    <n v="9.99"/>
    <x v="117"/>
    <n v="859.14"/>
    <x v="3"/>
    <x v="1"/>
    <x v="0"/>
    <x v="6"/>
    <n v="-100.02"/>
  </r>
  <r>
    <d v="2024-07-08T00:00:00"/>
    <s v="net sales:product 2"/>
    <n v="24.99"/>
    <x v="23"/>
    <n v="0"/>
    <x v="3"/>
    <x v="2"/>
    <x v="0"/>
    <x v="6"/>
    <n v="809.19"/>
  </r>
  <r>
    <d v="2024-07-08T00:00:00"/>
    <s v="net sales:product 3"/>
    <n v="12.49"/>
    <x v="158"/>
    <n v="899.28"/>
    <x v="3"/>
    <x v="3"/>
    <x v="0"/>
    <x v="6"/>
    <n v="249.89999999999998"/>
  </r>
  <r>
    <d v="2024-07-09T00:00:00"/>
    <s v="cogs:product 1"/>
    <n v="5.99"/>
    <x v="128"/>
    <n v="245.59"/>
    <x v="1"/>
    <x v="1"/>
    <x v="0"/>
    <x v="6"/>
    <n v="924.26"/>
  </r>
  <r>
    <d v="2024-07-09T00:00:00"/>
    <s v="cogs:product 2"/>
    <n v="16.989999999999998"/>
    <x v="23"/>
    <n v="0"/>
    <x v="1"/>
    <x v="2"/>
    <x v="0"/>
    <x v="6"/>
    <n v="-413.31"/>
  </r>
  <r>
    <d v="2024-07-09T00:00:00"/>
    <s v="cogs:product 3"/>
    <n v="8.49"/>
    <x v="26"/>
    <n v="178.29"/>
    <x v="1"/>
    <x v="3"/>
    <x v="0"/>
    <x v="6"/>
    <n v="-67.959999999999994"/>
  </r>
  <r>
    <d v="2024-07-09T00:00:00"/>
    <s v="marketing"/>
    <s v="NA"/>
    <x v="0"/>
    <n v="99.960000000000008"/>
    <x v="2"/>
    <x v="0"/>
    <x v="0"/>
    <x v="6"/>
    <n v="-1290.48"/>
  </r>
  <r>
    <d v="2024-07-09T00:00:00"/>
    <s v="net sales:product 1"/>
    <n v="9.99"/>
    <x v="128"/>
    <n v="409.59000000000003"/>
    <x v="3"/>
    <x v="1"/>
    <x v="0"/>
    <x v="6"/>
    <n v="-99.990000000000009"/>
  </r>
  <r>
    <d v="2024-07-09T00:00:00"/>
    <s v="net sales:product 2"/>
    <n v="24.99"/>
    <x v="23"/>
    <n v="0"/>
    <x v="3"/>
    <x v="2"/>
    <x v="0"/>
    <x v="6"/>
    <n v="689.31000000000006"/>
  </r>
  <r>
    <d v="2024-07-09T00:00:00"/>
    <s v="net sales:product 3"/>
    <n v="12.49"/>
    <x v="26"/>
    <n v="262.29000000000002"/>
    <x v="3"/>
    <x v="3"/>
    <x v="0"/>
    <x v="6"/>
    <n v="99.96"/>
  </r>
  <r>
    <d v="2024-07-10T00:00:00"/>
    <s v="cogs:product 1"/>
    <n v="5.99"/>
    <x v="74"/>
    <n v="329.45"/>
    <x v="1"/>
    <x v="1"/>
    <x v="0"/>
    <x v="6"/>
    <n v="1898.48"/>
  </r>
  <r>
    <d v="2024-07-10T00:00:00"/>
    <s v="cogs:product 2"/>
    <n v="16.989999999999998"/>
    <x v="10"/>
    <n v="33.979999999999997"/>
    <x v="1"/>
    <x v="2"/>
    <x v="0"/>
    <x v="6"/>
    <n v="-143.76"/>
  </r>
  <r>
    <d v="2024-07-10T00:00:00"/>
    <s v="cogs:product 3"/>
    <n v="8.49"/>
    <x v="159"/>
    <n v="1630.08"/>
    <x v="1"/>
    <x v="3"/>
    <x v="0"/>
    <x v="6"/>
    <n v="-118.92999999999999"/>
  </r>
  <r>
    <d v="2024-07-10T00:00:00"/>
    <s v="marketing"/>
    <s v="NA"/>
    <x v="0"/>
    <n v="99.990000000000009"/>
    <x v="2"/>
    <x v="0"/>
    <x v="0"/>
    <x v="6"/>
    <n v="-169.8"/>
  </r>
  <r>
    <d v="2024-07-10T00:00:00"/>
    <s v="net sales:product 1"/>
    <n v="9.99"/>
    <x v="74"/>
    <n v="549.45000000000005"/>
    <x v="3"/>
    <x v="1"/>
    <x v="0"/>
    <x v="6"/>
    <n v="-99.95"/>
  </r>
  <r>
    <d v="2024-07-10T00:00:00"/>
    <s v="net sales:product 2"/>
    <n v="24.99"/>
    <x v="10"/>
    <n v="49.98"/>
    <x v="3"/>
    <x v="2"/>
    <x v="0"/>
    <x v="6"/>
    <n v="239.76"/>
  </r>
  <r>
    <d v="2024-07-10T00:00:00"/>
    <s v="net sales:product 3"/>
    <n v="12.49"/>
    <x v="159"/>
    <n v="2398.08"/>
    <x v="3"/>
    <x v="3"/>
    <x v="0"/>
    <x v="6"/>
    <n v="174.92999999999998"/>
  </r>
  <r>
    <d v="2024-07-11T00:00:00"/>
    <s v="cogs:product 1"/>
    <n v="5.99"/>
    <x v="38"/>
    <n v="395.34000000000003"/>
    <x v="1"/>
    <x v="1"/>
    <x v="0"/>
    <x v="6"/>
    <n v="249.8"/>
  </r>
  <r>
    <d v="2024-07-11T00:00:00"/>
    <s v="cogs:product 2"/>
    <n v="16.989999999999998"/>
    <x v="2"/>
    <n v="50.97"/>
    <x v="1"/>
    <x v="2"/>
    <x v="0"/>
    <x v="6"/>
    <n v="-83.86"/>
  </r>
  <r>
    <d v="2024-07-11T00:00:00"/>
    <s v="cogs:product 3"/>
    <n v="8.49"/>
    <x v="132"/>
    <n v="1969.68"/>
    <x v="1"/>
    <x v="3"/>
    <x v="0"/>
    <x v="6"/>
    <n v="-101.94"/>
  </r>
  <r>
    <d v="2024-07-11T00:00:00"/>
    <s v="marketing"/>
    <s v="NA"/>
    <x v="0"/>
    <n v="99.960000000000008"/>
    <x v="2"/>
    <x v="0"/>
    <x v="0"/>
    <x v="6"/>
    <n v="0"/>
  </r>
  <r>
    <d v="2024-07-11T00:00:00"/>
    <s v="net sales:product 1"/>
    <n v="9.99"/>
    <x v="38"/>
    <n v="659.34"/>
    <x v="3"/>
    <x v="1"/>
    <x v="0"/>
    <x v="6"/>
    <n v="-99.98"/>
  </r>
  <r>
    <d v="2024-07-11T00:00:00"/>
    <s v="net sales:product 2"/>
    <n v="24.99"/>
    <x v="2"/>
    <n v="74.97"/>
    <x v="3"/>
    <x v="2"/>
    <x v="0"/>
    <x v="6"/>
    <n v="139.86000000000001"/>
  </r>
  <r>
    <d v="2024-07-11T00:00:00"/>
    <s v="net sales:product 3"/>
    <n v="12.49"/>
    <x v="132"/>
    <n v="2897.68"/>
    <x v="3"/>
    <x v="3"/>
    <x v="0"/>
    <x v="6"/>
    <n v="149.94"/>
  </r>
  <r>
    <d v="2024-07-12T00:00:00"/>
    <s v="cogs:product 1"/>
    <n v="5.99"/>
    <x v="158"/>
    <n v="431.28000000000003"/>
    <x v="1"/>
    <x v="1"/>
    <x v="0"/>
    <x v="6"/>
    <n v="0"/>
  </r>
  <r>
    <d v="2024-07-12T00:00:00"/>
    <s v="cogs:product 2"/>
    <n v="16.989999999999998"/>
    <x v="16"/>
    <n v="135.91999999999999"/>
    <x v="1"/>
    <x v="2"/>
    <x v="0"/>
    <x v="6"/>
    <n v="0"/>
  </r>
  <r>
    <d v="2024-07-12T00:00:00"/>
    <s v="cogs:product 3"/>
    <n v="8.49"/>
    <x v="114"/>
    <n v="407.52"/>
    <x v="1"/>
    <x v="3"/>
    <x v="0"/>
    <x v="6"/>
    <n v="-50.97"/>
  </r>
  <r>
    <d v="2024-07-12T00:00:00"/>
    <s v="marketing"/>
    <s v="NA"/>
    <x v="0"/>
    <n v="99.97"/>
    <x v="2"/>
    <x v="0"/>
    <x v="0"/>
    <x v="6"/>
    <n v="-1698"/>
  </r>
  <r>
    <d v="2024-07-12T00:00:00"/>
    <s v="net sales:product 1"/>
    <n v="9.99"/>
    <x v="158"/>
    <n v="719.28"/>
    <x v="3"/>
    <x v="1"/>
    <x v="0"/>
    <x v="6"/>
    <n v="-100.02"/>
  </r>
  <r>
    <d v="2024-07-12T00:00:00"/>
    <s v="net sales:product 2"/>
    <n v="24.99"/>
    <x v="16"/>
    <n v="199.92"/>
    <x v="3"/>
    <x v="2"/>
    <x v="0"/>
    <x v="6"/>
    <n v="0"/>
  </r>
  <r>
    <d v="2024-07-12T00:00:00"/>
    <s v="net sales:product 3"/>
    <n v="12.49"/>
    <x v="114"/>
    <n v="599.52"/>
    <x v="3"/>
    <x v="3"/>
    <x v="0"/>
    <x v="6"/>
    <n v="74.97"/>
  </r>
  <r>
    <d v="2024-07-13T00:00:00"/>
    <s v="cogs:product 1"/>
    <n v="5.99"/>
    <x v="127"/>
    <n v="83.86"/>
    <x v="1"/>
    <x v="1"/>
    <x v="0"/>
    <x v="6"/>
    <n v="2498"/>
  </r>
  <r>
    <d v="2024-07-13T00:00:00"/>
    <s v="cogs:product 2"/>
    <n v="16.989999999999998"/>
    <x v="7"/>
    <n v="152.91"/>
    <x v="1"/>
    <x v="2"/>
    <x v="0"/>
    <x v="6"/>
    <n v="-155.74"/>
  </r>
  <r>
    <d v="2024-07-13T00:00:00"/>
    <s v="cogs:product 3"/>
    <n v="8.49"/>
    <x v="71"/>
    <n v="704.67000000000007"/>
    <x v="1"/>
    <x v="3"/>
    <x v="0"/>
    <x v="6"/>
    <n v="-101.94"/>
  </r>
  <r>
    <d v="2024-07-13T00:00:00"/>
    <s v="marketing"/>
    <s v="NA"/>
    <x v="0"/>
    <n v="100.05"/>
    <x v="2"/>
    <x v="0"/>
    <x v="0"/>
    <x v="6"/>
    <n v="-424.5"/>
  </r>
  <r>
    <d v="2024-07-13T00:00:00"/>
    <s v="net sales:product 1"/>
    <n v="9.99"/>
    <x v="127"/>
    <n v="139.86000000000001"/>
    <x v="3"/>
    <x v="1"/>
    <x v="0"/>
    <x v="6"/>
    <n v="-99.94"/>
  </r>
  <r>
    <d v="2024-07-13T00:00:00"/>
    <s v="net sales:product 2"/>
    <n v="24.99"/>
    <x v="7"/>
    <n v="224.91"/>
    <x v="3"/>
    <x v="2"/>
    <x v="0"/>
    <x v="6"/>
    <n v="259.74"/>
  </r>
  <r>
    <d v="2024-07-13T00:00:00"/>
    <s v="net sales:product 3"/>
    <n v="12.49"/>
    <x v="71"/>
    <n v="1036.67"/>
    <x v="3"/>
    <x v="3"/>
    <x v="0"/>
    <x v="6"/>
    <n v="149.94"/>
  </r>
  <r>
    <d v="2024-07-14T00:00:00"/>
    <s v="cogs:product 1"/>
    <n v="5.99"/>
    <x v="127"/>
    <n v="83.86"/>
    <x v="1"/>
    <x v="1"/>
    <x v="0"/>
    <x v="6"/>
    <n v="624.5"/>
  </r>
  <r>
    <d v="2024-07-14T00:00:00"/>
    <s v="cogs:product 2"/>
    <n v="16.989999999999998"/>
    <x v="10"/>
    <n v="33.979999999999997"/>
    <x v="1"/>
    <x v="2"/>
    <x v="0"/>
    <x v="6"/>
    <n v="-113.81"/>
  </r>
  <r>
    <d v="2024-07-14T00:00:00"/>
    <s v="cogs:product 3"/>
    <n v="8.49"/>
    <x v="160"/>
    <n v="1112.19"/>
    <x v="1"/>
    <x v="3"/>
    <x v="0"/>
    <x v="6"/>
    <n v="-135.91999999999999"/>
  </r>
  <r>
    <d v="2024-07-14T00:00:00"/>
    <s v="marketing"/>
    <s v="NA"/>
    <x v="0"/>
    <n v="100.01"/>
    <x v="2"/>
    <x v="0"/>
    <x v="0"/>
    <x v="6"/>
    <n v="-1714.98"/>
  </r>
  <r>
    <d v="2024-07-14T00:00:00"/>
    <s v="net sales:product 1"/>
    <n v="9.99"/>
    <x v="127"/>
    <n v="139.86000000000001"/>
    <x v="3"/>
    <x v="1"/>
    <x v="0"/>
    <x v="6"/>
    <n v="-99.91"/>
  </r>
  <r>
    <d v="2024-07-14T00:00:00"/>
    <s v="net sales:product 2"/>
    <n v="24.99"/>
    <x v="10"/>
    <n v="49.98"/>
    <x v="3"/>
    <x v="2"/>
    <x v="0"/>
    <x v="6"/>
    <n v="189.81"/>
  </r>
  <r>
    <d v="2024-07-14T00:00:00"/>
    <s v="net sales:product 3"/>
    <n v="12.49"/>
    <x v="160"/>
    <n v="1636.19"/>
    <x v="3"/>
    <x v="3"/>
    <x v="0"/>
    <x v="6"/>
    <n v="199.92"/>
  </r>
  <r>
    <d v="2024-07-15T00:00:00"/>
    <s v="cogs:product 1"/>
    <n v="5.99"/>
    <x v="140"/>
    <n v="173.71"/>
    <x v="1"/>
    <x v="1"/>
    <x v="0"/>
    <x v="6"/>
    <n v="2522.98"/>
  </r>
  <r>
    <d v="2024-07-15T00:00:00"/>
    <s v="cogs:product 2"/>
    <n v="16.989999999999998"/>
    <x v="29"/>
    <n v="84.949999999999989"/>
    <x v="1"/>
    <x v="2"/>
    <x v="0"/>
    <x v="6"/>
    <n v="-245.59"/>
  </r>
  <r>
    <d v="2024-07-15T00:00:00"/>
    <s v="cogs:product 3"/>
    <n v="8.49"/>
    <x v="28"/>
    <n v="492.42"/>
    <x v="1"/>
    <x v="3"/>
    <x v="0"/>
    <x v="6"/>
    <n v="-50.97"/>
  </r>
  <r>
    <d v="2024-07-15T00:00:00"/>
    <s v="interest"/>
    <s v="NA"/>
    <x v="0"/>
    <n v="1258.28"/>
    <x v="6"/>
    <x v="0"/>
    <x v="0"/>
    <x v="6"/>
    <n v="-1613.1000000000001"/>
  </r>
  <r>
    <d v="2024-07-15T00:00:00"/>
    <s v="marketing"/>
    <s v="NA"/>
    <x v="0"/>
    <n v="99.97"/>
    <x v="2"/>
    <x v="0"/>
    <x v="0"/>
    <x v="6"/>
    <n v="-1286.44"/>
  </r>
  <r>
    <d v="2024-07-15T00:00:00"/>
    <s v="net sales:product 1"/>
    <n v="9.99"/>
    <x v="140"/>
    <n v="289.70999999999998"/>
    <x v="3"/>
    <x v="1"/>
    <x v="0"/>
    <x v="6"/>
    <n v="-99.92"/>
  </r>
  <r>
    <d v="2024-07-15T00:00:00"/>
    <s v="net sales:product 2"/>
    <n v="24.99"/>
    <x v="29"/>
    <n v="124.94999999999999"/>
    <x v="3"/>
    <x v="2"/>
    <x v="0"/>
    <x v="6"/>
    <n v="409.59000000000003"/>
  </r>
  <r>
    <d v="2024-07-15T00:00:00"/>
    <s v="net sales:product 3"/>
    <n v="12.49"/>
    <x v="28"/>
    <n v="724.42"/>
    <x v="3"/>
    <x v="3"/>
    <x v="0"/>
    <x v="6"/>
    <n v="74.97"/>
  </r>
  <r>
    <d v="2024-07-15T00:00:00"/>
    <s v="overhead"/>
    <s v="NA"/>
    <x v="0"/>
    <n v="314.57"/>
    <x v="4"/>
    <x v="0"/>
    <x v="0"/>
    <x v="6"/>
    <n v="2373.1"/>
  </r>
  <r>
    <d v="2024-07-16T00:00:00"/>
    <s v="cogs:product 1"/>
    <n v="5.99"/>
    <x v="107"/>
    <n v="197.67000000000002"/>
    <x v="1"/>
    <x v="1"/>
    <x v="0"/>
    <x v="6"/>
    <n v="-314.10000000000002"/>
  </r>
  <r>
    <d v="2024-07-16T00:00:00"/>
    <s v="cogs:product 2"/>
    <n v="16.989999999999998"/>
    <x v="13"/>
    <n v="118.92999999999999"/>
    <x v="1"/>
    <x v="2"/>
    <x v="0"/>
    <x v="6"/>
    <n v="-41.93"/>
  </r>
  <r>
    <d v="2024-07-16T00:00:00"/>
    <s v="cogs:product 3"/>
    <n v="8.49"/>
    <x v="72"/>
    <n v="203.76"/>
    <x v="1"/>
    <x v="3"/>
    <x v="0"/>
    <x v="6"/>
    <n v="-135.91999999999999"/>
  </r>
  <r>
    <d v="2024-07-16T00:00:00"/>
    <s v="marketing"/>
    <s v="NA"/>
    <x v="0"/>
    <n v="100.05"/>
    <x v="2"/>
    <x v="0"/>
    <x v="0"/>
    <x v="6"/>
    <n v="-373.56"/>
  </r>
  <r>
    <d v="2024-07-16T00:00:00"/>
    <s v="net sales:product 1"/>
    <n v="9.99"/>
    <x v="107"/>
    <n v="329.67"/>
    <x v="3"/>
    <x v="1"/>
    <x v="0"/>
    <x v="6"/>
    <n v="-100.06"/>
  </r>
  <r>
    <d v="2024-07-16T00:00:00"/>
    <s v="net sales:product 2"/>
    <n v="24.99"/>
    <x v="13"/>
    <n v="174.92999999999998"/>
    <x v="3"/>
    <x v="2"/>
    <x v="0"/>
    <x v="6"/>
    <n v="69.930000000000007"/>
  </r>
  <r>
    <d v="2024-07-16T00:00:00"/>
    <s v="net sales:product 3"/>
    <n v="12.49"/>
    <x v="72"/>
    <n v="299.76"/>
    <x v="3"/>
    <x v="3"/>
    <x v="0"/>
    <x v="6"/>
    <n v="199.92"/>
  </r>
  <r>
    <d v="2024-07-17T00:00:00"/>
    <s v="cogs:product 1"/>
    <n v="5.99"/>
    <x v="72"/>
    <n v="143.76"/>
    <x v="1"/>
    <x v="1"/>
    <x v="0"/>
    <x v="6"/>
    <n v="549.56000000000006"/>
  </r>
  <r>
    <d v="2024-07-17T00:00:00"/>
    <s v="cogs:product 2"/>
    <n v="16.989999999999998"/>
    <x v="25"/>
    <n v="16.989999999999998"/>
    <x v="1"/>
    <x v="2"/>
    <x v="0"/>
    <x v="6"/>
    <n v="-137.77000000000001"/>
  </r>
  <r>
    <d v="2024-07-17T00:00:00"/>
    <s v="cogs:product 3"/>
    <n v="8.49"/>
    <x v="161"/>
    <n v="1409.3400000000001"/>
    <x v="1"/>
    <x v="3"/>
    <x v="0"/>
    <x v="6"/>
    <n v="-118.92999999999999"/>
  </r>
  <r>
    <d v="2024-07-17T00:00:00"/>
    <s v="marketing"/>
    <s v="NA"/>
    <x v="0"/>
    <n v="99.92"/>
    <x v="2"/>
    <x v="0"/>
    <x v="0"/>
    <x v="6"/>
    <n v="-1765.92"/>
  </r>
  <r>
    <d v="2024-07-17T00:00:00"/>
    <s v="net sales:product 1"/>
    <n v="9.99"/>
    <x v="72"/>
    <n v="239.76"/>
    <x v="3"/>
    <x v="1"/>
    <x v="0"/>
    <x v="6"/>
    <n v="-100.07000000000001"/>
  </r>
  <r>
    <d v="2024-07-17T00:00:00"/>
    <s v="net sales:product 2"/>
    <n v="24.99"/>
    <x v="25"/>
    <n v="24.99"/>
    <x v="3"/>
    <x v="2"/>
    <x v="0"/>
    <x v="6"/>
    <n v="229.77"/>
  </r>
  <r>
    <d v="2024-07-17T00:00:00"/>
    <s v="net sales:product 3"/>
    <n v="12.49"/>
    <x v="161"/>
    <n v="2073.34"/>
    <x v="3"/>
    <x v="3"/>
    <x v="0"/>
    <x v="6"/>
    <n v="174.92999999999998"/>
  </r>
  <r>
    <d v="2024-07-18T00:00:00"/>
    <s v="cogs:product 1"/>
    <n v="5.99"/>
    <x v="85"/>
    <n v="209.65"/>
    <x v="1"/>
    <x v="1"/>
    <x v="0"/>
    <x v="6"/>
    <n v="2597.92"/>
  </r>
  <r>
    <d v="2024-07-18T00:00:00"/>
    <s v="cogs:product 2"/>
    <n v="16.989999999999998"/>
    <x v="7"/>
    <n v="152.91"/>
    <x v="1"/>
    <x v="2"/>
    <x v="0"/>
    <x v="6"/>
    <n v="-443.26"/>
  </r>
  <r>
    <d v="2024-07-18T00:00:00"/>
    <s v="cogs:product 3"/>
    <n v="8.49"/>
    <x v="43"/>
    <n v="1842.3300000000002"/>
    <x v="1"/>
    <x v="3"/>
    <x v="0"/>
    <x v="6"/>
    <n v="-152.91"/>
  </r>
  <r>
    <d v="2024-07-18T00:00:00"/>
    <s v="marketing"/>
    <s v="NA"/>
    <x v="0"/>
    <n v="99.95"/>
    <x v="2"/>
    <x v="0"/>
    <x v="0"/>
    <x v="6"/>
    <n v="-1647.06"/>
  </r>
  <r>
    <d v="2024-07-18T00:00:00"/>
    <s v="net sales:product 1"/>
    <n v="9.99"/>
    <x v="85"/>
    <n v="349.65000000000003"/>
    <x v="3"/>
    <x v="1"/>
    <x v="0"/>
    <x v="6"/>
    <n v="-99.98"/>
  </r>
  <r>
    <d v="2024-07-18T00:00:00"/>
    <s v="net sales:product 2"/>
    <n v="24.99"/>
    <x v="7"/>
    <n v="224.91"/>
    <x v="3"/>
    <x v="2"/>
    <x v="0"/>
    <x v="6"/>
    <n v="739.26"/>
  </r>
  <r>
    <d v="2024-07-18T00:00:00"/>
    <s v="net sales:product 3"/>
    <n v="12.49"/>
    <x v="43"/>
    <n v="2710.33"/>
    <x v="3"/>
    <x v="3"/>
    <x v="0"/>
    <x v="6"/>
    <n v="224.91"/>
  </r>
  <r>
    <d v="2024-07-19T00:00:00"/>
    <s v="cogs:product 1"/>
    <n v="5.99"/>
    <x v="42"/>
    <n v="35.94"/>
    <x v="1"/>
    <x v="1"/>
    <x v="0"/>
    <x v="6"/>
    <n v="2423.06"/>
  </r>
  <r>
    <d v="2024-07-19T00:00:00"/>
    <s v="cogs:product 2"/>
    <n v="16.989999999999998"/>
    <x v="13"/>
    <n v="118.92999999999999"/>
    <x v="1"/>
    <x v="2"/>
    <x v="0"/>
    <x v="6"/>
    <n v="-245.59"/>
  </r>
  <r>
    <d v="2024-07-19T00:00:00"/>
    <s v="cogs:product 3"/>
    <n v="8.49"/>
    <x v="89"/>
    <n v="959.37"/>
    <x v="1"/>
    <x v="3"/>
    <x v="0"/>
    <x v="6"/>
    <n v="-152.91"/>
  </r>
  <r>
    <d v="2024-07-19T00:00:00"/>
    <s v="marketing"/>
    <s v="NA"/>
    <x v="0"/>
    <n v="100.03"/>
    <x v="2"/>
    <x v="0"/>
    <x v="0"/>
    <x v="6"/>
    <n v="-1103.7"/>
  </r>
  <r>
    <d v="2024-07-19T00:00:00"/>
    <s v="net sales:product 1"/>
    <n v="9.99"/>
    <x v="42"/>
    <n v="59.94"/>
    <x v="3"/>
    <x v="1"/>
    <x v="0"/>
    <x v="6"/>
    <n v="-99.94"/>
  </r>
  <r>
    <d v="2024-07-19T00:00:00"/>
    <s v="net sales:product 2"/>
    <n v="24.99"/>
    <x v="13"/>
    <n v="174.92999999999998"/>
    <x v="3"/>
    <x v="2"/>
    <x v="0"/>
    <x v="6"/>
    <n v="409.59000000000003"/>
  </r>
  <r>
    <d v="2024-07-19T00:00:00"/>
    <s v="net sales:product 3"/>
    <n v="12.49"/>
    <x v="89"/>
    <n v="1411.3700000000001"/>
    <x v="3"/>
    <x v="3"/>
    <x v="0"/>
    <x v="6"/>
    <n v="224.91"/>
  </r>
  <r>
    <d v="2024-07-19T00:00:00"/>
    <s v="payroll"/>
    <s v="NA"/>
    <x v="0"/>
    <n v="1200"/>
    <x v="5"/>
    <x v="0"/>
    <x v="0"/>
    <x v="6"/>
    <n v="1623.7"/>
  </r>
  <r>
    <d v="2024-07-20T00:00:00"/>
    <s v="cogs:product 1"/>
    <n v="5.99"/>
    <x v="128"/>
    <n v="245.59"/>
    <x v="1"/>
    <x v="1"/>
    <x v="0"/>
    <x v="6"/>
    <n v="-551.08000000000004"/>
  </r>
  <r>
    <d v="2024-07-20T00:00:00"/>
    <s v="cogs:product 2"/>
    <n v="16.989999999999998"/>
    <x v="16"/>
    <n v="135.91999999999999"/>
    <x v="1"/>
    <x v="2"/>
    <x v="0"/>
    <x v="6"/>
    <n v="-118.92999999999999"/>
  </r>
  <r>
    <d v="2024-07-20T00:00:00"/>
    <s v="cogs:product 3"/>
    <n v="8.49"/>
    <x v="30"/>
    <n v="144.33000000000001"/>
    <x v="1"/>
    <x v="3"/>
    <x v="0"/>
    <x v="6"/>
    <n v="-1765.92"/>
  </r>
  <r>
    <d v="2024-07-20T00:00:00"/>
    <s v="marketing"/>
    <s v="NA"/>
    <x v="0"/>
    <n v="99.97"/>
    <x v="2"/>
    <x v="0"/>
    <x v="0"/>
    <x v="6"/>
    <n v="-99.93"/>
  </r>
  <r>
    <d v="2024-07-20T00:00:00"/>
    <s v="net sales:product 1"/>
    <n v="9.99"/>
    <x v="128"/>
    <n v="409.59000000000003"/>
    <x v="3"/>
    <x v="1"/>
    <x v="0"/>
    <x v="6"/>
    <n v="919.08"/>
  </r>
  <r>
    <d v="2024-07-20T00:00:00"/>
    <s v="net sales:product 2"/>
    <n v="24.99"/>
    <x v="16"/>
    <n v="199.92"/>
    <x v="3"/>
    <x v="2"/>
    <x v="0"/>
    <x v="6"/>
    <n v="174.92999999999998"/>
  </r>
  <r>
    <d v="2024-07-20T00:00:00"/>
    <s v="net sales:product 3"/>
    <n v="12.49"/>
    <x v="30"/>
    <n v="212.33"/>
    <x v="3"/>
    <x v="3"/>
    <x v="0"/>
    <x v="6"/>
    <n v="2597.92"/>
  </r>
  <r>
    <d v="2024-07-21T00:00:00"/>
    <s v="cogs:product 1"/>
    <n v="5.99"/>
    <x v="130"/>
    <n v="239.60000000000002"/>
    <x v="1"/>
    <x v="1"/>
    <x v="0"/>
    <x v="6"/>
    <n v="-569.05000000000007"/>
  </r>
  <r>
    <d v="2024-07-21T00:00:00"/>
    <s v="cogs:product 2"/>
    <n v="16.989999999999998"/>
    <x v="13"/>
    <n v="118.92999999999999"/>
    <x v="1"/>
    <x v="2"/>
    <x v="0"/>
    <x v="6"/>
    <n v="-84.949999999999989"/>
  </r>
  <r>
    <d v="2024-07-21T00:00:00"/>
    <s v="cogs:product 3"/>
    <n v="8.49"/>
    <x v="162"/>
    <n v="2020.6200000000001"/>
    <x v="1"/>
    <x v="3"/>
    <x v="0"/>
    <x v="6"/>
    <n v="0"/>
  </r>
  <r>
    <d v="2024-07-21T00:00:00"/>
    <s v="marketing"/>
    <s v="NA"/>
    <x v="0"/>
    <n v="99.94"/>
    <x v="2"/>
    <x v="0"/>
    <x v="0"/>
    <x v="6"/>
    <n v="-100.03"/>
  </r>
  <r>
    <d v="2024-07-21T00:00:00"/>
    <s v="net sales:product 1"/>
    <n v="9.99"/>
    <x v="130"/>
    <n v="399.6"/>
    <x v="3"/>
    <x v="1"/>
    <x v="0"/>
    <x v="6"/>
    <n v="949.05000000000007"/>
  </r>
  <r>
    <d v="2024-07-21T00:00:00"/>
    <s v="net sales:product 2"/>
    <n v="24.99"/>
    <x v="13"/>
    <n v="174.92999999999998"/>
    <x v="3"/>
    <x v="2"/>
    <x v="0"/>
    <x v="6"/>
    <n v="124.94999999999999"/>
  </r>
  <r>
    <d v="2024-07-21T00:00:00"/>
    <s v="net sales:product 3"/>
    <n v="12.49"/>
    <x v="162"/>
    <n v="2972.62"/>
    <x v="3"/>
    <x v="3"/>
    <x v="0"/>
    <x v="6"/>
    <n v="0"/>
  </r>
  <r>
    <d v="2024-07-22T00:00:00"/>
    <s v="cogs:product 1"/>
    <n v="5.99"/>
    <x v="28"/>
    <n v="347.42"/>
    <x v="1"/>
    <x v="1"/>
    <x v="0"/>
    <x v="6"/>
    <n v="-1200"/>
  </r>
  <r>
    <d v="2024-07-22T00:00:00"/>
    <s v="cogs:product 2"/>
    <n v="16.989999999999998"/>
    <x v="29"/>
    <n v="84.949999999999989"/>
    <x v="1"/>
    <x v="2"/>
    <x v="0"/>
    <x v="6"/>
    <n v="-41.93"/>
  </r>
  <r>
    <d v="2024-07-22T00:00:00"/>
    <s v="cogs:product 3"/>
    <n v="8.49"/>
    <x v="163"/>
    <n v="1061.25"/>
    <x v="1"/>
    <x v="3"/>
    <x v="0"/>
    <x v="6"/>
    <n v="-101.94"/>
  </r>
  <r>
    <d v="2024-07-22T00:00:00"/>
    <s v="marketing"/>
    <s v="NA"/>
    <x v="0"/>
    <n v="99.94"/>
    <x v="2"/>
    <x v="0"/>
    <x v="0"/>
    <x v="6"/>
    <n v="-1171.6200000000001"/>
  </r>
  <r>
    <d v="2024-07-22T00:00:00"/>
    <s v="net sales:product 1"/>
    <n v="9.99"/>
    <x v="28"/>
    <n v="579.41999999999996"/>
    <x v="3"/>
    <x v="1"/>
    <x v="0"/>
    <x v="6"/>
    <n v="-100.08"/>
  </r>
  <r>
    <d v="2024-07-22T00:00:00"/>
    <s v="net sales:product 2"/>
    <n v="24.99"/>
    <x v="29"/>
    <n v="124.94999999999999"/>
    <x v="3"/>
    <x v="2"/>
    <x v="0"/>
    <x v="6"/>
    <n v="69.930000000000007"/>
  </r>
  <r>
    <d v="2024-07-22T00:00:00"/>
    <s v="net sales:product 3"/>
    <n v="12.49"/>
    <x v="163"/>
    <n v="1561.25"/>
    <x v="3"/>
    <x v="3"/>
    <x v="0"/>
    <x v="6"/>
    <n v="149.94"/>
  </r>
  <r>
    <d v="2024-07-23T00:00:00"/>
    <s v="cogs:product 1"/>
    <n v="5.99"/>
    <x v="98"/>
    <n v="269.55"/>
    <x v="1"/>
    <x v="1"/>
    <x v="0"/>
    <x v="6"/>
    <n v="1723.6200000000001"/>
  </r>
  <r>
    <d v="2024-07-23T00:00:00"/>
    <s v="cogs:product 2"/>
    <n v="16.989999999999998"/>
    <x v="7"/>
    <n v="152.91"/>
    <x v="1"/>
    <x v="2"/>
    <x v="0"/>
    <x v="6"/>
    <n v="-551.08000000000004"/>
  </r>
  <r>
    <d v="2024-07-23T00:00:00"/>
    <s v="cogs:product 3"/>
    <n v="8.49"/>
    <x v="164"/>
    <n v="916.92000000000007"/>
    <x v="1"/>
    <x v="3"/>
    <x v="0"/>
    <x v="6"/>
    <n v="-33.979999999999997"/>
  </r>
  <r>
    <d v="2024-07-23T00:00:00"/>
    <s v="marketing"/>
    <s v="NA"/>
    <x v="0"/>
    <n v="99.990000000000009"/>
    <x v="2"/>
    <x v="0"/>
    <x v="0"/>
    <x v="6"/>
    <n v="-399.03000000000003"/>
  </r>
  <r>
    <d v="2024-07-23T00:00:00"/>
    <s v="net sales:product 1"/>
    <n v="9.99"/>
    <x v="98"/>
    <n v="449.55"/>
    <x v="3"/>
    <x v="1"/>
    <x v="0"/>
    <x v="6"/>
    <n v="-100"/>
  </r>
  <r>
    <d v="2024-07-23T00:00:00"/>
    <s v="net sales:product 2"/>
    <n v="24.99"/>
    <x v="7"/>
    <n v="224.91"/>
    <x v="3"/>
    <x v="2"/>
    <x v="0"/>
    <x v="6"/>
    <n v="919.08"/>
  </r>
  <r>
    <d v="2024-07-23T00:00:00"/>
    <s v="net sales:product 3"/>
    <n v="12.49"/>
    <x v="164"/>
    <n v="1348.92"/>
    <x v="3"/>
    <x v="3"/>
    <x v="0"/>
    <x v="6"/>
    <n v="49.98"/>
  </r>
  <r>
    <d v="2024-07-24T00:00:00"/>
    <s v="cogs:product 1"/>
    <n v="5.99"/>
    <x v="124"/>
    <n v="203.66"/>
    <x v="1"/>
    <x v="1"/>
    <x v="0"/>
    <x v="6"/>
    <n v="587.03"/>
  </r>
  <r>
    <d v="2024-07-24T00:00:00"/>
    <s v="cogs:product 2"/>
    <n v="16.989999999999998"/>
    <x v="2"/>
    <n v="50.97"/>
    <x v="1"/>
    <x v="2"/>
    <x v="0"/>
    <x v="6"/>
    <n v="-167.72"/>
  </r>
  <r>
    <d v="2024-07-24T00:00:00"/>
    <s v="cogs:product 3"/>
    <n v="8.49"/>
    <x v="23"/>
    <n v="0"/>
    <x v="1"/>
    <x v="3"/>
    <x v="0"/>
    <x v="6"/>
    <n v="-135.91999999999999"/>
  </r>
  <r>
    <d v="2024-07-24T00:00:00"/>
    <s v="marketing"/>
    <s v="NA"/>
    <x v="0"/>
    <n v="99.93"/>
    <x v="2"/>
    <x v="0"/>
    <x v="0"/>
    <x v="6"/>
    <n v="-1027.29"/>
  </r>
  <r>
    <d v="2024-07-24T00:00:00"/>
    <s v="net sales:product 1"/>
    <n v="9.99"/>
    <x v="124"/>
    <n v="339.66"/>
    <x v="3"/>
    <x v="1"/>
    <x v="0"/>
    <x v="6"/>
    <n v="-100.03"/>
  </r>
  <r>
    <d v="2024-07-24T00:00:00"/>
    <s v="net sales:product 2"/>
    <n v="24.99"/>
    <x v="2"/>
    <n v="74.97"/>
    <x v="3"/>
    <x v="2"/>
    <x v="0"/>
    <x v="6"/>
    <n v="279.72000000000003"/>
  </r>
  <r>
    <d v="2024-07-24T00:00:00"/>
    <s v="net sales:product 3"/>
    <n v="12.49"/>
    <x v="23"/>
    <n v="0"/>
    <x v="3"/>
    <x v="3"/>
    <x v="0"/>
    <x v="6"/>
    <n v="199.92"/>
  </r>
  <r>
    <d v="2024-07-25T00:00:00"/>
    <s v="cogs:product 1"/>
    <n v="5.99"/>
    <x v="24"/>
    <n v="593.01"/>
    <x v="1"/>
    <x v="1"/>
    <x v="0"/>
    <x v="6"/>
    <n v="1511.29"/>
  </r>
  <r>
    <d v="2024-07-25T00:00:00"/>
    <s v="cogs:product 2"/>
    <n v="16.989999999999998"/>
    <x v="19"/>
    <n v="67.959999999999994"/>
    <x v="1"/>
    <x v="2"/>
    <x v="0"/>
    <x v="6"/>
    <n v="-329.45"/>
  </r>
  <r>
    <d v="2024-07-25T00:00:00"/>
    <s v="cogs:product 3"/>
    <n v="8.49"/>
    <x v="10"/>
    <n v="16.98"/>
    <x v="1"/>
    <x v="3"/>
    <x v="0"/>
    <x v="6"/>
    <n v="-101.94"/>
  </r>
  <r>
    <d v="2024-07-25T00:00:00"/>
    <s v="marketing"/>
    <s v="NA"/>
    <x v="0"/>
    <n v="100.01"/>
    <x v="2"/>
    <x v="0"/>
    <x v="0"/>
    <x v="6"/>
    <n v="-1044.27"/>
  </r>
  <r>
    <d v="2024-07-25T00:00:00"/>
    <s v="net sales:product 1"/>
    <n v="9.99"/>
    <x v="24"/>
    <n v="989.01"/>
    <x v="3"/>
    <x v="1"/>
    <x v="0"/>
    <x v="6"/>
    <n v="-99.98"/>
  </r>
  <r>
    <d v="2024-07-25T00:00:00"/>
    <s v="net sales:product 2"/>
    <n v="24.99"/>
    <x v="19"/>
    <n v="99.96"/>
    <x v="3"/>
    <x v="2"/>
    <x v="0"/>
    <x v="6"/>
    <n v="549.45000000000005"/>
  </r>
  <r>
    <d v="2024-07-25T00:00:00"/>
    <s v="net sales:product 3"/>
    <n v="12.49"/>
    <x v="10"/>
    <n v="24.98"/>
    <x v="3"/>
    <x v="3"/>
    <x v="0"/>
    <x v="6"/>
    <n v="149.94"/>
  </r>
  <r>
    <d v="2024-07-26T00:00:00"/>
    <s v="cogs:product 1"/>
    <n v="5.99"/>
    <x v="56"/>
    <n v="521.13"/>
    <x v="1"/>
    <x v="1"/>
    <x v="0"/>
    <x v="6"/>
    <n v="1536.27"/>
  </r>
  <r>
    <d v="2024-07-26T00:00:00"/>
    <s v="cogs:product 2"/>
    <n v="16.989999999999998"/>
    <x v="29"/>
    <n v="84.949999999999989"/>
    <x v="1"/>
    <x v="2"/>
    <x v="0"/>
    <x v="6"/>
    <n v="-575.04"/>
  </r>
  <r>
    <d v="2024-07-26T00:00:00"/>
    <s v="cogs:product 3"/>
    <n v="8.49"/>
    <x v="137"/>
    <n v="424.5"/>
    <x v="1"/>
    <x v="3"/>
    <x v="0"/>
    <x v="6"/>
    <n v="-16.989999999999998"/>
  </r>
  <r>
    <d v="2024-07-26T00:00:00"/>
    <s v="marketing"/>
    <s v="NA"/>
    <x v="0"/>
    <n v="100.10000000000001"/>
    <x v="2"/>
    <x v="0"/>
    <x v="0"/>
    <x v="6"/>
    <n v="-1451.79"/>
  </r>
  <r>
    <d v="2024-07-26T00:00:00"/>
    <s v="net sales:product 1"/>
    <n v="9.99"/>
    <x v="56"/>
    <n v="869.13"/>
    <x v="3"/>
    <x v="1"/>
    <x v="0"/>
    <x v="6"/>
    <n v="-100.06"/>
  </r>
  <r>
    <d v="2024-07-26T00:00:00"/>
    <s v="net sales:product 2"/>
    <n v="24.99"/>
    <x v="29"/>
    <n v="124.94999999999999"/>
    <x v="3"/>
    <x v="2"/>
    <x v="0"/>
    <x v="6"/>
    <n v="959.04"/>
  </r>
  <r>
    <d v="2024-07-26T00:00:00"/>
    <s v="net sales:product 3"/>
    <n v="12.49"/>
    <x v="137"/>
    <n v="624.5"/>
    <x v="3"/>
    <x v="3"/>
    <x v="0"/>
    <x v="6"/>
    <n v="24.99"/>
  </r>
  <r>
    <d v="2024-07-27T00:00:00"/>
    <s v="cogs:product 1"/>
    <n v="5.99"/>
    <x v="79"/>
    <n v="377.37"/>
    <x v="1"/>
    <x v="1"/>
    <x v="0"/>
    <x v="6"/>
    <n v="2135.79"/>
  </r>
  <r>
    <d v="2024-07-27T00:00:00"/>
    <s v="cogs:product 2"/>
    <n v="16.989999999999998"/>
    <x v="22"/>
    <n v="169.89999999999998"/>
    <x v="1"/>
    <x v="2"/>
    <x v="0"/>
    <x v="6"/>
    <n v="-389.35"/>
  </r>
  <r>
    <d v="2024-07-27T00:00:00"/>
    <s v="cogs:product 3"/>
    <n v="8.49"/>
    <x v="94"/>
    <n v="1698"/>
    <x v="1"/>
    <x v="3"/>
    <x v="0"/>
    <x v="6"/>
    <n v="-152.91"/>
  </r>
  <r>
    <d v="2024-07-27T00:00:00"/>
    <s v="marketing"/>
    <s v="NA"/>
    <x v="0"/>
    <n v="99.94"/>
    <x v="2"/>
    <x v="0"/>
    <x v="0"/>
    <x v="6"/>
    <n v="-1332.93"/>
  </r>
  <r>
    <d v="2024-07-27T00:00:00"/>
    <s v="net sales:product 1"/>
    <n v="9.99"/>
    <x v="79"/>
    <n v="629.37"/>
    <x v="3"/>
    <x v="1"/>
    <x v="0"/>
    <x v="6"/>
    <n v="-100.01"/>
  </r>
  <r>
    <d v="2024-07-27T00:00:00"/>
    <s v="net sales:product 2"/>
    <n v="24.99"/>
    <x v="22"/>
    <n v="249.89999999999998"/>
    <x v="3"/>
    <x v="2"/>
    <x v="0"/>
    <x v="6"/>
    <n v="649.35"/>
  </r>
  <r>
    <d v="2024-07-27T00:00:00"/>
    <s v="net sales:product 3"/>
    <n v="12.49"/>
    <x v="94"/>
    <n v="2498"/>
    <x v="3"/>
    <x v="3"/>
    <x v="0"/>
    <x v="6"/>
    <n v="224.91"/>
  </r>
  <r>
    <d v="2024-07-28T00:00:00"/>
    <s v="cogs:product 1"/>
    <n v="5.99"/>
    <x v="50"/>
    <n v="539.1"/>
    <x v="1"/>
    <x v="1"/>
    <x v="0"/>
    <x v="6"/>
    <n v="1960.93"/>
  </r>
  <r>
    <d v="2024-07-28T00:00:00"/>
    <s v="cogs:product 2"/>
    <n v="16.989999999999998"/>
    <x v="19"/>
    <n v="67.959999999999994"/>
    <x v="1"/>
    <x v="2"/>
    <x v="0"/>
    <x v="6"/>
    <n v="-191.68"/>
  </r>
  <r>
    <d v="2024-07-28T00:00:00"/>
    <s v="cogs:product 3"/>
    <n v="8.49"/>
    <x v="115"/>
    <n v="645.24"/>
    <x v="1"/>
    <x v="3"/>
    <x v="0"/>
    <x v="6"/>
    <n v="-84.949999999999989"/>
  </r>
  <r>
    <d v="2024-07-28T00:00:00"/>
    <s v="marketing"/>
    <s v="NA"/>
    <x v="0"/>
    <n v="99.9"/>
    <x v="2"/>
    <x v="0"/>
    <x v="0"/>
    <x v="6"/>
    <n v="-33.96"/>
  </r>
  <r>
    <d v="2024-07-28T00:00:00"/>
    <s v="net sales:product 1"/>
    <n v="9.99"/>
    <x v="50"/>
    <n v="899.1"/>
    <x v="3"/>
    <x v="1"/>
    <x v="0"/>
    <x v="6"/>
    <n v="-100.04"/>
  </r>
  <r>
    <d v="2024-07-28T00:00:00"/>
    <s v="net sales:product 2"/>
    <n v="24.99"/>
    <x v="19"/>
    <n v="99.96"/>
    <x v="3"/>
    <x v="2"/>
    <x v="0"/>
    <x v="6"/>
    <n v="319.68"/>
  </r>
  <r>
    <d v="2024-07-28T00:00:00"/>
    <s v="net sales:product 3"/>
    <n v="12.49"/>
    <x v="115"/>
    <n v="949.24"/>
    <x v="3"/>
    <x v="3"/>
    <x v="0"/>
    <x v="6"/>
    <n v="124.94999999999999"/>
  </r>
  <r>
    <d v="2024-07-29T00:00:00"/>
    <s v="cogs:product 1"/>
    <n v="5.99"/>
    <x v="1"/>
    <n v="425.29"/>
    <x v="1"/>
    <x v="1"/>
    <x v="0"/>
    <x v="6"/>
    <n v="49.96"/>
  </r>
  <r>
    <d v="2024-07-29T00:00:00"/>
    <s v="cogs:product 2"/>
    <n v="16.989999999999998"/>
    <x v="23"/>
    <n v="0"/>
    <x v="1"/>
    <x v="2"/>
    <x v="0"/>
    <x v="6"/>
    <n v="-209.65"/>
  </r>
  <r>
    <d v="2024-07-29T00:00:00"/>
    <s v="cogs:product 3"/>
    <n v="8.49"/>
    <x v="165"/>
    <n v="1740.45"/>
    <x v="1"/>
    <x v="3"/>
    <x v="0"/>
    <x v="6"/>
    <n v="-67.959999999999994"/>
  </r>
  <r>
    <d v="2024-07-29T00:00:00"/>
    <s v="marketing"/>
    <s v="NA"/>
    <x v="0"/>
    <n v="99.93"/>
    <x v="2"/>
    <x v="0"/>
    <x v="0"/>
    <x v="6"/>
    <n v="0"/>
  </r>
  <r>
    <d v="2024-07-29T00:00:00"/>
    <s v="net sales:product 1"/>
    <n v="9.99"/>
    <x v="1"/>
    <n v="709.29"/>
    <x v="3"/>
    <x v="1"/>
    <x v="0"/>
    <x v="6"/>
    <n v="-100.04"/>
  </r>
  <r>
    <d v="2024-07-29T00:00:00"/>
    <s v="net sales:product 2"/>
    <n v="24.99"/>
    <x v="23"/>
    <n v="0"/>
    <x v="3"/>
    <x v="2"/>
    <x v="0"/>
    <x v="6"/>
    <n v="349.65000000000003"/>
  </r>
  <r>
    <d v="2024-07-29T00:00:00"/>
    <s v="net sales:product 3"/>
    <n v="12.49"/>
    <x v="165"/>
    <n v="2560.4499999999998"/>
    <x v="3"/>
    <x v="3"/>
    <x v="0"/>
    <x v="6"/>
    <n v="99.96"/>
  </r>
  <r>
    <d v="2024-07-30T00:00:00"/>
    <s v="cogs:product 1"/>
    <n v="5.99"/>
    <x v="139"/>
    <n v="215.64000000000001"/>
    <x v="1"/>
    <x v="1"/>
    <x v="0"/>
    <x v="6"/>
    <n v="0"/>
  </r>
  <r>
    <d v="2024-07-30T00:00:00"/>
    <s v="cogs:product 2"/>
    <n v="16.989999999999998"/>
    <x v="25"/>
    <n v="16.989999999999998"/>
    <x v="1"/>
    <x v="2"/>
    <x v="0"/>
    <x v="6"/>
    <n v="-545.09"/>
  </r>
  <r>
    <d v="2024-07-30T00:00:00"/>
    <s v="cogs:product 3"/>
    <n v="8.49"/>
    <x v="120"/>
    <n v="679.2"/>
    <x v="1"/>
    <x v="3"/>
    <x v="0"/>
    <x v="6"/>
    <n v="-135.91999999999999"/>
  </r>
  <r>
    <d v="2024-07-30T00:00:00"/>
    <s v="marketing"/>
    <s v="NA"/>
    <x v="0"/>
    <n v="100.03"/>
    <x v="2"/>
    <x v="0"/>
    <x v="0"/>
    <x v="6"/>
    <n v="-1078.23"/>
  </r>
  <r>
    <d v="2024-07-30T00:00:00"/>
    <s v="net sales:product 1"/>
    <n v="9.99"/>
    <x v="139"/>
    <n v="359.64"/>
    <x v="3"/>
    <x v="1"/>
    <x v="0"/>
    <x v="6"/>
    <n v="-100"/>
  </r>
  <r>
    <d v="2024-07-30T00:00:00"/>
    <s v="net sales:product 2"/>
    <n v="24.99"/>
    <x v="25"/>
    <n v="24.99"/>
    <x v="3"/>
    <x v="2"/>
    <x v="0"/>
    <x v="6"/>
    <n v="909.09"/>
  </r>
  <r>
    <d v="2024-07-30T00:00:00"/>
    <s v="net sales:product 3"/>
    <n v="12.49"/>
    <x v="120"/>
    <n v="999.2"/>
    <x v="3"/>
    <x v="3"/>
    <x v="0"/>
    <x v="6"/>
    <n v="199.92"/>
  </r>
  <r>
    <d v="2024-07-31T00:00:00"/>
    <s v="cogs:product 1"/>
    <n v="5.99"/>
    <x v="38"/>
    <n v="395.34000000000003"/>
    <x v="1"/>
    <x v="1"/>
    <x v="0"/>
    <x v="6"/>
    <n v="1586.23"/>
  </r>
  <r>
    <d v="2024-07-31T00:00:00"/>
    <s v="cogs:product 2"/>
    <n v="16.989999999999998"/>
    <x v="42"/>
    <n v="101.94"/>
    <x v="1"/>
    <x v="2"/>
    <x v="0"/>
    <x v="6"/>
    <n v="0"/>
  </r>
  <r>
    <d v="2024-07-31T00:00:00"/>
    <s v="cogs:product 3"/>
    <n v="8.49"/>
    <x v="25"/>
    <n v="8.49"/>
    <x v="1"/>
    <x v="3"/>
    <x v="0"/>
    <x v="6"/>
    <n v="-257.57"/>
  </r>
  <r>
    <d v="2024-07-31T00:00:00"/>
    <s v="marketing"/>
    <s v="NA"/>
    <x v="0"/>
    <n v="99.95"/>
    <x v="2"/>
    <x v="0"/>
    <x v="0"/>
    <x v="6"/>
    <n v="-135.91999999999999"/>
  </r>
  <r>
    <d v="2024-07-31T00:00:00"/>
    <s v="net sales:product 1"/>
    <n v="9.99"/>
    <x v="38"/>
    <n v="659.34"/>
    <x v="3"/>
    <x v="1"/>
    <x v="0"/>
    <x v="6"/>
    <n v="-161.31"/>
  </r>
  <r>
    <d v="2024-07-31T00:00:00"/>
    <s v="net sales:product 2"/>
    <n v="24.99"/>
    <x v="42"/>
    <n v="149.94"/>
    <x v="3"/>
    <x v="2"/>
    <x v="0"/>
    <x v="6"/>
    <n v="-100.01"/>
  </r>
  <r>
    <d v="2024-07-31T00:00:00"/>
    <s v="net sales:product 3"/>
    <n v="12.49"/>
    <x v="25"/>
    <n v="12.49"/>
    <x v="3"/>
    <x v="3"/>
    <x v="0"/>
    <x v="6"/>
    <n v="429.57"/>
  </r>
  <r>
    <d v="2024-08-01T00:00:00"/>
    <s v="amortization"/>
    <s v="NA"/>
    <x v="0"/>
    <n v="50"/>
    <x v="0"/>
    <x v="0"/>
    <x v="0"/>
    <x v="7"/>
    <n v="199.92"/>
  </r>
  <r>
    <d v="2024-08-01T00:00:00"/>
    <s v="cogs:product 1"/>
    <n v="5.99"/>
    <x v="59"/>
    <n v="353.41"/>
    <x v="1"/>
    <x v="1"/>
    <x v="0"/>
    <x v="7"/>
    <n v="237.31"/>
  </r>
  <r>
    <d v="2024-08-01T00:00:00"/>
    <s v="cogs:product 2"/>
    <n v="16.989999999999998"/>
    <x v="19"/>
    <n v="67.959999999999994"/>
    <x v="1"/>
    <x v="2"/>
    <x v="0"/>
    <x v="7"/>
    <n v="-2000"/>
  </r>
  <r>
    <d v="2024-08-01T00:00:00"/>
    <s v="cogs:product 3"/>
    <n v="8.49"/>
    <x v="133"/>
    <n v="1171.6200000000001"/>
    <x v="1"/>
    <x v="3"/>
    <x v="0"/>
    <x v="7"/>
    <n v="-509.15000000000003"/>
  </r>
  <r>
    <d v="2024-08-01T00:00:00"/>
    <s v="marketing"/>
    <s v="NA"/>
    <x v="0"/>
    <n v="100.07000000000001"/>
    <x v="2"/>
    <x v="0"/>
    <x v="0"/>
    <x v="7"/>
    <n v="-67.959999999999994"/>
  </r>
  <r>
    <d v="2024-08-01T00:00:00"/>
    <s v="net sales:product 1"/>
    <n v="9.99"/>
    <x v="59"/>
    <n v="589.41"/>
    <x v="3"/>
    <x v="1"/>
    <x v="0"/>
    <x v="7"/>
    <n v="-1366.89"/>
  </r>
  <r>
    <d v="2024-08-01T00:00:00"/>
    <s v="net sales:product 2"/>
    <n v="24.99"/>
    <x v="19"/>
    <n v="99.96"/>
    <x v="3"/>
    <x v="2"/>
    <x v="0"/>
    <x v="7"/>
    <n v="-99.93"/>
  </r>
  <r>
    <d v="2024-08-01T00:00:00"/>
    <s v="net sales:product 3"/>
    <n v="12.49"/>
    <x v="133"/>
    <n v="1723.6200000000001"/>
    <x v="3"/>
    <x v="3"/>
    <x v="0"/>
    <x v="7"/>
    <n v="849.15"/>
  </r>
  <r>
    <d v="2024-08-01T00:00:00"/>
    <s v="overhead"/>
    <s v="NA"/>
    <x v="0"/>
    <n v="2000"/>
    <x v="4"/>
    <x v="0"/>
    <x v="0"/>
    <x v="7"/>
    <n v="99.96"/>
  </r>
  <r>
    <d v="2024-08-02T00:00:00"/>
    <s v="cogs:product 1"/>
    <n v="5.99"/>
    <x v="10"/>
    <n v="11.98"/>
    <x v="1"/>
    <x v="1"/>
    <x v="0"/>
    <x v="7"/>
    <n v="2010.89"/>
  </r>
  <r>
    <d v="2024-08-02T00:00:00"/>
    <s v="cogs:product 2"/>
    <n v="16.989999999999998"/>
    <x v="42"/>
    <n v="101.94"/>
    <x v="1"/>
    <x v="2"/>
    <x v="0"/>
    <x v="7"/>
    <n v="-167.72"/>
  </r>
  <r>
    <d v="2024-08-02T00:00:00"/>
    <s v="cogs:product 3"/>
    <n v="8.49"/>
    <x v="38"/>
    <n v="560.34"/>
    <x v="1"/>
    <x v="3"/>
    <x v="0"/>
    <x v="7"/>
    <n v="0"/>
  </r>
  <r>
    <d v="2024-08-02T00:00:00"/>
    <s v="marketing"/>
    <s v="NA"/>
    <x v="0"/>
    <n v="100.04"/>
    <x v="2"/>
    <x v="0"/>
    <x v="0"/>
    <x v="7"/>
    <n v="-1536.69"/>
  </r>
  <r>
    <d v="2024-08-02T00:00:00"/>
    <s v="net sales:product 1"/>
    <n v="9.99"/>
    <x v="10"/>
    <n v="19.98"/>
    <x v="3"/>
    <x v="1"/>
    <x v="0"/>
    <x v="7"/>
    <n v="-99.94"/>
  </r>
  <r>
    <d v="2024-08-02T00:00:00"/>
    <s v="net sales:product 2"/>
    <n v="24.99"/>
    <x v="42"/>
    <n v="149.94"/>
    <x v="3"/>
    <x v="2"/>
    <x v="0"/>
    <x v="7"/>
    <n v="279.72000000000003"/>
  </r>
  <r>
    <d v="2024-08-02T00:00:00"/>
    <s v="net sales:product 3"/>
    <n v="12.49"/>
    <x v="38"/>
    <n v="824.34"/>
    <x v="3"/>
    <x v="3"/>
    <x v="0"/>
    <x v="7"/>
    <n v="0"/>
  </r>
  <r>
    <d v="2024-08-02T00:00:00"/>
    <s v="payroll"/>
    <s v="NA"/>
    <x v="0"/>
    <n v="1200"/>
    <x v="5"/>
    <x v="0"/>
    <x v="0"/>
    <x v="7"/>
    <n v="2260.69"/>
  </r>
  <r>
    <d v="2024-08-03T00:00:00"/>
    <s v="cogs:product 1"/>
    <n v="5.99"/>
    <x v="111"/>
    <n v="131.78"/>
    <x v="1"/>
    <x v="1"/>
    <x v="0"/>
    <x v="7"/>
    <n v="0"/>
  </r>
  <r>
    <d v="2024-08-03T00:00:00"/>
    <s v="cogs:product 2"/>
    <n v="16.989999999999998"/>
    <x v="2"/>
    <n v="50.97"/>
    <x v="1"/>
    <x v="2"/>
    <x v="0"/>
    <x v="7"/>
    <n v="-33.979999999999997"/>
  </r>
  <r>
    <d v="2024-08-03T00:00:00"/>
    <s v="cogs:product 3"/>
    <n v="8.49"/>
    <x v="67"/>
    <n v="1536.69"/>
    <x v="1"/>
    <x v="3"/>
    <x v="0"/>
    <x v="7"/>
    <n v="-1018.8000000000001"/>
  </r>
  <r>
    <d v="2024-08-03T00:00:00"/>
    <s v="marketing"/>
    <s v="NA"/>
    <x v="0"/>
    <n v="99.95"/>
    <x v="2"/>
    <x v="0"/>
    <x v="0"/>
    <x v="7"/>
    <n v="-99.94"/>
  </r>
  <r>
    <d v="2024-08-03T00:00:00"/>
    <s v="net sales:product 1"/>
    <n v="9.99"/>
    <x v="111"/>
    <n v="219.78"/>
    <x v="3"/>
    <x v="1"/>
    <x v="0"/>
    <x v="7"/>
    <n v="0"/>
  </r>
  <r>
    <d v="2024-08-03T00:00:00"/>
    <s v="net sales:product 2"/>
    <n v="24.99"/>
    <x v="2"/>
    <n v="74.97"/>
    <x v="3"/>
    <x v="2"/>
    <x v="0"/>
    <x v="7"/>
    <n v="49.98"/>
  </r>
  <r>
    <d v="2024-08-03T00:00:00"/>
    <s v="net sales:product 3"/>
    <n v="12.49"/>
    <x v="67"/>
    <n v="2260.69"/>
    <x v="3"/>
    <x v="3"/>
    <x v="0"/>
    <x v="7"/>
    <n v="1498.8"/>
  </r>
  <r>
    <d v="2024-08-04T00:00:00"/>
    <s v="cogs:product 1"/>
    <n v="5.99"/>
    <x v="30"/>
    <n v="101.83"/>
    <x v="1"/>
    <x v="1"/>
    <x v="0"/>
    <x v="7"/>
    <n v="-23.96"/>
  </r>
  <r>
    <d v="2024-08-04T00:00:00"/>
    <s v="cogs:product 2"/>
    <n v="16.989999999999998"/>
    <x v="23"/>
    <n v="0"/>
    <x v="1"/>
    <x v="2"/>
    <x v="0"/>
    <x v="7"/>
    <n v="-135.91999999999999"/>
  </r>
  <r>
    <d v="2024-08-04T00:00:00"/>
    <s v="cogs:product 3"/>
    <n v="8.49"/>
    <x v="17"/>
    <n v="874.47"/>
    <x v="1"/>
    <x v="3"/>
    <x v="0"/>
    <x v="7"/>
    <n v="-42.45"/>
  </r>
  <r>
    <d v="2024-08-04T00:00:00"/>
    <s v="marketing"/>
    <s v="NA"/>
    <x v="0"/>
    <n v="100.08"/>
    <x v="2"/>
    <x v="0"/>
    <x v="0"/>
    <x v="7"/>
    <n v="-100.10000000000001"/>
  </r>
  <r>
    <d v="2024-08-04T00:00:00"/>
    <s v="net sales:product 1"/>
    <n v="9.99"/>
    <x v="30"/>
    <n v="169.83"/>
    <x v="3"/>
    <x v="1"/>
    <x v="0"/>
    <x v="7"/>
    <n v="39.96"/>
  </r>
  <r>
    <d v="2024-08-04T00:00:00"/>
    <s v="net sales:product 2"/>
    <n v="24.99"/>
    <x v="23"/>
    <n v="0"/>
    <x v="3"/>
    <x v="2"/>
    <x v="0"/>
    <x v="7"/>
    <n v="199.92"/>
  </r>
  <r>
    <d v="2024-08-04T00:00:00"/>
    <s v="net sales:product 3"/>
    <n v="12.49"/>
    <x v="17"/>
    <n v="1286.47"/>
    <x v="3"/>
    <x v="3"/>
    <x v="0"/>
    <x v="7"/>
    <n v="62.45"/>
  </r>
  <r>
    <d v="2024-08-05T00:00:00"/>
    <s v="cogs:product 1"/>
    <n v="5.99"/>
    <x v="166"/>
    <n v="77.87"/>
    <x v="1"/>
    <x v="1"/>
    <x v="0"/>
    <x v="7"/>
    <n v="-1200"/>
  </r>
  <r>
    <d v="2024-08-05T00:00:00"/>
    <s v="cogs:product 2"/>
    <n v="16.989999999999998"/>
    <x v="13"/>
    <n v="118.92999999999999"/>
    <x v="1"/>
    <x v="2"/>
    <x v="0"/>
    <x v="7"/>
    <n v="-287.52"/>
  </r>
  <r>
    <d v="2024-08-05T00:00:00"/>
    <s v="cogs:product 3"/>
    <n v="8.49"/>
    <x v="133"/>
    <n v="1171.6200000000001"/>
    <x v="1"/>
    <x v="3"/>
    <x v="0"/>
    <x v="7"/>
    <n v="-101.94"/>
  </r>
  <r>
    <d v="2024-08-05T00:00:00"/>
    <s v="marketing"/>
    <s v="NA"/>
    <x v="0"/>
    <n v="100.02"/>
    <x v="2"/>
    <x v="0"/>
    <x v="0"/>
    <x v="7"/>
    <n v="-1935.72"/>
  </r>
  <r>
    <d v="2024-08-05T00:00:00"/>
    <s v="net sales:product 1"/>
    <n v="9.99"/>
    <x v="166"/>
    <n v="129.87"/>
    <x v="3"/>
    <x v="1"/>
    <x v="0"/>
    <x v="7"/>
    <n v="-99.94"/>
  </r>
  <r>
    <d v="2024-08-05T00:00:00"/>
    <s v="net sales:product 2"/>
    <n v="24.99"/>
    <x v="13"/>
    <n v="174.92999999999998"/>
    <x v="3"/>
    <x v="2"/>
    <x v="0"/>
    <x v="7"/>
    <n v="479.52"/>
  </r>
  <r>
    <d v="2024-08-05T00:00:00"/>
    <s v="net sales:product 3"/>
    <n v="12.49"/>
    <x v="133"/>
    <n v="1723.6200000000001"/>
    <x v="3"/>
    <x v="3"/>
    <x v="0"/>
    <x v="7"/>
    <n v="149.94"/>
  </r>
  <r>
    <d v="2024-08-06T00:00:00"/>
    <s v="cogs:product 1"/>
    <n v="5.99"/>
    <x v="33"/>
    <n v="485.19"/>
    <x v="1"/>
    <x v="1"/>
    <x v="0"/>
    <x v="7"/>
    <n v="2847.7200000000003"/>
  </r>
  <r>
    <d v="2024-08-06T00:00:00"/>
    <s v="cogs:product 2"/>
    <n v="16.989999999999998"/>
    <x v="19"/>
    <n v="67.959999999999994"/>
    <x v="1"/>
    <x v="2"/>
    <x v="0"/>
    <x v="7"/>
    <n v="-527.12"/>
  </r>
  <r>
    <d v="2024-08-06T00:00:00"/>
    <s v="cogs:product 3"/>
    <n v="8.49"/>
    <x v="31"/>
    <n v="152.82"/>
    <x v="1"/>
    <x v="3"/>
    <x v="0"/>
    <x v="7"/>
    <n v="-67.959999999999994"/>
  </r>
  <r>
    <d v="2024-08-06T00:00:00"/>
    <s v="marketing"/>
    <s v="NA"/>
    <x v="0"/>
    <n v="99.97"/>
    <x v="2"/>
    <x v="0"/>
    <x v="0"/>
    <x v="7"/>
    <n v="-33.96"/>
  </r>
  <r>
    <d v="2024-08-06T00:00:00"/>
    <s v="net sales:product 1"/>
    <n v="9.99"/>
    <x v="33"/>
    <n v="809.19"/>
    <x v="3"/>
    <x v="1"/>
    <x v="0"/>
    <x v="7"/>
    <n v="-100.02"/>
  </r>
  <r>
    <d v="2024-08-06T00:00:00"/>
    <s v="net sales:product 2"/>
    <n v="24.99"/>
    <x v="19"/>
    <n v="99.96"/>
    <x v="3"/>
    <x v="2"/>
    <x v="0"/>
    <x v="7"/>
    <n v="879.12"/>
  </r>
  <r>
    <d v="2024-08-06T00:00:00"/>
    <s v="net sales:product 3"/>
    <n v="12.49"/>
    <x v="31"/>
    <n v="224.82"/>
    <x v="3"/>
    <x v="3"/>
    <x v="0"/>
    <x v="7"/>
    <n v="99.96"/>
  </r>
  <r>
    <d v="2024-08-07T00:00:00"/>
    <s v="cogs:product 1"/>
    <n v="5.99"/>
    <x v="22"/>
    <n v="59.900000000000006"/>
    <x v="1"/>
    <x v="1"/>
    <x v="0"/>
    <x v="7"/>
    <n v="49.96"/>
  </r>
  <r>
    <d v="2024-08-07T00:00:00"/>
    <s v="cogs:product 2"/>
    <n v="16.989999999999998"/>
    <x v="13"/>
    <n v="118.92999999999999"/>
    <x v="1"/>
    <x v="2"/>
    <x v="0"/>
    <x v="7"/>
    <n v="-515.14"/>
  </r>
  <r>
    <d v="2024-08-07T00:00:00"/>
    <s v="cogs:product 3"/>
    <n v="8.49"/>
    <x v="66"/>
    <n v="399.03000000000003"/>
    <x v="1"/>
    <x v="3"/>
    <x v="0"/>
    <x v="7"/>
    <n v="0"/>
  </r>
  <r>
    <d v="2024-08-07T00:00:00"/>
    <s v="marketing"/>
    <s v="NA"/>
    <x v="0"/>
    <n v="100"/>
    <x v="2"/>
    <x v="0"/>
    <x v="0"/>
    <x v="7"/>
    <n v="-611.28"/>
  </r>
  <r>
    <d v="2024-08-07T00:00:00"/>
    <s v="net sales:product 1"/>
    <n v="9.99"/>
    <x v="22"/>
    <n v="99.9"/>
    <x v="3"/>
    <x v="1"/>
    <x v="0"/>
    <x v="7"/>
    <n v="-100.02"/>
  </r>
  <r>
    <d v="2024-08-07T00:00:00"/>
    <s v="net sales:product 2"/>
    <n v="24.99"/>
    <x v="13"/>
    <n v="174.92999999999998"/>
    <x v="3"/>
    <x v="2"/>
    <x v="0"/>
    <x v="7"/>
    <n v="859.14"/>
  </r>
  <r>
    <d v="2024-08-07T00:00:00"/>
    <s v="net sales:product 3"/>
    <n v="12.49"/>
    <x v="66"/>
    <n v="587.03"/>
    <x v="3"/>
    <x v="3"/>
    <x v="0"/>
    <x v="7"/>
    <n v="0"/>
  </r>
  <r>
    <d v="2024-08-08T00:00:00"/>
    <s v="cogs:product 1"/>
    <n v="5.99"/>
    <x v="2"/>
    <n v="17.97"/>
    <x v="1"/>
    <x v="1"/>
    <x v="0"/>
    <x v="7"/>
    <n v="899.28"/>
  </r>
  <r>
    <d v="2024-08-08T00:00:00"/>
    <s v="cogs:product 2"/>
    <n v="16.989999999999998"/>
    <x v="7"/>
    <n v="152.91"/>
    <x v="1"/>
    <x v="2"/>
    <x v="0"/>
    <x v="7"/>
    <n v="-245.59"/>
  </r>
  <r>
    <d v="2024-08-08T00:00:00"/>
    <s v="cogs:product 3"/>
    <n v="8.49"/>
    <x v="103"/>
    <n v="1001.82"/>
    <x v="1"/>
    <x v="3"/>
    <x v="0"/>
    <x v="7"/>
    <n v="0"/>
  </r>
  <r>
    <d v="2024-08-08T00:00:00"/>
    <s v="marketing"/>
    <s v="NA"/>
    <x v="0"/>
    <n v="100.02"/>
    <x v="2"/>
    <x v="0"/>
    <x v="0"/>
    <x v="7"/>
    <n v="-178.29"/>
  </r>
  <r>
    <d v="2024-08-08T00:00:00"/>
    <s v="net sales:product 1"/>
    <n v="9.99"/>
    <x v="2"/>
    <n v="29.97"/>
    <x v="3"/>
    <x v="1"/>
    <x v="0"/>
    <x v="7"/>
    <n v="-99.960000000000008"/>
  </r>
  <r>
    <d v="2024-08-08T00:00:00"/>
    <s v="net sales:product 2"/>
    <n v="24.99"/>
    <x v="7"/>
    <n v="224.91"/>
    <x v="3"/>
    <x v="2"/>
    <x v="0"/>
    <x v="7"/>
    <n v="409.59000000000003"/>
  </r>
  <r>
    <d v="2024-08-08T00:00:00"/>
    <s v="net sales:product 3"/>
    <n v="12.49"/>
    <x v="103"/>
    <n v="1473.82"/>
    <x v="3"/>
    <x v="3"/>
    <x v="0"/>
    <x v="7"/>
    <n v="0"/>
  </r>
  <r>
    <d v="2024-08-09T00:00:00"/>
    <s v="cogs:product 1"/>
    <n v="5.99"/>
    <x v="120"/>
    <n v="479.20000000000005"/>
    <x v="1"/>
    <x v="1"/>
    <x v="0"/>
    <x v="7"/>
    <n v="262.29000000000002"/>
  </r>
  <r>
    <d v="2024-08-09T00:00:00"/>
    <s v="cogs:product 2"/>
    <n v="16.989999999999998"/>
    <x v="42"/>
    <n v="101.94"/>
    <x v="1"/>
    <x v="2"/>
    <x v="0"/>
    <x v="7"/>
    <n v="-329.45"/>
  </r>
  <r>
    <d v="2024-08-09T00:00:00"/>
    <s v="cogs:product 3"/>
    <n v="8.49"/>
    <x v="23"/>
    <n v="0"/>
    <x v="1"/>
    <x v="3"/>
    <x v="0"/>
    <x v="7"/>
    <n v="-33.979999999999997"/>
  </r>
  <r>
    <d v="2024-08-09T00:00:00"/>
    <s v="marketing"/>
    <s v="NA"/>
    <x v="0"/>
    <n v="100"/>
    <x v="2"/>
    <x v="0"/>
    <x v="0"/>
    <x v="7"/>
    <n v="-1630.08"/>
  </r>
  <r>
    <d v="2024-08-09T00:00:00"/>
    <s v="net sales:product 1"/>
    <n v="9.99"/>
    <x v="120"/>
    <n v="799.2"/>
    <x v="3"/>
    <x v="1"/>
    <x v="0"/>
    <x v="7"/>
    <n v="-99.990000000000009"/>
  </r>
  <r>
    <d v="2024-08-09T00:00:00"/>
    <s v="net sales:product 2"/>
    <n v="24.99"/>
    <x v="42"/>
    <n v="149.94"/>
    <x v="3"/>
    <x v="2"/>
    <x v="0"/>
    <x v="7"/>
    <n v="549.45000000000005"/>
  </r>
  <r>
    <d v="2024-08-09T00:00:00"/>
    <s v="net sales:product 3"/>
    <n v="12.49"/>
    <x v="23"/>
    <n v="0"/>
    <x v="3"/>
    <x v="3"/>
    <x v="0"/>
    <x v="7"/>
    <n v="49.98"/>
  </r>
  <r>
    <d v="2024-08-10T00:00:00"/>
    <s v="cogs:product 1"/>
    <n v="5.99"/>
    <x v="38"/>
    <n v="395.34000000000003"/>
    <x v="1"/>
    <x v="1"/>
    <x v="0"/>
    <x v="7"/>
    <n v="2398.08"/>
  </r>
  <r>
    <d v="2024-08-10T00:00:00"/>
    <s v="cogs:product 2"/>
    <n v="16.989999999999998"/>
    <x v="2"/>
    <n v="50.97"/>
    <x v="1"/>
    <x v="2"/>
    <x v="0"/>
    <x v="7"/>
    <n v="-395.34000000000003"/>
  </r>
  <r>
    <d v="2024-08-10T00:00:00"/>
    <s v="cogs:product 3"/>
    <n v="8.49"/>
    <x v="20"/>
    <n v="2114.0100000000002"/>
    <x v="1"/>
    <x v="3"/>
    <x v="0"/>
    <x v="7"/>
    <n v="-50.97"/>
  </r>
  <r>
    <d v="2024-08-10T00:00:00"/>
    <s v="marketing"/>
    <s v="NA"/>
    <x v="0"/>
    <n v="100.08"/>
    <x v="2"/>
    <x v="0"/>
    <x v="0"/>
    <x v="7"/>
    <n v="-1969.68"/>
  </r>
  <r>
    <d v="2024-08-10T00:00:00"/>
    <s v="net sales:product 1"/>
    <n v="9.99"/>
    <x v="38"/>
    <n v="659.34"/>
    <x v="3"/>
    <x v="1"/>
    <x v="0"/>
    <x v="7"/>
    <n v="-99.960000000000008"/>
  </r>
  <r>
    <d v="2024-08-10T00:00:00"/>
    <s v="net sales:product 2"/>
    <n v="24.99"/>
    <x v="2"/>
    <n v="74.97"/>
    <x v="3"/>
    <x v="2"/>
    <x v="0"/>
    <x v="7"/>
    <n v="659.34"/>
  </r>
  <r>
    <d v="2024-08-10T00:00:00"/>
    <s v="net sales:product 3"/>
    <n v="12.49"/>
    <x v="20"/>
    <n v="3110.01"/>
    <x v="3"/>
    <x v="3"/>
    <x v="0"/>
    <x v="7"/>
    <n v="74.97"/>
  </r>
  <r>
    <d v="2024-08-11T00:00:00"/>
    <s v="cogs:product 1"/>
    <n v="5.99"/>
    <x v="66"/>
    <n v="281.53000000000003"/>
    <x v="1"/>
    <x v="1"/>
    <x v="0"/>
    <x v="7"/>
    <n v="2897.68"/>
  </r>
  <r>
    <d v="2024-08-11T00:00:00"/>
    <s v="cogs:product 2"/>
    <n v="16.989999999999998"/>
    <x v="13"/>
    <n v="118.92999999999999"/>
    <x v="1"/>
    <x v="2"/>
    <x v="0"/>
    <x v="7"/>
    <n v="-431.28000000000003"/>
  </r>
  <r>
    <d v="2024-08-11T00:00:00"/>
    <s v="cogs:product 3"/>
    <n v="8.49"/>
    <x v="128"/>
    <n v="348.09000000000003"/>
    <x v="1"/>
    <x v="3"/>
    <x v="0"/>
    <x v="7"/>
    <n v="-135.91999999999999"/>
  </r>
  <r>
    <d v="2024-08-11T00:00:00"/>
    <s v="marketing"/>
    <s v="NA"/>
    <x v="0"/>
    <n v="99.990000000000009"/>
    <x v="2"/>
    <x v="0"/>
    <x v="0"/>
    <x v="7"/>
    <n v="-407.52"/>
  </r>
  <r>
    <d v="2024-08-11T00:00:00"/>
    <s v="net sales:product 1"/>
    <n v="9.99"/>
    <x v="66"/>
    <n v="469.53000000000003"/>
    <x v="3"/>
    <x v="1"/>
    <x v="0"/>
    <x v="7"/>
    <n v="-99.97"/>
  </r>
  <r>
    <d v="2024-08-11T00:00:00"/>
    <s v="net sales:product 2"/>
    <n v="24.99"/>
    <x v="13"/>
    <n v="174.92999999999998"/>
    <x v="3"/>
    <x v="2"/>
    <x v="0"/>
    <x v="7"/>
    <n v="719.28"/>
  </r>
  <r>
    <d v="2024-08-11T00:00:00"/>
    <s v="net sales:product 3"/>
    <n v="12.49"/>
    <x v="128"/>
    <n v="512.09"/>
    <x v="3"/>
    <x v="3"/>
    <x v="0"/>
    <x v="7"/>
    <n v="199.92"/>
  </r>
  <r>
    <d v="2024-08-12T00:00:00"/>
    <s v="cogs:product 1"/>
    <n v="5.99"/>
    <x v="26"/>
    <n v="125.79"/>
    <x v="1"/>
    <x v="1"/>
    <x v="0"/>
    <x v="7"/>
    <n v="599.52"/>
  </r>
  <r>
    <d v="2024-08-12T00:00:00"/>
    <s v="cogs:product 2"/>
    <n v="16.989999999999998"/>
    <x v="23"/>
    <n v="0"/>
    <x v="1"/>
    <x v="2"/>
    <x v="0"/>
    <x v="7"/>
    <n v="-83.86"/>
  </r>
  <r>
    <d v="2024-08-12T00:00:00"/>
    <s v="cogs:product 3"/>
    <n v="8.49"/>
    <x v="167"/>
    <n v="2105.52"/>
    <x v="1"/>
    <x v="3"/>
    <x v="0"/>
    <x v="7"/>
    <n v="-152.91"/>
  </r>
  <r>
    <d v="2024-08-12T00:00:00"/>
    <s v="marketing"/>
    <s v="NA"/>
    <x v="0"/>
    <n v="100"/>
    <x v="2"/>
    <x v="0"/>
    <x v="0"/>
    <x v="7"/>
    <n v="-704.67000000000007"/>
  </r>
  <r>
    <d v="2024-08-12T00:00:00"/>
    <s v="net sales:product 1"/>
    <n v="9.99"/>
    <x v="26"/>
    <n v="209.79"/>
    <x v="3"/>
    <x v="1"/>
    <x v="0"/>
    <x v="7"/>
    <n v="-100.05"/>
  </r>
  <r>
    <d v="2024-08-12T00:00:00"/>
    <s v="net sales:product 2"/>
    <n v="24.99"/>
    <x v="23"/>
    <n v="0"/>
    <x v="3"/>
    <x v="2"/>
    <x v="0"/>
    <x v="7"/>
    <n v="139.86000000000001"/>
  </r>
  <r>
    <d v="2024-08-12T00:00:00"/>
    <s v="net sales:product 3"/>
    <n v="12.49"/>
    <x v="167"/>
    <n v="3097.52"/>
    <x v="3"/>
    <x v="3"/>
    <x v="0"/>
    <x v="7"/>
    <n v="224.91"/>
  </r>
  <r>
    <d v="2024-08-13T00:00:00"/>
    <s v="cogs:product 1"/>
    <n v="5.99"/>
    <x v="56"/>
    <n v="521.13"/>
    <x v="1"/>
    <x v="1"/>
    <x v="0"/>
    <x v="7"/>
    <n v="1036.67"/>
  </r>
  <r>
    <d v="2024-08-13T00:00:00"/>
    <s v="cogs:product 2"/>
    <n v="16.989999999999998"/>
    <x v="42"/>
    <n v="101.94"/>
    <x v="1"/>
    <x v="2"/>
    <x v="0"/>
    <x v="7"/>
    <n v="-83.86"/>
  </r>
  <r>
    <d v="2024-08-13T00:00:00"/>
    <s v="cogs:product 3"/>
    <n v="8.49"/>
    <x v="131"/>
    <n v="798.06000000000006"/>
    <x v="1"/>
    <x v="3"/>
    <x v="0"/>
    <x v="7"/>
    <n v="-33.979999999999997"/>
  </r>
  <r>
    <d v="2024-08-13T00:00:00"/>
    <s v="marketing"/>
    <s v="NA"/>
    <x v="0"/>
    <n v="99.990000000000009"/>
    <x v="2"/>
    <x v="0"/>
    <x v="0"/>
    <x v="7"/>
    <n v="-1112.19"/>
  </r>
  <r>
    <d v="2024-08-13T00:00:00"/>
    <s v="net sales:product 1"/>
    <n v="9.99"/>
    <x v="56"/>
    <n v="869.13"/>
    <x v="3"/>
    <x v="1"/>
    <x v="0"/>
    <x v="7"/>
    <n v="-100.01"/>
  </r>
  <r>
    <d v="2024-08-13T00:00:00"/>
    <s v="net sales:product 2"/>
    <n v="24.99"/>
    <x v="42"/>
    <n v="149.94"/>
    <x v="3"/>
    <x v="2"/>
    <x v="0"/>
    <x v="7"/>
    <n v="139.86000000000001"/>
  </r>
  <r>
    <d v="2024-08-13T00:00:00"/>
    <s v="net sales:product 3"/>
    <n v="12.49"/>
    <x v="131"/>
    <n v="1174.06"/>
    <x v="3"/>
    <x v="3"/>
    <x v="0"/>
    <x v="7"/>
    <n v="49.98"/>
  </r>
  <r>
    <d v="2024-08-14T00:00:00"/>
    <s v="cogs:product 1"/>
    <n v="5.99"/>
    <x v="114"/>
    <n v="287.52"/>
    <x v="1"/>
    <x v="1"/>
    <x v="0"/>
    <x v="7"/>
    <n v="1636.19"/>
  </r>
  <r>
    <d v="2024-08-14T00:00:00"/>
    <s v="cogs:product 2"/>
    <n v="16.989999999999998"/>
    <x v="19"/>
    <n v="67.959999999999994"/>
    <x v="1"/>
    <x v="2"/>
    <x v="0"/>
    <x v="7"/>
    <n v="-173.71"/>
  </r>
  <r>
    <d v="2024-08-14T00:00:00"/>
    <s v="cogs:product 3"/>
    <n v="8.49"/>
    <x v="19"/>
    <n v="33.96"/>
    <x v="1"/>
    <x v="3"/>
    <x v="0"/>
    <x v="7"/>
    <n v="-84.949999999999989"/>
  </r>
  <r>
    <d v="2024-08-14T00:00:00"/>
    <s v="marketing"/>
    <s v="NA"/>
    <x v="0"/>
    <n v="99.990000000000009"/>
    <x v="2"/>
    <x v="0"/>
    <x v="0"/>
    <x v="7"/>
    <n v="-492.42"/>
  </r>
  <r>
    <d v="2024-08-14T00:00:00"/>
    <s v="net sales:product 1"/>
    <n v="9.99"/>
    <x v="114"/>
    <n v="479.52"/>
    <x v="3"/>
    <x v="1"/>
    <x v="0"/>
    <x v="7"/>
    <n v="-1258.28"/>
  </r>
  <r>
    <d v="2024-08-14T00:00:00"/>
    <s v="net sales:product 2"/>
    <n v="24.99"/>
    <x v="19"/>
    <n v="99.96"/>
    <x v="3"/>
    <x v="2"/>
    <x v="0"/>
    <x v="7"/>
    <n v="-99.97"/>
  </r>
  <r>
    <d v="2024-08-14T00:00:00"/>
    <s v="net sales:product 3"/>
    <n v="12.49"/>
    <x v="19"/>
    <n v="49.96"/>
    <x v="3"/>
    <x v="3"/>
    <x v="0"/>
    <x v="7"/>
    <n v="289.70999999999998"/>
  </r>
  <r>
    <d v="2024-08-15T00:00:00"/>
    <s v="cogs:product 1"/>
    <n v="5.99"/>
    <x v="135"/>
    <n v="179.70000000000002"/>
    <x v="1"/>
    <x v="1"/>
    <x v="0"/>
    <x v="7"/>
    <n v="124.94999999999999"/>
  </r>
  <r>
    <d v="2024-08-15T00:00:00"/>
    <s v="cogs:product 2"/>
    <n v="16.989999999999998"/>
    <x v="10"/>
    <n v="33.979999999999997"/>
    <x v="1"/>
    <x v="2"/>
    <x v="0"/>
    <x v="7"/>
    <n v="724.42"/>
  </r>
  <r>
    <d v="2024-08-15T00:00:00"/>
    <s v="cogs:product 3"/>
    <n v="8.49"/>
    <x v="149"/>
    <n v="1290.48"/>
    <x v="1"/>
    <x v="3"/>
    <x v="0"/>
    <x v="7"/>
    <n v="-314.57"/>
  </r>
  <r>
    <d v="2024-08-15T00:00:00"/>
    <s v="interest"/>
    <s v="NA"/>
    <x v="0"/>
    <n v="1282.24"/>
    <x v="6"/>
    <x v="0"/>
    <x v="0"/>
    <x v="7"/>
    <n v="-197.67000000000002"/>
  </r>
  <r>
    <d v="2024-08-15T00:00:00"/>
    <s v="marketing"/>
    <s v="NA"/>
    <x v="0"/>
    <n v="99.98"/>
    <x v="2"/>
    <x v="0"/>
    <x v="0"/>
    <x v="7"/>
    <n v="-118.92999999999999"/>
  </r>
  <r>
    <d v="2024-08-15T00:00:00"/>
    <s v="net sales:product 1"/>
    <n v="9.99"/>
    <x v="135"/>
    <n v="299.7"/>
    <x v="3"/>
    <x v="1"/>
    <x v="0"/>
    <x v="7"/>
    <n v="-203.76"/>
  </r>
  <r>
    <d v="2024-08-15T00:00:00"/>
    <s v="net sales:product 2"/>
    <n v="24.99"/>
    <x v="10"/>
    <n v="49.98"/>
    <x v="3"/>
    <x v="2"/>
    <x v="0"/>
    <x v="7"/>
    <n v="-100.05"/>
  </r>
  <r>
    <d v="2024-08-15T00:00:00"/>
    <s v="net sales:product 3"/>
    <n v="12.49"/>
    <x v="149"/>
    <n v="1898.48"/>
    <x v="3"/>
    <x v="3"/>
    <x v="0"/>
    <x v="7"/>
    <n v="329.67"/>
  </r>
  <r>
    <d v="2024-08-15T00:00:00"/>
    <s v="overhead"/>
    <s v="NA"/>
    <x v="0"/>
    <n v="315.2"/>
    <x v="4"/>
    <x v="0"/>
    <x v="0"/>
    <x v="7"/>
    <n v="174.92999999999998"/>
  </r>
  <r>
    <d v="2024-08-16T00:00:00"/>
    <s v="cogs:product 1"/>
    <n v="5.99"/>
    <x v="12"/>
    <n v="437.27000000000004"/>
    <x v="1"/>
    <x v="1"/>
    <x v="0"/>
    <x v="7"/>
    <n v="299.76"/>
  </r>
  <r>
    <d v="2024-08-16T00:00:00"/>
    <s v="cogs:product 2"/>
    <n v="16.989999999999998"/>
    <x v="2"/>
    <n v="50.97"/>
    <x v="1"/>
    <x v="2"/>
    <x v="0"/>
    <x v="7"/>
    <n v="-143.76"/>
  </r>
  <r>
    <d v="2024-08-16T00:00:00"/>
    <s v="cogs:product 3"/>
    <n v="8.49"/>
    <x v="168"/>
    <n v="1052.76"/>
    <x v="1"/>
    <x v="3"/>
    <x v="0"/>
    <x v="7"/>
    <n v="-16.989999999999998"/>
  </r>
  <r>
    <d v="2024-08-16T00:00:00"/>
    <s v="marketing"/>
    <s v="NA"/>
    <x v="0"/>
    <n v="100.03"/>
    <x v="2"/>
    <x v="0"/>
    <x v="0"/>
    <x v="7"/>
    <n v="-1409.3400000000001"/>
  </r>
  <r>
    <d v="2024-08-16T00:00:00"/>
    <s v="net sales:product 1"/>
    <n v="9.99"/>
    <x v="12"/>
    <n v="729.27"/>
    <x v="3"/>
    <x v="1"/>
    <x v="0"/>
    <x v="7"/>
    <n v="-99.92"/>
  </r>
  <r>
    <d v="2024-08-16T00:00:00"/>
    <s v="net sales:product 2"/>
    <n v="24.99"/>
    <x v="2"/>
    <n v="74.97"/>
    <x v="3"/>
    <x v="2"/>
    <x v="0"/>
    <x v="7"/>
    <n v="239.76"/>
  </r>
  <r>
    <d v="2024-08-16T00:00:00"/>
    <s v="net sales:product 3"/>
    <n v="12.49"/>
    <x v="168"/>
    <n v="1548.76"/>
    <x v="3"/>
    <x v="3"/>
    <x v="0"/>
    <x v="7"/>
    <n v="24.99"/>
  </r>
  <r>
    <d v="2024-08-16T00:00:00"/>
    <s v="payroll"/>
    <s v="NA"/>
    <x v="0"/>
    <n v="1200"/>
    <x v="5"/>
    <x v="0"/>
    <x v="0"/>
    <x v="7"/>
    <n v="2073.34"/>
  </r>
  <r>
    <d v="2024-08-17T00:00:00"/>
    <s v="cogs:product 1"/>
    <n v="5.99"/>
    <x v="95"/>
    <n v="359.40000000000003"/>
    <x v="1"/>
    <x v="1"/>
    <x v="0"/>
    <x v="7"/>
    <n v="-209.65"/>
  </r>
  <r>
    <d v="2024-08-17T00:00:00"/>
    <s v="cogs:product 2"/>
    <n v="16.989999999999998"/>
    <x v="16"/>
    <n v="135.91999999999999"/>
    <x v="1"/>
    <x v="2"/>
    <x v="0"/>
    <x v="7"/>
    <n v="-152.91"/>
  </r>
  <r>
    <d v="2024-08-17T00:00:00"/>
    <s v="cogs:product 3"/>
    <n v="8.49"/>
    <x v="78"/>
    <n v="475.44"/>
    <x v="1"/>
    <x v="3"/>
    <x v="0"/>
    <x v="7"/>
    <n v="-1842.3300000000002"/>
  </r>
  <r>
    <d v="2024-08-17T00:00:00"/>
    <s v="marketing"/>
    <s v="NA"/>
    <x v="0"/>
    <n v="100.08"/>
    <x v="2"/>
    <x v="0"/>
    <x v="0"/>
    <x v="7"/>
    <n v="-99.95"/>
  </r>
  <r>
    <d v="2024-08-17T00:00:00"/>
    <s v="net sales:product 1"/>
    <n v="9.99"/>
    <x v="95"/>
    <n v="599.4"/>
    <x v="3"/>
    <x v="1"/>
    <x v="0"/>
    <x v="7"/>
    <n v="349.65000000000003"/>
  </r>
  <r>
    <d v="2024-08-17T00:00:00"/>
    <s v="net sales:product 2"/>
    <n v="24.99"/>
    <x v="16"/>
    <n v="199.92"/>
    <x v="3"/>
    <x v="2"/>
    <x v="0"/>
    <x v="7"/>
    <n v="224.91"/>
  </r>
  <r>
    <d v="2024-08-17T00:00:00"/>
    <s v="net sales:product 3"/>
    <n v="12.49"/>
    <x v="78"/>
    <n v="699.44"/>
    <x v="3"/>
    <x v="3"/>
    <x v="0"/>
    <x v="7"/>
    <n v="2710.33"/>
  </r>
  <r>
    <d v="2024-08-18T00:00:00"/>
    <s v="cogs:product 1"/>
    <n v="5.99"/>
    <x v="12"/>
    <n v="437.27000000000004"/>
    <x v="1"/>
    <x v="1"/>
    <x v="0"/>
    <x v="7"/>
    <n v="-35.94"/>
  </r>
  <r>
    <d v="2024-08-18T00:00:00"/>
    <s v="cogs:product 2"/>
    <n v="16.989999999999998"/>
    <x v="7"/>
    <n v="152.91"/>
    <x v="1"/>
    <x v="2"/>
    <x v="0"/>
    <x v="7"/>
    <n v="-118.92999999999999"/>
  </r>
  <r>
    <d v="2024-08-18T00:00:00"/>
    <s v="cogs:product 3"/>
    <n v="8.49"/>
    <x v="165"/>
    <n v="1740.45"/>
    <x v="1"/>
    <x v="3"/>
    <x v="0"/>
    <x v="7"/>
    <n v="-959.37"/>
  </r>
  <r>
    <d v="2024-08-18T00:00:00"/>
    <s v="marketing"/>
    <s v="NA"/>
    <x v="0"/>
    <n v="99.92"/>
    <x v="2"/>
    <x v="0"/>
    <x v="0"/>
    <x v="7"/>
    <n v="-100.03"/>
  </r>
  <r>
    <d v="2024-08-18T00:00:00"/>
    <s v="net sales:product 1"/>
    <n v="9.99"/>
    <x v="12"/>
    <n v="729.27"/>
    <x v="3"/>
    <x v="1"/>
    <x v="0"/>
    <x v="7"/>
    <n v="59.94"/>
  </r>
  <r>
    <d v="2024-08-18T00:00:00"/>
    <s v="net sales:product 2"/>
    <n v="24.99"/>
    <x v="7"/>
    <n v="224.91"/>
    <x v="3"/>
    <x v="2"/>
    <x v="0"/>
    <x v="7"/>
    <n v="174.92999999999998"/>
  </r>
  <r>
    <d v="2024-08-18T00:00:00"/>
    <s v="net sales:product 3"/>
    <n v="12.49"/>
    <x v="165"/>
    <n v="2560.4499999999998"/>
    <x v="3"/>
    <x v="3"/>
    <x v="0"/>
    <x v="7"/>
    <n v="1411.3700000000001"/>
  </r>
  <r>
    <d v="2024-08-19T00:00:00"/>
    <s v="cogs:product 1"/>
    <n v="5.99"/>
    <x v="39"/>
    <n v="149.75"/>
    <x v="1"/>
    <x v="1"/>
    <x v="0"/>
    <x v="7"/>
    <n v="-1200"/>
  </r>
  <r>
    <d v="2024-08-19T00:00:00"/>
    <s v="cogs:product 2"/>
    <n v="16.989999999999998"/>
    <x v="10"/>
    <n v="33.979999999999997"/>
    <x v="1"/>
    <x v="2"/>
    <x v="0"/>
    <x v="7"/>
    <n v="-245.59"/>
  </r>
  <r>
    <d v="2024-08-19T00:00:00"/>
    <s v="cogs:product 3"/>
    <n v="8.49"/>
    <x v="114"/>
    <n v="407.52"/>
    <x v="1"/>
    <x v="3"/>
    <x v="0"/>
    <x v="7"/>
    <n v="-135.91999999999999"/>
  </r>
  <r>
    <d v="2024-08-19T00:00:00"/>
    <s v="marketing"/>
    <s v="NA"/>
    <x v="0"/>
    <n v="99.97"/>
    <x v="2"/>
    <x v="0"/>
    <x v="0"/>
    <x v="7"/>
    <n v="-144.33000000000001"/>
  </r>
  <r>
    <d v="2024-08-19T00:00:00"/>
    <s v="net sales:product 1"/>
    <n v="9.99"/>
    <x v="39"/>
    <n v="249.75"/>
    <x v="3"/>
    <x v="1"/>
    <x v="0"/>
    <x v="7"/>
    <n v="-99.97"/>
  </r>
  <r>
    <d v="2024-08-19T00:00:00"/>
    <s v="net sales:product 2"/>
    <n v="24.99"/>
    <x v="10"/>
    <n v="49.98"/>
    <x v="3"/>
    <x v="2"/>
    <x v="0"/>
    <x v="7"/>
    <n v="409.59000000000003"/>
  </r>
  <r>
    <d v="2024-08-19T00:00:00"/>
    <s v="net sales:product 3"/>
    <n v="12.49"/>
    <x v="114"/>
    <n v="599.52"/>
    <x v="3"/>
    <x v="3"/>
    <x v="0"/>
    <x v="7"/>
    <n v="199.92"/>
  </r>
  <r>
    <d v="2024-08-20T00:00:00"/>
    <s v="cogs:product 1"/>
    <n v="5.99"/>
    <x v="108"/>
    <n v="575.04"/>
    <x v="1"/>
    <x v="1"/>
    <x v="0"/>
    <x v="7"/>
    <n v="212.33"/>
  </r>
  <r>
    <d v="2024-08-20T00:00:00"/>
    <s v="cogs:product 2"/>
    <n v="16.989999999999998"/>
    <x v="7"/>
    <n v="152.91"/>
    <x v="1"/>
    <x v="2"/>
    <x v="0"/>
    <x v="7"/>
    <n v="-239.60000000000002"/>
  </r>
  <r>
    <d v="2024-08-20T00:00:00"/>
    <s v="cogs:product 3"/>
    <n v="8.49"/>
    <x v="23"/>
    <n v="0"/>
    <x v="1"/>
    <x v="3"/>
    <x v="0"/>
    <x v="7"/>
    <n v="-118.92999999999999"/>
  </r>
  <r>
    <d v="2024-08-20T00:00:00"/>
    <s v="marketing"/>
    <s v="NA"/>
    <x v="0"/>
    <n v="100.01"/>
    <x v="2"/>
    <x v="0"/>
    <x v="0"/>
    <x v="7"/>
    <n v="-2020.6200000000001"/>
  </r>
  <r>
    <d v="2024-08-20T00:00:00"/>
    <s v="net sales:product 1"/>
    <n v="9.99"/>
    <x v="108"/>
    <n v="959.04"/>
    <x v="3"/>
    <x v="1"/>
    <x v="0"/>
    <x v="7"/>
    <n v="-99.94"/>
  </r>
  <r>
    <d v="2024-08-20T00:00:00"/>
    <s v="net sales:product 2"/>
    <n v="24.99"/>
    <x v="7"/>
    <n v="224.91"/>
    <x v="3"/>
    <x v="2"/>
    <x v="0"/>
    <x v="7"/>
    <n v="399.6"/>
  </r>
  <r>
    <d v="2024-08-20T00:00:00"/>
    <s v="net sales:product 3"/>
    <n v="12.49"/>
    <x v="23"/>
    <n v="0"/>
    <x v="3"/>
    <x v="3"/>
    <x v="0"/>
    <x v="7"/>
    <n v="174.92999999999998"/>
  </r>
  <r>
    <d v="2024-08-21T00:00:00"/>
    <s v="cogs:product 1"/>
    <n v="5.99"/>
    <x v="21"/>
    <n v="71.88"/>
    <x v="1"/>
    <x v="1"/>
    <x v="0"/>
    <x v="7"/>
    <n v="2972.62"/>
  </r>
  <r>
    <d v="2024-08-21T00:00:00"/>
    <s v="cogs:product 2"/>
    <n v="16.989999999999998"/>
    <x v="42"/>
    <n v="101.94"/>
    <x v="1"/>
    <x v="2"/>
    <x v="0"/>
    <x v="7"/>
    <n v="-347.42"/>
  </r>
  <r>
    <d v="2024-08-21T00:00:00"/>
    <s v="cogs:product 3"/>
    <n v="8.49"/>
    <x v="122"/>
    <n v="220.74"/>
    <x v="1"/>
    <x v="3"/>
    <x v="0"/>
    <x v="7"/>
    <n v="-84.949999999999989"/>
  </r>
  <r>
    <d v="2024-08-21T00:00:00"/>
    <s v="marketing"/>
    <s v="NA"/>
    <x v="0"/>
    <n v="99.95"/>
    <x v="2"/>
    <x v="0"/>
    <x v="0"/>
    <x v="7"/>
    <n v="-1061.25"/>
  </r>
  <r>
    <d v="2024-08-21T00:00:00"/>
    <s v="net sales:product 1"/>
    <n v="9.99"/>
    <x v="21"/>
    <n v="119.88"/>
    <x v="3"/>
    <x v="1"/>
    <x v="0"/>
    <x v="7"/>
    <n v="-99.94"/>
  </r>
  <r>
    <d v="2024-08-21T00:00:00"/>
    <s v="net sales:product 2"/>
    <n v="24.99"/>
    <x v="42"/>
    <n v="149.94"/>
    <x v="3"/>
    <x v="2"/>
    <x v="0"/>
    <x v="7"/>
    <n v="579.41999999999996"/>
  </r>
  <r>
    <d v="2024-08-21T00:00:00"/>
    <s v="net sales:product 3"/>
    <n v="12.49"/>
    <x v="122"/>
    <n v="324.74"/>
    <x v="3"/>
    <x v="3"/>
    <x v="0"/>
    <x v="7"/>
    <n v="124.94999999999999"/>
  </r>
  <r>
    <d v="2024-08-22T00:00:00"/>
    <s v="cogs:product 1"/>
    <n v="5.99"/>
    <x v="105"/>
    <n v="491.18"/>
    <x v="1"/>
    <x v="1"/>
    <x v="0"/>
    <x v="7"/>
    <n v="1561.25"/>
  </r>
  <r>
    <d v="2024-08-22T00:00:00"/>
    <s v="cogs:product 2"/>
    <n v="16.989999999999998"/>
    <x v="16"/>
    <n v="135.91999999999999"/>
    <x v="1"/>
    <x v="2"/>
    <x v="0"/>
    <x v="7"/>
    <n v="-269.55"/>
  </r>
  <r>
    <d v="2024-08-22T00:00:00"/>
    <s v="cogs:product 3"/>
    <n v="8.49"/>
    <x v="30"/>
    <n v="144.33000000000001"/>
    <x v="1"/>
    <x v="3"/>
    <x v="0"/>
    <x v="7"/>
    <n v="-152.91"/>
  </r>
  <r>
    <d v="2024-08-22T00:00:00"/>
    <s v="marketing"/>
    <s v="NA"/>
    <x v="0"/>
    <n v="100.08"/>
    <x v="2"/>
    <x v="0"/>
    <x v="0"/>
    <x v="7"/>
    <n v="-916.92000000000007"/>
  </r>
  <r>
    <d v="2024-08-22T00:00:00"/>
    <s v="net sales:product 1"/>
    <n v="9.99"/>
    <x v="105"/>
    <n v="819.18000000000006"/>
    <x v="3"/>
    <x v="1"/>
    <x v="0"/>
    <x v="7"/>
    <n v="-99.990000000000009"/>
  </r>
  <r>
    <d v="2024-08-22T00:00:00"/>
    <s v="net sales:product 2"/>
    <n v="24.99"/>
    <x v="16"/>
    <n v="199.92"/>
    <x v="3"/>
    <x v="2"/>
    <x v="0"/>
    <x v="7"/>
    <n v="449.55"/>
  </r>
  <r>
    <d v="2024-08-22T00:00:00"/>
    <s v="net sales:product 3"/>
    <n v="12.49"/>
    <x v="30"/>
    <n v="212.33"/>
    <x v="3"/>
    <x v="3"/>
    <x v="0"/>
    <x v="7"/>
    <n v="224.91"/>
  </r>
  <r>
    <d v="2024-08-23T00:00:00"/>
    <s v="cogs:product 1"/>
    <n v="5.99"/>
    <x v="108"/>
    <n v="575.04"/>
    <x v="1"/>
    <x v="1"/>
    <x v="0"/>
    <x v="7"/>
    <n v="1348.92"/>
  </r>
  <r>
    <d v="2024-08-23T00:00:00"/>
    <s v="cogs:product 2"/>
    <n v="16.989999999999998"/>
    <x v="29"/>
    <n v="84.949999999999989"/>
    <x v="1"/>
    <x v="2"/>
    <x v="0"/>
    <x v="7"/>
    <n v="-203.66"/>
  </r>
  <r>
    <d v="2024-08-23T00:00:00"/>
    <s v="cogs:product 3"/>
    <n v="8.49"/>
    <x v="132"/>
    <n v="1969.68"/>
    <x v="1"/>
    <x v="3"/>
    <x v="0"/>
    <x v="7"/>
    <n v="-50.97"/>
  </r>
  <r>
    <d v="2024-08-23T00:00:00"/>
    <s v="marketing"/>
    <s v="NA"/>
    <x v="0"/>
    <n v="100.07000000000001"/>
    <x v="2"/>
    <x v="0"/>
    <x v="0"/>
    <x v="7"/>
    <n v="0"/>
  </r>
  <r>
    <d v="2024-08-23T00:00:00"/>
    <s v="net sales:product 1"/>
    <n v="9.99"/>
    <x v="108"/>
    <n v="959.04"/>
    <x v="3"/>
    <x v="1"/>
    <x v="0"/>
    <x v="7"/>
    <n v="-99.93"/>
  </r>
  <r>
    <d v="2024-08-23T00:00:00"/>
    <s v="net sales:product 2"/>
    <n v="24.99"/>
    <x v="29"/>
    <n v="124.94999999999999"/>
    <x v="3"/>
    <x v="2"/>
    <x v="0"/>
    <x v="7"/>
    <n v="339.66"/>
  </r>
  <r>
    <d v="2024-08-23T00:00:00"/>
    <s v="net sales:product 3"/>
    <n v="12.49"/>
    <x v="132"/>
    <n v="2897.68"/>
    <x v="3"/>
    <x v="3"/>
    <x v="0"/>
    <x v="7"/>
    <n v="74.97"/>
  </r>
  <r>
    <d v="2024-08-24T00:00:00"/>
    <s v="cogs:product 1"/>
    <n v="5.99"/>
    <x v="64"/>
    <n v="119.80000000000001"/>
    <x v="1"/>
    <x v="1"/>
    <x v="0"/>
    <x v="7"/>
    <n v="0"/>
  </r>
  <r>
    <d v="2024-08-24T00:00:00"/>
    <s v="cogs:product 2"/>
    <n v="16.989999999999998"/>
    <x v="42"/>
    <n v="101.94"/>
    <x v="1"/>
    <x v="2"/>
    <x v="0"/>
    <x v="7"/>
    <n v="-593.01"/>
  </r>
  <r>
    <d v="2024-08-24T00:00:00"/>
    <s v="cogs:product 3"/>
    <n v="8.49"/>
    <x v="71"/>
    <n v="704.67000000000007"/>
    <x v="1"/>
    <x v="3"/>
    <x v="0"/>
    <x v="7"/>
    <n v="-67.959999999999994"/>
  </r>
  <r>
    <d v="2024-08-24T00:00:00"/>
    <s v="marketing"/>
    <s v="NA"/>
    <x v="0"/>
    <n v="99.93"/>
    <x v="2"/>
    <x v="0"/>
    <x v="0"/>
    <x v="7"/>
    <n v="-16.98"/>
  </r>
  <r>
    <d v="2024-08-24T00:00:00"/>
    <s v="net sales:product 1"/>
    <n v="9.99"/>
    <x v="64"/>
    <n v="199.8"/>
    <x v="3"/>
    <x v="1"/>
    <x v="0"/>
    <x v="7"/>
    <n v="-100.01"/>
  </r>
  <r>
    <d v="2024-08-24T00:00:00"/>
    <s v="net sales:product 2"/>
    <n v="24.99"/>
    <x v="42"/>
    <n v="149.94"/>
    <x v="3"/>
    <x v="2"/>
    <x v="0"/>
    <x v="7"/>
    <n v="989.01"/>
  </r>
  <r>
    <d v="2024-08-24T00:00:00"/>
    <s v="net sales:product 3"/>
    <n v="12.49"/>
    <x v="71"/>
    <n v="1036.67"/>
    <x v="3"/>
    <x v="3"/>
    <x v="0"/>
    <x v="7"/>
    <n v="99.96"/>
  </r>
  <r>
    <d v="2024-08-25T00:00:00"/>
    <s v="cogs:product 1"/>
    <n v="5.99"/>
    <x v="60"/>
    <n v="137.77000000000001"/>
    <x v="1"/>
    <x v="1"/>
    <x v="0"/>
    <x v="7"/>
    <n v="24.98"/>
  </r>
  <r>
    <d v="2024-08-25T00:00:00"/>
    <s v="cogs:product 2"/>
    <n v="16.989999999999998"/>
    <x v="25"/>
    <n v="16.989999999999998"/>
    <x v="1"/>
    <x v="2"/>
    <x v="0"/>
    <x v="7"/>
    <n v="-521.13"/>
  </r>
  <r>
    <d v="2024-08-25T00:00:00"/>
    <s v="cogs:product 3"/>
    <n v="8.49"/>
    <x v="169"/>
    <n v="993.33"/>
    <x v="1"/>
    <x v="3"/>
    <x v="0"/>
    <x v="7"/>
    <n v="-84.949999999999989"/>
  </r>
  <r>
    <d v="2024-08-25T00:00:00"/>
    <s v="marketing"/>
    <s v="NA"/>
    <x v="0"/>
    <n v="99.9"/>
    <x v="2"/>
    <x v="0"/>
    <x v="0"/>
    <x v="7"/>
    <n v="-424.5"/>
  </r>
  <r>
    <d v="2024-08-25T00:00:00"/>
    <s v="net sales:product 1"/>
    <n v="9.99"/>
    <x v="60"/>
    <n v="229.77"/>
    <x v="3"/>
    <x v="1"/>
    <x v="0"/>
    <x v="7"/>
    <n v="-100.10000000000001"/>
  </r>
  <r>
    <d v="2024-08-25T00:00:00"/>
    <s v="net sales:product 2"/>
    <n v="24.99"/>
    <x v="25"/>
    <n v="24.99"/>
    <x v="3"/>
    <x v="2"/>
    <x v="0"/>
    <x v="7"/>
    <n v="869.13"/>
  </r>
  <r>
    <d v="2024-08-25T00:00:00"/>
    <s v="net sales:product 3"/>
    <n v="12.49"/>
    <x v="169"/>
    <n v="1461.33"/>
    <x v="3"/>
    <x v="3"/>
    <x v="0"/>
    <x v="7"/>
    <n v="124.94999999999999"/>
  </r>
  <r>
    <d v="2024-08-26T00:00:00"/>
    <s v="cogs:product 1"/>
    <n v="5.99"/>
    <x v="79"/>
    <n v="377.37"/>
    <x v="1"/>
    <x v="1"/>
    <x v="0"/>
    <x v="7"/>
    <n v="624.5"/>
  </r>
  <r>
    <d v="2024-08-26T00:00:00"/>
    <s v="cogs:product 2"/>
    <n v="16.989999999999998"/>
    <x v="22"/>
    <n v="169.89999999999998"/>
    <x v="1"/>
    <x v="2"/>
    <x v="0"/>
    <x v="7"/>
    <n v="-377.37"/>
  </r>
  <r>
    <d v="2024-08-26T00:00:00"/>
    <s v="cogs:product 3"/>
    <n v="8.49"/>
    <x v="65"/>
    <n v="1392.3600000000001"/>
    <x v="1"/>
    <x v="3"/>
    <x v="0"/>
    <x v="7"/>
    <n v="-169.89999999999998"/>
  </r>
  <r>
    <d v="2024-08-26T00:00:00"/>
    <s v="marketing"/>
    <s v="NA"/>
    <x v="0"/>
    <n v="100.07000000000001"/>
    <x v="2"/>
    <x v="0"/>
    <x v="0"/>
    <x v="7"/>
    <n v="-1698"/>
  </r>
  <r>
    <d v="2024-08-26T00:00:00"/>
    <s v="net sales:product 1"/>
    <n v="9.99"/>
    <x v="79"/>
    <n v="629.37"/>
    <x v="3"/>
    <x v="1"/>
    <x v="0"/>
    <x v="7"/>
    <n v="-99.94"/>
  </r>
  <r>
    <d v="2024-08-26T00:00:00"/>
    <s v="net sales:product 2"/>
    <n v="24.99"/>
    <x v="22"/>
    <n v="249.89999999999998"/>
    <x v="3"/>
    <x v="2"/>
    <x v="0"/>
    <x v="7"/>
    <n v="629.37"/>
  </r>
  <r>
    <d v="2024-08-26T00:00:00"/>
    <s v="net sales:product 3"/>
    <n v="12.49"/>
    <x v="65"/>
    <n v="2048.36"/>
    <x v="3"/>
    <x v="3"/>
    <x v="0"/>
    <x v="7"/>
    <n v="249.89999999999998"/>
  </r>
  <r>
    <d v="2024-08-27T00:00:00"/>
    <s v="cogs:product 1"/>
    <n v="5.99"/>
    <x v="33"/>
    <n v="485.19"/>
    <x v="1"/>
    <x v="1"/>
    <x v="0"/>
    <x v="7"/>
    <n v="2498"/>
  </r>
  <r>
    <d v="2024-08-27T00:00:00"/>
    <s v="cogs:product 2"/>
    <n v="16.989999999999998"/>
    <x v="25"/>
    <n v="16.989999999999998"/>
    <x v="1"/>
    <x v="2"/>
    <x v="0"/>
    <x v="7"/>
    <n v="-539.1"/>
  </r>
  <r>
    <d v="2024-08-27T00:00:00"/>
    <s v="cogs:product 3"/>
    <n v="8.49"/>
    <x v="170"/>
    <n v="1383.8700000000001"/>
    <x v="1"/>
    <x v="3"/>
    <x v="0"/>
    <x v="7"/>
    <n v="-67.959999999999994"/>
  </r>
  <r>
    <d v="2024-08-27T00:00:00"/>
    <s v="marketing"/>
    <s v="NA"/>
    <x v="0"/>
    <n v="99.92"/>
    <x v="2"/>
    <x v="0"/>
    <x v="0"/>
    <x v="7"/>
    <n v="-645.24"/>
  </r>
  <r>
    <d v="2024-08-27T00:00:00"/>
    <s v="net sales:product 1"/>
    <n v="9.99"/>
    <x v="33"/>
    <n v="809.19"/>
    <x v="3"/>
    <x v="1"/>
    <x v="0"/>
    <x v="7"/>
    <n v="-99.9"/>
  </r>
  <r>
    <d v="2024-08-27T00:00:00"/>
    <s v="net sales:product 2"/>
    <n v="24.99"/>
    <x v="25"/>
    <n v="24.99"/>
    <x v="3"/>
    <x v="2"/>
    <x v="0"/>
    <x v="7"/>
    <n v="899.1"/>
  </r>
  <r>
    <d v="2024-08-27T00:00:00"/>
    <s v="net sales:product 3"/>
    <n v="12.49"/>
    <x v="170"/>
    <n v="2035.8700000000001"/>
    <x v="3"/>
    <x v="3"/>
    <x v="0"/>
    <x v="7"/>
    <n v="99.96"/>
  </r>
  <r>
    <d v="2024-08-28T00:00:00"/>
    <s v="cogs:product 1"/>
    <n v="5.99"/>
    <x v="78"/>
    <n v="335.44"/>
    <x v="1"/>
    <x v="1"/>
    <x v="0"/>
    <x v="7"/>
    <n v="949.24"/>
  </r>
  <r>
    <d v="2024-08-28T00:00:00"/>
    <s v="cogs:product 2"/>
    <n v="16.989999999999998"/>
    <x v="19"/>
    <n v="67.959999999999994"/>
    <x v="1"/>
    <x v="2"/>
    <x v="0"/>
    <x v="7"/>
    <n v="-425.29"/>
  </r>
  <r>
    <d v="2024-08-28T00:00:00"/>
    <s v="cogs:product 3"/>
    <n v="8.49"/>
    <x v="24"/>
    <n v="840.51"/>
    <x v="1"/>
    <x v="3"/>
    <x v="0"/>
    <x v="7"/>
    <n v="0"/>
  </r>
  <r>
    <d v="2024-08-28T00:00:00"/>
    <s v="marketing"/>
    <s v="NA"/>
    <x v="0"/>
    <n v="99.97"/>
    <x v="2"/>
    <x v="0"/>
    <x v="0"/>
    <x v="7"/>
    <n v="-1740.45"/>
  </r>
  <r>
    <d v="2024-08-28T00:00:00"/>
    <s v="net sales:product 1"/>
    <n v="9.99"/>
    <x v="78"/>
    <n v="559.44000000000005"/>
    <x v="3"/>
    <x v="1"/>
    <x v="0"/>
    <x v="7"/>
    <n v="-99.93"/>
  </r>
  <r>
    <d v="2024-08-28T00:00:00"/>
    <s v="net sales:product 2"/>
    <n v="24.99"/>
    <x v="19"/>
    <n v="99.96"/>
    <x v="3"/>
    <x v="2"/>
    <x v="0"/>
    <x v="7"/>
    <n v="709.29"/>
  </r>
  <r>
    <d v="2024-08-28T00:00:00"/>
    <s v="net sales:product 3"/>
    <n v="12.49"/>
    <x v="24"/>
    <n v="1236.51"/>
    <x v="3"/>
    <x v="3"/>
    <x v="0"/>
    <x v="7"/>
    <n v="0"/>
  </r>
  <r>
    <d v="2024-08-29T00:00:00"/>
    <s v="cogs:product 1"/>
    <n v="5.99"/>
    <x v="64"/>
    <n v="119.80000000000001"/>
    <x v="1"/>
    <x v="1"/>
    <x v="0"/>
    <x v="7"/>
    <n v="2560.4499999999998"/>
  </r>
  <r>
    <d v="2024-08-29T00:00:00"/>
    <s v="cogs:product 2"/>
    <n v="16.989999999999998"/>
    <x v="25"/>
    <n v="16.989999999999998"/>
    <x v="1"/>
    <x v="2"/>
    <x v="0"/>
    <x v="7"/>
    <n v="-215.64000000000001"/>
  </r>
  <r>
    <d v="2024-08-29T00:00:00"/>
    <s v="cogs:product 3"/>
    <n v="8.49"/>
    <x v="171"/>
    <n v="1553.67"/>
    <x v="1"/>
    <x v="3"/>
    <x v="0"/>
    <x v="7"/>
    <n v="-16.989999999999998"/>
  </r>
  <r>
    <d v="2024-08-29T00:00:00"/>
    <s v="marketing"/>
    <s v="NA"/>
    <x v="0"/>
    <n v="100.06"/>
    <x v="2"/>
    <x v="0"/>
    <x v="0"/>
    <x v="7"/>
    <n v="-679.2"/>
  </r>
  <r>
    <d v="2024-08-29T00:00:00"/>
    <s v="net sales:product 1"/>
    <n v="9.99"/>
    <x v="64"/>
    <n v="199.8"/>
    <x v="3"/>
    <x v="1"/>
    <x v="0"/>
    <x v="7"/>
    <n v="-100.03"/>
  </r>
  <r>
    <d v="2024-08-29T00:00:00"/>
    <s v="net sales:product 2"/>
    <n v="24.99"/>
    <x v="25"/>
    <n v="24.99"/>
    <x v="3"/>
    <x v="2"/>
    <x v="0"/>
    <x v="7"/>
    <n v="359.64"/>
  </r>
  <r>
    <d v="2024-08-29T00:00:00"/>
    <s v="net sales:product 3"/>
    <n v="12.49"/>
    <x v="171"/>
    <n v="2285.67"/>
    <x v="3"/>
    <x v="3"/>
    <x v="0"/>
    <x v="7"/>
    <n v="24.99"/>
  </r>
  <r>
    <d v="2024-08-30T00:00:00"/>
    <s v="cogs:product 1"/>
    <n v="5.99"/>
    <x v="61"/>
    <n v="581.03"/>
    <x v="1"/>
    <x v="1"/>
    <x v="0"/>
    <x v="7"/>
    <n v="999.2"/>
  </r>
  <r>
    <d v="2024-08-30T00:00:00"/>
    <s v="cogs:product 2"/>
    <n v="16.989999999999998"/>
    <x v="23"/>
    <n v="0"/>
    <x v="1"/>
    <x v="2"/>
    <x v="0"/>
    <x v="7"/>
    <n v="-395.34000000000003"/>
  </r>
  <r>
    <d v="2024-08-30T00:00:00"/>
    <s v="cogs:product 3"/>
    <n v="8.49"/>
    <x v="116"/>
    <n v="1502.73"/>
    <x v="1"/>
    <x v="3"/>
    <x v="0"/>
    <x v="7"/>
    <n v="-101.94"/>
  </r>
  <r>
    <d v="2024-08-30T00:00:00"/>
    <s v="marketing"/>
    <s v="NA"/>
    <x v="0"/>
    <n v="99.990000000000009"/>
    <x v="2"/>
    <x v="0"/>
    <x v="0"/>
    <x v="7"/>
    <n v="-8.49"/>
  </r>
  <r>
    <d v="2024-08-30T00:00:00"/>
    <s v="net sales:product 1"/>
    <n v="9.99"/>
    <x v="61"/>
    <n v="969.03"/>
    <x v="3"/>
    <x v="1"/>
    <x v="0"/>
    <x v="7"/>
    <n v="-99.95"/>
  </r>
  <r>
    <d v="2024-08-30T00:00:00"/>
    <s v="net sales:product 2"/>
    <n v="24.99"/>
    <x v="23"/>
    <n v="0"/>
    <x v="3"/>
    <x v="2"/>
    <x v="0"/>
    <x v="7"/>
    <n v="659.34"/>
  </r>
  <r>
    <d v="2024-08-30T00:00:00"/>
    <s v="net sales:product 3"/>
    <n v="12.49"/>
    <x v="116"/>
    <n v="2210.73"/>
    <x v="3"/>
    <x v="3"/>
    <x v="0"/>
    <x v="7"/>
    <n v="149.94"/>
  </r>
  <r>
    <d v="2024-08-30T00:00:00"/>
    <s v="payroll"/>
    <s v="NA"/>
    <x v="0"/>
    <n v="1200"/>
    <x v="5"/>
    <x v="0"/>
    <x v="0"/>
    <x v="7"/>
    <n v="12.49"/>
  </r>
  <r>
    <d v="2024-08-31T00:00:00"/>
    <s v="cogs:product 1"/>
    <n v="5.99"/>
    <x v="114"/>
    <n v="287.52"/>
    <x v="1"/>
    <x v="1"/>
    <x v="0"/>
    <x v="7"/>
    <n v="0"/>
  </r>
  <r>
    <d v="2024-08-31T00:00:00"/>
    <s v="cogs:product 2"/>
    <n v="16.989999999999998"/>
    <x v="42"/>
    <n v="101.94"/>
    <x v="1"/>
    <x v="2"/>
    <x v="0"/>
    <x v="7"/>
    <n v="-353.41"/>
  </r>
  <r>
    <d v="2024-08-31T00:00:00"/>
    <s v="cogs:product 3"/>
    <n v="8.49"/>
    <x v="73"/>
    <n v="568.83000000000004"/>
    <x v="1"/>
    <x v="3"/>
    <x v="0"/>
    <x v="7"/>
    <n v="-67.959999999999994"/>
  </r>
  <r>
    <d v="2024-08-31T00:00:00"/>
    <s v="marketing"/>
    <s v="NA"/>
    <x v="0"/>
    <n v="100.08"/>
    <x v="2"/>
    <x v="0"/>
    <x v="0"/>
    <x v="7"/>
    <n v="-1171.6200000000001"/>
  </r>
  <r>
    <d v="2024-08-31T00:00:00"/>
    <s v="net sales:product 1"/>
    <n v="9.99"/>
    <x v="114"/>
    <n v="479.52"/>
    <x v="3"/>
    <x v="1"/>
    <x v="0"/>
    <x v="7"/>
    <n v="-100.07000000000001"/>
  </r>
  <r>
    <d v="2024-08-31T00:00:00"/>
    <s v="net sales:product 2"/>
    <n v="24.99"/>
    <x v="42"/>
    <n v="149.94"/>
    <x v="3"/>
    <x v="2"/>
    <x v="0"/>
    <x v="7"/>
    <n v="589.41"/>
  </r>
  <r>
    <d v="2024-08-31T00:00:00"/>
    <s v="net sales:product 3"/>
    <n v="12.49"/>
    <x v="73"/>
    <n v="836.83"/>
    <x v="3"/>
    <x v="3"/>
    <x v="0"/>
    <x v="7"/>
    <n v="99.96"/>
  </r>
  <r>
    <d v="2024-09-01T00:00:00"/>
    <s v="amortization"/>
    <s v="NA"/>
    <x v="0"/>
    <n v="50"/>
    <x v="0"/>
    <x v="0"/>
    <x v="0"/>
    <x v="8"/>
    <n v="1723.6200000000001"/>
  </r>
  <r>
    <d v="2024-09-01T00:00:00"/>
    <s v="cogs:product 1"/>
    <n v="5.99"/>
    <x v="172"/>
    <n v="323.46000000000004"/>
    <x v="1"/>
    <x v="1"/>
    <x v="0"/>
    <x v="8"/>
    <n v="-2000"/>
  </r>
  <r>
    <d v="2024-09-01T00:00:00"/>
    <s v="cogs:product 2"/>
    <n v="16.989999999999998"/>
    <x v="42"/>
    <n v="101.94"/>
    <x v="1"/>
    <x v="2"/>
    <x v="0"/>
    <x v="8"/>
    <n v="-11.98"/>
  </r>
  <r>
    <d v="2024-09-01T00:00:00"/>
    <s v="cogs:product 3"/>
    <n v="8.49"/>
    <x v="173"/>
    <n v="2080.0500000000002"/>
    <x v="1"/>
    <x v="3"/>
    <x v="0"/>
    <x v="8"/>
    <n v="-101.94"/>
  </r>
  <r>
    <d v="2024-09-01T00:00:00"/>
    <s v="marketing"/>
    <s v="NA"/>
    <x v="0"/>
    <n v="99.9"/>
    <x v="2"/>
    <x v="0"/>
    <x v="0"/>
    <x v="8"/>
    <n v="-560.34"/>
  </r>
  <r>
    <d v="2024-09-01T00:00:00"/>
    <s v="net sales:product 1"/>
    <n v="9.99"/>
    <x v="172"/>
    <n v="539.46"/>
    <x v="3"/>
    <x v="1"/>
    <x v="0"/>
    <x v="8"/>
    <n v="-100.04"/>
  </r>
  <r>
    <d v="2024-09-01T00:00:00"/>
    <s v="net sales:product 2"/>
    <n v="24.99"/>
    <x v="42"/>
    <n v="149.94"/>
    <x v="3"/>
    <x v="2"/>
    <x v="0"/>
    <x v="8"/>
    <n v="19.98"/>
  </r>
  <r>
    <d v="2024-09-01T00:00:00"/>
    <s v="net sales:product 3"/>
    <n v="12.49"/>
    <x v="173"/>
    <n v="3060.05"/>
    <x v="3"/>
    <x v="3"/>
    <x v="0"/>
    <x v="8"/>
    <n v="149.94"/>
  </r>
  <r>
    <d v="2024-09-01T00:00:00"/>
    <s v="overhead"/>
    <s v="NA"/>
    <x v="0"/>
    <n v="2000"/>
    <x v="4"/>
    <x v="0"/>
    <x v="0"/>
    <x v="8"/>
    <n v="824.34"/>
  </r>
  <r>
    <d v="2024-09-02T00:00:00"/>
    <s v="cogs:product 1"/>
    <n v="5.99"/>
    <x v="48"/>
    <n v="371.38"/>
    <x v="1"/>
    <x v="1"/>
    <x v="0"/>
    <x v="8"/>
    <n v="-1200"/>
  </r>
  <r>
    <d v="2024-09-02T00:00:00"/>
    <s v="cogs:product 2"/>
    <n v="16.989999999999998"/>
    <x v="42"/>
    <n v="101.94"/>
    <x v="1"/>
    <x v="2"/>
    <x v="0"/>
    <x v="8"/>
    <n v="-131.78"/>
  </r>
  <r>
    <d v="2024-09-02T00:00:00"/>
    <s v="cogs:product 3"/>
    <n v="8.49"/>
    <x v="114"/>
    <n v="407.52"/>
    <x v="1"/>
    <x v="3"/>
    <x v="0"/>
    <x v="8"/>
    <n v="-50.97"/>
  </r>
  <r>
    <d v="2024-09-02T00:00:00"/>
    <s v="marketing"/>
    <s v="NA"/>
    <x v="0"/>
    <n v="100.06"/>
    <x v="2"/>
    <x v="0"/>
    <x v="0"/>
    <x v="8"/>
    <n v="-1536.69"/>
  </r>
  <r>
    <d v="2024-09-02T00:00:00"/>
    <s v="net sales:product 1"/>
    <n v="9.99"/>
    <x v="48"/>
    <n v="619.38"/>
    <x v="3"/>
    <x v="1"/>
    <x v="0"/>
    <x v="8"/>
    <n v="-99.95"/>
  </r>
  <r>
    <d v="2024-09-02T00:00:00"/>
    <s v="net sales:product 2"/>
    <n v="24.99"/>
    <x v="42"/>
    <n v="149.94"/>
    <x v="3"/>
    <x v="2"/>
    <x v="0"/>
    <x v="8"/>
    <n v="219.78"/>
  </r>
  <r>
    <d v="2024-09-02T00:00:00"/>
    <s v="net sales:product 3"/>
    <n v="12.49"/>
    <x v="114"/>
    <n v="599.52"/>
    <x v="3"/>
    <x v="3"/>
    <x v="0"/>
    <x v="8"/>
    <n v="74.97"/>
  </r>
  <r>
    <d v="2024-09-03T00:00:00"/>
    <s v="cogs:product 1"/>
    <n v="5.99"/>
    <x v="39"/>
    <n v="149.75"/>
    <x v="1"/>
    <x v="1"/>
    <x v="0"/>
    <x v="8"/>
    <n v="2260.69"/>
  </r>
  <r>
    <d v="2024-09-03T00:00:00"/>
    <s v="cogs:product 2"/>
    <n v="16.989999999999998"/>
    <x v="2"/>
    <n v="50.97"/>
    <x v="1"/>
    <x v="2"/>
    <x v="0"/>
    <x v="8"/>
    <n v="-101.83"/>
  </r>
  <r>
    <d v="2024-09-03T00:00:00"/>
    <s v="cogs:product 3"/>
    <n v="8.49"/>
    <x v="130"/>
    <n v="339.6"/>
    <x v="1"/>
    <x v="3"/>
    <x v="0"/>
    <x v="8"/>
    <n v="0"/>
  </r>
  <r>
    <d v="2024-09-03T00:00:00"/>
    <s v="marketing"/>
    <s v="NA"/>
    <x v="0"/>
    <n v="99.98"/>
    <x v="2"/>
    <x v="0"/>
    <x v="0"/>
    <x v="8"/>
    <n v="-874.47"/>
  </r>
  <r>
    <d v="2024-09-03T00:00:00"/>
    <s v="net sales:product 1"/>
    <n v="9.99"/>
    <x v="39"/>
    <n v="249.75"/>
    <x v="3"/>
    <x v="1"/>
    <x v="0"/>
    <x v="8"/>
    <n v="-100.08"/>
  </r>
  <r>
    <d v="2024-09-03T00:00:00"/>
    <s v="net sales:product 2"/>
    <n v="24.99"/>
    <x v="2"/>
    <n v="74.97"/>
    <x v="3"/>
    <x v="2"/>
    <x v="0"/>
    <x v="8"/>
    <n v="169.83"/>
  </r>
  <r>
    <d v="2024-09-03T00:00:00"/>
    <s v="net sales:product 3"/>
    <n v="12.49"/>
    <x v="130"/>
    <n v="499.6"/>
    <x v="3"/>
    <x v="3"/>
    <x v="0"/>
    <x v="8"/>
    <n v="0"/>
  </r>
  <r>
    <d v="2024-09-04T00:00:00"/>
    <s v="cogs:product 1"/>
    <n v="5.99"/>
    <x v="101"/>
    <n v="473.21000000000004"/>
    <x v="1"/>
    <x v="1"/>
    <x v="0"/>
    <x v="8"/>
    <n v="1286.47"/>
  </r>
  <r>
    <d v="2024-09-04T00:00:00"/>
    <s v="cogs:product 2"/>
    <n v="16.989999999999998"/>
    <x v="13"/>
    <n v="118.92999999999999"/>
    <x v="1"/>
    <x v="2"/>
    <x v="0"/>
    <x v="8"/>
    <n v="-77.87"/>
  </r>
  <r>
    <d v="2024-09-04T00:00:00"/>
    <s v="cogs:product 3"/>
    <n v="8.49"/>
    <x v="132"/>
    <n v="1969.68"/>
    <x v="1"/>
    <x v="3"/>
    <x v="0"/>
    <x v="8"/>
    <n v="-118.92999999999999"/>
  </r>
  <r>
    <d v="2024-09-04T00:00:00"/>
    <s v="marketing"/>
    <s v="NA"/>
    <x v="0"/>
    <n v="99.94"/>
    <x v="2"/>
    <x v="0"/>
    <x v="0"/>
    <x v="8"/>
    <n v="-1171.6200000000001"/>
  </r>
  <r>
    <d v="2024-09-04T00:00:00"/>
    <s v="net sales:product 1"/>
    <n v="9.99"/>
    <x v="101"/>
    <n v="789.21"/>
    <x v="3"/>
    <x v="1"/>
    <x v="0"/>
    <x v="8"/>
    <n v="-100.02"/>
  </r>
  <r>
    <d v="2024-09-04T00:00:00"/>
    <s v="net sales:product 2"/>
    <n v="24.99"/>
    <x v="13"/>
    <n v="174.92999999999998"/>
    <x v="3"/>
    <x v="2"/>
    <x v="0"/>
    <x v="8"/>
    <n v="129.87"/>
  </r>
  <r>
    <d v="2024-09-04T00:00:00"/>
    <s v="net sales:product 3"/>
    <n v="12.49"/>
    <x v="132"/>
    <n v="2897.68"/>
    <x v="3"/>
    <x v="3"/>
    <x v="0"/>
    <x v="8"/>
    <n v="174.92999999999998"/>
  </r>
  <r>
    <d v="2024-09-05T00:00:00"/>
    <s v="cogs:product 1"/>
    <n v="5.99"/>
    <x v="3"/>
    <n v="467.22"/>
    <x v="1"/>
    <x v="1"/>
    <x v="0"/>
    <x v="8"/>
    <n v="1723.6200000000001"/>
  </r>
  <r>
    <d v="2024-09-05T00:00:00"/>
    <s v="cogs:product 2"/>
    <n v="16.989999999999998"/>
    <x v="19"/>
    <n v="67.959999999999994"/>
    <x v="1"/>
    <x v="2"/>
    <x v="0"/>
    <x v="8"/>
    <n v="-485.19"/>
  </r>
  <r>
    <d v="2024-09-05T00:00:00"/>
    <s v="cogs:product 3"/>
    <n v="8.49"/>
    <x v="174"/>
    <n v="1876.29"/>
    <x v="1"/>
    <x v="3"/>
    <x v="0"/>
    <x v="8"/>
    <n v="-67.959999999999994"/>
  </r>
  <r>
    <d v="2024-09-05T00:00:00"/>
    <s v="marketing"/>
    <s v="NA"/>
    <x v="0"/>
    <n v="100.05"/>
    <x v="2"/>
    <x v="0"/>
    <x v="0"/>
    <x v="8"/>
    <n v="-152.82"/>
  </r>
  <r>
    <d v="2024-09-05T00:00:00"/>
    <s v="net sales:product 1"/>
    <n v="9.99"/>
    <x v="3"/>
    <n v="779.22"/>
    <x v="3"/>
    <x v="1"/>
    <x v="0"/>
    <x v="8"/>
    <n v="-99.97"/>
  </r>
  <r>
    <d v="2024-09-05T00:00:00"/>
    <s v="net sales:product 2"/>
    <n v="24.99"/>
    <x v="19"/>
    <n v="99.96"/>
    <x v="3"/>
    <x v="2"/>
    <x v="0"/>
    <x v="8"/>
    <n v="809.19"/>
  </r>
  <r>
    <d v="2024-09-05T00:00:00"/>
    <s v="net sales:product 3"/>
    <n v="12.49"/>
    <x v="174"/>
    <n v="2760.29"/>
    <x v="3"/>
    <x v="3"/>
    <x v="0"/>
    <x v="8"/>
    <n v="99.96"/>
  </r>
  <r>
    <d v="2024-09-06T00:00:00"/>
    <s v="cogs:product 1"/>
    <n v="5.99"/>
    <x v="105"/>
    <n v="491.18"/>
    <x v="1"/>
    <x v="1"/>
    <x v="0"/>
    <x v="8"/>
    <n v="224.82"/>
  </r>
  <r>
    <d v="2024-09-06T00:00:00"/>
    <s v="cogs:product 2"/>
    <n v="16.989999999999998"/>
    <x v="22"/>
    <n v="169.89999999999998"/>
    <x v="1"/>
    <x v="2"/>
    <x v="0"/>
    <x v="8"/>
    <n v="-59.900000000000006"/>
  </r>
  <r>
    <d v="2024-09-06T00:00:00"/>
    <s v="cogs:product 3"/>
    <n v="8.49"/>
    <x v="165"/>
    <n v="1740.45"/>
    <x v="1"/>
    <x v="3"/>
    <x v="0"/>
    <x v="8"/>
    <n v="-118.92999999999999"/>
  </r>
  <r>
    <d v="2024-09-06T00:00:00"/>
    <s v="marketing"/>
    <s v="NA"/>
    <x v="0"/>
    <n v="99.9"/>
    <x v="2"/>
    <x v="0"/>
    <x v="0"/>
    <x v="8"/>
    <n v="-399.03000000000003"/>
  </r>
  <r>
    <d v="2024-09-06T00:00:00"/>
    <s v="net sales:product 1"/>
    <n v="9.99"/>
    <x v="105"/>
    <n v="819.18000000000006"/>
    <x v="3"/>
    <x v="1"/>
    <x v="0"/>
    <x v="8"/>
    <n v="-100"/>
  </r>
  <r>
    <d v="2024-09-06T00:00:00"/>
    <s v="net sales:product 2"/>
    <n v="24.99"/>
    <x v="22"/>
    <n v="249.89999999999998"/>
    <x v="3"/>
    <x v="2"/>
    <x v="0"/>
    <x v="8"/>
    <n v="99.9"/>
  </r>
  <r>
    <d v="2024-09-06T00:00:00"/>
    <s v="net sales:product 3"/>
    <n v="12.49"/>
    <x v="165"/>
    <n v="2560.4499999999998"/>
    <x v="3"/>
    <x v="3"/>
    <x v="0"/>
    <x v="8"/>
    <n v="174.92999999999998"/>
  </r>
  <r>
    <d v="2024-09-07T00:00:00"/>
    <s v="cogs:product 1"/>
    <n v="5.99"/>
    <x v="111"/>
    <n v="131.78"/>
    <x v="1"/>
    <x v="1"/>
    <x v="0"/>
    <x v="8"/>
    <n v="587.03"/>
  </r>
  <r>
    <d v="2024-09-07T00:00:00"/>
    <s v="cogs:product 2"/>
    <n v="16.989999999999998"/>
    <x v="10"/>
    <n v="33.979999999999997"/>
    <x v="1"/>
    <x v="2"/>
    <x v="0"/>
    <x v="8"/>
    <n v="-17.97"/>
  </r>
  <r>
    <d v="2024-09-07T00:00:00"/>
    <s v="cogs:product 3"/>
    <n v="8.49"/>
    <x v="23"/>
    <n v="0"/>
    <x v="1"/>
    <x v="3"/>
    <x v="0"/>
    <x v="8"/>
    <n v="-152.91"/>
  </r>
  <r>
    <d v="2024-09-07T00:00:00"/>
    <s v="marketing"/>
    <s v="NA"/>
    <x v="0"/>
    <n v="99.9"/>
    <x v="2"/>
    <x v="0"/>
    <x v="0"/>
    <x v="8"/>
    <n v="-1001.82"/>
  </r>
  <r>
    <d v="2024-09-07T00:00:00"/>
    <s v="net sales:product 1"/>
    <n v="9.99"/>
    <x v="111"/>
    <n v="219.78"/>
    <x v="3"/>
    <x v="1"/>
    <x v="0"/>
    <x v="8"/>
    <n v="-100.02"/>
  </r>
  <r>
    <d v="2024-09-07T00:00:00"/>
    <s v="net sales:product 2"/>
    <n v="24.99"/>
    <x v="10"/>
    <n v="49.98"/>
    <x v="3"/>
    <x v="2"/>
    <x v="0"/>
    <x v="8"/>
    <n v="29.97"/>
  </r>
  <r>
    <d v="2024-09-07T00:00:00"/>
    <s v="net sales:product 3"/>
    <n v="12.49"/>
    <x v="23"/>
    <n v="0"/>
    <x v="3"/>
    <x v="3"/>
    <x v="0"/>
    <x v="8"/>
    <n v="224.91"/>
  </r>
  <r>
    <d v="2024-09-08T00:00:00"/>
    <s v="cogs:product 1"/>
    <n v="5.99"/>
    <x v="122"/>
    <n v="155.74"/>
    <x v="1"/>
    <x v="1"/>
    <x v="0"/>
    <x v="8"/>
    <n v="1473.82"/>
  </r>
  <r>
    <d v="2024-09-08T00:00:00"/>
    <s v="cogs:product 2"/>
    <n v="16.989999999999998"/>
    <x v="13"/>
    <n v="118.92999999999999"/>
    <x v="1"/>
    <x v="2"/>
    <x v="0"/>
    <x v="8"/>
    <n v="-479.20000000000005"/>
  </r>
  <r>
    <d v="2024-09-08T00:00:00"/>
    <s v="cogs:product 3"/>
    <n v="8.49"/>
    <x v="175"/>
    <n v="1349.91"/>
    <x v="1"/>
    <x v="3"/>
    <x v="0"/>
    <x v="8"/>
    <n v="-101.94"/>
  </r>
  <r>
    <d v="2024-09-08T00:00:00"/>
    <s v="marketing"/>
    <s v="NA"/>
    <x v="0"/>
    <n v="100.05"/>
    <x v="2"/>
    <x v="0"/>
    <x v="0"/>
    <x v="8"/>
    <n v="0"/>
  </r>
  <r>
    <d v="2024-09-08T00:00:00"/>
    <s v="net sales:product 1"/>
    <n v="9.99"/>
    <x v="122"/>
    <n v="259.74"/>
    <x v="3"/>
    <x v="1"/>
    <x v="0"/>
    <x v="8"/>
    <n v="-100"/>
  </r>
  <r>
    <d v="2024-09-08T00:00:00"/>
    <s v="net sales:product 2"/>
    <n v="24.99"/>
    <x v="13"/>
    <n v="174.92999999999998"/>
    <x v="3"/>
    <x v="2"/>
    <x v="0"/>
    <x v="8"/>
    <n v="799.2"/>
  </r>
  <r>
    <d v="2024-09-08T00:00:00"/>
    <s v="net sales:product 3"/>
    <n v="12.49"/>
    <x v="175"/>
    <n v="1985.91"/>
    <x v="3"/>
    <x v="3"/>
    <x v="0"/>
    <x v="8"/>
    <n v="149.94"/>
  </r>
  <r>
    <d v="2024-09-09T00:00:00"/>
    <s v="cogs:product 1"/>
    <n v="5.99"/>
    <x v="46"/>
    <n v="407.32"/>
    <x v="1"/>
    <x v="1"/>
    <x v="0"/>
    <x v="8"/>
    <n v="0"/>
  </r>
  <r>
    <d v="2024-09-09T00:00:00"/>
    <s v="cogs:product 2"/>
    <n v="16.989999999999998"/>
    <x v="7"/>
    <n v="152.91"/>
    <x v="1"/>
    <x v="2"/>
    <x v="0"/>
    <x v="8"/>
    <n v="-395.34000000000003"/>
  </r>
  <r>
    <d v="2024-09-09T00:00:00"/>
    <s v="cogs:product 3"/>
    <n v="8.49"/>
    <x v="176"/>
    <n v="1239.54"/>
    <x v="1"/>
    <x v="3"/>
    <x v="0"/>
    <x v="8"/>
    <n v="-50.97"/>
  </r>
  <r>
    <d v="2024-09-09T00:00:00"/>
    <s v="marketing"/>
    <s v="NA"/>
    <x v="0"/>
    <n v="100.08"/>
    <x v="2"/>
    <x v="0"/>
    <x v="0"/>
    <x v="8"/>
    <n v="-2114.0100000000002"/>
  </r>
  <r>
    <d v="2024-09-09T00:00:00"/>
    <s v="net sales:product 1"/>
    <n v="9.99"/>
    <x v="46"/>
    <n v="679.32"/>
    <x v="3"/>
    <x v="1"/>
    <x v="0"/>
    <x v="8"/>
    <n v="-100.08"/>
  </r>
  <r>
    <d v="2024-09-09T00:00:00"/>
    <s v="net sales:product 2"/>
    <n v="24.99"/>
    <x v="7"/>
    <n v="224.91"/>
    <x v="3"/>
    <x v="2"/>
    <x v="0"/>
    <x v="8"/>
    <n v="659.34"/>
  </r>
  <r>
    <d v="2024-09-09T00:00:00"/>
    <s v="net sales:product 3"/>
    <n v="12.49"/>
    <x v="176"/>
    <n v="1823.54"/>
    <x v="3"/>
    <x v="3"/>
    <x v="0"/>
    <x v="8"/>
    <n v="74.97"/>
  </r>
  <r>
    <d v="2024-09-10T00:00:00"/>
    <s v="cogs:product 1"/>
    <n v="5.99"/>
    <x v="62"/>
    <n v="419.3"/>
    <x v="1"/>
    <x v="1"/>
    <x v="0"/>
    <x v="8"/>
    <n v="3110.01"/>
  </r>
  <r>
    <d v="2024-09-10T00:00:00"/>
    <s v="cogs:product 2"/>
    <n v="16.989999999999998"/>
    <x v="2"/>
    <n v="50.97"/>
    <x v="1"/>
    <x v="2"/>
    <x v="0"/>
    <x v="8"/>
    <n v="-281.53000000000003"/>
  </r>
  <r>
    <d v="2024-09-10T00:00:00"/>
    <s v="cogs:product 3"/>
    <n v="8.49"/>
    <x v="98"/>
    <n v="382.05"/>
    <x v="1"/>
    <x v="3"/>
    <x v="0"/>
    <x v="8"/>
    <n v="-118.92999999999999"/>
  </r>
  <r>
    <d v="2024-09-10T00:00:00"/>
    <s v="marketing"/>
    <s v="NA"/>
    <x v="0"/>
    <n v="100.05"/>
    <x v="2"/>
    <x v="0"/>
    <x v="0"/>
    <x v="8"/>
    <n v="-348.09000000000003"/>
  </r>
  <r>
    <d v="2024-09-10T00:00:00"/>
    <s v="net sales:product 1"/>
    <n v="9.99"/>
    <x v="62"/>
    <n v="699.30000000000007"/>
    <x v="3"/>
    <x v="1"/>
    <x v="0"/>
    <x v="8"/>
    <n v="-99.990000000000009"/>
  </r>
  <r>
    <d v="2024-09-10T00:00:00"/>
    <s v="net sales:product 2"/>
    <n v="24.99"/>
    <x v="2"/>
    <n v="74.97"/>
    <x v="3"/>
    <x v="2"/>
    <x v="0"/>
    <x v="8"/>
    <n v="469.53000000000003"/>
  </r>
  <r>
    <d v="2024-09-10T00:00:00"/>
    <s v="net sales:product 3"/>
    <n v="12.49"/>
    <x v="98"/>
    <n v="562.04999999999995"/>
    <x v="3"/>
    <x v="3"/>
    <x v="0"/>
    <x v="8"/>
    <n v="174.92999999999998"/>
  </r>
  <r>
    <d v="2024-09-11T00:00:00"/>
    <s v="cogs:product 1"/>
    <n v="5.99"/>
    <x v="52"/>
    <n v="545.09"/>
    <x v="1"/>
    <x v="1"/>
    <x v="0"/>
    <x v="8"/>
    <n v="512.09"/>
  </r>
  <r>
    <d v="2024-09-11T00:00:00"/>
    <s v="cogs:product 2"/>
    <n v="16.989999999999998"/>
    <x v="10"/>
    <n v="33.979999999999997"/>
    <x v="1"/>
    <x v="2"/>
    <x v="0"/>
    <x v="8"/>
    <n v="-125.79"/>
  </r>
  <r>
    <d v="2024-09-11T00:00:00"/>
    <s v="cogs:product 3"/>
    <n v="8.49"/>
    <x v="122"/>
    <n v="220.74"/>
    <x v="1"/>
    <x v="3"/>
    <x v="0"/>
    <x v="8"/>
    <n v="0"/>
  </r>
  <r>
    <d v="2024-09-11T00:00:00"/>
    <s v="marketing"/>
    <s v="NA"/>
    <x v="0"/>
    <n v="99.960000000000008"/>
    <x v="2"/>
    <x v="0"/>
    <x v="0"/>
    <x v="8"/>
    <n v="-2105.52"/>
  </r>
  <r>
    <d v="2024-09-11T00:00:00"/>
    <s v="net sales:product 1"/>
    <n v="9.99"/>
    <x v="52"/>
    <n v="909.09"/>
    <x v="3"/>
    <x v="1"/>
    <x v="0"/>
    <x v="8"/>
    <n v="-100"/>
  </r>
  <r>
    <d v="2024-09-11T00:00:00"/>
    <s v="net sales:product 2"/>
    <n v="24.99"/>
    <x v="10"/>
    <n v="49.98"/>
    <x v="3"/>
    <x v="2"/>
    <x v="0"/>
    <x v="8"/>
    <n v="209.79"/>
  </r>
  <r>
    <d v="2024-09-11T00:00:00"/>
    <s v="net sales:product 3"/>
    <n v="12.49"/>
    <x v="122"/>
    <n v="324.74"/>
    <x v="3"/>
    <x v="3"/>
    <x v="0"/>
    <x v="8"/>
    <n v="0"/>
  </r>
  <r>
    <d v="2024-09-12T00:00:00"/>
    <s v="cogs:product 1"/>
    <n v="5.99"/>
    <x v="134"/>
    <n v="383.36"/>
    <x v="1"/>
    <x v="1"/>
    <x v="0"/>
    <x v="8"/>
    <n v="3097.52"/>
  </r>
  <r>
    <d v="2024-09-12T00:00:00"/>
    <s v="cogs:product 2"/>
    <n v="16.989999999999998"/>
    <x v="22"/>
    <n v="169.89999999999998"/>
    <x v="1"/>
    <x v="2"/>
    <x v="0"/>
    <x v="8"/>
    <n v="-521.13"/>
  </r>
  <r>
    <d v="2024-09-12T00:00:00"/>
    <s v="cogs:product 3"/>
    <n v="8.49"/>
    <x v="177"/>
    <n v="1655.55"/>
    <x v="1"/>
    <x v="3"/>
    <x v="0"/>
    <x v="8"/>
    <n v="-101.94"/>
  </r>
  <r>
    <d v="2024-09-12T00:00:00"/>
    <s v="marketing"/>
    <s v="NA"/>
    <x v="0"/>
    <n v="99.95"/>
    <x v="2"/>
    <x v="0"/>
    <x v="0"/>
    <x v="8"/>
    <n v="-798.06000000000006"/>
  </r>
  <r>
    <d v="2024-09-12T00:00:00"/>
    <s v="net sales:product 1"/>
    <n v="9.99"/>
    <x v="134"/>
    <n v="639.36"/>
    <x v="3"/>
    <x v="1"/>
    <x v="0"/>
    <x v="8"/>
    <n v="-99.990000000000009"/>
  </r>
  <r>
    <d v="2024-09-12T00:00:00"/>
    <s v="net sales:product 2"/>
    <n v="24.99"/>
    <x v="22"/>
    <n v="249.89999999999998"/>
    <x v="3"/>
    <x v="2"/>
    <x v="0"/>
    <x v="8"/>
    <n v="869.13"/>
  </r>
  <r>
    <d v="2024-09-12T00:00:00"/>
    <s v="net sales:product 3"/>
    <n v="12.49"/>
    <x v="177"/>
    <n v="2435.5500000000002"/>
    <x v="3"/>
    <x v="3"/>
    <x v="0"/>
    <x v="8"/>
    <n v="149.94"/>
  </r>
  <r>
    <d v="2024-09-13T00:00:00"/>
    <s v="cogs:product 1"/>
    <n v="5.99"/>
    <x v="127"/>
    <n v="83.86"/>
    <x v="1"/>
    <x v="1"/>
    <x v="0"/>
    <x v="8"/>
    <n v="1174.06"/>
  </r>
  <r>
    <d v="2024-09-13T00:00:00"/>
    <s v="cogs:product 2"/>
    <n v="16.989999999999998"/>
    <x v="10"/>
    <n v="33.979999999999997"/>
    <x v="1"/>
    <x v="2"/>
    <x v="0"/>
    <x v="8"/>
    <n v="-287.52"/>
  </r>
  <r>
    <d v="2024-09-13T00:00:00"/>
    <s v="cogs:product 3"/>
    <n v="8.49"/>
    <x v="125"/>
    <n v="1400.8500000000001"/>
    <x v="1"/>
    <x v="3"/>
    <x v="0"/>
    <x v="8"/>
    <n v="-67.959999999999994"/>
  </r>
  <r>
    <d v="2024-09-13T00:00:00"/>
    <s v="marketing"/>
    <s v="NA"/>
    <x v="0"/>
    <n v="99.91"/>
    <x v="2"/>
    <x v="0"/>
    <x v="0"/>
    <x v="8"/>
    <n v="-33.96"/>
  </r>
  <r>
    <d v="2024-09-13T00:00:00"/>
    <s v="net sales:product 1"/>
    <n v="9.99"/>
    <x v="127"/>
    <n v="139.86000000000001"/>
    <x v="3"/>
    <x v="1"/>
    <x v="0"/>
    <x v="8"/>
    <n v="-99.990000000000009"/>
  </r>
  <r>
    <d v="2024-09-13T00:00:00"/>
    <s v="net sales:product 2"/>
    <n v="24.99"/>
    <x v="10"/>
    <n v="49.98"/>
    <x v="3"/>
    <x v="2"/>
    <x v="0"/>
    <x v="8"/>
    <n v="479.52"/>
  </r>
  <r>
    <d v="2024-09-13T00:00:00"/>
    <s v="net sales:product 3"/>
    <n v="12.49"/>
    <x v="125"/>
    <n v="2060.85"/>
    <x v="3"/>
    <x v="3"/>
    <x v="0"/>
    <x v="8"/>
    <n v="99.96"/>
  </r>
  <r>
    <d v="2024-09-13T00:00:00"/>
    <s v="payroll"/>
    <s v="NA"/>
    <x v="0"/>
    <n v="1200"/>
    <x v="5"/>
    <x v="0"/>
    <x v="0"/>
    <x v="8"/>
    <n v="49.96"/>
  </r>
  <r>
    <d v="2024-09-14T00:00:00"/>
    <s v="cogs:product 1"/>
    <n v="5.99"/>
    <x v="130"/>
    <n v="239.60000000000002"/>
    <x v="1"/>
    <x v="1"/>
    <x v="0"/>
    <x v="8"/>
    <n v="-179.70000000000002"/>
  </r>
  <r>
    <d v="2024-09-14T00:00:00"/>
    <s v="cogs:product 2"/>
    <n v="16.989999999999998"/>
    <x v="42"/>
    <n v="101.94"/>
    <x v="1"/>
    <x v="2"/>
    <x v="0"/>
    <x v="8"/>
    <n v="-33.979999999999997"/>
  </r>
  <r>
    <d v="2024-09-14T00:00:00"/>
    <s v="cogs:product 3"/>
    <n v="8.49"/>
    <x v="34"/>
    <n v="1137.6600000000001"/>
    <x v="1"/>
    <x v="3"/>
    <x v="0"/>
    <x v="8"/>
    <n v="-1290.48"/>
  </r>
  <r>
    <d v="2024-09-14T00:00:00"/>
    <s v="marketing"/>
    <s v="NA"/>
    <x v="0"/>
    <n v="100.04"/>
    <x v="2"/>
    <x v="0"/>
    <x v="0"/>
    <x v="8"/>
    <n v="-1282.24"/>
  </r>
  <r>
    <d v="2024-09-14T00:00:00"/>
    <s v="net sales:product 1"/>
    <n v="9.99"/>
    <x v="130"/>
    <n v="399.6"/>
    <x v="3"/>
    <x v="1"/>
    <x v="0"/>
    <x v="8"/>
    <n v="-99.98"/>
  </r>
  <r>
    <d v="2024-09-14T00:00:00"/>
    <s v="net sales:product 2"/>
    <n v="24.99"/>
    <x v="42"/>
    <n v="149.94"/>
    <x v="3"/>
    <x v="2"/>
    <x v="0"/>
    <x v="8"/>
    <n v="299.7"/>
  </r>
  <r>
    <d v="2024-09-14T00:00:00"/>
    <s v="net sales:product 3"/>
    <n v="12.49"/>
    <x v="34"/>
    <n v="1673.66"/>
    <x v="3"/>
    <x v="3"/>
    <x v="0"/>
    <x v="8"/>
    <n v="49.98"/>
  </r>
  <r>
    <d v="2024-09-15T00:00:00"/>
    <s v="cogs:product 1"/>
    <n v="5.99"/>
    <x v="122"/>
    <n v="155.74"/>
    <x v="1"/>
    <x v="1"/>
    <x v="0"/>
    <x v="8"/>
    <n v="1898.48"/>
  </r>
  <r>
    <d v="2024-09-15T00:00:00"/>
    <s v="cogs:product 2"/>
    <n v="16.989999999999998"/>
    <x v="10"/>
    <n v="33.979999999999997"/>
    <x v="1"/>
    <x v="2"/>
    <x v="0"/>
    <x v="8"/>
    <n v="-315.2"/>
  </r>
  <r>
    <d v="2024-09-15T00:00:00"/>
    <s v="cogs:product 3"/>
    <n v="8.49"/>
    <x v="107"/>
    <n v="280.17"/>
    <x v="1"/>
    <x v="3"/>
    <x v="0"/>
    <x v="8"/>
    <n v="-437.27000000000004"/>
  </r>
  <r>
    <d v="2024-09-15T00:00:00"/>
    <s v="interest"/>
    <s v="NA"/>
    <x v="0"/>
    <n v="1280.1600000000001"/>
    <x v="6"/>
    <x v="0"/>
    <x v="0"/>
    <x v="8"/>
    <n v="-50.97"/>
  </r>
  <r>
    <d v="2024-09-15T00:00:00"/>
    <s v="marketing"/>
    <s v="NA"/>
    <x v="0"/>
    <n v="99.92"/>
    <x v="2"/>
    <x v="0"/>
    <x v="0"/>
    <x v="8"/>
    <n v="-1052.76"/>
  </r>
  <r>
    <d v="2024-09-15T00:00:00"/>
    <s v="net sales:product 1"/>
    <n v="9.99"/>
    <x v="122"/>
    <n v="259.74"/>
    <x v="3"/>
    <x v="1"/>
    <x v="0"/>
    <x v="8"/>
    <n v="-100.03"/>
  </r>
  <r>
    <d v="2024-09-15T00:00:00"/>
    <s v="net sales:product 2"/>
    <n v="24.99"/>
    <x v="10"/>
    <n v="49.98"/>
    <x v="3"/>
    <x v="2"/>
    <x v="0"/>
    <x v="8"/>
    <n v="729.27"/>
  </r>
  <r>
    <d v="2024-09-15T00:00:00"/>
    <s v="net sales:product 3"/>
    <n v="12.49"/>
    <x v="107"/>
    <n v="412.17"/>
    <x v="3"/>
    <x v="3"/>
    <x v="0"/>
    <x v="8"/>
    <n v="74.97"/>
  </r>
  <r>
    <d v="2024-09-15T00:00:00"/>
    <s v="overhead"/>
    <s v="NA"/>
    <x v="0"/>
    <n v="320.04000000000002"/>
    <x v="4"/>
    <x v="0"/>
    <x v="0"/>
    <x v="8"/>
    <n v="1548.76"/>
  </r>
  <r>
    <d v="2024-09-16T00:00:00"/>
    <s v="cogs:product 1"/>
    <n v="5.99"/>
    <x v="76"/>
    <n v="443.26"/>
    <x v="1"/>
    <x v="1"/>
    <x v="0"/>
    <x v="8"/>
    <n v="-1200"/>
  </r>
  <r>
    <d v="2024-09-16T00:00:00"/>
    <s v="cogs:product 2"/>
    <n v="16.989999999999998"/>
    <x v="7"/>
    <n v="152.91"/>
    <x v="1"/>
    <x v="2"/>
    <x v="0"/>
    <x v="8"/>
    <n v="-359.40000000000003"/>
  </r>
  <r>
    <d v="2024-09-16T00:00:00"/>
    <s v="cogs:product 3"/>
    <n v="8.49"/>
    <x v="66"/>
    <n v="399.03000000000003"/>
    <x v="1"/>
    <x v="3"/>
    <x v="0"/>
    <x v="8"/>
    <n v="-135.91999999999999"/>
  </r>
  <r>
    <d v="2024-09-16T00:00:00"/>
    <s v="marketing"/>
    <s v="NA"/>
    <x v="0"/>
    <n v="100.03"/>
    <x v="2"/>
    <x v="0"/>
    <x v="0"/>
    <x v="8"/>
    <n v="-475.44"/>
  </r>
  <r>
    <d v="2024-09-16T00:00:00"/>
    <s v="net sales:product 1"/>
    <n v="9.99"/>
    <x v="76"/>
    <n v="739.26"/>
    <x v="3"/>
    <x v="1"/>
    <x v="0"/>
    <x v="8"/>
    <n v="-100.08"/>
  </r>
  <r>
    <d v="2024-09-16T00:00:00"/>
    <s v="net sales:product 2"/>
    <n v="24.99"/>
    <x v="7"/>
    <n v="224.91"/>
    <x v="3"/>
    <x v="2"/>
    <x v="0"/>
    <x v="8"/>
    <n v="599.4"/>
  </r>
  <r>
    <d v="2024-09-16T00:00:00"/>
    <s v="net sales:product 3"/>
    <n v="12.49"/>
    <x v="66"/>
    <n v="587.03"/>
    <x v="3"/>
    <x v="3"/>
    <x v="0"/>
    <x v="8"/>
    <n v="199.92"/>
  </r>
  <r>
    <d v="2024-09-17T00:00:00"/>
    <s v="cogs:product 1"/>
    <n v="5.99"/>
    <x v="87"/>
    <n v="95.84"/>
    <x v="1"/>
    <x v="1"/>
    <x v="0"/>
    <x v="8"/>
    <n v="699.44"/>
  </r>
  <r>
    <d v="2024-09-17T00:00:00"/>
    <s v="cogs:product 2"/>
    <n v="16.989999999999998"/>
    <x v="29"/>
    <n v="84.949999999999989"/>
    <x v="1"/>
    <x v="2"/>
    <x v="0"/>
    <x v="8"/>
    <n v="-437.27000000000004"/>
  </r>
  <r>
    <d v="2024-09-17T00:00:00"/>
    <s v="cogs:product 3"/>
    <n v="8.49"/>
    <x v="151"/>
    <n v="1765.92"/>
    <x v="1"/>
    <x v="3"/>
    <x v="0"/>
    <x v="8"/>
    <n v="-152.91"/>
  </r>
  <r>
    <d v="2024-09-17T00:00:00"/>
    <s v="marketing"/>
    <s v="NA"/>
    <x v="0"/>
    <n v="99.94"/>
    <x v="2"/>
    <x v="0"/>
    <x v="0"/>
    <x v="8"/>
    <n v="-1740.45"/>
  </r>
  <r>
    <d v="2024-09-17T00:00:00"/>
    <s v="net sales:product 1"/>
    <n v="9.99"/>
    <x v="87"/>
    <n v="159.84"/>
    <x v="3"/>
    <x v="1"/>
    <x v="0"/>
    <x v="8"/>
    <n v="-99.92"/>
  </r>
  <r>
    <d v="2024-09-17T00:00:00"/>
    <s v="net sales:product 2"/>
    <n v="24.99"/>
    <x v="29"/>
    <n v="124.94999999999999"/>
    <x v="3"/>
    <x v="2"/>
    <x v="0"/>
    <x v="8"/>
    <n v="729.27"/>
  </r>
  <r>
    <d v="2024-09-17T00:00:00"/>
    <s v="net sales:product 3"/>
    <n v="12.49"/>
    <x v="151"/>
    <n v="2597.92"/>
    <x v="3"/>
    <x v="3"/>
    <x v="0"/>
    <x v="8"/>
    <n v="224.91"/>
  </r>
  <r>
    <d v="2024-09-18T00:00:00"/>
    <s v="cogs:product 1"/>
    <n v="5.99"/>
    <x v="29"/>
    <n v="29.950000000000003"/>
    <x v="1"/>
    <x v="1"/>
    <x v="0"/>
    <x v="8"/>
    <n v="2560.4499999999998"/>
  </r>
  <r>
    <d v="2024-09-18T00:00:00"/>
    <s v="cogs:product 2"/>
    <n v="16.989999999999998"/>
    <x v="10"/>
    <n v="33.979999999999997"/>
    <x v="1"/>
    <x v="2"/>
    <x v="0"/>
    <x v="8"/>
    <n v="-149.75"/>
  </r>
  <r>
    <d v="2024-09-18T00:00:00"/>
    <s v="cogs:product 3"/>
    <n v="8.49"/>
    <x v="178"/>
    <n v="1638.57"/>
    <x v="1"/>
    <x v="3"/>
    <x v="0"/>
    <x v="8"/>
    <n v="-33.979999999999997"/>
  </r>
  <r>
    <d v="2024-09-18T00:00:00"/>
    <s v="marketing"/>
    <s v="NA"/>
    <x v="0"/>
    <n v="99.95"/>
    <x v="2"/>
    <x v="0"/>
    <x v="0"/>
    <x v="8"/>
    <n v="-407.52"/>
  </r>
  <r>
    <d v="2024-09-18T00:00:00"/>
    <s v="net sales:product 1"/>
    <n v="9.99"/>
    <x v="29"/>
    <n v="49.95"/>
    <x v="3"/>
    <x v="1"/>
    <x v="0"/>
    <x v="8"/>
    <n v="-99.97"/>
  </r>
  <r>
    <d v="2024-09-18T00:00:00"/>
    <s v="net sales:product 2"/>
    <n v="24.99"/>
    <x v="10"/>
    <n v="49.98"/>
    <x v="3"/>
    <x v="2"/>
    <x v="0"/>
    <x v="8"/>
    <n v="249.75"/>
  </r>
  <r>
    <d v="2024-09-18T00:00:00"/>
    <s v="net sales:product 3"/>
    <n v="12.49"/>
    <x v="178"/>
    <n v="2410.5700000000002"/>
    <x v="3"/>
    <x v="3"/>
    <x v="0"/>
    <x v="8"/>
    <n v="49.98"/>
  </r>
  <r>
    <d v="2024-09-19T00:00:00"/>
    <s v="cogs:product 1"/>
    <n v="5.99"/>
    <x v="13"/>
    <n v="41.93"/>
    <x v="1"/>
    <x v="1"/>
    <x v="0"/>
    <x v="8"/>
    <n v="599.52"/>
  </r>
  <r>
    <d v="2024-09-19T00:00:00"/>
    <s v="cogs:product 2"/>
    <n v="16.989999999999998"/>
    <x v="42"/>
    <n v="101.94"/>
    <x v="1"/>
    <x v="2"/>
    <x v="0"/>
    <x v="8"/>
    <n v="-575.04"/>
  </r>
  <r>
    <d v="2024-09-19T00:00:00"/>
    <s v="cogs:product 3"/>
    <n v="8.49"/>
    <x v="109"/>
    <n v="1859.31"/>
    <x v="1"/>
    <x v="3"/>
    <x v="0"/>
    <x v="8"/>
    <n v="-152.91"/>
  </r>
  <r>
    <d v="2024-09-19T00:00:00"/>
    <s v="marketing"/>
    <s v="NA"/>
    <x v="0"/>
    <n v="100.03"/>
    <x v="2"/>
    <x v="0"/>
    <x v="0"/>
    <x v="8"/>
    <n v="0"/>
  </r>
  <r>
    <d v="2024-09-19T00:00:00"/>
    <s v="net sales:product 1"/>
    <n v="9.99"/>
    <x v="13"/>
    <n v="69.930000000000007"/>
    <x v="3"/>
    <x v="1"/>
    <x v="0"/>
    <x v="8"/>
    <n v="-100.01"/>
  </r>
  <r>
    <d v="2024-09-19T00:00:00"/>
    <s v="net sales:product 2"/>
    <n v="24.99"/>
    <x v="42"/>
    <n v="149.94"/>
    <x v="3"/>
    <x v="2"/>
    <x v="0"/>
    <x v="8"/>
    <n v="959.04"/>
  </r>
  <r>
    <d v="2024-09-19T00:00:00"/>
    <s v="net sales:product 3"/>
    <n v="12.49"/>
    <x v="109"/>
    <n v="2735.31"/>
    <x v="3"/>
    <x v="3"/>
    <x v="0"/>
    <x v="8"/>
    <n v="224.91"/>
  </r>
  <r>
    <d v="2024-09-20T00:00:00"/>
    <s v="cogs:product 1"/>
    <n v="5.99"/>
    <x v="13"/>
    <n v="41.93"/>
    <x v="1"/>
    <x v="1"/>
    <x v="0"/>
    <x v="8"/>
    <n v="0"/>
  </r>
  <r>
    <d v="2024-09-20T00:00:00"/>
    <s v="cogs:product 2"/>
    <n v="16.989999999999998"/>
    <x v="16"/>
    <n v="135.91999999999999"/>
    <x v="1"/>
    <x v="2"/>
    <x v="0"/>
    <x v="8"/>
    <n v="-71.88"/>
  </r>
  <r>
    <d v="2024-09-20T00:00:00"/>
    <s v="cogs:product 3"/>
    <n v="8.49"/>
    <x v="120"/>
    <n v="679.2"/>
    <x v="1"/>
    <x v="3"/>
    <x v="0"/>
    <x v="8"/>
    <n v="-101.94"/>
  </r>
  <r>
    <d v="2024-09-20T00:00:00"/>
    <s v="marketing"/>
    <s v="NA"/>
    <x v="0"/>
    <n v="100.10000000000001"/>
    <x v="2"/>
    <x v="0"/>
    <x v="0"/>
    <x v="8"/>
    <n v="-220.74"/>
  </r>
  <r>
    <d v="2024-09-20T00:00:00"/>
    <s v="net sales:product 1"/>
    <n v="9.99"/>
    <x v="13"/>
    <n v="69.930000000000007"/>
    <x v="3"/>
    <x v="1"/>
    <x v="0"/>
    <x v="8"/>
    <n v="-99.95"/>
  </r>
  <r>
    <d v="2024-09-20T00:00:00"/>
    <s v="net sales:product 2"/>
    <n v="24.99"/>
    <x v="16"/>
    <n v="199.92"/>
    <x v="3"/>
    <x v="2"/>
    <x v="0"/>
    <x v="8"/>
    <n v="119.88"/>
  </r>
  <r>
    <d v="2024-09-20T00:00:00"/>
    <s v="net sales:product 3"/>
    <n v="12.49"/>
    <x v="120"/>
    <n v="999.2"/>
    <x v="3"/>
    <x v="3"/>
    <x v="0"/>
    <x v="8"/>
    <n v="149.94"/>
  </r>
  <r>
    <d v="2024-09-21T00:00:00"/>
    <s v="cogs:product 1"/>
    <n v="5.99"/>
    <x v="42"/>
    <n v="35.94"/>
    <x v="1"/>
    <x v="1"/>
    <x v="0"/>
    <x v="8"/>
    <n v="324.74"/>
  </r>
  <r>
    <d v="2024-09-21T00:00:00"/>
    <s v="cogs:product 2"/>
    <n v="16.989999999999998"/>
    <x v="23"/>
    <n v="0"/>
    <x v="1"/>
    <x v="2"/>
    <x v="0"/>
    <x v="8"/>
    <n v="-491.18"/>
  </r>
  <r>
    <d v="2024-09-21T00:00:00"/>
    <s v="cogs:product 3"/>
    <n v="8.49"/>
    <x v="130"/>
    <n v="339.6"/>
    <x v="1"/>
    <x v="3"/>
    <x v="0"/>
    <x v="8"/>
    <n v="-135.91999999999999"/>
  </r>
  <r>
    <d v="2024-09-21T00:00:00"/>
    <s v="marketing"/>
    <s v="NA"/>
    <x v="0"/>
    <n v="99.94"/>
    <x v="2"/>
    <x v="0"/>
    <x v="0"/>
    <x v="8"/>
    <n v="-144.33000000000001"/>
  </r>
  <r>
    <d v="2024-09-21T00:00:00"/>
    <s v="net sales:product 1"/>
    <n v="9.99"/>
    <x v="42"/>
    <n v="59.94"/>
    <x v="3"/>
    <x v="1"/>
    <x v="0"/>
    <x v="8"/>
    <n v="-100.08"/>
  </r>
  <r>
    <d v="2024-09-21T00:00:00"/>
    <s v="net sales:product 2"/>
    <n v="24.99"/>
    <x v="23"/>
    <n v="0"/>
    <x v="3"/>
    <x v="2"/>
    <x v="0"/>
    <x v="8"/>
    <n v="819.18000000000006"/>
  </r>
  <r>
    <d v="2024-09-21T00:00:00"/>
    <s v="net sales:product 3"/>
    <n v="12.49"/>
    <x v="130"/>
    <n v="499.6"/>
    <x v="3"/>
    <x v="3"/>
    <x v="0"/>
    <x v="8"/>
    <n v="199.92"/>
  </r>
  <r>
    <d v="2024-09-22T00:00:00"/>
    <s v="cogs:product 1"/>
    <n v="5.99"/>
    <x v="110"/>
    <n v="365.39"/>
    <x v="1"/>
    <x v="1"/>
    <x v="0"/>
    <x v="8"/>
    <n v="212.33"/>
  </r>
  <r>
    <d v="2024-09-22T00:00:00"/>
    <s v="cogs:product 2"/>
    <n v="16.989999999999998"/>
    <x v="2"/>
    <n v="50.97"/>
    <x v="1"/>
    <x v="2"/>
    <x v="0"/>
    <x v="8"/>
    <n v="-575.04"/>
  </r>
  <r>
    <d v="2024-09-22T00:00:00"/>
    <s v="cogs:product 3"/>
    <n v="8.49"/>
    <x v="12"/>
    <n v="619.77"/>
    <x v="1"/>
    <x v="3"/>
    <x v="0"/>
    <x v="8"/>
    <n v="-84.949999999999989"/>
  </r>
  <r>
    <d v="2024-09-22T00:00:00"/>
    <s v="marketing"/>
    <s v="NA"/>
    <x v="0"/>
    <n v="99.960000000000008"/>
    <x v="2"/>
    <x v="0"/>
    <x v="0"/>
    <x v="8"/>
    <n v="-1969.68"/>
  </r>
  <r>
    <d v="2024-09-22T00:00:00"/>
    <s v="net sales:product 1"/>
    <n v="9.99"/>
    <x v="110"/>
    <n v="609.39"/>
    <x v="3"/>
    <x v="1"/>
    <x v="0"/>
    <x v="8"/>
    <n v="-100.07000000000001"/>
  </r>
  <r>
    <d v="2024-09-22T00:00:00"/>
    <s v="net sales:product 2"/>
    <n v="24.99"/>
    <x v="2"/>
    <n v="74.97"/>
    <x v="3"/>
    <x v="2"/>
    <x v="0"/>
    <x v="8"/>
    <n v="959.04"/>
  </r>
  <r>
    <d v="2024-09-22T00:00:00"/>
    <s v="net sales:product 3"/>
    <n v="12.49"/>
    <x v="12"/>
    <n v="911.77"/>
    <x v="3"/>
    <x v="3"/>
    <x v="0"/>
    <x v="8"/>
    <n v="124.94999999999999"/>
  </r>
  <r>
    <d v="2024-09-23T00:00:00"/>
    <s v="cogs:product 1"/>
    <n v="5.99"/>
    <x v="19"/>
    <n v="23.96"/>
    <x v="1"/>
    <x v="1"/>
    <x v="0"/>
    <x v="8"/>
    <n v="2897.68"/>
  </r>
  <r>
    <d v="2024-09-23T00:00:00"/>
    <s v="cogs:product 2"/>
    <n v="16.989999999999998"/>
    <x v="7"/>
    <n v="152.91"/>
    <x v="1"/>
    <x v="2"/>
    <x v="0"/>
    <x v="8"/>
    <n v="-119.80000000000001"/>
  </r>
  <r>
    <d v="2024-09-23T00:00:00"/>
    <s v="cogs:product 3"/>
    <n v="8.49"/>
    <x v="179"/>
    <n v="1867.8"/>
    <x v="1"/>
    <x v="3"/>
    <x v="0"/>
    <x v="8"/>
    <n v="-101.94"/>
  </r>
  <r>
    <d v="2024-09-23T00:00:00"/>
    <s v="marketing"/>
    <s v="NA"/>
    <x v="0"/>
    <n v="100.04"/>
    <x v="2"/>
    <x v="0"/>
    <x v="0"/>
    <x v="8"/>
    <n v="-704.67000000000007"/>
  </r>
  <r>
    <d v="2024-09-23T00:00:00"/>
    <s v="net sales:product 1"/>
    <n v="9.99"/>
    <x v="19"/>
    <n v="39.96"/>
    <x v="3"/>
    <x v="1"/>
    <x v="0"/>
    <x v="8"/>
    <n v="-99.93"/>
  </r>
  <r>
    <d v="2024-09-23T00:00:00"/>
    <s v="net sales:product 2"/>
    <n v="24.99"/>
    <x v="7"/>
    <n v="224.91"/>
    <x v="3"/>
    <x v="2"/>
    <x v="0"/>
    <x v="8"/>
    <n v="199.8"/>
  </r>
  <r>
    <d v="2024-09-23T00:00:00"/>
    <s v="net sales:product 3"/>
    <n v="12.49"/>
    <x v="179"/>
    <n v="2747.8"/>
    <x v="3"/>
    <x v="3"/>
    <x v="0"/>
    <x v="8"/>
    <n v="149.94"/>
  </r>
  <r>
    <d v="2024-09-24T00:00:00"/>
    <s v="cogs:product 1"/>
    <n v="5.99"/>
    <x v="19"/>
    <n v="23.96"/>
    <x v="1"/>
    <x v="1"/>
    <x v="0"/>
    <x v="8"/>
    <n v="1036.67"/>
  </r>
  <r>
    <d v="2024-09-24T00:00:00"/>
    <s v="cogs:product 2"/>
    <n v="16.989999999999998"/>
    <x v="2"/>
    <n v="50.97"/>
    <x v="1"/>
    <x v="2"/>
    <x v="0"/>
    <x v="8"/>
    <n v="-137.77000000000001"/>
  </r>
  <r>
    <d v="2024-09-24T00:00:00"/>
    <s v="cogs:product 3"/>
    <n v="8.49"/>
    <x v="180"/>
    <n v="1825.3500000000001"/>
    <x v="1"/>
    <x v="3"/>
    <x v="0"/>
    <x v="8"/>
    <n v="-16.989999999999998"/>
  </r>
  <r>
    <d v="2024-09-24T00:00:00"/>
    <s v="marketing"/>
    <s v="NA"/>
    <x v="0"/>
    <n v="100.04"/>
    <x v="2"/>
    <x v="0"/>
    <x v="0"/>
    <x v="8"/>
    <n v="-993.33"/>
  </r>
  <r>
    <d v="2024-09-24T00:00:00"/>
    <s v="net sales:product 1"/>
    <n v="9.99"/>
    <x v="19"/>
    <n v="39.96"/>
    <x v="3"/>
    <x v="1"/>
    <x v="0"/>
    <x v="8"/>
    <n v="-99.9"/>
  </r>
  <r>
    <d v="2024-09-24T00:00:00"/>
    <s v="net sales:product 2"/>
    <n v="24.99"/>
    <x v="2"/>
    <n v="74.97"/>
    <x v="3"/>
    <x v="2"/>
    <x v="0"/>
    <x v="8"/>
    <n v="229.77"/>
  </r>
  <r>
    <d v="2024-09-24T00:00:00"/>
    <s v="net sales:product 3"/>
    <n v="12.49"/>
    <x v="180"/>
    <n v="2685.35"/>
    <x v="3"/>
    <x v="3"/>
    <x v="0"/>
    <x v="8"/>
    <n v="24.99"/>
  </r>
  <r>
    <d v="2024-09-25T00:00:00"/>
    <s v="cogs:product 1"/>
    <n v="5.99"/>
    <x v="138"/>
    <n v="311.48"/>
    <x v="1"/>
    <x v="1"/>
    <x v="0"/>
    <x v="8"/>
    <n v="1461.33"/>
  </r>
  <r>
    <d v="2024-09-25T00:00:00"/>
    <s v="cogs:product 2"/>
    <n v="16.989999999999998"/>
    <x v="10"/>
    <n v="33.979999999999997"/>
    <x v="1"/>
    <x v="2"/>
    <x v="0"/>
    <x v="8"/>
    <n v="-377.37"/>
  </r>
  <r>
    <d v="2024-09-25T00:00:00"/>
    <s v="cogs:product 3"/>
    <n v="8.49"/>
    <x v="52"/>
    <n v="772.59"/>
    <x v="1"/>
    <x v="3"/>
    <x v="0"/>
    <x v="8"/>
    <n v="-169.89999999999998"/>
  </r>
  <r>
    <d v="2024-09-25T00:00:00"/>
    <s v="marketing"/>
    <s v="NA"/>
    <x v="0"/>
    <n v="99.93"/>
    <x v="2"/>
    <x v="0"/>
    <x v="0"/>
    <x v="8"/>
    <n v="-1392.3600000000001"/>
  </r>
  <r>
    <d v="2024-09-25T00:00:00"/>
    <s v="net sales:product 1"/>
    <n v="9.99"/>
    <x v="138"/>
    <n v="519.48"/>
    <x v="3"/>
    <x v="1"/>
    <x v="0"/>
    <x v="8"/>
    <n v="-100.07000000000001"/>
  </r>
  <r>
    <d v="2024-09-25T00:00:00"/>
    <s v="net sales:product 2"/>
    <n v="24.99"/>
    <x v="10"/>
    <n v="49.98"/>
    <x v="3"/>
    <x v="2"/>
    <x v="0"/>
    <x v="8"/>
    <n v="629.37"/>
  </r>
  <r>
    <d v="2024-09-25T00:00:00"/>
    <s v="net sales:product 3"/>
    <n v="12.49"/>
    <x v="52"/>
    <n v="1136.5899999999999"/>
    <x v="3"/>
    <x v="3"/>
    <x v="0"/>
    <x v="8"/>
    <n v="249.89999999999998"/>
  </r>
  <r>
    <d v="2024-09-26T00:00:00"/>
    <s v="cogs:product 1"/>
    <n v="5.99"/>
    <x v="145"/>
    <n v="89.850000000000009"/>
    <x v="1"/>
    <x v="1"/>
    <x v="0"/>
    <x v="8"/>
    <n v="2048.36"/>
  </r>
  <r>
    <d v="2024-09-26T00:00:00"/>
    <s v="cogs:product 2"/>
    <n v="16.989999999999998"/>
    <x v="25"/>
    <n v="16.989999999999998"/>
    <x v="1"/>
    <x v="2"/>
    <x v="0"/>
    <x v="8"/>
    <n v="-485.19"/>
  </r>
  <r>
    <d v="2024-09-26T00:00:00"/>
    <s v="cogs:product 3"/>
    <n v="8.49"/>
    <x v="156"/>
    <n v="1018.8000000000001"/>
    <x v="1"/>
    <x v="3"/>
    <x v="0"/>
    <x v="8"/>
    <n v="-16.989999999999998"/>
  </r>
  <r>
    <d v="2024-09-26T00:00:00"/>
    <s v="marketing"/>
    <s v="NA"/>
    <x v="0"/>
    <n v="100.04"/>
    <x v="2"/>
    <x v="0"/>
    <x v="0"/>
    <x v="8"/>
    <n v="-1383.8700000000001"/>
  </r>
  <r>
    <d v="2024-09-26T00:00:00"/>
    <s v="net sales:product 1"/>
    <n v="9.99"/>
    <x v="145"/>
    <n v="149.85"/>
    <x v="3"/>
    <x v="1"/>
    <x v="0"/>
    <x v="8"/>
    <n v="-99.92"/>
  </r>
  <r>
    <d v="2024-09-26T00:00:00"/>
    <s v="net sales:product 2"/>
    <n v="24.99"/>
    <x v="25"/>
    <n v="24.99"/>
    <x v="3"/>
    <x v="2"/>
    <x v="0"/>
    <x v="8"/>
    <n v="809.19"/>
  </r>
  <r>
    <d v="2024-09-26T00:00:00"/>
    <s v="net sales:product 3"/>
    <n v="12.49"/>
    <x v="156"/>
    <n v="1498.8"/>
    <x v="3"/>
    <x v="3"/>
    <x v="0"/>
    <x v="8"/>
    <n v="24.99"/>
  </r>
  <r>
    <d v="2024-09-27T00:00:00"/>
    <s v="cogs:product 1"/>
    <n v="5.99"/>
    <x v="79"/>
    <n v="377.37"/>
    <x v="1"/>
    <x v="1"/>
    <x v="0"/>
    <x v="8"/>
    <n v="2035.8700000000001"/>
  </r>
  <r>
    <d v="2024-09-27T00:00:00"/>
    <s v="cogs:product 2"/>
    <n v="16.989999999999998"/>
    <x v="13"/>
    <n v="118.92999999999999"/>
    <x v="1"/>
    <x v="2"/>
    <x v="0"/>
    <x v="8"/>
    <n v="-335.44"/>
  </r>
  <r>
    <d v="2024-09-27T00:00:00"/>
    <s v="cogs:product 3"/>
    <n v="8.49"/>
    <x v="82"/>
    <n v="755.61"/>
    <x v="1"/>
    <x v="3"/>
    <x v="0"/>
    <x v="8"/>
    <n v="-67.959999999999994"/>
  </r>
  <r>
    <d v="2024-09-27T00:00:00"/>
    <s v="marketing"/>
    <s v="NA"/>
    <x v="0"/>
    <n v="100.07000000000001"/>
    <x v="2"/>
    <x v="0"/>
    <x v="0"/>
    <x v="8"/>
    <n v="-840.51"/>
  </r>
  <r>
    <d v="2024-09-27T00:00:00"/>
    <s v="net sales:product 1"/>
    <n v="9.99"/>
    <x v="79"/>
    <n v="629.37"/>
    <x v="3"/>
    <x v="1"/>
    <x v="0"/>
    <x v="8"/>
    <n v="-99.97"/>
  </r>
  <r>
    <d v="2024-09-27T00:00:00"/>
    <s v="net sales:product 2"/>
    <n v="24.99"/>
    <x v="13"/>
    <n v="174.92999999999998"/>
    <x v="3"/>
    <x v="2"/>
    <x v="0"/>
    <x v="8"/>
    <n v="559.44000000000005"/>
  </r>
  <r>
    <d v="2024-09-27T00:00:00"/>
    <s v="net sales:product 3"/>
    <n v="12.49"/>
    <x v="82"/>
    <n v="1111.6100000000001"/>
    <x v="3"/>
    <x v="3"/>
    <x v="0"/>
    <x v="8"/>
    <n v="99.96"/>
  </r>
  <r>
    <d v="2024-09-27T00:00:00"/>
    <s v="payroll"/>
    <s v="NA"/>
    <x v="0"/>
    <n v="1200"/>
    <x v="5"/>
    <x v="0"/>
    <x v="0"/>
    <x v="8"/>
    <n v="1236.51"/>
  </r>
  <r>
    <d v="2024-09-28T00:00:00"/>
    <s v="cogs:product 1"/>
    <n v="5.99"/>
    <x v="107"/>
    <n v="197.67000000000002"/>
    <x v="1"/>
    <x v="1"/>
    <x v="0"/>
    <x v="8"/>
    <n v="-119.80000000000001"/>
  </r>
  <r>
    <d v="2024-09-28T00:00:00"/>
    <s v="cogs:product 2"/>
    <n v="16.989999999999998"/>
    <x v="2"/>
    <n v="50.97"/>
    <x v="1"/>
    <x v="2"/>
    <x v="0"/>
    <x v="8"/>
    <n v="-16.989999999999998"/>
  </r>
  <r>
    <d v="2024-09-28T00:00:00"/>
    <s v="cogs:product 3"/>
    <n v="8.49"/>
    <x v="181"/>
    <n v="2054.58"/>
    <x v="1"/>
    <x v="3"/>
    <x v="0"/>
    <x v="8"/>
    <n v="-1553.67"/>
  </r>
  <r>
    <d v="2024-09-28T00:00:00"/>
    <s v="marketing"/>
    <s v="NA"/>
    <x v="0"/>
    <n v="100.05"/>
    <x v="2"/>
    <x v="0"/>
    <x v="0"/>
    <x v="8"/>
    <n v="-100.06"/>
  </r>
  <r>
    <d v="2024-09-28T00:00:00"/>
    <s v="net sales:product 1"/>
    <n v="9.99"/>
    <x v="107"/>
    <n v="329.67"/>
    <x v="3"/>
    <x v="1"/>
    <x v="0"/>
    <x v="8"/>
    <n v="199.8"/>
  </r>
  <r>
    <d v="2024-09-28T00:00:00"/>
    <s v="net sales:product 2"/>
    <n v="24.99"/>
    <x v="2"/>
    <n v="74.97"/>
    <x v="3"/>
    <x v="2"/>
    <x v="0"/>
    <x v="8"/>
    <n v="24.99"/>
  </r>
  <r>
    <d v="2024-09-28T00:00:00"/>
    <s v="net sales:product 3"/>
    <n v="12.49"/>
    <x v="181"/>
    <n v="3022.58"/>
    <x v="3"/>
    <x v="3"/>
    <x v="0"/>
    <x v="8"/>
    <n v="2285.67"/>
  </r>
  <r>
    <d v="2024-09-29T00:00:00"/>
    <s v="cogs:product 1"/>
    <n v="5.99"/>
    <x v="78"/>
    <n v="335.44"/>
    <x v="1"/>
    <x v="1"/>
    <x v="0"/>
    <x v="8"/>
    <n v="-581.03"/>
  </r>
  <r>
    <d v="2024-09-29T00:00:00"/>
    <s v="cogs:product 2"/>
    <n v="16.989999999999998"/>
    <x v="10"/>
    <n v="33.979999999999997"/>
    <x v="1"/>
    <x v="2"/>
    <x v="0"/>
    <x v="8"/>
    <n v="0"/>
  </r>
  <r>
    <d v="2024-09-29T00:00:00"/>
    <s v="cogs:product 3"/>
    <n v="8.49"/>
    <x v="114"/>
    <n v="407.52"/>
    <x v="1"/>
    <x v="3"/>
    <x v="0"/>
    <x v="8"/>
    <n v="-1502.73"/>
  </r>
  <r>
    <d v="2024-09-29T00:00:00"/>
    <s v="marketing"/>
    <s v="NA"/>
    <x v="0"/>
    <n v="100"/>
    <x v="2"/>
    <x v="0"/>
    <x v="0"/>
    <x v="8"/>
    <n v="-99.990000000000009"/>
  </r>
  <r>
    <d v="2024-09-29T00:00:00"/>
    <s v="net sales:product 1"/>
    <n v="9.99"/>
    <x v="78"/>
    <n v="559.44000000000005"/>
    <x v="3"/>
    <x v="1"/>
    <x v="0"/>
    <x v="8"/>
    <n v="969.03"/>
  </r>
  <r>
    <d v="2024-09-29T00:00:00"/>
    <s v="net sales:product 2"/>
    <n v="24.99"/>
    <x v="10"/>
    <n v="49.98"/>
    <x v="3"/>
    <x v="2"/>
    <x v="0"/>
    <x v="8"/>
    <n v="0"/>
  </r>
  <r>
    <d v="2024-09-29T00:00:00"/>
    <s v="net sales:product 3"/>
    <n v="12.49"/>
    <x v="114"/>
    <n v="599.52"/>
    <x v="3"/>
    <x v="3"/>
    <x v="0"/>
    <x v="8"/>
    <n v="2210.73"/>
  </r>
  <r>
    <d v="2024-09-30T00:00:00"/>
    <s v="cogs:product 1"/>
    <n v="5.99"/>
    <x v="115"/>
    <n v="455.24"/>
    <x v="1"/>
    <x v="1"/>
    <x v="0"/>
    <x v="8"/>
    <n v="-1200"/>
  </r>
  <r>
    <d v="2024-09-30T00:00:00"/>
    <s v="cogs:product 2"/>
    <n v="16.989999999999998"/>
    <x v="25"/>
    <n v="16.989999999999998"/>
    <x v="1"/>
    <x v="2"/>
    <x v="0"/>
    <x v="8"/>
    <n v="-287.52"/>
  </r>
  <r>
    <d v="2024-09-30T00:00:00"/>
    <s v="cogs:product 3"/>
    <n v="8.49"/>
    <x v="65"/>
    <n v="1392.3600000000001"/>
    <x v="1"/>
    <x v="3"/>
    <x v="0"/>
    <x v="8"/>
    <n v="-101.94"/>
  </r>
  <r>
    <d v="2024-09-30T00:00:00"/>
    <s v="marketing"/>
    <s v="NA"/>
    <x v="0"/>
    <n v="100.09"/>
    <x v="2"/>
    <x v="0"/>
    <x v="0"/>
    <x v="8"/>
    <n v="-568.83000000000004"/>
  </r>
  <r>
    <d v="2024-09-30T00:00:00"/>
    <s v="net sales:product 1"/>
    <n v="9.99"/>
    <x v="115"/>
    <n v="759.24"/>
    <x v="3"/>
    <x v="1"/>
    <x v="0"/>
    <x v="8"/>
    <n v="-100.08"/>
  </r>
  <r>
    <d v="2024-09-30T00:00:00"/>
    <s v="net sales:product 2"/>
    <n v="24.99"/>
    <x v="25"/>
    <n v="24.99"/>
    <x v="3"/>
    <x v="2"/>
    <x v="0"/>
    <x v="8"/>
    <n v="479.52"/>
  </r>
  <r>
    <d v="2024-09-30T00:00:00"/>
    <s v="net sales:product 3"/>
    <n v="12.49"/>
    <x v="65"/>
    <n v="2048.36"/>
    <x v="3"/>
    <x v="3"/>
    <x v="0"/>
    <x v="8"/>
    <n v="149.94"/>
  </r>
  <r>
    <d v="2024-10-01T00:00:00"/>
    <s v="amortization"/>
    <s v="NA"/>
    <x v="0"/>
    <n v="50"/>
    <x v="0"/>
    <x v="0"/>
    <x v="0"/>
    <x v="9"/>
    <n v="836.83"/>
  </r>
  <r>
    <d v="2024-10-01T00:00:00"/>
    <s v="cogs:product 1"/>
    <n v="5.99"/>
    <x v="138"/>
    <n v="311.48"/>
    <x v="1"/>
    <x v="1"/>
    <x v="0"/>
    <x v="9"/>
    <n v="0"/>
  </r>
  <r>
    <d v="2024-10-01T00:00:00"/>
    <s v="cogs:product 2"/>
    <n v="16.989999999999998"/>
    <x v="16"/>
    <n v="135.91999999999999"/>
    <x v="1"/>
    <x v="2"/>
    <x v="0"/>
    <x v="9"/>
    <n v="-323.46000000000004"/>
  </r>
  <r>
    <d v="2024-10-01T00:00:00"/>
    <s v="cogs:product 3"/>
    <n v="8.49"/>
    <x v="176"/>
    <n v="1239.54"/>
    <x v="1"/>
    <x v="3"/>
    <x v="0"/>
    <x v="9"/>
    <n v="-101.94"/>
  </r>
  <r>
    <d v="2024-10-01T00:00:00"/>
    <s v="marketing"/>
    <s v="NA"/>
    <x v="0"/>
    <n v="99.92"/>
    <x v="2"/>
    <x v="0"/>
    <x v="0"/>
    <x v="9"/>
    <n v="-2080.0500000000002"/>
  </r>
  <r>
    <d v="2024-10-01T00:00:00"/>
    <s v="net sales:product 1"/>
    <n v="9.99"/>
    <x v="138"/>
    <n v="519.48"/>
    <x v="3"/>
    <x v="1"/>
    <x v="0"/>
    <x v="9"/>
    <n v="-99.9"/>
  </r>
  <r>
    <d v="2024-10-01T00:00:00"/>
    <s v="net sales:product 2"/>
    <n v="24.99"/>
    <x v="16"/>
    <n v="199.92"/>
    <x v="3"/>
    <x v="2"/>
    <x v="0"/>
    <x v="9"/>
    <n v="539.46"/>
  </r>
  <r>
    <d v="2024-10-01T00:00:00"/>
    <s v="net sales:product 3"/>
    <n v="12.49"/>
    <x v="176"/>
    <n v="1823.54"/>
    <x v="3"/>
    <x v="3"/>
    <x v="0"/>
    <x v="9"/>
    <n v="149.94"/>
  </r>
  <r>
    <d v="2024-10-01T00:00:00"/>
    <s v="overhead"/>
    <s v="NA"/>
    <x v="0"/>
    <n v="2000"/>
    <x v="4"/>
    <x v="0"/>
    <x v="0"/>
    <x v="9"/>
    <n v="3060.05"/>
  </r>
  <r>
    <d v="2024-10-02T00:00:00"/>
    <s v="cogs:product 1"/>
    <n v="5.99"/>
    <x v="72"/>
    <n v="143.76"/>
    <x v="1"/>
    <x v="1"/>
    <x v="0"/>
    <x v="9"/>
    <n v="-2000"/>
  </r>
  <r>
    <d v="2024-10-02T00:00:00"/>
    <s v="cogs:product 2"/>
    <n v="16.989999999999998"/>
    <x v="2"/>
    <n v="50.97"/>
    <x v="1"/>
    <x v="2"/>
    <x v="0"/>
    <x v="9"/>
    <n v="-371.38"/>
  </r>
  <r>
    <d v="2024-10-02T00:00:00"/>
    <s v="cogs:product 3"/>
    <n v="8.49"/>
    <x v="5"/>
    <n v="1918.74"/>
    <x v="1"/>
    <x v="3"/>
    <x v="0"/>
    <x v="9"/>
    <n v="-101.94"/>
  </r>
  <r>
    <d v="2024-10-02T00:00:00"/>
    <s v="marketing"/>
    <s v="NA"/>
    <x v="0"/>
    <n v="100.03"/>
    <x v="2"/>
    <x v="0"/>
    <x v="0"/>
    <x v="9"/>
    <n v="-407.52"/>
  </r>
  <r>
    <d v="2024-10-02T00:00:00"/>
    <s v="net sales:product 1"/>
    <n v="9.99"/>
    <x v="72"/>
    <n v="239.76"/>
    <x v="3"/>
    <x v="1"/>
    <x v="0"/>
    <x v="9"/>
    <n v="-100.06"/>
  </r>
  <r>
    <d v="2024-10-02T00:00:00"/>
    <s v="net sales:product 2"/>
    <n v="24.99"/>
    <x v="2"/>
    <n v="74.97"/>
    <x v="3"/>
    <x v="2"/>
    <x v="0"/>
    <x v="9"/>
    <n v="619.38"/>
  </r>
  <r>
    <d v="2024-10-02T00:00:00"/>
    <s v="net sales:product 3"/>
    <n v="12.49"/>
    <x v="5"/>
    <n v="2822.7400000000002"/>
    <x v="3"/>
    <x v="3"/>
    <x v="0"/>
    <x v="9"/>
    <n v="149.94"/>
  </r>
  <r>
    <d v="2024-10-03T00:00:00"/>
    <s v="cogs:product 1"/>
    <n v="5.99"/>
    <x v="59"/>
    <n v="353.41"/>
    <x v="1"/>
    <x v="1"/>
    <x v="0"/>
    <x v="9"/>
    <n v="599.52"/>
  </r>
  <r>
    <d v="2024-10-03T00:00:00"/>
    <s v="cogs:product 2"/>
    <n v="16.989999999999998"/>
    <x v="42"/>
    <n v="101.94"/>
    <x v="1"/>
    <x v="2"/>
    <x v="0"/>
    <x v="9"/>
    <n v="-149.75"/>
  </r>
  <r>
    <d v="2024-10-03T00:00:00"/>
    <s v="cogs:product 3"/>
    <n v="8.49"/>
    <x v="156"/>
    <n v="1018.8000000000001"/>
    <x v="1"/>
    <x v="3"/>
    <x v="0"/>
    <x v="9"/>
    <n v="-50.97"/>
  </r>
  <r>
    <d v="2024-10-03T00:00:00"/>
    <s v="marketing"/>
    <s v="NA"/>
    <x v="0"/>
    <n v="99.91"/>
    <x v="2"/>
    <x v="0"/>
    <x v="0"/>
    <x v="9"/>
    <n v="-339.6"/>
  </r>
  <r>
    <d v="2024-10-03T00:00:00"/>
    <s v="net sales:product 1"/>
    <n v="9.99"/>
    <x v="59"/>
    <n v="589.41"/>
    <x v="3"/>
    <x v="1"/>
    <x v="0"/>
    <x v="9"/>
    <n v="-99.98"/>
  </r>
  <r>
    <d v="2024-10-03T00:00:00"/>
    <s v="net sales:product 2"/>
    <n v="24.99"/>
    <x v="42"/>
    <n v="149.94"/>
    <x v="3"/>
    <x v="2"/>
    <x v="0"/>
    <x v="9"/>
    <n v="249.75"/>
  </r>
  <r>
    <d v="2024-10-03T00:00:00"/>
    <s v="net sales:product 3"/>
    <n v="12.49"/>
    <x v="156"/>
    <n v="1498.8"/>
    <x v="3"/>
    <x v="3"/>
    <x v="0"/>
    <x v="9"/>
    <n v="74.97"/>
  </r>
  <r>
    <d v="2024-10-04T00:00:00"/>
    <s v="cogs:product 1"/>
    <n v="5.99"/>
    <x v="52"/>
    <n v="545.09"/>
    <x v="1"/>
    <x v="1"/>
    <x v="0"/>
    <x v="9"/>
    <n v="499.6"/>
  </r>
  <r>
    <d v="2024-10-04T00:00:00"/>
    <s v="cogs:product 2"/>
    <n v="16.989999999999998"/>
    <x v="25"/>
    <n v="16.989999999999998"/>
    <x v="1"/>
    <x v="2"/>
    <x v="0"/>
    <x v="9"/>
    <n v="-473.21000000000004"/>
  </r>
  <r>
    <d v="2024-10-04T00:00:00"/>
    <s v="cogs:product 3"/>
    <n v="8.49"/>
    <x v="65"/>
    <n v="1392.3600000000001"/>
    <x v="1"/>
    <x v="3"/>
    <x v="0"/>
    <x v="9"/>
    <n v="-118.92999999999999"/>
  </r>
  <r>
    <d v="2024-10-04T00:00:00"/>
    <s v="marketing"/>
    <s v="NA"/>
    <x v="0"/>
    <n v="100.09"/>
    <x v="2"/>
    <x v="0"/>
    <x v="0"/>
    <x v="9"/>
    <n v="-1969.68"/>
  </r>
  <r>
    <d v="2024-10-04T00:00:00"/>
    <s v="net sales:product 1"/>
    <n v="9.99"/>
    <x v="52"/>
    <n v="909.09"/>
    <x v="3"/>
    <x v="1"/>
    <x v="0"/>
    <x v="9"/>
    <n v="-99.94"/>
  </r>
  <r>
    <d v="2024-10-04T00:00:00"/>
    <s v="net sales:product 2"/>
    <n v="24.99"/>
    <x v="25"/>
    <n v="24.99"/>
    <x v="3"/>
    <x v="2"/>
    <x v="0"/>
    <x v="9"/>
    <n v="789.21"/>
  </r>
  <r>
    <d v="2024-10-04T00:00:00"/>
    <s v="net sales:product 3"/>
    <n v="12.49"/>
    <x v="65"/>
    <n v="2048.36"/>
    <x v="3"/>
    <x v="3"/>
    <x v="0"/>
    <x v="9"/>
    <n v="174.92999999999998"/>
  </r>
  <r>
    <d v="2024-10-05T00:00:00"/>
    <s v="cogs:product 1"/>
    <n v="5.99"/>
    <x v="50"/>
    <n v="539.1"/>
    <x v="1"/>
    <x v="1"/>
    <x v="0"/>
    <x v="9"/>
    <n v="2897.68"/>
  </r>
  <r>
    <d v="2024-10-05T00:00:00"/>
    <s v="cogs:product 2"/>
    <n v="16.989999999999998"/>
    <x v="16"/>
    <n v="135.91999999999999"/>
    <x v="1"/>
    <x v="2"/>
    <x v="0"/>
    <x v="9"/>
    <n v="-467.22"/>
  </r>
  <r>
    <d v="2024-10-05T00:00:00"/>
    <s v="cogs:product 3"/>
    <n v="8.49"/>
    <x v="182"/>
    <n v="1748.94"/>
    <x v="1"/>
    <x v="3"/>
    <x v="0"/>
    <x v="9"/>
    <n v="-67.959999999999994"/>
  </r>
  <r>
    <d v="2024-10-05T00:00:00"/>
    <s v="marketing"/>
    <s v="NA"/>
    <x v="0"/>
    <n v="100"/>
    <x v="2"/>
    <x v="0"/>
    <x v="0"/>
    <x v="9"/>
    <n v="-1876.29"/>
  </r>
  <r>
    <d v="2024-10-05T00:00:00"/>
    <s v="net sales:product 1"/>
    <n v="9.99"/>
    <x v="50"/>
    <n v="899.1"/>
    <x v="3"/>
    <x v="1"/>
    <x v="0"/>
    <x v="9"/>
    <n v="-100.05"/>
  </r>
  <r>
    <d v="2024-10-05T00:00:00"/>
    <s v="net sales:product 2"/>
    <n v="24.99"/>
    <x v="16"/>
    <n v="199.92"/>
    <x v="3"/>
    <x v="2"/>
    <x v="0"/>
    <x v="9"/>
    <n v="779.22"/>
  </r>
  <r>
    <d v="2024-10-05T00:00:00"/>
    <s v="net sales:product 3"/>
    <n v="12.49"/>
    <x v="182"/>
    <n v="2572.94"/>
    <x v="3"/>
    <x v="3"/>
    <x v="0"/>
    <x v="9"/>
    <n v="99.96"/>
  </r>
  <r>
    <d v="2024-10-06T00:00:00"/>
    <s v="cogs:product 1"/>
    <n v="5.99"/>
    <x v="19"/>
    <n v="23.96"/>
    <x v="1"/>
    <x v="1"/>
    <x v="0"/>
    <x v="9"/>
    <n v="2760.29"/>
  </r>
  <r>
    <d v="2024-10-06T00:00:00"/>
    <s v="cogs:product 2"/>
    <n v="16.989999999999998"/>
    <x v="25"/>
    <n v="16.989999999999998"/>
    <x v="1"/>
    <x v="2"/>
    <x v="0"/>
    <x v="9"/>
    <n v="-491.18"/>
  </r>
  <r>
    <d v="2024-10-06T00:00:00"/>
    <s v="cogs:product 3"/>
    <n v="8.49"/>
    <x v="183"/>
    <n v="984.84"/>
    <x v="1"/>
    <x v="3"/>
    <x v="0"/>
    <x v="9"/>
    <n v="-169.89999999999998"/>
  </r>
  <r>
    <d v="2024-10-06T00:00:00"/>
    <s v="marketing"/>
    <s v="NA"/>
    <x v="0"/>
    <n v="99.97"/>
    <x v="2"/>
    <x v="0"/>
    <x v="0"/>
    <x v="9"/>
    <n v="-1740.45"/>
  </r>
  <r>
    <d v="2024-10-06T00:00:00"/>
    <s v="net sales:product 1"/>
    <n v="9.99"/>
    <x v="19"/>
    <n v="39.96"/>
    <x v="3"/>
    <x v="1"/>
    <x v="0"/>
    <x v="9"/>
    <n v="-99.9"/>
  </r>
  <r>
    <d v="2024-10-06T00:00:00"/>
    <s v="net sales:product 2"/>
    <n v="24.99"/>
    <x v="25"/>
    <n v="24.99"/>
    <x v="3"/>
    <x v="2"/>
    <x v="0"/>
    <x v="9"/>
    <n v="819.18000000000006"/>
  </r>
  <r>
    <d v="2024-10-06T00:00:00"/>
    <s v="net sales:product 3"/>
    <n v="12.49"/>
    <x v="183"/>
    <n v="1448.84"/>
    <x v="3"/>
    <x v="3"/>
    <x v="0"/>
    <x v="9"/>
    <n v="249.89999999999998"/>
  </r>
  <r>
    <d v="2024-10-07T00:00:00"/>
    <s v="cogs:product 1"/>
    <n v="5.99"/>
    <x v="28"/>
    <n v="347.42"/>
    <x v="1"/>
    <x v="1"/>
    <x v="0"/>
    <x v="9"/>
    <n v="2560.4499999999998"/>
  </r>
  <r>
    <d v="2024-10-07T00:00:00"/>
    <s v="cogs:product 2"/>
    <n v="16.989999999999998"/>
    <x v="16"/>
    <n v="135.91999999999999"/>
    <x v="1"/>
    <x v="2"/>
    <x v="0"/>
    <x v="9"/>
    <n v="-131.78"/>
  </r>
  <r>
    <d v="2024-10-07T00:00:00"/>
    <s v="cogs:product 3"/>
    <n v="8.49"/>
    <x v="70"/>
    <n v="1681.02"/>
    <x v="1"/>
    <x v="3"/>
    <x v="0"/>
    <x v="9"/>
    <n v="-33.979999999999997"/>
  </r>
  <r>
    <d v="2024-10-07T00:00:00"/>
    <s v="marketing"/>
    <s v="NA"/>
    <x v="0"/>
    <n v="100.08"/>
    <x v="2"/>
    <x v="0"/>
    <x v="0"/>
    <x v="9"/>
    <n v="0"/>
  </r>
  <r>
    <d v="2024-10-07T00:00:00"/>
    <s v="net sales:product 1"/>
    <n v="9.99"/>
    <x v="28"/>
    <n v="579.41999999999996"/>
    <x v="3"/>
    <x v="1"/>
    <x v="0"/>
    <x v="9"/>
    <n v="-99.9"/>
  </r>
  <r>
    <d v="2024-10-07T00:00:00"/>
    <s v="net sales:product 2"/>
    <n v="24.99"/>
    <x v="16"/>
    <n v="199.92"/>
    <x v="3"/>
    <x v="2"/>
    <x v="0"/>
    <x v="9"/>
    <n v="219.78"/>
  </r>
  <r>
    <d v="2024-10-07T00:00:00"/>
    <s v="net sales:product 3"/>
    <n v="12.49"/>
    <x v="70"/>
    <n v="2473.02"/>
    <x v="3"/>
    <x v="3"/>
    <x v="0"/>
    <x v="9"/>
    <n v="49.98"/>
  </r>
  <r>
    <d v="2024-10-08T00:00:00"/>
    <s v="cogs:product 1"/>
    <n v="5.99"/>
    <x v="95"/>
    <n v="359.40000000000003"/>
    <x v="1"/>
    <x v="1"/>
    <x v="0"/>
    <x v="9"/>
    <n v="0"/>
  </r>
  <r>
    <d v="2024-10-08T00:00:00"/>
    <s v="cogs:product 2"/>
    <n v="16.989999999999998"/>
    <x v="2"/>
    <n v="50.97"/>
    <x v="1"/>
    <x v="2"/>
    <x v="0"/>
    <x v="9"/>
    <n v="-155.74"/>
  </r>
  <r>
    <d v="2024-10-08T00:00:00"/>
    <s v="cogs:product 3"/>
    <n v="8.49"/>
    <x v="184"/>
    <n v="882.96"/>
    <x v="1"/>
    <x v="3"/>
    <x v="0"/>
    <x v="9"/>
    <n v="-118.92999999999999"/>
  </r>
  <r>
    <d v="2024-10-08T00:00:00"/>
    <s v="marketing"/>
    <s v="NA"/>
    <x v="0"/>
    <n v="100.04"/>
    <x v="2"/>
    <x v="0"/>
    <x v="0"/>
    <x v="9"/>
    <n v="-1349.91"/>
  </r>
  <r>
    <d v="2024-10-08T00:00:00"/>
    <s v="net sales:product 1"/>
    <n v="9.99"/>
    <x v="95"/>
    <n v="599.4"/>
    <x v="3"/>
    <x v="1"/>
    <x v="0"/>
    <x v="9"/>
    <n v="-100.05"/>
  </r>
  <r>
    <d v="2024-10-08T00:00:00"/>
    <s v="net sales:product 2"/>
    <n v="24.99"/>
    <x v="2"/>
    <n v="74.97"/>
    <x v="3"/>
    <x v="2"/>
    <x v="0"/>
    <x v="9"/>
    <n v="259.74"/>
  </r>
  <r>
    <d v="2024-10-08T00:00:00"/>
    <s v="net sales:product 3"/>
    <n v="12.49"/>
    <x v="184"/>
    <n v="1298.96"/>
    <x v="3"/>
    <x v="3"/>
    <x v="0"/>
    <x v="9"/>
    <n v="174.92999999999998"/>
  </r>
  <r>
    <d v="2024-10-09T00:00:00"/>
    <s v="cogs:product 1"/>
    <n v="5.99"/>
    <x v="35"/>
    <n v="113.81"/>
    <x v="1"/>
    <x v="1"/>
    <x v="0"/>
    <x v="9"/>
    <n v="1985.91"/>
  </r>
  <r>
    <d v="2024-10-09T00:00:00"/>
    <s v="cogs:product 2"/>
    <n v="16.989999999999998"/>
    <x v="13"/>
    <n v="118.92999999999999"/>
    <x v="1"/>
    <x v="2"/>
    <x v="0"/>
    <x v="9"/>
    <n v="-407.32"/>
  </r>
  <r>
    <d v="2024-10-09T00:00:00"/>
    <s v="cogs:product 3"/>
    <n v="8.49"/>
    <x v="83"/>
    <n v="390.54"/>
    <x v="1"/>
    <x v="3"/>
    <x v="0"/>
    <x v="9"/>
    <n v="-152.91"/>
  </r>
  <r>
    <d v="2024-10-09T00:00:00"/>
    <s v="marketing"/>
    <s v="NA"/>
    <x v="0"/>
    <n v="99.97"/>
    <x v="2"/>
    <x v="0"/>
    <x v="0"/>
    <x v="9"/>
    <n v="-1239.54"/>
  </r>
  <r>
    <d v="2024-10-09T00:00:00"/>
    <s v="net sales:product 1"/>
    <n v="9.99"/>
    <x v="35"/>
    <n v="189.81"/>
    <x v="3"/>
    <x v="1"/>
    <x v="0"/>
    <x v="9"/>
    <n v="-100.08"/>
  </r>
  <r>
    <d v="2024-10-09T00:00:00"/>
    <s v="net sales:product 2"/>
    <n v="24.99"/>
    <x v="13"/>
    <n v="174.92999999999998"/>
    <x v="3"/>
    <x v="2"/>
    <x v="0"/>
    <x v="9"/>
    <n v="679.32"/>
  </r>
  <r>
    <d v="2024-10-09T00:00:00"/>
    <s v="net sales:product 3"/>
    <n v="12.49"/>
    <x v="83"/>
    <n v="574.54"/>
    <x v="3"/>
    <x v="3"/>
    <x v="0"/>
    <x v="9"/>
    <n v="224.91"/>
  </r>
  <r>
    <d v="2024-10-10T00:00:00"/>
    <s v="cogs:product 1"/>
    <n v="5.99"/>
    <x v="45"/>
    <n v="65.89"/>
    <x v="1"/>
    <x v="1"/>
    <x v="0"/>
    <x v="9"/>
    <n v="1823.54"/>
  </r>
  <r>
    <d v="2024-10-10T00:00:00"/>
    <s v="cogs:product 2"/>
    <n v="16.989999999999998"/>
    <x v="42"/>
    <n v="101.94"/>
    <x v="1"/>
    <x v="2"/>
    <x v="0"/>
    <x v="9"/>
    <n v="-419.3"/>
  </r>
  <r>
    <d v="2024-10-10T00:00:00"/>
    <s v="cogs:product 3"/>
    <n v="8.49"/>
    <x v="19"/>
    <n v="33.96"/>
    <x v="1"/>
    <x v="3"/>
    <x v="0"/>
    <x v="9"/>
    <n v="-50.97"/>
  </r>
  <r>
    <d v="2024-10-10T00:00:00"/>
    <s v="marketing"/>
    <s v="NA"/>
    <x v="0"/>
    <n v="100.07000000000001"/>
    <x v="2"/>
    <x v="0"/>
    <x v="0"/>
    <x v="9"/>
    <n v="-382.05"/>
  </r>
  <r>
    <d v="2024-10-10T00:00:00"/>
    <s v="net sales:product 1"/>
    <n v="9.99"/>
    <x v="45"/>
    <n v="109.89"/>
    <x v="3"/>
    <x v="1"/>
    <x v="0"/>
    <x v="9"/>
    <n v="-100.05"/>
  </r>
  <r>
    <d v="2024-10-10T00:00:00"/>
    <s v="net sales:product 2"/>
    <n v="24.99"/>
    <x v="42"/>
    <n v="149.94"/>
    <x v="3"/>
    <x v="2"/>
    <x v="0"/>
    <x v="9"/>
    <n v="699.30000000000007"/>
  </r>
  <r>
    <d v="2024-10-10T00:00:00"/>
    <s v="net sales:product 3"/>
    <n v="12.49"/>
    <x v="19"/>
    <n v="49.96"/>
    <x v="3"/>
    <x v="3"/>
    <x v="0"/>
    <x v="9"/>
    <n v="74.97"/>
  </r>
  <r>
    <d v="2024-10-11T00:00:00"/>
    <s v="cogs:product 1"/>
    <n v="5.99"/>
    <x v="135"/>
    <n v="179.70000000000002"/>
    <x v="1"/>
    <x v="1"/>
    <x v="0"/>
    <x v="9"/>
    <n v="562.04999999999995"/>
  </r>
  <r>
    <d v="2024-10-11T00:00:00"/>
    <s v="cogs:product 2"/>
    <n v="16.989999999999998"/>
    <x v="7"/>
    <n v="152.91"/>
    <x v="1"/>
    <x v="2"/>
    <x v="0"/>
    <x v="9"/>
    <n v="-545.09"/>
  </r>
  <r>
    <d v="2024-10-11T00:00:00"/>
    <s v="cogs:product 3"/>
    <n v="8.49"/>
    <x v="161"/>
    <n v="1409.3400000000001"/>
    <x v="1"/>
    <x v="3"/>
    <x v="0"/>
    <x v="9"/>
    <n v="-33.979999999999997"/>
  </r>
  <r>
    <d v="2024-10-11T00:00:00"/>
    <s v="marketing"/>
    <s v="NA"/>
    <x v="0"/>
    <n v="100.04"/>
    <x v="2"/>
    <x v="0"/>
    <x v="0"/>
    <x v="9"/>
    <n v="-220.74"/>
  </r>
  <r>
    <d v="2024-10-11T00:00:00"/>
    <s v="net sales:product 1"/>
    <n v="9.99"/>
    <x v="135"/>
    <n v="299.7"/>
    <x v="3"/>
    <x v="1"/>
    <x v="0"/>
    <x v="9"/>
    <n v="-99.960000000000008"/>
  </r>
  <r>
    <d v="2024-10-11T00:00:00"/>
    <s v="net sales:product 2"/>
    <n v="24.99"/>
    <x v="7"/>
    <n v="224.91"/>
    <x v="3"/>
    <x v="2"/>
    <x v="0"/>
    <x v="9"/>
    <n v="909.09"/>
  </r>
  <r>
    <d v="2024-10-11T00:00:00"/>
    <s v="net sales:product 3"/>
    <n v="12.49"/>
    <x v="161"/>
    <n v="2073.34"/>
    <x v="3"/>
    <x v="3"/>
    <x v="0"/>
    <x v="9"/>
    <n v="49.98"/>
  </r>
  <r>
    <d v="2024-10-11T00:00:00"/>
    <s v="payroll"/>
    <s v="NA"/>
    <x v="0"/>
    <n v="1200"/>
    <x v="5"/>
    <x v="0"/>
    <x v="0"/>
    <x v="9"/>
    <n v="324.74"/>
  </r>
  <r>
    <d v="2024-10-12T00:00:00"/>
    <s v="cogs:product 1"/>
    <n v="5.99"/>
    <x v="31"/>
    <n v="107.82000000000001"/>
    <x v="1"/>
    <x v="1"/>
    <x v="0"/>
    <x v="9"/>
    <n v="-383.36"/>
  </r>
  <r>
    <d v="2024-10-12T00:00:00"/>
    <s v="cogs:product 2"/>
    <n v="16.989999999999998"/>
    <x v="42"/>
    <n v="101.94"/>
    <x v="1"/>
    <x v="2"/>
    <x v="0"/>
    <x v="9"/>
    <n v="-169.89999999999998"/>
  </r>
  <r>
    <d v="2024-10-12T00:00:00"/>
    <s v="cogs:product 3"/>
    <n v="8.49"/>
    <x v="185"/>
    <n v="1672.53"/>
    <x v="1"/>
    <x v="3"/>
    <x v="0"/>
    <x v="9"/>
    <n v="-1655.55"/>
  </r>
  <r>
    <d v="2024-10-12T00:00:00"/>
    <s v="marketing"/>
    <s v="NA"/>
    <x v="0"/>
    <n v="100.04"/>
    <x v="2"/>
    <x v="0"/>
    <x v="0"/>
    <x v="9"/>
    <n v="-99.95"/>
  </r>
  <r>
    <d v="2024-10-12T00:00:00"/>
    <s v="net sales:product 1"/>
    <n v="9.99"/>
    <x v="31"/>
    <n v="179.82"/>
    <x v="3"/>
    <x v="1"/>
    <x v="0"/>
    <x v="9"/>
    <n v="639.36"/>
  </r>
  <r>
    <d v="2024-10-12T00:00:00"/>
    <s v="net sales:product 2"/>
    <n v="24.99"/>
    <x v="42"/>
    <n v="149.94"/>
    <x v="3"/>
    <x v="2"/>
    <x v="0"/>
    <x v="9"/>
    <n v="249.89999999999998"/>
  </r>
  <r>
    <d v="2024-10-12T00:00:00"/>
    <s v="net sales:product 3"/>
    <n v="12.49"/>
    <x v="185"/>
    <n v="2460.5300000000002"/>
    <x v="3"/>
    <x v="3"/>
    <x v="0"/>
    <x v="9"/>
    <n v="2435.5500000000002"/>
  </r>
  <r>
    <d v="2024-10-13T00:00:00"/>
    <s v="cogs:product 1"/>
    <n v="5.99"/>
    <x v="110"/>
    <n v="365.39"/>
    <x v="1"/>
    <x v="1"/>
    <x v="0"/>
    <x v="9"/>
    <n v="-83.86"/>
  </r>
  <r>
    <d v="2024-10-13T00:00:00"/>
    <s v="cogs:product 2"/>
    <n v="16.989999999999998"/>
    <x v="2"/>
    <n v="50.97"/>
    <x v="1"/>
    <x v="2"/>
    <x v="0"/>
    <x v="9"/>
    <n v="-33.979999999999997"/>
  </r>
  <r>
    <d v="2024-10-13T00:00:00"/>
    <s v="cogs:product 3"/>
    <n v="8.49"/>
    <x v="175"/>
    <n v="1349.91"/>
    <x v="1"/>
    <x v="3"/>
    <x v="0"/>
    <x v="9"/>
    <n v="-1400.8500000000001"/>
  </r>
  <r>
    <d v="2024-10-13T00:00:00"/>
    <s v="marketing"/>
    <s v="NA"/>
    <x v="0"/>
    <n v="100.05"/>
    <x v="2"/>
    <x v="0"/>
    <x v="0"/>
    <x v="9"/>
    <n v="-99.91"/>
  </r>
  <r>
    <d v="2024-10-13T00:00:00"/>
    <s v="net sales:product 1"/>
    <n v="9.99"/>
    <x v="110"/>
    <n v="609.39"/>
    <x v="3"/>
    <x v="1"/>
    <x v="0"/>
    <x v="9"/>
    <n v="139.86000000000001"/>
  </r>
  <r>
    <d v="2024-10-13T00:00:00"/>
    <s v="net sales:product 2"/>
    <n v="24.99"/>
    <x v="2"/>
    <n v="74.97"/>
    <x v="3"/>
    <x v="2"/>
    <x v="0"/>
    <x v="9"/>
    <n v="49.98"/>
  </r>
  <r>
    <d v="2024-10-13T00:00:00"/>
    <s v="net sales:product 3"/>
    <n v="12.49"/>
    <x v="175"/>
    <n v="1985.91"/>
    <x v="3"/>
    <x v="3"/>
    <x v="0"/>
    <x v="9"/>
    <n v="2060.85"/>
  </r>
  <r>
    <d v="2024-10-14T00:00:00"/>
    <s v="cogs:product 1"/>
    <n v="5.99"/>
    <x v="117"/>
    <n v="515.14"/>
    <x v="1"/>
    <x v="1"/>
    <x v="0"/>
    <x v="9"/>
    <n v="-1200"/>
  </r>
  <r>
    <d v="2024-10-14T00:00:00"/>
    <s v="cogs:product 2"/>
    <n v="16.989999999999998"/>
    <x v="22"/>
    <n v="169.89999999999998"/>
    <x v="1"/>
    <x v="2"/>
    <x v="0"/>
    <x v="9"/>
    <n v="-239.60000000000002"/>
  </r>
  <r>
    <d v="2024-10-14T00:00:00"/>
    <s v="cogs:product 3"/>
    <n v="8.49"/>
    <x v="131"/>
    <n v="798.06000000000006"/>
    <x v="1"/>
    <x v="3"/>
    <x v="0"/>
    <x v="9"/>
    <n v="-101.94"/>
  </r>
  <r>
    <d v="2024-10-14T00:00:00"/>
    <s v="marketing"/>
    <s v="NA"/>
    <x v="0"/>
    <n v="100.08"/>
    <x v="2"/>
    <x v="0"/>
    <x v="0"/>
    <x v="9"/>
    <n v="-1137.6600000000001"/>
  </r>
  <r>
    <d v="2024-10-14T00:00:00"/>
    <s v="net sales:product 1"/>
    <n v="9.99"/>
    <x v="117"/>
    <n v="859.14"/>
    <x v="3"/>
    <x v="1"/>
    <x v="0"/>
    <x v="9"/>
    <n v="-100.04"/>
  </r>
  <r>
    <d v="2024-10-14T00:00:00"/>
    <s v="net sales:product 2"/>
    <n v="24.99"/>
    <x v="22"/>
    <n v="249.89999999999998"/>
    <x v="3"/>
    <x v="2"/>
    <x v="0"/>
    <x v="9"/>
    <n v="399.6"/>
  </r>
  <r>
    <d v="2024-10-14T00:00:00"/>
    <s v="net sales:product 3"/>
    <n v="12.49"/>
    <x v="131"/>
    <n v="1174.06"/>
    <x v="3"/>
    <x v="3"/>
    <x v="0"/>
    <x v="9"/>
    <n v="149.94"/>
  </r>
  <r>
    <d v="2024-10-15T00:00:00"/>
    <s v="cogs:product 1"/>
    <n v="5.99"/>
    <x v="108"/>
    <n v="575.04"/>
    <x v="1"/>
    <x v="1"/>
    <x v="0"/>
    <x v="9"/>
    <n v="1673.66"/>
  </r>
  <r>
    <d v="2024-10-15T00:00:00"/>
    <s v="cogs:product 2"/>
    <n v="16.989999999999998"/>
    <x v="23"/>
    <n v="0"/>
    <x v="1"/>
    <x v="2"/>
    <x v="0"/>
    <x v="9"/>
    <n v="-155.74"/>
  </r>
  <r>
    <d v="2024-10-15T00:00:00"/>
    <s v="cogs:product 3"/>
    <n v="8.49"/>
    <x v="180"/>
    <n v="1825.3500000000001"/>
    <x v="1"/>
    <x v="3"/>
    <x v="0"/>
    <x v="9"/>
    <n v="-33.979999999999997"/>
  </r>
  <r>
    <d v="2024-10-15T00:00:00"/>
    <s v="interest"/>
    <s v="NA"/>
    <x v="0"/>
    <n v="1252.1199999999999"/>
    <x v="6"/>
    <x v="0"/>
    <x v="0"/>
    <x v="9"/>
    <n v="-280.17"/>
  </r>
  <r>
    <d v="2024-10-15T00:00:00"/>
    <s v="marketing"/>
    <s v="NA"/>
    <x v="0"/>
    <n v="99.91"/>
    <x v="2"/>
    <x v="0"/>
    <x v="0"/>
    <x v="9"/>
    <n v="-1280.1600000000001"/>
  </r>
  <r>
    <d v="2024-10-15T00:00:00"/>
    <s v="net sales:product 1"/>
    <n v="9.99"/>
    <x v="108"/>
    <n v="959.04"/>
    <x v="3"/>
    <x v="1"/>
    <x v="0"/>
    <x v="9"/>
    <n v="-99.92"/>
  </r>
  <r>
    <d v="2024-10-15T00:00:00"/>
    <s v="net sales:product 2"/>
    <n v="24.99"/>
    <x v="23"/>
    <n v="0"/>
    <x v="3"/>
    <x v="2"/>
    <x v="0"/>
    <x v="9"/>
    <n v="259.74"/>
  </r>
  <r>
    <d v="2024-10-15T00:00:00"/>
    <s v="net sales:product 3"/>
    <n v="12.49"/>
    <x v="180"/>
    <n v="2685.35"/>
    <x v="3"/>
    <x v="3"/>
    <x v="0"/>
    <x v="9"/>
    <n v="49.98"/>
  </r>
  <r>
    <d v="2024-10-15T00:00:00"/>
    <s v="overhead"/>
    <s v="NA"/>
    <x v="0"/>
    <n v="316.27999999999997"/>
    <x v="4"/>
    <x v="0"/>
    <x v="0"/>
    <x v="9"/>
    <n v="412.17"/>
  </r>
  <r>
    <d v="2024-10-16T00:00:00"/>
    <s v="cogs:product 1"/>
    <n v="5.99"/>
    <x v="46"/>
    <n v="407.32"/>
    <x v="1"/>
    <x v="1"/>
    <x v="0"/>
    <x v="9"/>
    <n v="-320.04000000000002"/>
  </r>
  <r>
    <d v="2024-10-16T00:00:00"/>
    <s v="cogs:product 2"/>
    <n v="16.989999999999998"/>
    <x v="29"/>
    <n v="84.949999999999989"/>
    <x v="1"/>
    <x v="2"/>
    <x v="0"/>
    <x v="9"/>
    <n v="-443.26"/>
  </r>
  <r>
    <d v="2024-10-16T00:00:00"/>
    <s v="cogs:product 3"/>
    <n v="8.49"/>
    <x v="127"/>
    <n v="118.86"/>
    <x v="1"/>
    <x v="3"/>
    <x v="0"/>
    <x v="9"/>
    <n v="-152.91"/>
  </r>
  <r>
    <d v="2024-10-16T00:00:00"/>
    <s v="marketing"/>
    <s v="NA"/>
    <x v="0"/>
    <n v="100.06"/>
    <x v="2"/>
    <x v="0"/>
    <x v="0"/>
    <x v="9"/>
    <n v="-399.03000000000003"/>
  </r>
  <r>
    <d v="2024-10-16T00:00:00"/>
    <s v="net sales:product 1"/>
    <n v="9.99"/>
    <x v="46"/>
    <n v="679.32"/>
    <x v="3"/>
    <x v="1"/>
    <x v="0"/>
    <x v="9"/>
    <n v="-100.03"/>
  </r>
  <r>
    <d v="2024-10-16T00:00:00"/>
    <s v="net sales:product 2"/>
    <n v="24.99"/>
    <x v="29"/>
    <n v="124.94999999999999"/>
    <x v="3"/>
    <x v="2"/>
    <x v="0"/>
    <x v="9"/>
    <n v="739.26"/>
  </r>
  <r>
    <d v="2024-10-16T00:00:00"/>
    <s v="net sales:product 3"/>
    <n v="12.49"/>
    <x v="127"/>
    <n v="174.86"/>
    <x v="3"/>
    <x v="3"/>
    <x v="0"/>
    <x v="9"/>
    <n v="224.91"/>
  </r>
  <r>
    <d v="2024-10-17T00:00:00"/>
    <s v="cogs:product 1"/>
    <n v="5.99"/>
    <x v="107"/>
    <n v="197.67000000000002"/>
    <x v="1"/>
    <x v="1"/>
    <x v="0"/>
    <x v="9"/>
    <n v="587.03"/>
  </r>
  <r>
    <d v="2024-10-17T00:00:00"/>
    <s v="cogs:product 2"/>
    <n v="16.989999999999998"/>
    <x v="10"/>
    <n v="33.979999999999997"/>
    <x v="1"/>
    <x v="2"/>
    <x v="0"/>
    <x v="9"/>
    <n v="-95.84"/>
  </r>
  <r>
    <d v="2024-10-17T00:00:00"/>
    <s v="cogs:product 3"/>
    <n v="8.49"/>
    <x v="27"/>
    <n v="1332.93"/>
    <x v="1"/>
    <x v="3"/>
    <x v="0"/>
    <x v="9"/>
    <n v="-84.949999999999989"/>
  </r>
  <r>
    <d v="2024-10-17T00:00:00"/>
    <s v="marketing"/>
    <s v="NA"/>
    <x v="0"/>
    <n v="99.960000000000008"/>
    <x v="2"/>
    <x v="0"/>
    <x v="0"/>
    <x v="9"/>
    <n v="-1765.92"/>
  </r>
  <r>
    <d v="2024-10-17T00:00:00"/>
    <s v="net sales:product 1"/>
    <n v="9.99"/>
    <x v="107"/>
    <n v="329.67"/>
    <x v="3"/>
    <x v="1"/>
    <x v="0"/>
    <x v="9"/>
    <n v="-99.94"/>
  </r>
  <r>
    <d v="2024-10-17T00:00:00"/>
    <s v="net sales:product 2"/>
    <n v="24.99"/>
    <x v="10"/>
    <n v="49.98"/>
    <x v="3"/>
    <x v="2"/>
    <x v="0"/>
    <x v="9"/>
    <n v="159.84"/>
  </r>
  <r>
    <d v="2024-10-17T00:00:00"/>
    <s v="net sales:product 3"/>
    <n v="12.49"/>
    <x v="27"/>
    <n v="1960.93"/>
    <x v="3"/>
    <x v="3"/>
    <x v="0"/>
    <x v="9"/>
    <n v="124.94999999999999"/>
  </r>
  <r>
    <d v="2024-10-18T00:00:00"/>
    <s v="cogs:product 1"/>
    <n v="5.99"/>
    <x v="3"/>
    <n v="467.22"/>
    <x v="1"/>
    <x v="1"/>
    <x v="0"/>
    <x v="9"/>
    <n v="2597.92"/>
  </r>
  <r>
    <d v="2024-10-18T00:00:00"/>
    <s v="cogs:product 2"/>
    <n v="16.989999999999998"/>
    <x v="42"/>
    <n v="101.94"/>
    <x v="1"/>
    <x v="2"/>
    <x v="0"/>
    <x v="9"/>
    <n v="-29.950000000000003"/>
  </r>
  <r>
    <d v="2024-10-18T00:00:00"/>
    <s v="cogs:product 3"/>
    <n v="8.49"/>
    <x v="31"/>
    <n v="152.82"/>
    <x v="1"/>
    <x v="3"/>
    <x v="0"/>
    <x v="9"/>
    <n v="-33.979999999999997"/>
  </r>
  <r>
    <d v="2024-10-18T00:00:00"/>
    <s v="marketing"/>
    <s v="NA"/>
    <x v="0"/>
    <n v="99.91"/>
    <x v="2"/>
    <x v="0"/>
    <x v="0"/>
    <x v="9"/>
    <n v="-1638.57"/>
  </r>
  <r>
    <d v="2024-10-18T00:00:00"/>
    <s v="net sales:product 1"/>
    <n v="9.99"/>
    <x v="3"/>
    <n v="779.22"/>
    <x v="3"/>
    <x v="1"/>
    <x v="0"/>
    <x v="9"/>
    <n v="-99.95"/>
  </r>
  <r>
    <d v="2024-10-18T00:00:00"/>
    <s v="net sales:product 2"/>
    <n v="24.99"/>
    <x v="42"/>
    <n v="149.94"/>
    <x v="3"/>
    <x v="2"/>
    <x v="0"/>
    <x v="9"/>
    <n v="49.95"/>
  </r>
  <r>
    <d v="2024-10-18T00:00:00"/>
    <s v="net sales:product 3"/>
    <n v="12.49"/>
    <x v="31"/>
    <n v="224.82"/>
    <x v="3"/>
    <x v="3"/>
    <x v="0"/>
    <x v="9"/>
    <n v="49.98"/>
  </r>
  <r>
    <d v="2024-10-19T00:00:00"/>
    <s v="cogs:product 1"/>
    <n v="5.99"/>
    <x v="75"/>
    <n v="449.25"/>
    <x v="1"/>
    <x v="1"/>
    <x v="0"/>
    <x v="9"/>
    <n v="2410.5700000000002"/>
  </r>
  <r>
    <d v="2024-10-19T00:00:00"/>
    <s v="cogs:product 2"/>
    <n v="16.989999999999998"/>
    <x v="16"/>
    <n v="135.91999999999999"/>
    <x v="1"/>
    <x v="2"/>
    <x v="0"/>
    <x v="9"/>
    <n v="-41.93"/>
  </r>
  <r>
    <d v="2024-10-19T00:00:00"/>
    <s v="cogs:product 3"/>
    <n v="8.49"/>
    <x v="57"/>
    <n v="1451.79"/>
    <x v="1"/>
    <x v="3"/>
    <x v="0"/>
    <x v="9"/>
    <n v="-101.94"/>
  </r>
  <r>
    <d v="2024-10-19T00:00:00"/>
    <s v="marketing"/>
    <s v="NA"/>
    <x v="0"/>
    <n v="100.05"/>
    <x v="2"/>
    <x v="0"/>
    <x v="0"/>
    <x v="9"/>
    <n v="-1859.31"/>
  </r>
  <r>
    <d v="2024-10-19T00:00:00"/>
    <s v="net sales:product 1"/>
    <n v="9.99"/>
    <x v="75"/>
    <n v="749.25"/>
    <x v="3"/>
    <x v="1"/>
    <x v="0"/>
    <x v="9"/>
    <n v="-100.03"/>
  </r>
  <r>
    <d v="2024-10-19T00:00:00"/>
    <s v="net sales:product 2"/>
    <n v="24.99"/>
    <x v="16"/>
    <n v="199.92"/>
    <x v="3"/>
    <x v="2"/>
    <x v="0"/>
    <x v="9"/>
    <n v="69.930000000000007"/>
  </r>
  <r>
    <d v="2024-10-19T00:00:00"/>
    <s v="net sales:product 3"/>
    <n v="12.49"/>
    <x v="57"/>
    <n v="2135.79"/>
    <x v="3"/>
    <x v="3"/>
    <x v="0"/>
    <x v="9"/>
    <n v="149.94"/>
  </r>
  <r>
    <d v="2024-10-20T00:00:00"/>
    <s v="cogs:product 1"/>
    <n v="5.99"/>
    <x v="114"/>
    <n v="287.52"/>
    <x v="1"/>
    <x v="1"/>
    <x v="0"/>
    <x v="9"/>
    <n v="2735.31"/>
  </r>
  <r>
    <d v="2024-10-20T00:00:00"/>
    <s v="cogs:product 2"/>
    <n v="16.989999999999998"/>
    <x v="13"/>
    <n v="118.92999999999999"/>
    <x v="1"/>
    <x v="2"/>
    <x v="0"/>
    <x v="9"/>
    <n v="-41.93"/>
  </r>
  <r>
    <d v="2024-10-20T00:00:00"/>
    <s v="cogs:product 3"/>
    <n v="8.49"/>
    <x v="138"/>
    <n v="441.48"/>
    <x v="1"/>
    <x v="3"/>
    <x v="0"/>
    <x v="9"/>
    <n v="-135.91999999999999"/>
  </r>
  <r>
    <d v="2024-10-20T00:00:00"/>
    <s v="marketing"/>
    <s v="NA"/>
    <x v="0"/>
    <n v="99.93"/>
    <x v="2"/>
    <x v="0"/>
    <x v="0"/>
    <x v="9"/>
    <n v="-679.2"/>
  </r>
  <r>
    <d v="2024-10-20T00:00:00"/>
    <s v="net sales:product 1"/>
    <n v="9.99"/>
    <x v="114"/>
    <n v="479.52"/>
    <x v="3"/>
    <x v="1"/>
    <x v="0"/>
    <x v="9"/>
    <n v="-100.10000000000001"/>
  </r>
  <r>
    <d v="2024-10-20T00:00:00"/>
    <s v="net sales:product 2"/>
    <n v="24.99"/>
    <x v="13"/>
    <n v="174.92999999999998"/>
    <x v="3"/>
    <x v="2"/>
    <x v="0"/>
    <x v="9"/>
    <n v="69.930000000000007"/>
  </r>
  <r>
    <d v="2024-10-20T00:00:00"/>
    <s v="net sales:product 3"/>
    <n v="12.49"/>
    <x v="138"/>
    <n v="649.48"/>
    <x v="3"/>
    <x v="3"/>
    <x v="0"/>
    <x v="9"/>
    <n v="199.92"/>
  </r>
  <r>
    <d v="2024-10-21T00:00:00"/>
    <s v="cogs:product 1"/>
    <n v="5.99"/>
    <x v="1"/>
    <n v="425.29"/>
    <x v="1"/>
    <x v="1"/>
    <x v="0"/>
    <x v="9"/>
    <n v="999.2"/>
  </r>
  <r>
    <d v="2024-10-21T00:00:00"/>
    <s v="cogs:product 2"/>
    <n v="16.989999999999998"/>
    <x v="42"/>
    <n v="101.94"/>
    <x v="1"/>
    <x v="2"/>
    <x v="0"/>
    <x v="9"/>
    <n v="-35.94"/>
  </r>
  <r>
    <d v="2024-10-21T00:00:00"/>
    <s v="cogs:product 3"/>
    <n v="8.49"/>
    <x v="180"/>
    <n v="1825.3500000000001"/>
    <x v="1"/>
    <x v="3"/>
    <x v="0"/>
    <x v="9"/>
    <n v="0"/>
  </r>
  <r>
    <d v="2024-10-21T00:00:00"/>
    <s v="marketing"/>
    <s v="NA"/>
    <x v="0"/>
    <n v="99.92"/>
    <x v="2"/>
    <x v="0"/>
    <x v="0"/>
    <x v="9"/>
    <n v="-339.6"/>
  </r>
  <r>
    <d v="2024-10-21T00:00:00"/>
    <s v="net sales:product 1"/>
    <n v="9.99"/>
    <x v="1"/>
    <n v="709.29"/>
    <x v="3"/>
    <x v="1"/>
    <x v="0"/>
    <x v="9"/>
    <n v="-99.94"/>
  </r>
  <r>
    <d v="2024-10-21T00:00:00"/>
    <s v="net sales:product 2"/>
    <n v="24.99"/>
    <x v="42"/>
    <n v="149.94"/>
    <x v="3"/>
    <x v="2"/>
    <x v="0"/>
    <x v="9"/>
    <n v="59.94"/>
  </r>
  <r>
    <d v="2024-10-21T00:00:00"/>
    <s v="net sales:product 3"/>
    <n v="12.49"/>
    <x v="180"/>
    <n v="2685.35"/>
    <x v="3"/>
    <x v="3"/>
    <x v="0"/>
    <x v="9"/>
    <n v="0"/>
  </r>
  <r>
    <d v="2024-10-22T00:00:00"/>
    <s v="cogs:product 1"/>
    <n v="5.99"/>
    <x v="39"/>
    <n v="149.75"/>
    <x v="1"/>
    <x v="1"/>
    <x v="0"/>
    <x v="9"/>
    <n v="499.6"/>
  </r>
  <r>
    <d v="2024-10-22T00:00:00"/>
    <s v="cogs:product 2"/>
    <n v="16.989999999999998"/>
    <x v="2"/>
    <n v="50.97"/>
    <x v="1"/>
    <x v="2"/>
    <x v="0"/>
    <x v="9"/>
    <n v="-365.39"/>
  </r>
  <r>
    <d v="2024-10-22T00:00:00"/>
    <s v="cogs:product 3"/>
    <n v="8.49"/>
    <x v="129"/>
    <n v="1341.42"/>
    <x v="1"/>
    <x v="3"/>
    <x v="0"/>
    <x v="9"/>
    <n v="-50.97"/>
  </r>
  <r>
    <d v="2024-10-22T00:00:00"/>
    <s v="marketing"/>
    <s v="NA"/>
    <x v="0"/>
    <n v="99.98"/>
    <x v="2"/>
    <x v="0"/>
    <x v="0"/>
    <x v="9"/>
    <n v="-619.77"/>
  </r>
  <r>
    <d v="2024-10-22T00:00:00"/>
    <s v="net sales:product 1"/>
    <n v="9.99"/>
    <x v="39"/>
    <n v="249.75"/>
    <x v="3"/>
    <x v="1"/>
    <x v="0"/>
    <x v="9"/>
    <n v="-99.960000000000008"/>
  </r>
  <r>
    <d v="2024-10-22T00:00:00"/>
    <s v="net sales:product 2"/>
    <n v="24.99"/>
    <x v="2"/>
    <n v="74.97"/>
    <x v="3"/>
    <x v="2"/>
    <x v="0"/>
    <x v="9"/>
    <n v="609.39"/>
  </r>
  <r>
    <d v="2024-10-22T00:00:00"/>
    <s v="net sales:product 3"/>
    <n v="12.49"/>
    <x v="129"/>
    <n v="1973.42"/>
    <x v="3"/>
    <x v="3"/>
    <x v="0"/>
    <x v="9"/>
    <n v="74.97"/>
  </r>
  <r>
    <d v="2024-10-23T00:00:00"/>
    <s v="cogs:product 1"/>
    <n v="5.99"/>
    <x v="95"/>
    <n v="359.40000000000003"/>
    <x v="1"/>
    <x v="1"/>
    <x v="0"/>
    <x v="9"/>
    <n v="911.77"/>
  </r>
  <r>
    <d v="2024-10-23T00:00:00"/>
    <s v="cogs:product 2"/>
    <n v="16.989999999999998"/>
    <x v="42"/>
    <n v="101.94"/>
    <x v="1"/>
    <x v="2"/>
    <x v="0"/>
    <x v="9"/>
    <n v="-23.96"/>
  </r>
  <r>
    <d v="2024-10-23T00:00:00"/>
    <s v="cogs:product 3"/>
    <n v="8.49"/>
    <x v="186"/>
    <n v="2037.6000000000001"/>
    <x v="1"/>
    <x v="3"/>
    <x v="0"/>
    <x v="9"/>
    <n v="-152.91"/>
  </r>
  <r>
    <d v="2024-10-23T00:00:00"/>
    <s v="marketing"/>
    <s v="NA"/>
    <x v="0"/>
    <n v="100.06"/>
    <x v="2"/>
    <x v="0"/>
    <x v="0"/>
    <x v="9"/>
    <n v="-1867.8"/>
  </r>
  <r>
    <d v="2024-10-23T00:00:00"/>
    <s v="net sales:product 1"/>
    <n v="9.99"/>
    <x v="95"/>
    <n v="599.4"/>
    <x v="3"/>
    <x v="1"/>
    <x v="0"/>
    <x v="9"/>
    <n v="-100.04"/>
  </r>
  <r>
    <d v="2024-10-23T00:00:00"/>
    <s v="net sales:product 2"/>
    <n v="24.99"/>
    <x v="42"/>
    <n v="149.94"/>
    <x v="3"/>
    <x v="2"/>
    <x v="0"/>
    <x v="9"/>
    <n v="39.96"/>
  </r>
  <r>
    <d v="2024-10-23T00:00:00"/>
    <s v="net sales:product 3"/>
    <n v="12.49"/>
    <x v="186"/>
    <n v="2997.6"/>
    <x v="3"/>
    <x v="3"/>
    <x v="0"/>
    <x v="9"/>
    <n v="224.91"/>
  </r>
  <r>
    <d v="2024-10-24T00:00:00"/>
    <s v="cogs:product 1"/>
    <n v="5.99"/>
    <x v="35"/>
    <n v="113.81"/>
    <x v="1"/>
    <x v="1"/>
    <x v="0"/>
    <x v="9"/>
    <n v="2747.8"/>
  </r>
  <r>
    <d v="2024-10-24T00:00:00"/>
    <s v="cogs:product 2"/>
    <n v="16.989999999999998"/>
    <x v="29"/>
    <n v="84.949999999999989"/>
    <x v="1"/>
    <x v="2"/>
    <x v="0"/>
    <x v="9"/>
    <n v="-23.96"/>
  </r>
  <r>
    <d v="2024-10-24T00:00:00"/>
    <s v="cogs:product 3"/>
    <n v="8.49"/>
    <x v="47"/>
    <n v="2088.54"/>
    <x v="1"/>
    <x v="3"/>
    <x v="0"/>
    <x v="9"/>
    <n v="-50.97"/>
  </r>
  <r>
    <d v="2024-10-24T00:00:00"/>
    <s v="marketing"/>
    <s v="NA"/>
    <x v="0"/>
    <n v="100.02"/>
    <x v="2"/>
    <x v="0"/>
    <x v="0"/>
    <x v="9"/>
    <n v="-1825.3500000000001"/>
  </r>
  <r>
    <d v="2024-10-24T00:00:00"/>
    <s v="net sales:product 1"/>
    <n v="9.99"/>
    <x v="35"/>
    <n v="189.81"/>
    <x v="3"/>
    <x v="1"/>
    <x v="0"/>
    <x v="9"/>
    <n v="-100.04"/>
  </r>
  <r>
    <d v="2024-10-24T00:00:00"/>
    <s v="net sales:product 2"/>
    <n v="24.99"/>
    <x v="29"/>
    <n v="124.94999999999999"/>
    <x v="3"/>
    <x v="2"/>
    <x v="0"/>
    <x v="9"/>
    <n v="39.96"/>
  </r>
  <r>
    <d v="2024-10-24T00:00:00"/>
    <s v="net sales:product 3"/>
    <n v="12.49"/>
    <x v="47"/>
    <n v="3072.54"/>
    <x v="3"/>
    <x v="3"/>
    <x v="0"/>
    <x v="9"/>
    <n v="74.97"/>
  </r>
  <r>
    <d v="2024-10-25T00:00:00"/>
    <s v="cogs:product 1"/>
    <n v="5.99"/>
    <x v="127"/>
    <n v="83.86"/>
    <x v="1"/>
    <x v="1"/>
    <x v="0"/>
    <x v="9"/>
    <n v="2685.35"/>
  </r>
  <r>
    <d v="2024-10-25T00:00:00"/>
    <s v="cogs:product 2"/>
    <n v="16.989999999999998"/>
    <x v="10"/>
    <n v="33.979999999999997"/>
    <x v="1"/>
    <x v="2"/>
    <x v="0"/>
    <x v="9"/>
    <n v="-311.48"/>
  </r>
  <r>
    <d v="2024-10-25T00:00:00"/>
    <s v="cogs:product 3"/>
    <n v="8.49"/>
    <x v="71"/>
    <n v="704.67000000000007"/>
    <x v="1"/>
    <x v="3"/>
    <x v="0"/>
    <x v="9"/>
    <n v="-33.979999999999997"/>
  </r>
  <r>
    <d v="2024-10-25T00:00:00"/>
    <s v="marketing"/>
    <s v="NA"/>
    <x v="0"/>
    <n v="100.09"/>
    <x v="2"/>
    <x v="0"/>
    <x v="0"/>
    <x v="9"/>
    <n v="-772.59"/>
  </r>
  <r>
    <d v="2024-10-25T00:00:00"/>
    <s v="net sales:product 1"/>
    <n v="9.99"/>
    <x v="127"/>
    <n v="139.86000000000001"/>
    <x v="3"/>
    <x v="1"/>
    <x v="0"/>
    <x v="9"/>
    <n v="-99.93"/>
  </r>
  <r>
    <d v="2024-10-25T00:00:00"/>
    <s v="net sales:product 2"/>
    <n v="24.99"/>
    <x v="10"/>
    <n v="49.98"/>
    <x v="3"/>
    <x v="2"/>
    <x v="0"/>
    <x v="9"/>
    <n v="519.48"/>
  </r>
  <r>
    <d v="2024-10-25T00:00:00"/>
    <s v="net sales:product 3"/>
    <n v="12.49"/>
    <x v="71"/>
    <n v="1036.67"/>
    <x v="3"/>
    <x v="3"/>
    <x v="0"/>
    <x v="9"/>
    <n v="49.98"/>
  </r>
  <r>
    <d v="2024-10-25T00:00:00"/>
    <s v="payroll"/>
    <s v="NA"/>
    <x v="0"/>
    <n v="1200"/>
    <x v="5"/>
    <x v="0"/>
    <x v="0"/>
    <x v="9"/>
    <n v="1136.5899999999999"/>
  </r>
  <r>
    <d v="2024-10-26T00:00:00"/>
    <s v="cogs:product 1"/>
    <n v="5.99"/>
    <x v="74"/>
    <n v="329.45"/>
    <x v="1"/>
    <x v="1"/>
    <x v="0"/>
    <x v="9"/>
    <n v="-89.850000000000009"/>
  </r>
  <r>
    <d v="2024-10-26T00:00:00"/>
    <s v="cogs:product 2"/>
    <n v="16.989999999999998"/>
    <x v="42"/>
    <n v="101.94"/>
    <x v="1"/>
    <x v="2"/>
    <x v="0"/>
    <x v="9"/>
    <n v="-16.989999999999998"/>
  </r>
  <r>
    <d v="2024-10-26T00:00:00"/>
    <s v="cogs:product 3"/>
    <n v="8.49"/>
    <x v="187"/>
    <n v="1545.18"/>
    <x v="1"/>
    <x v="3"/>
    <x v="0"/>
    <x v="9"/>
    <n v="-1018.8000000000001"/>
  </r>
  <r>
    <d v="2024-10-26T00:00:00"/>
    <s v="marketing"/>
    <s v="NA"/>
    <x v="0"/>
    <n v="99.94"/>
    <x v="2"/>
    <x v="0"/>
    <x v="0"/>
    <x v="9"/>
    <n v="-100.04"/>
  </r>
  <r>
    <d v="2024-10-26T00:00:00"/>
    <s v="net sales:product 1"/>
    <n v="9.99"/>
    <x v="74"/>
    <n v="549.45000000000005"/>
    <x v="3"/>
    <x v="1"/>
    <x v="0"/>
    <x v="9"/>
    <n v="149.85"/>
  </r>
  <r>
    <d v="2024-10-26T00:00:00"/>
    <s v="net sales:product 2"/>
    <n v="24.99"/>
    <x v="42"/>
    <n v="149.94"/>
    <x v="3"/>
    <x v="2"/>
    <x v="0"/>
    <x v="9"/>
    <n v="24.99"/>
  </r>
  <r>
    <d v="2024-10-26T00:00:00"/>
    <s v="net sales:product 3"/>
    <n v="12.49"/>
    <x v="187"/>
    <n v="2273.1799999999998"/>
    <x v="3"/>
    <x v="3"/>
    <x v="0"/>
    <x v="9"/>
    <n v="1498.8"/>
  </r>
  <r>
    <d v="2024-10-27T00:00:00"/>
    <s v="cogs:product 1"/>
    <n v="5.99"/>
    <x v="48"/>
    <n v="371.38"/>
    <x v="1"/>
    <x v="1"/>
    <x v="0"/>
    <x v="9"/>
    <n v="-377.37"/>
  </r>
  <r>
    <d v="2024-10-27T00:00:00"/>
    <s v="cogs:product 2"/>
    <n v="16.989999999999998"/>
    <x v="29"/>
    <n v="84.949999999999989"/>
    <x v="1"/>
    <x v="2"/>
    <x v="0"/>
    <x v="9"/>
    <n v="-118.92999999999999"/>
  </r>
  <r>
    <d v="2024-10-27T00:00:00"/>
    <s v="cogs:product 3"/>
    <n v="8.49"/>
    <x v="104"/>
    <n v="585.81000000000006"/>
    <x v="1"/>
    <x v="3"/>
    <x v="0"/>
    <x v="9"/>
    <n v="-755.61"/>
  </r>
  <r>
    <d v="2024-10-27T00:00:00"/>
    <s v="marketing"/>
    <s v="NA"/>
    <x v="0"/>
    <n v="100"/>
    <x v="2"/>
    <x v="0"/>
    <x v="0"/>
    <x v="9"/>
    <n v="-100.07000000000001"/>
  </r>
  <r>
    <d v="2024-10-27T00:00:00"/>
    <s v="net sales:product 1"/>
    <n v="9.99"/>
    <x v="48"/>
    <n v="619.38"/>
    <x v="3"/>
    <x v="1"/>
    <x v="0"/>
    <x v="9"/>
    <n v="629.37"/>
  </r>
  <r>
    <d v="2024-10-27T00:00:00"/>
    <s v="net sales:product 2"/>
    <n v="24.99"/>
    <x v="29"/>
    <n v="124.94999999999999"/>
    <x v="3"/>
    <x v="2"/>
    <x v="0"/>
    <x v="9"/>
    <n v="174.92999999999998"/>
  </r>
  <r>
    <d v="2024-10-27T00:00:00"/>
    <s v="net sales:product 3"/>
    <n v="12.49"/>
    <x v="104"/>
    <n v="861.81000000000006"/>
    <x v="3"/>
    <x v="3"/>
    <x v="0"/>
    <x v="9"/>
    <n v="1111.6100000000001"/>
  </r>
  <r>
    <d v="2024-10-28T00:00:00"/>
    <s v="cogs:product 1"/>
    <n v="5.99"/>
    <x v="145"/>
    <n v="89.850000000000009"/>
    <x v="1"/>
    <x v="1"/>
    <x v="0"/>
    <x v="9"/>
    <n v="-1200"/>
  </r>
  <r>
    <d v="2024-10-28T00:00:00"/>
    <s v="cogs:product 2"/>
    <n v="16.989999999999998"/>
    <x v="10"/>
    <n v="33.979999999999997"/>
    <x v="1"/>
    <x v="2"/>
    <x v="0"/>
    <x v="9"/>
    <n v="-197.67000000000002"/>
  </r>
  <r>
    <d v="2024-10-28T00:00:00"/>
    <s v="cogs:product 3"/>
    <n v="8.49"/>
    <x v="158"/>
    <n v="611.28"/>
    <x v="1"/>
    <x v="3"/>
    <x v="0"/>
    <x v="9"/>
    <n v="-50.97"/>
  </r>
  <r>
    <d v="2024-10-28T00:00:00"/>
    <s v="marketing"/>
    <s v="NA"/>
    <x v="0"/>
    <n v="100"/>
    <x v="2"/>
    <x v="0"/>
    <x v="0"/>
    <x v="9"/>
    <n v="-2054.58"/>
  </r>
  <r>
    <d v="2024-10-28T00:00:00"/>
    <s v="net sales:product 1"/>
    <n v="9.99"/>
    <x v="145"/>
    <n v="149.85"/>
    <x v="3"/>
    <x v="1"/>
    <x v="0"/>
    <x v="9"/>
    <n v="-100.05"/>
  </r>
  <r>
    <d v="2024-10-28T00:00:00"/>
    <s v="net sales:product 2"/>
    <n v="24.99"/>
    <x v="10"/>
    <n v="49.98"/>
    <x v="3"/>
    <x v="2"/>
    <x v="0"/>
    <x v="9"/>
    <n v="329.67"/>
  </r>
  <r>
    <d v="2024-10-28T00:00:00"/>
    <s v="net sales:product 3"/>
    <n v="12.49"/>
    <x v="158"/>
    <n v="899.28"/>
    <x v="3"/>
    <x v="3"/>
    <x v="0"/>
    <x v="9"/>
    <n v="74.97"/>
  </r>
  <r>
    <d v="2024-10-29T00:00:00"/>
    <s v="cogs:product 1"/>
    <n v="5.99"/>
    <x v="172"/>
    <n v="323.46000000000004"/>
    <x v="1"/>
    <x v="1"/>
    <x v="0"/>
    <x v="9"/>
    <n v="3022.58"/>
  </r>
  <r>
    <d v="2024-10-29T00:00:00"/>
    <s v="cogs:product 2"/>
    <n v="16.989999999999998"/>
    <x v="10"/>
    <n v="33.979999999999997"/>
    <x v="1"/>
    <x v="2"/>
    <x v="0"/>
    <x v="9"/>
    <n v="-335.44"/>
  </r>
  <r>
    <d v="2024-10-29T00:00:00"/>
    <s v="cogs:product 3"/>
    <n v="8.49"/>
    <x v="86"/>
    <n v="237.72"/>
    <x v="1"/>
    <x v="3"/>
    <x v="0"/>
    <x v="9"/>
    <n v="-33.979999999999997"/>
  </r>
  <r>
    <d v="2024-10-29T00:00:00"/>
    <s v="marketing"/>
    <s v="NA"/>
    <x v="0"/>
    <n v="99.93"/>
    <x v="2"/>
    <x v="0"/>
    <x v="0"/>
    <x v="9"/>
    <n v="-407.52"/>
  </r>
  <r>
    <d v="2024-10-29T00:00:00"/>
    <s v="net sales:product 1"/>
    <n v="9.99"/>
    <x v="172"/>
    <n v="539.46"/>
    <x v="3"/>
    <x v="1"/>
    <x v="0"/>
    <x v="9"/>
    <n v="-100"/>
  </r>
  <r>
    <d v="2024-10-29T00:00:00"/>
    <s v="net sales:product 2"/>
    <n v="24.99"/>
    <x v="10"/>
    <n v="49.98"/>
    <x v="3"/>
    <x v="2"/>
    <x v="0"/>
    <x v="9"/>
    <n v="559.44000000000005"/>
  </r>
  <r>
    <d v="2024-10-29T00:00:00"/>
    <s v="net sales:product 3"/>
    <n v="12.49"/>
    <x v="86"/>
    <n v="349.72"/>
    <x v="3"/>
    <x v="3"/>
    <x v="0"/>
    <x v="9"/>
    <n v="49.98"/>
  </r>
  <r>
    <d v="2024-10-30T00:00:00"/>
    <s v="cogs:product 1"/>
    <n v="5.99"/>
    <x v="21"/>
    <n v="71.88"/>
    <x v="1"/>
    <x v="1"/>
    <x v="0"/>
    <x v="9"/>
    <n v="599.52"/>
  </r>
  <r>
    <d v="2024-10-30T00:00:00"/>
    <s v="cogs:product 2"/>
    <n v="16.989999999999998"/>
    <x v="19"/>
    <n v="67.959999999999994"/>
    <x v="1"/>
    <x v="2"/>
    <x v="0"/>
    <x v="9"/>
    <n v="-455.24"/>
  </r>
  <r>
    <d v="2024-10-30T00:00:00"/>
    <s v="cogs:product 3"/>
    <n v="8.49"/>
    <x v="2"/>
    <n v="25.47"/>
    <x v="1"/>
    <x v="3"/>
    <x v="0"/>
    <x v="9"/>
    <n v="-16.989999999999998"/>
  </r>
  <r>
    <d v="2024-10-30T00:00:00"/>
    <s v="marketing"/>
    <s v="NA"/>
    <x v="0"/>
    <n v="100.05"/>
    <x v="2"/>
    <x v="0"/>
    <x v="0"/>
    <x v="9"/>
    <n v="-1392.3600000000001"/>
  </r>
  <r>
    <d v="2024-10-30T00:00:00"/>
    <s v="net sales:product 1"/>
    <n v="9.99"/>
    <x v="21"/>
    <n v="119.88"/>
    <x v="3"/>
    <x v="1"/>
    <x v="0"/>
    <x v="9"/>
    <n v="-100.09"/>
  </r>
  <r>
    <d v="2024-10-30T00:00:00"/>
    <s v="net sales:product 2"/>
    <n v="24.99"/>
    <x v="19"/>
    <n v="99.96"/>
    <x v="3"/>
    <x v="2"/>
    <x v="0"/>
    <x v="9"/>
    <n v="759.24"/>
  </r>
  <r>
    <d v="2024-10-30T00:00:00"/>
    <s v="net sales:product 3"/>
    <n v="12.49"/>
    <x v="2"/>
    <n v="37.47"/>
    <x v="3"/>
    <x v="3"/>
    <x v="0"/>
    <x v="9"/>
    <n v="24.99"/>
  </r>
  <r>
    <d v="2024-10-31T00:00:00"/>
    <s v="cogs:product 1"/>
    <n v="5.99"/>
    <x v="54"/>
    <n v="263.56"/>
    <x v="1"/>
    <x v="1"/>
    <x v="0"/>
    <x v="9"/>
    <n v="2048.36"/>
  </r>
  <r>
    <d v="2024-10-31T00:00:00"/>
    <s v="cogs:product 2"/>
    <n v="16.989999999999998"/>
    <x v="7"/>
    <n v="152.91"/>
    <x v="1"/>
    <x v="2"/>
    <x v="0"/>
    <x v="9"/>
    <n v="0"/>
  </r>
  <r>
    <d v="2024-10-31T00:00:00"/>
    <s v="cogs:product 3"/>
    <n v="8.49"/>
    <x v="47"/>
    <n v="2088.54"/>
    <x v="1"/>
    <x v="3"/>
    <x v="0"/>
    <x v="9"/>
    <n v="-311.48"/>
  </r>
  <r>
    <d v="2024-10-31T00:00:00"/>
    <s v="marketing"/>
    <s v="NA"/>
    <x v="0"/>
    <n v="100.08"/>
    <x v="2"/>
    <x v="0"/>
    <x v="0"/>
    <x v="9"/>
    <n v="-135.91999999999999"/>
  </r>
  <r>
    <d v="2024-10-31T00:00:00"/>
    <s v="net sales:product 1"/>
    <n v="9.99"/>
    <x v="54"/>
    <n v="439.56"/>
    <x v="3"/>
    <x v="1"/>
    <x v="0"/>
    <x v="9"/>
    <n v="-1239.54"/>
  </r>
  <r>
    <d v="2024-10-31T00:00:00"/>
    <s v="net sales:product 2"/>
    <n v="24.99"/>
    <x v="7"/>
    <n v="224.91"/>
    <x v="3"/>
    <x v="2"/>
    <x v="0"/>
    <x v="9"/>
    <n v="-99.92"/>
  </r>
  <r>
    <d v="2024-10-31T00:00:00"/>
    <s v="net sales:product 3"/>
    <n v="12.49"/>
    <x v="47"/>
    <n v="3072.54"/>
    <x v="3"/>
    <x v="3"/>
    <x v="0"/>
    <x v="9"/>
    <n v="519.48"/>
  </r>
  <r>
    <d v="2024-11-01T00:00:00"/>
    <s v="amortization"/>
    <s v="NA"/>
    <x v="0"/>
    <n v="50"/>
    <x v="0"/>
    <x v="0"/>
    <x v="0"/>
    <x v="10"/>
    <n v="199.92"/>
  </r>
  <r>
    <d v="2024-11-01T00:00:00"/>
    <s v="cogs:product 1"/>
    <n v="5.99"/>
    <x v="45"/>
    <n v="65.89"/>
    <x v="1"/>
    <x v="1"/>
    <x v="0"/>
    <x v="10"/>
    <n v="1823.54"/>
  </r>
  <r>
    <d v="2024-11-01T00:00:00"/>
    <s v="cogs:product 2"/>
    <n v="16.989999999999998"/>
    <x v="2"/>
    <n v="50.97"/>
    <x v="1"/>
    <x v="2"/>
    <x v="0"/>
    <x v="10"/>
    <n v="-2000"/>
  </r>
  <r>
    <d v="2024-11-01T00:00:00"/>
    <s v="cogs:product 3"/>
    <n v="8.49"/>
    <x v="28"/>
    <n v="492.42"/>
    <x v="1"/>
    <x v="3"/>
    <x v="0"/>
    <x v="10"/>
    <n v="-143.76"/>
  </r>
  <r>
    <d v="2024-11-01T00:00:00"/>
    <s v="marketing"/>
    <s v="NA"/>
    <x v="0"/>
    <n v="99.97"/>
    <x v="2"/>
    <x v="0"/>
    <x v="0"/>
    <x v="10"/>
    <n v="-50.97"/>
  </r>
  <r>
    <d v="2024-11-01T00:00:00"/>
    <s v="net sales:product 1"/>
    <n v="9.99"/>
    <x v="45"/>
    <n v="109.89"/>
    <x v="3"/>
    <x v="1"/>
    <x v="0"/>
    <x v="10"/>
    <n v="-1918.74"/>
  </r>
  <r>
    <d v="2024-11-01T00:00:00"/>
    <s v="net sales:product 2"/>
    <n v="24.99"/>
    <x v="2"/>
    <n v="74.97"/>
    <x v="3"/>
    <x v="2"/>
    <x v="0"/>
    <x v="10"/>
    <n v="-100.03"/>
  </r>
  <r>
    <d v="2024-11-01T00:00:00"/>
    <s v="net sales:product 3"/>
    <n v="12.49"/>
    <x v="28"/>
    <n v="724.42"/>
    <x v="3"/>
    <x v="3"/>
    <x v="0"/>
    <x v="10"/>
    <n v="239.76"/>
  </r>
  <r>
    <d v="2024-11-01T00:00:00"/>
    <s v="overhead"/>
    <s v="NA"/>
    <x v="0"/>
    <n v="2000"/>
    <x v="4"/>
    <x v="0"/>
    <x v="0"/>
    <x v="10"/>
    <n v="74.97"/>
  </r>
  <r>
    <d v="2024-11-02T00:00:00"/>
    <s v="cogs:product 1"/>
    <n v="5.99"/>
    <x v="130"/>
    <n v="239.60000000000002"/>
    <x v="1"/>
    <x v="1"/>
    <x v="0"/>
    <x v="10"/>
    <n v="2822.7400000000002"/>
  </r>
  <r>
    <d v="2024-11-02T00:00:00"/>
    <s v="cogs:product 2"/>
    <n v="16.989999999999998"/>
    <x v="29"/>
    <n v="84.949999999999989"/>
    <x v="1"/>
    <x v="2"/>
    <x v="0"/>
    <x v="10"/>
    <n v="-353.41"/>
  </r>
  <r>
    <d v="2024-11-02T00:00:00"/>
    <s v="cogs:product 3"/>
    <n v="8.49"/>
    <x v="69"/>
    <n v="653.73"/>
    <x v="1"/>
    <x v="3"/>
    <x v="0"/>
    <x v="10"/>
    <n v="-101.94"/>
  </r>
  <r>
    <d v="2024-11-02T00:00:00"/>
    <s v="marketing"/>
    <s v="NA"/>
    <x v="0"/>
    <n v="100.03"/>
    <x v="2"/>
    <x v="0"/>
    <x v="0"/>
    <x v="10"/>
    <n v="-1018.8000000000001"/>
  </r>
  <r>
    <d v="2024-11-02T00:00:00"/>
    <s v="net sales:product 1"/>
    <n v="9.99"/>
    <x v="130"/>
    <n v="399.6"/>
    <x v="3"/>
    <x v="1"/>
    <x v="0"/>
    <x v="10"/>
    <n v="-99.91"/>
  </r>
  <r>
    <d v="2024-11-02T00:00:00"/>
    <s v="net sales:product 2"/>
    <n v="24.99"/>
    <x v="29"/>
    <n v="124.94999999999999"/>
    <x v="3"/>
    <x v="2"/>
    <x v="0"/>
    <x v="10"/>
    <n v="589.41"/>
  </r>
  <r>
    <d v="2024-11-02T00:00:00"/>
    <s v="net sales:product 3"/>
    <n v="12.49"/>
    <x v="69"/>
    <n v="961.73"/>
    <x v="3"/>
    <x v="3"/>
    <x v="0"/>
    <x v="10"/>
    <n v="149.94"/>
  </r>
  <r>
    <d v="2024-11-03T00:00:00"/>
    <s v="cogs:product 1"/>
    <n v="5.99"/>
    <x v="13"/>
    <n v="41.93"/>
    <x v="1"/>
    <x v="1"/>
    <x v="0"/>
    <x v="10"/>
    <n v="1498.8"/>
  </r>
  <r>
    <d v="2024-11-03T00:00:00"/>
    <s v="cogs:product 2"/>
    <n v="16.989999999999998"/>
    <x v="25"/>
    <n v="16.989999999999998"/>
    <x v="1"/>
    <x v="2"/>
    <x v="0"/>
    <x v="10"/>
    <n v="-545.09"/>
  </r>
  <r>
    <d v="2024-11-03T00:00:00"/>
    <s v="cogs:product 3"/>
    <n v="8.49"/>
    <x v="75"/>
    <n v="636.75"/>
    <x v="1"/>
    <x v="3"/>
    <x v="0"/>
    <x v="10"/>
    <n v="-16.989999999999998"/>
  </r>
  <r>
    <d v="2024-11-03T00:00:00"/>
    <s v="marketing"/>
    <s v="NA"/>
    <x v="0"/>
    <n v="99.94"/>
    <x v="2"/>
    <x v="0"/>
    <x v="0"/>
    <x v="10"/>
    <n v="-1392.3600000000001"/>
  </r>
  <r>
    <d v="2024-11-03T00:00:00"/>
    <s v="net sales:product 1"/>
    <n v="9.99"/>
    <x v="13"/>
    <n v="69.930000000000007"/>
    <x v="3"/>
    <x v="1"/>
    <x v="0"/>
    <x v="10"/>
    <n v="-100.09"/>
  </r>
  <r>
    <d v="2024-11-03T00:00:00"/>
    <s v="net sales:product 2"/>
    <n v="24.99"/>
    <x v="25"/>
    <n v="24.99"/>
    <x v="3"/>
    <x v="2"/>
    <x v="0"/>
    <x v="10"/>
    <n v="909.09"/>
  </r>
  <r>
    <d v="2024-11-03T00:00:00"/>
    <s v="net sales:product 3"/>
    <n v="12.49"/>
    <x v="75"/>
    <n v="936.75"/>
    <x v="3"/>
    <x v="3"/>
    <x v="0"/>
    <x v="10"/>
    <n v="24.99"/>
  </r>
  <r>
    <d v="2024-11-04T00:00:00"/>
    <s v="cogs:product 1"/>
    <n v="5.99"/>
    <x v="64"/>
    <n v="119.80000000000001"/>
    <x v="1"/>
    <x v="1"/>
    <x v="0"/>
    <x v="10"/>
    <n v="2048.36"/>
  </r>
  <r>
    <d v="2024-11-04T00:00:00"/>
    <s v="cogs:product 2"/>
    <n v="16.989999999999998"/>
    <x v="13"/>
    <n v="118.92999999999999"/>
    <x v="1"/>
    <x v="2"/>
    <x v="0"/>
    <x v="10"/>
    <n v="-539.1"/>
  </r>
  <r>
    <d v="2024-11-04T00:00:00"/>
    <s v="cogs:product 3"/>
    <n v="8.49"/>
    <x v="67"/>
    <n v="1536.69"/>
    <x v="1"/>
    <x v="3"/>
    <x v="0"/>
    <x v="10"/>
    <n v="-135.91999999999999"/>
  </r>
  <r>
    <d v="2024-11-04T00:00:00"/>
    <s v="marketing"/>
    <s v="NA"/>
    <x v="0"/>
    <n v="99.92"/>
    <x v="2"/>
    <x v="0"/>
    <x v="0"/>
    <x v="10"/>
    <n v="-1748.94"/>
  </r>
  <r>
    <d v="2024-11-04T00:00:00"/>
    <s v="net sales:product 1"/>
    <n v="9.99"/>
    <x v="64"/>
    <n v="199.8"/>
    <x v="3"/>
    <x v="1"/>
    <x v="0"/>
    <x v="10"/>
    <n v="-100"/>
  </r>
  <r>
    <d v="2024-11-04T00:00:00"/>
    <s v="net sales:product 2"/>
    <n v="24.99"/>
    <x v="13"/>
    <n v="174.92999999999998"/>
    <x v="3"/>
    <x v="2"/>
    <x v="0"/>
    <x v="10"/>
    <n v="899.1"/>
  </r>
  <r>
    <d v="2024-11-04T00:00:00"/>
    <s v="net sales:product 3"/>
    <n v="12.49"/>
    <x v="67"/>
    <n v="2260.69"/>
    <x v="3"/>
    <x v="3"/>
    <x v="0"/>
    <x v="10"/>
    <n v="199.92"/>
  </r>
  <r>
    <d v="2024-11-05T00:00:00"/>
    <s v="cogs:product 1"/>
    <n v="5.99"/>
    <x v="59"/>
    <n v="353.41"/>
    <x v="1"/>
    <x v="1"/>
    <x v="0"/>
    <x v="10"/>
    <n v="2572.94"/>
  </r>
  <r>
    <d v="2024-11-05T00:00:00"/>
    <s v="cogs:product 2"/>
    <n v="16.989999999999998"/>
    <x v="19"/>
    <n v="67.959999999999994"/>
    <x v="1"/>
    <x v="2"/>
    <x v="0"/>
    <x v="10"/>
    <n v="-23.96"/>
  </r>
  <r>
    <d v="2024-11-05T00:00:00"/>
    <s v="cogs:product 3"/>
    <n v="8.49"/>
    <x v="106"/>
    <n v="832.02"/>
    <x v="1"/>
    <x v="3"/>
    <x v="0"/>
    <x v="10"/>
    <n v="-16.989999999999998"/>
  </r>
  <r>
    <d v="2024-11-05T00:00:00"/>
    <s v="marketing"/>
    <s v="NA"/>
    <x v="0"/>
    <n v="100"/>
    <x v="2"/>
    <x v="0"/>
    <x v="0"/>
    <x v="10"/>
    <n v="-984.84"/>
  </r>
  <r>
    <d v="2024-11-05T00:00:00"/>
    <s v="net sales:product 1"/>
    <n v="9.99"/>
    <x v="59"/>
    <n v="589.41"/>
    <x v="3"/>
    <x v="1"/>
    <x v="0"/>
    <x v="10"/>
    <n v="-99.97"/>
  </r>
  <r>
    <d v="2024-11-05T00:00:00"/>
    <s v="net sales:product 2"/>
    <n v="24.99"/>
    <x v="19"/>
    <n v="99.96"/>
    <x v="3"/>
    <x v="2"/>
    <x v="0"/>
    <x v="10"/>
    <n v="39.96"/>
  </r>
  <r>
    <d v="2024-11-05T00:00:00"/>
    <s v="net sales:product 3"/>
    <n v="12.49"/>
    <x v="106"/>
    <n v="1224.02"/>
    <x v="3"/>
    <x v="3"/>
    <x v="0"/>
    <x v="10"/>
    <n v="24.99"/>
  </r>
  <r>
    <d v="2024-11-06T00:00:00"/>
    <s v="cogs:product 1"/>
    <n v="5.99"/>
    <x v="33"/>
    <n v="485.19"/>
    <x v="1"/>
    <x v="1"/>
    <x v="0"/>
    <x v="10"/>
    <n v="1448.84"/>
  </r>
  <r>
    <d v="2024-11-06T00:00:00"/>
    <s v="cogs:product 2"/>
    <n v="16.989999999999998"/>
    <x v="10"/>
    <n v="33.979999999999997"/>
    <x v="1"/>
    <x v="2"/>
    <x v="0"/>
    <x v="10"/>
    <n v="-347.42"/>
  </r>
  <r>
    <d v="2024-11-06T00:00:00"/>
    <s v="cogs:product 3"/>
    <n v="8.49"/>
    <x v="74"/>
    <n v="466.95"/>
    <x v="1"/>
    <x v="3"/>
    <x v="0"/>
    <x v="10"/>
    <n v="-135.91999999999999"/>
  </r>
  <r>
    <d v="2024-11-06T00:00:00"/>
    <s v="marketing"/>
    <s v="NA"/>
    <x v="0"/>
    <n v="100.10000000000001"/>
    <x v="2"/>
    <x v="0"/>
    <x v="0"/>
    <x v="10"/>
    <n v="-1681.02"/>
  </r>
  <r>
    <d v="2024-11-06T00:00:00"/>
    <s v="net sales:product 1"/>
    <n v="9.99"/>
    <x v="33"/>
    <n v="809.19"/>
    <x v="3"/>
    <x v="1"/>
    <x v="0"/>
    <x v="10"/>
    <n v="-100.08"/>
  </r>
  <r>
    <d v="2024-11-06T00:00:00"/>
    <s v="net sales:product 2"/>
    <n v="24.99"/>
    <x v="10"/>
    <n v="49.98"/>
    <x v="3"/>
    <x v="2"/>
    <x v="0"/>
    <x v="10"/>
    <n v="579.41999999999996"/>
  </r>
  <r>
    <d v="2024-11-06T00:00:00"/>
    <s v="net sales:product 3"/>
    <n v="12.49"/>
    <x v="74"/>
    <n v="686.95"/>
    <x v="3"/>
    <x v="3"/>
    <x v="0"/>
    <x v="10"/>
    <n v="199.92"/>
  </r>
  <r>
    <d v="2024-11-07T00:00:00"/>
    <s v="cogs:product 1"/>
    <n v="5.99"/>
    <x v="166"/>
    <n v="77.87"/>
    <x v="1"/>
    <x v="1"/>
    <x v="0"/>
    <x v="10"/>
    <n v="2473.02"/>
  </r>
  <r>
    <d v="2024-11-07T00:00:00"/>
    <s v="cogs:product 2"/>
    <n v="16.989999999999998"/>
    <x v="42"/>
    <n v="101.94"/>
    <x v="1"/>
    <x v="2"/>
    <x v="0"/>
    <x v="10"/>
    <n v="-359.40000000000003"/>
  </r>
  <r>
    <d v="2024-11-07T00:00:00"/>
    <s v="cogs:product 3"/>
    <n v="8.49"/>
    <x v="126"/>
    <n v="1426.32"/>
    <x v="1"/>
    <x v="3"/>
    <x v="0"/>
    <x v="10"/>
    <n v="-50.97"/>
  </r>
  <r>
    <d v="2024-11-07T00:00:00"/>
    <s v="marketing"/>
    <s v="NA"/>
    <x v="0"/>
    <n v="99.98"/>
    <x v="2"/>
    <x v="0"/>
    <x v="0"/>
    <x v="10"/>
    <n v="-882.96"/>
  </r>
  <r>
    <d v="2024-11-07T00:00:00"/>
    <s v="net sales:product 1"/>
    <n v="9.99"/>
    <x v="166"/>
    <n v="129.87"/>
    <x v="3"/>
    <x v="1"/>
    <x v="0"/>
    <x v="10"/>
    <n v="-100.04"/>
  </r>
  <r>
    <d v="2024-11-07T00:00:00"/>
    <s v="net sales:product 2"/>
    <n v="24.99"/>
    <x v="42"/>
    <n v="149.94"/>
    <x v="3"/>
    <x v="2"/>
    <x v="0"/>
    <x v="10"/>
    <n v="599.4"/>
  </r>
  <r>
    <d v="2024-11-07T00:00:00"/>
    <s v="net sales:product 3"/>
    <n v="12.49"/>
    <x v="126"/>
    <n v="2098.3200000000002"/>
    <x v="3"/>
    <x v="3"/>
    <x v="0"/>
    <x v="10"/>
    <n v="74.97"/>
  </r>
  <r>
    <d v="2024-11-08T00:00:00"/>
    <s v="cogs:product 1"/>
    <n v="5.99"/>
    <x v="31"/>
    <n v="107.82000000000001"/>
    <x v="1"/>
    <x v="1"/>
    <x v="0"/>
    <x v="10"/>
    <n v="1298.96"/>
  </r>
  <r>
    <d v="2024-11-08T00:00:00"/>
    <s v="cogs:product 2"/>
    <n v="16.989999999999998"/>
    <x v="10"/>
    <n v="33.979999999999997"/>
    <x v="1"/>
    <x v="2"/>
    <x v="0"/>
    <x v="10"/>
    <n v="-113.81"/>
  </r>
  <r>
    <d v="2024-11-08T00:00:00"/>
    <s v="cogs:product 3"/>
    <n v="8.49"/>
    <x v="163"/>
    <n v="1061.25"/>
    <x v="1"/>
    <x v="3"/>
    <x v="0"/>
    <x v="10"/>
    <n v="-118.92999999999999"/>
  </r>
  <r>
    <d v="2024-11-08T00:00:00"/>
    <s v="marketing"/>
    <s v="NA"/>
    <x v="0"/>
    <n v="100.01"/>
    <x v="2"/>
    <x v="0"/>
    <x v="0"/>
    <x v="10"/>
    <n v="-390.54"/>
  </r>
  <r>
    <d v="2024-11-08T00:00:00"/>
    <s v="net sales:product 1"/>
    <n v="9.99"/>
    <x v="31"/>
    <n v="179.82"/>
    <x v="3"/>
    <x v="1"/>
    <x v="0"/>
    <x v="10"/>
    <n v="-99.97"/>
  </r>
  <r>
    <d v="2024-11-08T00:00:00"/>
    <s v="net sales:product 2"/>
    <n v="24.99"/>
    <x v="10"/>
    <n v="49.98"/>
    <x v="3"/>
    <x v="2"/>
    <x v="0"/>
    <x v="10"/>
    <n v="189.81"/>
  </r>
  <r>
    <d v="2024-11-08T00:00:00"/>
    <s v="net sales:product 3"/>
    <n v="12.49"/>
    <x v="163"/>
    <n v="1561.25"/>
    <x v="3"/>
    <x v="3"/>
    <x v="0"/>
    <x v="10"/>
    <n v="174.92999999999998"/>
  </r>
  <r>
    <d v="2024-11-08T00:00:00"/>
    <s v="payroll"/>
    <s v="NA"/>
    <x v="0"/>
    <n v="1200"/>
    <x v="5"/>
    <x v="0"/>
    <x v="0"/>
    <x v="10"/>
    <n v="574.54"/>
  </r>
  <r>
    <d v="2024-11-09T00:00:00"/>
    <s v="cogs:product 1"/>
    <n v="5.99"/>
    <x v="14"/>
    <n v="569.05000000000007"/>
    <x v="1"/>
    <x v="1"/>
    <x v="0"/>
    <x v="10"/>
    <n v="-65.89"/>
  </r>
  <r>
    <d v="2024-11-09T00:00:00"/>
    <s v="cogs:product 2"/>
    <n v="16.989999999999998"/>
    <x v="2"/>
    <n v="50.97"/>
    <x v="1"/>
    <x v="2"/>
    <x v="0"/>
    <x v="10"/>
    <n v="-101.94"/>
  </r>
  <r>
    <d v="2024-11-09T00:00:00"/>
    <s v="cogs:product 3"/>
    <n v="8.49"/>
    <x v="23"/>
    <n v="0"/>
    <x v="1"/>
    <x v="3"/>
    <x v="0"/>
    <x v="10"/>
    <n v="-33.96"/>
  </r>
  <r>
    <d v="2024-11-09T00:00:00"/>
    <s v="marketing"/>
    <s v="NA"/>
    <x v="0"/>
    <n v="99.94"/>
    <x v="2"/>
    <x v="0"/>
    <x v="0"/>
    <x v="10"/>
    <n v="-100.07000000000001"/>
  </r>
  <r>
    <d v="2024-11-09T00:00:00"/>
    <s v="net sales:product 1"/>
    <n v="9.99"/>
    <x v="14"/>
    <n v="949.05000000000007"/>
    <x v="3"/>
    <x v="1"/>
    <x v="0"/>
    <x v="10"/>
    <n v="109.89"/>
  </r>
  <r>
    <d v="2024-11-09T00:00:00"/>
    <s v="net sales:product 2"/>
    <n v="24.99"/>
    <x v="2"/>
    <n v="74.97"/>
    <x v="3"/>
    <x v="2"/>
    <x v="0"/>
    <x v="10"/>
    <n v="149.94"/>
  </r>
  <r>
    <d v="2024-11-09T00:00:00"/>
    <s v="net sales:product 3"/>
    <n v="12.49"/>
    <x v="23"/>
    <n v="0"/>
    <x v="3"/>
    <x v="3"/>
    <x v="0"/>
    <x v="10"/>
    <n v="49.96"/>
  </r>
  <r>
    <d v="2024-11-10T00:00:00"/>
    <s v="cogs:product 1"/>
    <n v="5.99"/>
    <x v="60"/>
    <n v="137.77000000000001"/>
    <x v="1"/>
    <x v="1"/>
    <x v="0"/>
    <x v="10"/>
    <n v="-179.70000000000002"/>
  </r>
  <r>
    <d v="2024-11-10T00:00:00"/>
    <s v="cogs:product 2"/>
    <n v="16.989999999999998"/>
    <x v="42"/>
    <n v="101.94"/>
    <x v="1"/>
    <x v="2"/>
    <x v="0"/>
    <x v="10"/>
    <n v="-152.91"/>
  </r>
  <r>
    <d v="2024-11-10T00:00:00"/>
    <s v="cogs:product 3"/>
    <n v="8.49"/>
    <x v="26"/>
    <n v="178.29"/>
    <x v="1"/>
    <x v="3"/>
    <x v="0"/>
    <x v="10"/>
    <n v="-1409.3400000000001"/>
  </r>
  <r>
    <d v="2024-11-10T00:00:00"/>
    <s v="marketing"/>
    <s v="NA"/>
    <x v="0"/>
    <n v="99.92"/>
    <x v="2"/>
    <x v="0"/>
    <x v="0"/>
    <x v="10"/>
    <n v="-100.04"/>
  </r>
  <r>
    <d v="2024-11-10T00:00:00"/>
    <s v="net sales:product 1"/>
    <n v="9.99"/>
    <x v="60"/>
    <n v="229.77"/>
    <x v="3"/>
    <x v="1"/>
    <x v="0"/>
    <x v="10"/>
    <n v="299.7"/>
  </r>
  <r>
    <d v="2024-11-10T00:00:00"/>
    <s v="net sales:product 2"/>
    <n v="24.99"/>
    <x v="42"/>
    <n v="149.94"/>
    <x v="3"/>
    <x v="2"/>
    <x v="0"/>
    <x v="10"/>
    <n v="224.91"/>
  </r>
  <r>
    <d v="2024-11-10T00:00:00"/>
    <s v="net sales:product 3"/>
    <n v="12.49"/>
    <x v="26"/>
    <n v="262.29000000000002"/>
    <x v="3"/>
    <x v="3"/>
    <x v="0"/>
    <x v="10"/>
    <n v="2073.34"/>
  </r>
  <r>
    <d v="2024-11-11T00:00:00"/>
    <s v="cogs:product 1"/>
    <n v="5.99"/>
    <x v="113"/>
    <n v="185.69"/>
    <x v="1"/>
    <x v="1"/>
    <x v="0"/>
    <x v="10"/>
    <n v="-1200"/>
  </r>
  <r>
    <d v="2024-11-11T00:00:00"/>
    <s v="cogs:product 2"/>
    <n v="16.989999999999998"/>
    <x v="7"/>
    <n v="152.91"/>
    <x v="1"/>
    <x v="2"/>
    <x v="0"/>
    <x v="10"/>
    <n v="-107.82000000000001"/>
  </r>
  <r>
    <d v="2024-11-11T00:00:00"/>
    <s v="cogs:product 3"/>
    <n v="8.49"/>
    <x v="96"/>
    <n v="1604.6100000000001"/>
    <x v="1"/>
    <x v="3"/>
    <x v="0"/>
    <x v="10"/>
    <n v="-101.94"/>
  </r>
  <r>
    <d v="2024-11-11T00:00:00"/>
    <s v="marketing"/>
    <s v="NA"/>
    <x v="0"/>
    <n v="100.01"/>
    <x v="2"/>
    <x v="0"/>
    <x v="0"/>
    <x v="10"/>
    <n v="-1672.53"/>
  </r>
  <r>
    <d v="2024-11-11T00:00:00"/>
    <s v="net sales:product 1"/>
    <n v="9.99"/>
    <x v="113"/>
    <n v="309.69"/>
    <x v="3"/>
    <x v="1"/>
    <x v="0"/>
    <x v="10"/>
    <n v="-100.04"/>
  </r>
  <r>
    <d v="2024-11-11T00:00:00"/>
    <s v="net sales:product 2"/>
    <n v="24.99"/>
    <x v="7"/>
    <n v="224.91"/>
    <x v="3"/>
    <x v="2"/>
    <x v="0"/>
    <x v="10"/>
    <n v="179.82"/>
  </r>
  <r>
    <d v="2024-11-11T00:00:00"/>
    <s v="net sales:product 3"/>
    <n v="12.49"/>
    <x v="96"/>
    <n v="2360.61"/>
    <x v="3"/>
    <x v="3"/>
    <x v="0"/>
    <x v="10"/>
    <n v="149.94"/>
  </r>
  <r>
    <d v="2024-11-12T00:00:00"/>
    <s v="cogs:product 1"/>
    <n v="5.99"/>
    <x v="95"/>
    <n v="359.40000000000003"/>
    <x v="1"/>
    <x v="1"/>
    <x v="0"/>
    <x v="10"/>
    <n v="2460.5300000000002"/>
  </r>
  <r>
    <d v="2024-11-12T00:00:00"/>
    <s v="cogs:product 2"/>
    <n v="16.989999999999998"/>
    <x v="19"/>
    <n v="67.959999999999994"/>
    <x v="1"/>
    <x v="2"/>
    <x v="0"/>
    <x v="10"/>
    <n v="-365.39"/>
  </r>
  <r>
    <d v="2024-11-12T00:00:00"/>
    <s v="cogs:product 3"/>
    <n v="8.49"/>
    <x v="121"/>
    <n v="1714.98"/>
    <x v="1"/>
    <x v="3"/>
    <x v="0"/>
    <x v="10"/>
    <n v="-50.97"/>
  </r>
  <r>
    <d v="2024-11-12T00:00:00"/>
    <s v="marketing"/>
    <s v="NA"/>
    <x v="0"/>
    <n v="100.01"/>
    <x v="2"/>
    <x v="0"/>
    <x v="0"/>
    <x v="10"/>
    <n v="-1349.91"/>
  </r>
  <r>
    <d v="2024-11-12T00:00:00"/>
    <s v="net sales:product 1"/>
    <n v="9.99"/>
    <x v="95"/>
    <n v="599.4"/>
    <x v="3"/>
    <x v="1"/>
    <x v="0"/>
    <x v="10"/>
    <n v="-100.05"/>
  </r>
  <r>
    <d v="2024-11-12T00:00:00"/>
    <s v="net sales:product 2"/>
    <n v="24.99"/>
    <x v="19"/>
    <n v="99.96"/>
    <x v="3"/>
    <x v="2"/>
    <x v="0"/>
    <x v="10"/>
    <n v="609.39"/>
  </r>
  <r>
    <d v="2024-11-12T00:00:00"/>
    <s v="net sales:product 3"/>
    <n v="12.49"/>
    <x v="121"/>
    <n v="2522.98"/>
    <x v="3"/>
    <x v="3"/>
    <x v="0"/>
    <x v="10"/>
    <n v="74.97"/>
  </r>
  <r>
    <d v="2024-11-13T00:00:00"/>
    <s v="cogs:product 1"/>
    <n v="5.99"/>
    <x v="107"/>
    <n v="197.67000000000002"/>
    <x v="1"/>
    <x v="1"/>
    <x v="0"/>
    <x v="10"/>
    <n v="1985.91"/>
  </r>
  <r>
    <d v="2024-11-13T00:00:00"/>
    <s v="cogs:product 2"/>
    <n v="16.989999999999998"/>
    <x v="7"/>
    <n v="152.91"/>
    <x v="1"/>
    <x v="2"/>
    <x v="0"/>
    <x v="10"/>
    <n v="-515.14"/>
  </r>
  <r>
    <d v="2024-11-13T00:00:00"/>
    <s v="cogs:product 3"/>
    <n v="8.49"/>
    <x v="139"/>
    <n v="305.64"/>
    <x v="1"/>
    <x v="3"/>
    <x v="0"/>
    <x v="10"/>
    <n v="-169.89999999999998"/>
  </r>
  <r>
    <d v="2024-11-13T00:00:00"/>
    <s v="marketing"/>
    <s v="NA"/>
    <x v="0"/>
    <n v="99.94"/>
    <x v="2"/>
    <x v="0"/>
    <x v="0"/>
    <x v="10"/>
    <n v="-798.06000000000006"/>
  </r>
  <r>
    <d v="2024-11-13T00:00:00"/>
    <s v="net sales:product 1"/>
    <n v="9.99"/>
    <x v="107"/>
    <n v="329.67"/>
    <x v="3"/>
    <x v="1"/>
    <x v="0"/>
    <x v="10"/>
    <n v="-100.08"/>
  </r>
  <r>
    <d v="2024-11-13T00:00:00"/>
    <s v="net sales:product 2"/>
    <n v="24.99"/>
    <x v="7"/>
    <n v="224.91"/>
    <x v="3"/>
    <x v="2"/>
    <x v="0"/>
    <x v="10"/>
    <n v="859.14"/>
  </r>
  <r>
    <d v="2024-11-13T00:00:00"/>
    <s v="net sales:product 3"/>
    <n v="12.49"/>
    <x v="139"/>
    <n v="449.64"/>
    <x v="3"/>
    <x v="3"/>
    <x v="0"/>
    <x v="10"/>
    <n v="249.89999999999998"/>
  </r>
  <r>
    <d v="2024-11-14T00:00:00"/>
    <s v="cogs:product 1"/>
    <n v="5.99"/>
    <x v="83"/>
    <n v="275.54000000000002"/>
    <x v="1"/>
    <x v="1"/>
    <x v="0"/>
    <x v="10"/>
    <n v="1174.06"/>
  </r>
  <r>
    <d v="2024-11-14T00:00:00"/>
    <s v="cogs:product 2"/>
    <n v="16.989999999999998"/>
    <x v="2"/>
    <n v="50.97"/>
    <x v="1"/>
    <x v="2"/>
    <x v="0"/>
    <x v="10"/>
    <n v="-575.04"/>
  </r>
  <r>
    <d v="2024-11-14T00:00:00"/>
    <s v="cogs:product 3"/>
    <n v="8.49"/>
    <x v="23"/>
    <n v="0"/>
    <x v="1"/>
    <x v="3"/>
    <x v="0"/>
    <x v="10"/>
    <n v="0"/>
  </r>
  <r>
    <d v="2024-11-14T00:00:00"/>
    <s v="marketing"/>
    <s v="NA"/>
    <x v="0"/>
    <n v="100.10000000000001"/>
    <x v="2"/>
    <x v="0"/>
    <x v="0"/>
    <x v="10"/>
    <n v="-1825.3500000000001"/>
  </r>
  <r>
    <d v="2024-11-14T00:00:00"/>
    <s v="net sales:product 1"/>
    <n v="9.99"/>
    <x v="83"/>
    <n v="459.54"/>
    <x v="3"/>
    <x v="1"/>
    <x v="0"/>
    <x v="10"/>
    <n v="-1252.1199999999999"/>
  </r>
  <r>
    <d v="2024-11-14T00:00:00"/>
    <s v="net sales:product 2"/>
    <n v="24.99"/>
    <x v="2"/>
    <n v="74.97"/>
    <x v="3"/>
    <x v="2"/>
    <x v="0"/>
    <x v="10"/>
    <n v="-99.91"/>
  </r>
  <r>
    <d v="2024-11-14T00:00:00"/>
    <s v="net sales:product 3"/>
    <n v="12.49"/>
    <x v="23"/>
    <n v="0"/>
    <x v="3"/>
    <x v="3"/>
    <x v="0"/>
    <x v="10"/>
    <n v="959.04"/>
  </r>
  <r>
    <d v="2024-11-15T00:00:00"/>
    <s v="cogs:product 1"/>
    <n v="5.99"/>
    <x v="82"/>
    <n v="533.11"/>
    <x v="1"/>
    <x v="1"/>
    <x v="0"/>
    <x v="10"/>
    <n v="0"/>
  </r>
  <r>
    <d v="2024-11-15T00:00:00"/>
    <s v="cogs:product 2"/>
    <n v="16.989999999999998"/>
    <x v="42"/>
    <n v="101.94"/>
    <x v="1"/>
    <x v="2"/>
    <x v="0"/>
    <x v="10"/>
    <n v="2685.35"/>
  </r>
  <r>
    <d v="2024-11-15T00:00:00"/>
    <s v="cogs:product 3"/>
    <n v="8.49"/>
    <x v="127"/>
    <n v="118.86"/>
    <x v="1"/>
    <x v="3"/>
    <x v="0"/>
    <x v="10"/>
    <n v="-316.27999999999997"/>
  </r>
  <r>
    <d v="2024-11-15T00:00:00"/>
    <s v="interest"/>
    <s v="NA"/>
    <x v="0"/>
    <n v="1250.04"/>
    <x v="6"/>
    <x v="0"/>
    <x v="0"/>
    <x v="10"/>
    <n v="-407.32"/>
  </r>
  <r>
    <d v="2024-11-15T00:00:00"/>
    <s v="marketing"/>
    <s v="NA"/>
    <x v="0"/>
    <n v="100.06"/>
    <x v="2"/>
    <x v="0"/>
    <x v="0"/>
    <x v="10"/>
    <n v="-84.949999999999989"/>
  </r>
  <r>
    <d v="2024-11-15T00:00:00"/>
    <s v="net sales:product 1"/>
    <n v="9.99"/>
    <x v="82"/>
    <n v="889.11"/>
    <x v="3"/>
    <x v="1"/>
    <x v="0"/>
    <x v="10"/>
    <n v="-118.86"/>
  </r>
  <r>
    <d v="2024-11-15T00:00:00"/>
    <s v="net sales:product 2"/>
    <n v="24.99"/>
    <x v="42"/>
    <n v="149.94"/>
    <x v="3"/>
    <x v="2"/>
    <x v="0"/>
    <x v="10"/>
    <n v="-100.06"/>
  </r>
  <r>
    <d v="2024-11-15T00:00:00"/>
    <s v="net sales:product 3"/>
    <n v="12.49"/>
    <x v="127"/>
    <n v="174.86"/>
    <x v="3"/>
    <x v="3"/>
    <x v="0"/>
    <x v="10"/>
    <n v="679.32"/>
  </r>
  <r>
    <d v="2024-11-15T00:00:00"/>
    <s v="overhead"/>
    <s v="NA"/>
    <x v="0"/>
    <n v="312.51"/>
    <x v="4"/>
    <x v="0"/>
    <x v="0"/>
    <x v="10"/>
    <n v="124.94999999999999"/>
  </r>
  <r>
    <d v="2024-11-16T00:00:00"/>
    <s v="cogs:product 1"/>
    <n v="5.99"/>
    <x v="131"/>
    <n v="563.06000000000006"/>
    <x v="1"/>
    <x v="1"/>
    <x v="0"/>
    <x v="10"/>
    <n v="174.86"/>
  </r>
  <r>
    <d v="2024-11-16T00:00:00"/>
    <s v="cogs:product 2"/>
    <n v="16.989999999999998"/>
    <x v="25"/>
    <n v="16.989999999999998"/>
    <x v="1"/>
    <x v="2"/>
    <x v="0"/>
    <x v="10"/>
    <n v="-197.67000000000002"/>
  </r>
  <r>
    <d v="2024-11-16T00:00:00"/>
    <s v="cogs:product 3"/>
    <n v="8.49"/>
    <x v="2"/>
    <n v="25.47"/>
    <x v="1"/>
    <x v="3"/>
    <x v="0"/>
    <x v="10"/>
    <n v="-33.979999999999997"/>
  </r>
  <r>
    <d v="2024-11-16T00:00:00"/>
    <s v="marketing"/>
    <s v="NA"/>
    <x v="0"/>
    <n v="100.07000000000001"/>
    <x v="2"/>
    <x v="0"/>
    <x v="0"/>
    <x v="10"/>
    <n v="-1332.93"/>
  </r>
  <r>
    <d v="2024-11-16T00:00:00"/>
    <s v="net sales:product 1"/>
    <n v="9.99"/>
    <x v="131"/>
    <n v="939.06000000000006"/>
    <x v="3"/>
    <x v="1"/>
    <x v="0"/>
    <x v="10"/>
    <n v="-99.960000000000008"/>
  </r>
  <r>
    <d v="2024-11-16T00:00:00"/>
    <s v="net sales:product 2"/>
    <n v="24.99"/>
    <x v="25"/>
    <n v="24.99"/>
    <x v="3"/>
    <x v="2"/>
    <x v="0"/>
    <x v="10"/>
    <n v="329.67"/>
  </r>
  <r>
    <d v="2024-11-16T00:00:00"/>
    <s v="net sales:product 3"/>
    <n v="12.49"/>
    <x v="2"/>
    <n v="37.47"/>
    <x v="3"/>
    <x v="3"/>
    <x v="0"/>
    <x v="10"/>
    <n v="49.98"/>
  </r>
  <r>
    <d v="2024-11-17T00:00:00"/>
    <s v="cogs:product 1"/>
    <n v="5.99"/>
    <x v="137"/>
    <n v="299.5"/>
    <x v="1"/>
    <x v="1"/>
    <x v="0"/>
    <x v="10"/>
    <n v="1960.93"/>
  </r>
  <r>
    <d v="2024-11-17T00:00:00"/>
    <s v="cogs:product 2"/>
    <n v="16.989999999999998"/>
    <x v="10"/>
    <n v="33.979999999999997"/>
    <x v="1"/>
    <x v="2"/>
    <x v="0"/>
    <x v="10"/>
    <n v="-467.22"/>
  </r>
  <r>
    <d v="2024-11-17T00:00:00"/>
    <s v="cogs:product 3"/>
    <n v="8.49"/>
    <x v="88"/>
    <n v="229.23000000000002"/>
    <x v="1"/>
    <x v="3"/>
    <x v="0"/>
    <x v="10"/>
    <n v="-101.94"/>
  </r>
  <r>
    <d v="2024-11-17T00:00:00"/>
    <s v="marketing"/>
    <s v="NA"/>
    <x v="0"/>
    <n v="100.05"/>
    <x v="2"/>
    <x v="0"/>
    <x v="0"/>
    <x v="10"/>
    <n v="-152.82"/>
  </r>
  <r>
    <d v="2024-11-17T00:00:00"/>
    <s v="net sales:product 1"/>
    <n v="9.99"/>
    <x v="137"/>
    <n v="499.5"/>
    <x v="3"/>
    <x v="1"/>
    <x v="0"/>
    <x v="10"/>
    <n v="-99.91"/>
  </r>
  <r>
    <d v="2024-11-17T00:00:00"/>
    <s v="net sales:product 2"/>
    <n v="24.99"/>
    <x v="10"/>
    <n v="49.98"/>
    <x v="3"/>
    <x v="2"/>
    <x v="0"/>
    <x v="10"/>
    <n v="779.22"/>
  </r>
  <r>
    <d v="2024-11-17T00:00:00"/>
    <s v="net sales:product 3"/>
    <n v="12.49"/>
    <x v="88"/>
    <n v="337.23"/>
    <x v="3"/>
    <x v="3"/>
    <x v="0"/>
    <x v="10"/>
    <n v="149.94"/>
  </r>
  <r>
    <d v="2024-11-18T00:00:00"/>
    <s v="cogs:product 1"/>
    <n v="5.99"/>
    <x v="42"/>
    <n v="35.94"/>
    <x v="1"/>
    <x v="1"/>
    <x v="0"/>
    <x v="10"/>
    <n v="224.82"/>
  </r>
  <r>
    <d v="2024-11-18T00:00:00"/>
    <s v="cogs:product 2"/>
    <n v="16.989999999999998"/>
    <x v="29"/>
    <n v="84.949999999999989"/>
    <x v="1"/>
    <x v="2"/>
    <x v="0"/>
    <x v="10"/>
    <n v="-449.25"/>
  </r>
  <r>
    <d v="2024-11-18T00:00:00"/>
    <s v="cogs:product 3"/>
    <n v="8.49"/>
    <x v="23"/>
    <n v="0"/>
    <x v="1"/>
    <x v="3"/>
    <x v="0"/>
    <x v="10"/>
    <n v="-135.91999999999999"/>
  </r>
  <r>
    <d v="2024-11-18T00:00:00"/>
    <s v="marketing"/>
    <s v="NA"/>
    <x v="0"/>
    <n v="100.05"/>
    <x v="2"/>
    <x v="0"/>
    <x v="0"/>
    <x v="10"/>
    <n v="-1451.79"/>
  </r>
  <r>
    <d v="2024-11-18T00:00:00"/>
    <s v="net sales:product 1"/>
    <n v="9.99"/>
    <x v="42"/>
    <n v="59.94"/>
    <x v="3"/>
    <x v="1"/>
    <x v="0"/>
    <x v="10"/>
    <n v="-100.05"/>
  </r>
  <r>
    <d v="2024-11-18T00:00:00"/>
    <s v="net sales:product 2"/>
    <n v="24.99"/>
    <x v="29"/>
    <n v="124.94999999999999"/>
    <x v="3"/>
    <x v="2"/>
    <x v="0"/>
    <x v="10"/>
    <n v="749.25"/>
  </r>
  <r>
    <d v="2024-11-18T00:00:00"/>
    <s v="net sales:product 3"/>
    <n v="12.49"/>
    <x v="23"/>
    <n v="0"/>
    <x v="3"/>
    <x v="3"/>
    <x v="0"/>
    <x v="10"/>
    <n v="199.92"/>
  </r>
  <r>
    <d v="2024-11-19T00:00:00"/>
    <s v="cogs:product 1"/>
    <n v="5.99"/>
    <x v="86"/>
    <n v="167.72"/>
    <x v="1"/>
    <x v="1"/>
    <x v="0"/>
    <x v="10"/>
    <n v="2135.79"/>
  </r>
  <r>
    <d v="2024-11-19T00:00:00"/>
    <s v="cogs:product 2"/>
    <n v="16.989999999999998"/>
    <x v="16"/>
    <n v="135.91999999999999"/>
    <x v="1"/>
    <x v="2"/>
    <x v="0"/>
    <x v="10"/>
    <n v="-287.52"/>
  </r>
  <r>
    <d v="2024-11-19T00:00:00"/>
    <s v="cogs:product 3"/>
    <n v="8.49"/>
    <x v="96"/>
    <n v="1604.6100000000001"/>
    <x v="1"/>
    <x v="3"/>
    <x v="0"/>
    <x v="10"/>
    <n v="-118.92999999999999"/>
  </r>
  <r>
    <d v="2024-11-19T00:00:00"/>
    <s v="marketing"/>
    <s v="NA"/>
    <x v="0"/>
    <n v="99.98"/>
    <x v="2"/>
    <x v="0"/>
    <x v="0"/>
    <x v="10"/>
    <n v="-441.48"/>
  </r>
  <r>
    <d v="2024-11-19T00:00:00"/>
    <s v="net sales:product 1"/>
    <n v="9.99"/>
    <x v="86"/>
    <n v="279.72000000000003"/>
    <x v="3"/>
    <x v="1"/>
    <x v="0"/>
    <x v="10"/>
    <n v="-99.93"/>
  </r>
  <r>
    <d v="2024-11-19T00:00:00"/>
    <s v="net sales:product 2"/>
    <n v="24.99"/>
    <x v="16"/>
    <n v="199.92"/>
    <x v="3"/>
    <x v="2"/>
    <x v="0"/>
    <x v="10"/>
    <n v="479.52"/>
  </r>
  <r>
    <d v="2024-11-19T00:00:00"/>
    <s v="net sales:product 3"/>
    <n v="12.49"/>
    <x v="96"/>
    <n v="2360.61"/>
    <x v="3"/>
    <x v="3"/>
    <x v="0"/>
    <x v="10"/>
    <n v="174.92999999999998"/>
  </r>
  <r>
    <d v="2024-11-20T00:00:00"/>
    <s v="cogs:product 1"/>
    <n v="5.99"/>
    <x v="14"/>
    <n v="569.05000000000007"/>
    <x v="1"/>
    <x v="1"/>
    <x v="0"/>
    <x v="10"/>
    <n v="649.48"/>
  </r>
  <r>
    <d v="2024-11-20T00:00:00"/>
    <s v="cogs:product 2"/>
    <n v="16.989999999999998"/>
    <x v="42"/>
    <n v="101.94"/>
    <x v="1"/>
    <x v="2"/>
    <x v="0"/>
    <x v="10"/>
    <n v="-425.29"/>
  </r>
  <r>
    <d v="2024-11-20T00:00:00"/>
    <s v="cogs:product 3"/>
    <n v="8.49"/>
    <x v="188"/>
    <n v="1952.7"/>
    <x v="1"/>
    <x v="3"/>
    <x v="0"/>
    <x v="10"/>
    <n v="-101.94"/>
  </r>
  <r>
    <d v="2024-11-20T00:00:00"/>
    <s v="marketing"/>
    <s v="NA"/>
    <x v="0"/>
    <n v="100.09"/>
    <x v="2"/>
    <x v="0"/>
    <x v="0"/>
    <x v="10"/>
    <n v="-1825.3500000000001"/>
  </r>
  <r>
    <d v="2024-11-20T00:00:00"/>
    <s v="net sales:product 1"/>
    <n v="9.99"/>
    <x v="14"/>
    <n v="949.05000000000007"/>
    <x v="3"/>
    <x v="1"/>
    <x v="0"/>
    <x v="10"/>
    <n v="-99.92"/>
  </r>
  <r>
    <d v="2024-11-20T00:00:00"/>
    <s v="net sales:product 2"/>
    <n v="24.99"/>
    <x v="42"/>
    <n v="149.94"/>
    <x v="3"/>
    <x v="2"/>
    <x v="0"/>
    <x v="10"/>
    <n v="709.29"/>
  </r>
  <r>
    <d v="2024-11-20T00:00:00"/>
    <s v="net sales:product 3"/>
    <n v="12.49"/>
    <x v="188"/>
    <n v="2872.7000000000003"/>
    <x v="3"/>
    <x v="3"/>
    <x v="0"/>
    <x v="10"/>
    <n v="149.94"/>
  </r>
  <r>
    <d v="2024-11-21T00:00:00"/>
    <s v="cogs:product 1"/>
    <n v="5.99"/>
    <x v="127"/>
    <n v="83.86"/>
    <x v="1"/>
    <x v="1"/>
    <x v="0"/>
    <x v="10"/>
    <n v="2685.35"/>
  </r>
  <r>
    <d v="2024-11-21T00:00:00"/>
    <s v="cogs:product 2"/>
    <n v="16.989999999999998"/>
    <x v="42"/>
    <n v="101.94"/>
    <x v="1"/>
    <x v="2"/>
    <x v="0"/>
    <x v="10"/>
    <n v="-149.75"/>
  </r>
  <r>
    <d v="2024-11-21T00:00:00"/>
    <s v="cogs:product 3"/>
    <n v="8.49"/>
    <x v="23"/>
    <n v="0"/>
    <x v="1"/>
    <x v="3"/>
    <x v="0"/>
    <x v="10"/>
    <n v="-50.97"/>
  </r>
  <r>
    <d v="2024-11-21T00:00:00"/>
    <s v="marketing"/>
    <s v="NA"/>
    <x v="0"/>
    <n v="100.10000000000001"/>
    <x v="2"/>
    <x v="0"/>
    <x v="0"/>
    <x v="10"/>
    <n v="-1341.42"/>
  </r>
  <r>
    <d v="2024-11-21T00:00:00"/>
    <s v="net sales:product 1"/>
    <n v="9.99"/>
    <x v="127"/>
    <n v="139.86000000000001"/>
    <x v="3"/>
    <x v="1"/>
    <x v="0"/>
    <x v="10"/>
    <n v="-99.98"/>
  </r>
  <r>
    <d v="2024-11-21T00:00:00"/>
    <s v="net sales:product 2"/>
    <n v="24.99"/>
    <x v="42"/>
    <n v="149.94"/>
    <x v="3"/>
    <x v="2"/>
    <x v="0"/>
    <x v="10"/>
    <n v="249.75"/>
  </r>
  <r>
    <d v="2024-11-21T00:00:00"/>
    <s v="net sales:product 3"/>
    <n v="12.49"/>
    <x v="23"/>
    <n v="0"/>
    <x v="3"/>
    <x v="3"/>
    <x v="0"/>
    <x v="10"/>
    <n v="74.97"/>
  </r>
  <r>
    <d v="2024-11-22T00:00:00"/>
    <s v="cogs:product 1"/>
    <n v="5.99"/>
    <x v="88"/>
    <n v="161.73000000000002"/>
    <x v="1"/>
    <x v="1"/>
    <x v="0"/>
    <x v="10"/>
    <n v="1973.42"/>
  </r>
  <r>
    <d v="2024-11-22T00:00:00"/>
    <s v="cogs:product 2"/>
    <n v="16.989999999999998"/>
    <x v="42"/>
    <n v="101.94"/>
    <x v="1"/>
    <x v="2"/>
    <x v="0"/>
    <x v="10"/>
    <n v="-359.40000000000003"/>
  </r>
  <r>
    <d v="2024-11-22T00:00:00"/>
    <s v="cogs:product 3"/>
    <n v="8.49"/>
    <x v="64"/>
    <n v="169.8"/>
    <x v="1"/>
    <x v="3"/>
    <x v="0"/>
    <x v="10"/>
    <n v="-101.94"/>
  </r>
  <r>
    <d v="2024-11-22T00:00:00"/>
    <s v="marketing"/>
    <s v="NA"/>
    <x v="0"/>
    <n v="100.06"/>
    <x v="2"/>
    <x v="0"/>
    <x v="0"/>
    <x v="10"/>
    <n v="-2037.6000000000001"/>
  </r>
  <r>
    <d v="2024-11-22T00:00:00"/>
    <s v="net sales:product 1"/>
    <n v="9.99"/>
    <x v="88"/>
    <n v="269.73"/>
    <x v="3"/>
    <x v="1"/>
    <x v="0"/>
    <x v="10"/>
    <n v="-100.06"/>
  </r>
  <r>
    <d v="2024-11-22T00:00:00"/>
    <s v="net sales:product 2"/>
    <n v="24.99"/>
    <x v="42"/>
    <n v="149.94"/>
    <x v="3"/>
    <x v="2"/>
    <x v="0"/>
    <x v="10"/>
    <n v="599.4"/>
  </r>
  <r>
    <d v="2024-11-22T00:00:00"/>
    <s v="net sales:product 3"/>
    <n v="12.49"/>
    <x v="64"/>
    <n v="249.8"/>
    <x v="3"/>
    <x v="3"/>
    <x v="0"/>
    <x v="10"/>
    <n v="149.94"/>
  </r>
  <r>
    <d v="2024-11-22T00:00:00"/>
    <s v="payroll"/>
    <s v="NA"/>
    <x v="0"/>
    <n v="1200"/>
    <x v="5"/>
    <x v="0"/>
    <x v="0"/>
    <x v="10"/>
    <n v="2997.6"/>
  </r>
  <r>
    <d v="2024-11-23T00:00:00"/>
    <s v="cogs:product 1"/>
    <n v="5.99"/>
    <x v="85"/>
    <n v="209.65"/>
    <x v="1"/>
    <x v="1"/>
    <x v="0"/>
    <x v="10"/>
    <n v="-113.81"/>
  </r>
  <r>
    <d v="2024-11-23T00:00:00"/>
    <s v="cogs:product 2"/>
    <n v="16.989999999999998"/>
    <x v="29"/>
    <n v="84.949999999999989"/>
    <x v="1"/>
    <x v="2"/>
    <x v="0"/>
    <x v="10"/>
    <n v="-84.949999999999989"/>
  </r>
  <r>
    <d v="2024-11-23T00:00:00"/>
    <s v="cogs:product 3"/>
    <n v="8.49"/>
    <x v="189"/>
    <n v="1850.82"/>
    <x v="1"/>
    <x v="3"/>
    <x v="0"/>
    <x v="10"/>
    <n v="-2088.54"/>
  </r>
  <r>
    <d v="2024-11-23T00:00:00"/>
    <s v="marketing"/>
    <s v="NA"/>
    <x v="0"/>
    <n v="100.06"/>
    <x v="2"/>
    <x v="0"/>
    <x v="0"/>
    <x v="10"/>
    <n v="-100.02"/>
  </r>
  <r>
    <d v="2024-11-23T00:00:00"/>
    <s v="net sales:product 1"/>
    <n v="9.99"/>
    <x v="85"/>
    <n v="349.65000000000003"/>
    <x v="3"/>
    <x v="1"/>
    <x v="0"/>
    <x v="10"/>
    <n v="189.81"/>
  </r>
  <r>
    <d v="2024-11-23T00:00:00"/>
    <s v="net sales:product 2"/>
    <n v="24.99"/>
    <x v="29"/>
    <n v="124.94999999999999"/>
    <x v="3"/>
    <x v="2"/>
    <x v="0"/>
    <x v="10"/>
    <n v="124.94999999999999"/>
  </r>
  <r>
    <d v="2024-11-23T00:00:00"/>
    <s v="net sales:product 3"/>
    <n v="12.49"/>
    <x v="189"/>
    <n v="2722.82"/>
    <x v="3"/>
    <x v="3"/>
    <x v="0"/>
    <x v="10"/>
    <n v="3072.54"/>
  </r>
  <r>
    <d v="2024-11-24T00:00:00"/>
    <s v="cogs:product 1"/>
    <n v="5.99"/>
    <x v="135"/>
    <n v="179.70000000000002"/>
    <x v="1"/>
    <x v="1"/>
    <x v="0"/>
    <x v="10"/>
    <n v="-83.86"/>
  </r>
  <r>
    <d v="2024-11-24T00:00:00"/>
    <s v="cogs:product 2"/>
    <n v="16.989999999999998"/>
    <x v="16"/>
    <n v="135.91999999999999"/>
    <x v="1"/>
    <x v="2"/>
    <x v="0"/>
    <x v="10"/>
    <n v="-33.979999999999997"/>
  </r>
  <r>
    <d v="2024-11-24T00:00:00"/>
    <s v="cogs:product 3"/>
    <n v="8.49"/>
    <x v="164"/>
    <n v="916.92000000000007"/>
    <x v="1"/>
    <x v="3"/>
    <x v="0"/>
    <x v="10"/>
    <n v="-704.67000000000007"/>
  </r>
  <r>
    <d v="2024-11-24T00:00:00"/>
    <s v="marketing"/>
    <s v="NA"/>
    <x v="0"/>
    <n v="100.02"/>
    <x v="2"/>
    <x v="0"/>
    <x v="0"/>
    <x v="10"/>
    <n v="-100.09"/>
  </r>
  <r>
    <d v="2024-11-24T00:00:00"/>
    <s v="net sales:product 1"/>
    <n v="9.99"/>
    <x v="135"/>
    <n v="299.7"/>
    <x v="3"/>
    <x v="1"/>
    <x v="0"/>
    <x v="10"/>
    <n v="139.86000000000001"/>
  </r>
  <r>
    <d v="2024-11-24T00:00:00"/>
    <s v="net sales:product 2"/>
    <n v="24.99"/>
    <x v="16"/>
    <n v="199.92"/>
    <x v="3"/>
    <x v="2"/>
    <x v="0"/>
    <x v="10"/>
    <n v="49.98"/>
  </r>
  <r>
    <d v="2024-11-24T00:00:00"/>
    <s v="net sales:product 3"/>
    <n v="12.49"/>
    <x v="164"/>
    <n v="1348.92"/>
    <x v="3"/>
    <x v="3"/>
    <x v="0"/>
    <x v="10"/>
    <n v="1036.67"/>
  </r>
  <r>
    <d v="2024-11-25T00:00:00"/>
    <s v="cogs:product 1"/>
    <n v="5.99"/>
    <x v="135"/>
    <n v="179.70000000000002"/>
    <x v="1"/>
    <x v="1"/>
    <x v="0"/>
    <x v="10"/>
    <n v="-1200"/>
  </r>
  <r>
    <d v="2024-11-25T00:00:00"/>
    <s v="cogs:product 2"/>
    <n v="16.989999999999998"/>
    <x v="2"/>
    <n v="50.97"/>
    <x v="1"/>
    <x v="2"/>
    <x v="0"/>
    <x v="10"/>
    <n v="-329.45"/>
  </r>
  <r>
    <d v="2024-11-25T00:00:00"/>
    <s v="cogs:product 3"/>
    <n v="8.49"/>
    <x v="64"/>
    <n v="169.8"/>
    <x v="1"/>
    <x v="3"/>
    <x v="0"/>
    <x v="10"/>
    <n v="-101.94"/>
  </r>
  <r>
    <d v="2024-11-25T00:00:00"/>
    <s v="marketing"/>
    <s v="NA"/>
    <x v="0"/>
    <n v="100.01"/>
    <x v="2"/>
    <x v="0"/>
    <x v="0"/>
    <x v="10"/>
    <n v="-1545.18"/>
  </r>
  <r>
    <d v="2024-11-25T00:00:00"/>
    <s v="net sales:product 1"/>
    <n v="9.99"/>
    <x v="135"/>
    <n v="299.7"/>
    <x v="3"/>
    <x v="1"/>
    <x v="0"/>
    <x v="10"/>
    <n v="-99.94"/>
  </r>
  <r>
    <d v="2024-11-25T00:00:00"/>
    <s v="net sales:product 2"/>
    <n v="24.99"/>
    <x v="2"/>
    <n v="74.97"/>
    <x v="3"/>
    <x v="2"/>
    <x v="0"/>
    <x v="10"/>
    <n v="549.45000000000005"/>
  </r>
  <r>
    <d v="2024-11-25T00:00:00"/>
    <s v="net sales:product 3"/>
    <n v="12.49"/>
    <x v="64"/>
    <n v="249.8"/>
    <x v="3"/>
    <x v="3"/>
    <x v="0"/>
    <x v="10"/>
    <n v="149.94"/>
  </r>
  <r>
    <d v="2024-11-26T00:00:00"/>
    <s v="cogs:product 1"/>
    <n v="5.99"/>
    <x v="24"/>
    <n v="593.01"/>
    <x v="1"/>
    <x v="1"/>
    <x v="0"/>
    <x v="10"/>
    <n v="2273.1799999999998"/>
  </r>
  <r>
    <d v="2024-11-26T00:00:00"/>
    <s v="cogs:product 2"/>
    <n v="16.989999999999998"/>
    <x v="25"/>
    <n v="16.989999999999998"/>
    <x v="1"/>
    <x v="2"/>
    <x v="0"/>
    <x v="10"/>
    <n v="-371.38"/>
  </r>
  <r>
    <d v="2024-11-26T00:00:00"/>
    <s v="cogs:product 3"/>
    <n v="8.49"/>
    <x v="122"/>
    <n v="220.74"/>
    <x v="1"/>
    <x v="3"/>
    <x v="0"/>
    <x v="10"/>
    <n v="-84.949999999999989"/>
  </r>
  <r>
    <d v="2024-11-26T00:00:00"/>
    <s v="marketing"/>
    <s v="NA"/>
    <x v="0"/>
    <n v="100.07000000000001"/>
    <x v="2"/>
    <x v="0"/>
    <x v="0"/>
    <x v="10"/>
    <n v="-585.81000000000006"/>
  </r>
  <r>
    <d v="2024-11-26T00:00:00"/>
    <s v="net sales:product 1"/>
    <n v="9.99"/>
    <x v="24"/>
    <n v="989.01"/>
    <x v="3"/>
    <x v="1"/>
    <x v="0"/>
    <x v="10"/>
    <n v="-100"/>
  </r>
  <r>
    <d v="2024-11-26T00:00:00"/>
    <s v="net sales:product 2"/>
    <n v="24.99"/>
    <x v="25"/>
    <n v="24.99"/>
    <x v="3"/>
    <x v="2"/>
    <x v="0"/>
    <x v="10"/>
    <n v="619.38"/>
  </r>
  <r>
    <d v="2024-11-26T00:00:00"/>
    <s v="net sales:product 3"/>
    <n v="12.49"/>
    <x v="122"/>
    <n v="324.74"/>
    <x v="3"/>
    <x v="3"/>
    <x v="0"/>
    <x v="10"/>
    <n v="124.94999999999999"/>
  </r>
  <r>
    <d v="2024-11-27T00:00:00"/>
    <s v="cogs:product 1"/>
    <n v="5.99"/>
    <x v="139"/>
    <n v="215.64000000000001"/>
    <x v="1"/>
    <x v="1"/>
    <x v="0"/>
    <x v="10"/>
    <n v="861.81000000000006"/>
  </r>
  <r>
    <d v="2024-11-27T00:00:00"/>
    <s v="cogs:product 2"/>
    <n v="16.989999999999998"/>
    <x v="16"/>
    <n v="135.91999999999999"/>
    <x v="1"/>
    <x v="2"/>
    <x v="0"/>
    <x v="10"/>
    <n v="-89.850000000000009"/>
  </r>
  <r>
    <d v="2024-11-27T00:00:00"/>
    <s v="cogs:product 3"/>
    <n v="8.49"/>
    <x v="181"/>
    <n v="2054.58"/>
    <x v="1"/>
    <x v="3"/>
    <x v="0"/>
    <x v="10"/>
    <n v="-33.979999999999997"/>
  </r>
  <r>
    <d v="2024-11-27T00:00:00"/>
    <s v="marketing"/>
    <s v="NA"/>
    <x v="0"/>
    <n v="99.94"/>
    <x v="2"/>
    <x v="0"/>
    <x v="0"/>
    <x v="10"/>
    <n v="-611.28"/>
  </r>
  <r>
    <d v="2024-11-27T00:00:00"/>
    <s v="net sales:product 1"/>
    <n v="9.99"/>
    <x v="139"/>
    <n v="359.64"/>
    <x v="3"/>
    <x v="1"/>
    <x v="0"/>
    <x v="10"/>
    <n v="-100"/>
  </r>
  <r>
    <d v="2024-11-27T00:00:00"/>
    <s v="net sales:product 2"/>
    <n v="24.99"/>
    <x v="16"/>
    <n v="199.92"/>
    <x v="3"/>
    <x v="2"/>
    <x v="0"/>
    <x v="10"/>
    <n v="149.85"/>
  </r>
  <r>
    <d v="2024-11-27T00:00:00"/>
    <s v="net sales:product 3"/>
    <n v="12.49"/>
    <x v="181"/>
    <n v="3022.58"/>
    <x v="3"/>
    <x v="3"/>
    <x v="0"/>
    <x v="10"/>
    <n v="49.98"/>
  </r>
  <r>
    <d v="2024-11-28T00:00:00"/>
    <s v="cogs:product 1"/>
    <n v="5.99"/>
    <x v="4"/>
    <n v="389.35"/>
    <x v="1"/>
    <x v="1"/>
    <x v="0"/>
    <x v="10"/>
    <n v="899.28"/>
  </r>
  <r>
    <d v="2024-11-28T00:00:00"/>
    <s v="cogs:product 2"/>
    <n v="16.989999999999998"/>
    <x v="7"/>
    <n v="152.91"/>
    <x v="1"/>
    <x v="2"/>
    <x v="0"/>
    <x v="10"/>
    <n v="-323.46000000000004"/>
  </r>
  <r>
    <d v="2024-11-28T00:00:00"/>
    <s v="cogs:product 3"/>
    <n v="8.49"/>
    <x v="117"/>
    <n v="730.14"/>
    <x v="1"/>
    <x v="3"/>
    <x v="0"/>
    <x v="10"/>
    <n v="-33.979999999999997"/>
  </r>
  <r>
    <d v="2024-11-28T00:00:00"/>
    <s v="marketing"/>
    <s v="NA"/>
    <x v="0"/>
    <n v="99.97"/>
    <x v="2"/>
    <x v="0"/>
    <x v="0"/>
    <x v="10"/>
    <n v="-237.72"/>
  </r>
  <r>
    <d v="2024-11-28T00:00:00"/>
    <s v="net sales:product 1"/>
    <n v="9.99"/>
    <x v="4"/>
    <n v="649.35"/>
    <x v="3"/>
    <x v="1"/>
    <x v="0"/>
    <x v="10"/>
    <n v="-99.93"/>
  </r>
  <r>
    <d v="2024-11-28T00:00:00"/>
    <s v="net sales:product 2"/>
    <n v="24.99"/>
    <x v="7"/>
    <n v="224.91"/>
    <x v="3"/>
    <x v="2"/>
    <x v="0"/>
    <x v="10"/>
    <n v="539.46"/>
  </r>
  <r>
    <d v="2024-11-28T00:00:00"/>
    <s v="net sales:product 3"/>
    <n v="12.49"/>
    <x v="117"/>
    <n v="1074.1400000000001"/>
    <x v="3"/>
    <x v="3"/>
    <x v="0"/>
    <x v="10"/>
    <n v="49.98"/>
  </r>
  <r>
    <d v="2024-11-29T00:00:00"/>
    <s v="cogs:product 1"/>
    <n v="5.99"/>
    <x v="15"/>
    <n v="227.62"/>
    <x v="1"/>
    <x v="1"/>
    <x v="0"/>
    <x v="10"/>
    <n v="349.72"/>
  </r>
  <r>
    <d v="2024-11-29T00:00:00"/>
    <s v="cogs:product 2"/>
    <n v="16.989999999999998"/>
    <x v="19"/>
    <n v="67.959999999999994"/>
    <x v="1"/>
    <x v="2"/>
    <x v="0"/>
    <x v="10"/>
    <n v="-71.88"/>
  </r>
  <r>
    <d v="2024-11-29T00:00:00"/>
    <s v="cogs:product 3"/>
    <n v="8.49"/>
    <x v="31"/>
    <n v="152.82"/>
    <x v="1"/>
    <x v="3"/>
    <x v="0"/>
    <x v="10"/>
    <n v="-67.959999999999994"/>
  </r>
  <r>
    <d v="2024-11-29T00:00:00"/>
    <s v="marketing"/>
    <s v="NA"/>
    <x v="0"/>
    <n v="99.94"/>
    <x v="2"/>
    <x v="0"/>
    <x v="0"/>
    <x v="10"/>
    <n v="-25.47"/>
  </r>
  <r>
    <d v="2024-11-29T00:00:00"/>
    <s v="net sales:product 1"/>
    <n v="9.99"/>
    <x v="15"/>
    <n v="379.62"/>
    <x v="3"/>
    <x v="1"/>
    <x v="0"/>
    <x v="10"/>
    <n v="-100.05"/>
  </r>
  <r>
    <d v="2024-11-29T00:00:00"/>
    <s v="net sales:product 2"/>
    <n v="24.99"/>
    <x v="19"/>
    <n v="99.96"/>
    <x v="3"/>
    <x v="2"/>
    <x v="0"/>
    <x v="10"/>
    <n v="119.88"/>
  </r>
  <r>
    <d v="2024-11-29T00:00:00"/>
    <s v="net sales:product 3"/>
    <n v="12.49"/>
    <x v="31"/>
    <n v="224.82"/>
    <x v="3"/>
    <x v="3"/>
    <x v="0"/>
    <x v="10"/>
    <n v="99.96"/>
  </r>
  <r>
    <d v="2024-11-30T00:00:00"/>
    <s v="cogs:product 1"/>
    <n v="5.99"/>
    <x v="56"/>
    <n v="521.13"/>
    <x v="1"/>
    <x v="1"/>
    <x v="0"/>
    <x v="10"/>
    <n v="37.47"/>
  </r>
  <r>
    <d v="2024-11-30T00:00:00"/>
    <s v="cogs:product 2"/>
    <n v="16.989999999999998"/>
    <x v="10"/>
    <n v="33.979999999999997"/>
    <x v="1"/>
    <x v="2"/>
    <x v="0"/>
    <x v="10"/>
    <n v="-263.56"/>
  </r>
  <r>
    <d v="2024-11-30T00:00:00"/>
    <s v="cogs:product 3"/>
    <n v="8.49"/>
    <x v="23"/>
    <n v="0"/>
    <x v="1"/>
    <x v="3"/>
    <x v="0"/>
    <x v="10"/>
    <n v="-152.91"/>
  </r>
  <r>
    <d v="2024-11-30T00:00:00"/>
    <s v="marketing"/>
    <s v="NA"/>
    <x v="0"/>
    <n v="99.92"/>
    <x v="2"/>
    <x v="0"/>
    <x v="0"/>
    <x v="10"/>
    <n v="-2088.54"/>
  </r>
  <r>
    <d v="2024-11-30T00:00:00"/>
    <s v="net sales:product 1"/>
    <n v="9.99"/>
    <x v="56"/>
    <n v="869.13"/>
    <x v="3"/>
    <x v="1"/>
    <x v="0"/>
    <x v="10"/>
    <n v="-100.08"/>
  </r>
  <r>
    <d v="2024-11-30T00:00:00"/>
    <s v="net sales:product 2"/>
    <n v="24.99"/>
    <x v="10"/>
    <n v="49.98"/>
    <x v="3"/>
    <x v="2"/>
    <x v="0"/>
    <x v="10"/>
    <n v="439.56"/>
  </r>
  <r>
    <d v="2024-11-30T00:00:00"/>
    <s v="net sales:product 3"/>
    <n v="12.49"/>
    <x v="23"/>
    <n v="0"/>
    <x v="3"/>
    <x v="3"/>
    <x v="0"/>
    <x v="10"/>
    <n v="224.91"/>
  </r>
  <r>
    <d v="2024-12-01T00:00:00"/>
    <s v="amortization"/>
    <s v="NA"/>
    <x v="0"/>
    <n v="50"/>
    <x v="0"/>
    <x v="0"/>
    <x v="0"/>
    <x v="11"/>
    <n v="3072.54"/>
  </r>
  <r>
    <d v="2024-12-01T00:00:00"/>
    <s v="cogs:product 1"/>
    <n v="5.99"/>
    <x v="166"/>
    <n v="77.87"/>
    <x v="1"/>
    <x v="1"/>
    <x v="0"/>
    <x v="11"/>
    <n v="0"/>
  </r>
  <r>
    <d v="2024-12-01T00:00:00"/>
    <s v="cogs:product 2"/>
    <n v="16.989999999999998"/>
    <x v="19"/>
    <n v="67.959999999999994"/>
    <x v="1"/>
    <x v="2"/>
    <x v="0"/>
    <x v="11"/>
    <n v="-65.89"/>
  </r>
  <r>
    <d v="2024-12-01T00:00:00"/>
    <s v="cogs:product 3"/>
    <n v="8.49"/>
    <x v="23"/>
    <n v="0"/>
    <x v="1"/>
    <x v="3"/>
    <x v="0"/>
    <x v="11"/>
    <n v="-50.97"/>
  </r>
  <r>
    <d v="2024-12-01T00:00:00"/>
    <s v="marketing"/>
    <s v="NA"/>
    <x v="0"/>
    <n v="99.91"/>
    <x v="2"/>
    <x v="0"/>
    <x v="0"/>
    <x v="11"/>
    <n v="-492.42"/>
  </r>
  <r>
    <d v="2024-12-01T00:00:00"/>
    <s v="net sales:product 1"/>
    <n v="9.99"/>
    <x v="166"/>
    <n v="129.87"/>
    <x v="3"/>
    <x v="1"/>
    <x v="0"/>
    <x v="11"/>
    <n v="-99.97"/>
  </r>
  <r>
    <d v="2024-12-01T00:00:00"/>
    <s v="net sales:product 2"/>
    <n v="24.99"/>
    <x v="19"/>
    <n v="99.96"/>
    <x v="3"/>
    <x v="2"/>
    <x v="0"/>
    <x v="11"/>
    <n v="109.89"/>
  </r>
  <r>
    <d v="2024-12-01T00:00:00"/>
    <s v="net sales:product 3"/>
    <n v="12.49"/>
    <x v="23"/>
    <n v="0"/>
    <x v="3"/>
    <x v="3"/>
    <x v="0"/>
    <x v="11"/>
    <n v="74.97"/>
  </r>
  <r>
    <d v="2024-12-01T00:00:00"/>
    <s v="overhead"/>
    <s v="NA"/>
    <x v="0"/>
    <n v="2000"/>
    <x v="4"/>
    <x v="0"/>
    <x v="0"/>
    <x v="11"/>
    <n v="724.42"/>
  </r>
  <r>
    <d v="2024-12-02T00:00:00"/>
    <s v="cogs:product 1"/>
    <n v="5.99"/>
    <x v="39"/>
    <n v="149.75"/>
    <x v="1"/>
    <x v="1"/>
    <x v="0"/>
    <x v="11"/>
    <n v="-2000"/>
  </r>
  <r>
    <d v="2024-12-02T00:00:00"/>
    <s v="cogs:product 2"/>
    <n v="16.989999999999998"/>
    <x v="13"/>
    <n v="118.92999999999999"/>
    <x v="1"/>
    <x v="2"/>
    <x v="0"/>
    <x v="11"/>
    <n v="-239.60000000000002"/>
  </r>
  <r>
    <d v="2024-12-02T00:00:00"/>
    <s v="cogs:product 3"/>
    <n v="8.49"/>
    <x v="90"/>
    <n v="1035.78"/>
    <x v="1"/>
    <x v="3"/>
    <x v="0"/>
    <x v="11"/>
    <n v="-84.949999999999989"/>
  </r>
  <r>
    <d v="2024-12-02T00:00:00"/>
    <s v="marketing"/>
    <s v="NA"/>
    <x v="0"/>
    <n v="99.98"/>
    <x v="2"/>
    <x v="0"/>
    <x v="0"/>
    <x v="11"/>
    <n v="-653.73"/>
  </r>
  <r>
    <d v="2024-12-02T00:00:00"/>
    <s v="net sales:product 1"/>
    <n v="9.99"/>
    <x v="39"/>
    <n v="249.75"/>
    <x v="3"/>
    <x v="1"/>
    <x v="0"/>
    <x v="11"/>
    <n v="-100.03"/>
  </r>
  <r>
    <d v="2024-12-02T00:00:00"/>
    <s v="net sales:product 2"/>
    <n v="24.99"/>
    <x v="13"/>
    <n v="174.92999999999998"/>
    <x v="3"/>
    <x v="2"/>
    <x v="0"/>
    <x v="11"/>
    <n v="399.6"/>
  </r>
  <r>
    <d v="2024-12-02T00:00:00"/>
    <s v="net sales:product 3"/>
    <n v="12.49"/>
    <x v="90"/>
    <n v="1523.78"/>
    <x v="3"/>
    <x v="3"/>
    <x v="0"/>
    <x v="11"/>
    <n v="124.94999999999999"/>
  </r>
  <r>
    <d v="2024-12-03T00:00:00"/>
    <s v="cogs:product 1"/>
    <n v="5.99"/>
    <x v="33"/>
    <n v="485.19"/>
    <x v="1"/>
    <x v="1"/>
    <x v="0"/>
    <x v="11"/>
    <n v="961.73"/>
  </r>
  <r>
    <d v="2024-12-03T00:00:00"/>
    <s v="cogs:product 2"/>
    <n v="16.989999999999998"/>
    <x v="2"/>
    <n v="50.97"/>
    <x v="1"/>
    <x v="2"/>
    <x v="0"/>
    <x v="11"/>
    <n v="-41.93"/>
  </r>
  <r>
    <d v="2024-12-03T00:00:00"/>
    <s v="cogs:product 3"/>
    <n v="8.49"/>
    <x v="16"/>
    <n v="67.92"/>
    <x v="1"/>
    <x v="3"/>
    <x v="0"/>
    <x v="11"/>
    <n v="-16.989999999999998"/>
  </r>
  <r>
    <d v="2024-12-03T00:00:00"/>
    <s v="marketing"/>
    <s v="NA"/>
    <x v="0"/>
    <n v="100.07000000000001"/>
    <x v="2"/>
    <x v="0"/>
    <x v="0"/>
    <x v="11"/>
    <n v="-636.75"/>
  </r>
  <r>
    <d v="2024-12-03T00:00:00"/>
    <s v="net sales:product 1"/>
    <n v="9.99"/>
    <x v="33"/>
    <n v="809.19"/>
    <x v="3"/>
    <x v="1"/>
    <x v="0"/>
    <x v="11"/>
    <n v="-99.94"/>
  </r>
  <r>
    <d v="2024-12-03T00:00:00"/>
    <s v="net sales:product 2"/>
    <n v="24.99"/>
    <x v="2"/>
    <n v="74.97"/>
    <x v="3"/>
    <x v="2"/>
    <x v="0"/>
    <x v="11"/>
    <n v="69.930000000000007"/>
  </r>
  <r>
    <d v="2024-12-03T00:00:00"/>
    <s v="net sales:product 3"/>
    <n v="12.49"/>
    <x v="16"/>
    <n v="99.92"/>
    <x v="3"/>
    <x v="3"/>
    <x v="0"/>
    <x v="11"/>
    <n v="24.99"/>
  </r>
  <r>
    <d v="2024-12-04T00:00:00"/>
    <s v="cogs:product 1"/>
    <n v="5.99"/>
    <x v="13"/>
    <n v="41.93"/>
    <x v="1"/>
    <x v="1"/>
    <x v="0"/>
    <x v="11"/>
    <n v="936.75"/>
  </r>
  <r>
    <d v="2024-12-04T00:00:00"/>
    <s v="cogs:product 2"/>
    <n v="16.989999999999998"/>
    <x v="13"/>
    <n v="118.92999999999999"/>
    <x v="1"/>
    <x v="2"/>
    <x v="0"/>
    <x v="11"/>
    <n v="-119.80000000000001"/>
  </r>
  <r>
    <d v="2024-12-04T00:00:00"/>
    <s v="cogs:product 3"/>
    <n v="8.49"/>
    <x v="190"/>
    <n v="2003.64"/>
    <x v="1"/>
    <x v="3"/>
    <x v="0"/>
    <x v="11"/>
    <n v="-118.92999999999999"/>
  </r>
  <r>
    <d v="2024-12-04T00:00:00"/>
    <s v="marketing"/>
    <s v="NA"/>
    <x v="0"/>
    <n v="99.95"/>
    <x v="2"/>
    <x v="0"/>
    <x v="0"/>
    <x v="11"/>
    <n v="-1536.69"/>
  </r>
  <r>
    <d v="2024-12-04T00:00:00"/>
    <s v="net sales:product 1"/>
    <n v="9.99"/>
    <x v="13"/>
    <n v="69.930000000000007"/>
    <x v="3"/>
    <x v="1"/>
    <x v="0"/>
    <x v="11"/>
    <n v="-99.92"/>
  </r>
  <r>
    <d v="2024-12-04T00:00:00"/>
    <s v="net sales:product 2"/>
    <n v="24.99"/>
    <x v="13"/>
    <n v="174.92999999999998"/>
    <x v="3"/>
    <x v="2"/>
    <x v="0"/>
    <x v="11"/>
    <n v="199.8"/>
  </r>
  <r>
    <d v="2024-12-04T00:00:00"/>
    <s v="net sales:product 3"/>
    <n v="12.49"/>
    <x v="190"/>
    <n v="2947.64"/>
    <x v="3"/>
    <x v="3"/>
    <x v="0"/>
    <x v="11"/>
    <n v="174.92999999999998"/>
  </r>
  <r>
    <d v="2024-12-05T00:00:00"/>
    <s v="cogs:product 1"/>
    <n v="5.99"/>
    <x v="138"/>
    <n v="311.48"/>
    <x v="1"/>
    <x v="1"/>
    <x v="0"/>
    <x v="11"/>
    <n v="2260.69"/>
  </r>
  <r>
    <d v="2024-12-05T00:00:00"/>
    <s v="cogs:product 2"/>
    <n v="16.989999999999998"/>
    <x v="13"/>
    <n v="118.92999999999999"/>
    <x v="1"/>
    <x v="2"/>
    <x v="0"/>
    <x v="11"/>
    <n v="-353.41"/>
  </r>
  <r>
    <d v="2024-12-05T00:00:00"/>
    <s v="cogs:product 3"/>
    <n v="8.49"/>
    <x v="83"/>
    <n v="390.54"/>
    <x v="1"/>
    <x v="3"/>
    <x v="0"/>
    <x v="11"/>
    <n v="-67.959999999999994"/>
  </r>
  <r>
    <d v="2024-12-05T00:00:00"/>
    <s v="marketing"/>
    <s v="NA"/>
    <x v="0"/>
    <n v="99.94"/>
    <x v="2"/>
    <x v="0"/>
    <x v="0"/>
    <x v="11"/>
    <n v="-832.02"/>
  </r>
  <r>
    <d v="2024-12-05T00:00:00"/>
    <s v="net sales:product 1"/>
    <n v="9.99"/>
    <x v="138"/>
    <n v="519.48"/>
    <x v="3"/>
    <x v="1"/>
    <x v="0"/>
    <x v="11"/>
    <n v="-100"/>
  </r>
  <r>
    <d v="2024-12-05T00:00:00"/>
    <s v="net sales:product 2"/>
    <n v="24.99"/>
    <x v="13"/>
    <n v="174.92999999999998"/>
    <x v="3"/>
    <x v="2"/>
    <x v="0"/>
    <x v="11"/>
    <n v="589.41"/>
  </r>
  <r>
    <d v="2024-12-05T00:00:00"/>
    <s v="net sales:product 3"/>
    <n v="12.49"/>
    <x v="83"/>
    <n v="574.54"/>
    <x v="3"/>
    <x v="3"/>
    <x v="0"/>
    <x v="11"/>
    <n v="99.96"/>
  </r>
  <r>
    <d v="2024-12-06T00:00:00"/>
    <s v="cogs:product 1"/>
    <n v="5.99"/>
    <x v="52"/>
    <n v="545.09"/>
    <x v="1"/>
    <x v="1"/>
    <x v="0"/>
    <x v="11"/>
    <n v="1224.02"/>
  </r>
  <r>
    <d v="2024-12-06T00:00:00"/>
    <s v="cogs:product 2"/>
    <n v="16.989999999999998"/>
    <x v="29"/>
    <n v="84.949999999999989"/>
    <x v="1"/>
    <x v="2"/>
    <x v="0"/>
    <x v="11"/>
    <n v="-485.19"/>
  </r>
  <r>
    <d v="2024-12-06T00:00:00"/>
    <s v="cogs:product 3"/>
    <n v="8.49"/>
    <x v="10"/>
    <n v="16.98"/>
    <x v="1"/>
    <x v="3"/>
    <x v="0"/>
    <x v="11"/>
    <n v="-33.979999999999997"/>
  </r>
  <r>
    <d v="2024-12-06T00:00:00"/>
    <s v="marketing"/>
    <s v="NA"/>
    <x v="0"/>
    <n v="100.07000000000001"/>
    <x v="2"/>
    <x v="0"/>
    <x v="0"/>
    <x v="11"/>
    <n v="-466.95"/>
  </r>
  <r>
    <d v="2024-12-06T00:00:00"/>
    <s v="net sales:product 1"/>
    <n v="9.99"/>
    <x v="52"/>
    <n v="909.09"/>
    <x v="3"/>
    <x v="1"/>
    <x v="0"/>
    <x v="11"/>
    <n v="-100.10000000000001"/>
  </r>
  <r>
    <d v="2024-12-06T00:00:00"/>
    <s v="net sales:product 2"/>
    <n v="24.99"/>
    <x v="29"/>
    <n v="124.94999999999999"/>
    <x v="3"/>
    <x v="2"/>
    <x v="0"/>
    <x v="11"/>
    <n v="809.19"/>
  </r>
  <r>
    <d v="2024-12-06T00:00:00"/>
    <s v="net sales:product 3"/>
    <n v="12.49"/>
    <x v="10"/>
    <n v="24.98"/>
    <x v="3"/>
    <x v="3"/>
    <x v="0"/>
    <x v="11"/>
    <n v="49.98"/>
  </r>
  <r>
    <d v="2024-12-06T00:00:00"/>
    <s v="payroll"/>
    <s v="NA"/>
    <x v="0"/>
    <n v="1200"/>
    <x v="5"/>
    <x v="0"/>
    <x v="0"/>
    <x v="11"/>
    <n v="686.95"/>
  </r>
  <r>
    <d v="2024-12-07T00:00:00"/>
    <s v="cogs:product 1"/>
    <n v="5.99"/>
    <x v="39"/>
    <n v="149.75"/>
    <x v="1"/>
    <x v="1"/>
    <x v="0"/>
    <x v="11"/>
    <n v="-77.87"/>
  </r>
  <r>
    <d v="2024-12-07T00:00:00"/>
    <s v="cogs:product 2"/>
    <n v="16.989999999999998"/>
    <x v="2"/>
    <n v="50.97"/>
    <x v="1"/>
    <x v="2"/>
    <x v="0"/>
    <x v="11"/>
    <n v="-101.94"/>
  </r>
  <r>
    <d v="2024-12-07T00:00:00"/>
    <s v="cogs:product 3"/>
    <n v="8.49"/>
    <x v="191"/>
    <n v="1375.38"/>
    <x v="1"/>
    <x v="3"/>
    <x v="0"/>
    <x v="11"/>
    <n v="-1426.32"/>
  </r>
  <r>
    <d v="2024-12-07T00:00:00"/>
    <s v="marketing"/>
    <s v="NA"/>
    <x v="0"/>
    <n v="99.94"/>
    <x v="2"/>
    <x v="0"/>
    <x v="0"/>
    <x v="11"/>
    <n v="-99.98"/>
  </r>
  <r>
    <d v="2024-12-07T00:00:00"/>
    <s v="net sales:product 1"/>
    <n v="9.99"/>
    <x v="39"/>
    <n v="249.75"/>
    <x v="3"/>
    <x v="1"/>
    <x v="0"/>
    <x v="11"/>
    <n v="129.87"/>
  </r>
  <r>
    <d v="2024-12-07T00:00:00"/>
    <s v="net sales:product 2"/>
    <n v="24.99"/>
    <x v="2"/>
    <n v="74.97"/>
    <x v="3"/>
    <x v="2"/>
    <x v="0"/>
    <x v="11"/>
    <n v="149.94"/>
  </r>
  <r>
    <d v="2024-12-07T00:00:00"/>
    <s v="net sales:product 3"/>
    <n v="12.49"/>
    <x v="191"/>
    <n v="2023.38"/>
    <x v="3"/>
    <x v="3"/>
    <x v="0"/>
    <x v="11"/>
    <n v="2098.3200000000002"/>
  </r>
  <r>
    <d v="2024-12-08T00:00:00"/>
    <s v="cogs:product 1"/>
    <n v="5.99"/>
    <x v="128"/>
    <n v="245.59"/>
    <x v="1"/>
    <x v="1"/>
    <x v="0"/>
    <x v="11"/>
    <n v="-107.82000000000001"/>
  </r>
  <r>
    <d v="2024-12-08T00:00:00"/>
    <s v="cogs:product 2"/>
    <n v="16.989999999999998"/>
    <x v="16"/>
    <n v="135.91999999999999"/>
    <x v="1"/>
    <x v="2"/>
    <x v="0"/>
    <x v="11"/>
    <n v="-33.979999999999997"/>
  </r>
  <r>
    <d v="2024-12-08T00:00:00"/>
    <s v="cogs:product 3"/>
    <n v="8.49"/>
    <x v="177"/>
    <n v="1655.55"/>
    <x v="1"/>
    <x v="3"/>
    <x v="0"/>
    <x v="11"/>
    <n v="-1061.25"/>
  </r>
  <r>
    <d v="2024-12-08T00:00:00"/>
    <s v="marketing"/>
    <s v="NA"/>
    <x v="0"/>
    <n v="100.04"/>
    <x v="2"/>
    <x v="0"/>
    <x v="0"/>
    <x v="11"/>
    <n v="-100.01"/>
  </r>
  <r>
    <d v="2024-12-08T00:00:00"/>
    <s v="net sales:product 1"/>
    <n v="9.99"/>
    <x v="128"/>
    <n v="409.59000000000003"/>
    <x v="3"/>
    <x v="1"/>
    <x v="0"/>
    <x v="11"/>
    <n v="179.82"/>
  </r>
  <r>
    <d v="2024-12-08T00:00:00"/>
    <s v="net sales:product 2"/>
    <n v="24.99"/>
    <x v="16"/>
    <n v="199.92"/>
    <x v="3"/>
    <x v="2"/>
    <x v="0"/>
    <x v="11"/>
    <n v="49.98"/>
  </r>
  <r>
    <d v="2024-12-08T00:00:00"/>
    <s v="net sales:product 3"/>
    <n v="12.49"/>
    <x v="177"/>
    <n v="2435.5500000000002"/>
    <x v="3"/>
    <x v="3"/>
    <x v="0"/>
    <x v="11"/>
    <n v="1561.25"/>
  </r>
  <r>
    <d v="2024-12-09T00:00:00"/>
    <s v="cogs:product 1"/>
    <n v="5.99"/>
    <x v="28"/>
    <n v="347.42"/>
    <x v="1"/>
    <x v="1"/>
    <x v="0"/>
    <x v="11"/>
    <n v="-1200"/>
  </r>
  <r>
    <d v="2024-12-09T00:00:00"/>
    <s v="cogs:product 2"/>
    <n v="16.989999999999998"/>
    <x v="23"/>
    <n v="0"/>
    <x v="1"/>
    <x v="2"/>
    <x v="0"/>
    <x v="11"/>
    <n v="-569.05000000000007"/>
  </r>
  <r>
    <d v="2024-12-09T00:00:00"/>
    <s v="cogs:product 3"/>
    <n v="8.49"/>
    <x v="192"/>
    <n v="1706.49"/>
    <x v="1"/>
    <x v="3"/>
    <x v="0"/>
    <x v="11"/>
    <n v="-50.97"/>
  </r>
  <r>
    <d v="2024-12-09T00:00:00"/>
    <s v="marketing"/>
    <s v="NA"/>
    <x v="0"/>
    <n v="99.94"/>
    <x v="2"/>
    <x v="0"/>
    <x v="0"/>
    <x v="11"/>
    <n v="0"/>
  </r>
  <r>
    <d v="2024-12-09T00:00:00"/>
    <s v="net sales:product 1"/>
    <n v="9.99"/>
    <x v="28"/>
    <n v="579.41999999999996"/>
    <x v="3"/>
    <x v="1"/>
    <x v="0"/>
    <x v="11"/>
    <n v="-99.94"/>
  </r>
  <r>
    <d v="2024-12-09T00:00:00"/>
    <s v="net sales:product 2"/>
    <n v="24.99"/>
    <x v="23"/>
    <n v="0"/>
    <x v="3"/>
    <x v="2"/>
    <x v="0"/>
    <x v="11"/>
    <n v="949.05000000000007"/>
  </r>
  <r>
    <d v="2024-12-09T00:00:00"/>
    <s v="net sales:product 3"/>
    <n v="12.49"/>
    <x v="192"/>
    <n v="2510.4900000000002"/>
    <x v="3"/>
    <x v="3"/>
    <x v="0"/>
    <x v="11"/>
    <n v="74.97"/>
  </r>
  <r>
    <d v="2024-12-10T00:00:00"/>
    <s v="cogs:product 1"/>
    <n v="5.99"/>
    <x v="86"/>
    <n v="167.72"/>
    <x v="1"/>
    <x v="1"/>
    <x v="0"/>
    <x v="11"/>
    <n v="0"/>
  </r>
  <r>
    <d v="2024-12-10T00:00:00"/>
    <s v="cogs:product 2"/>
    <n v="16.989999999999998"/>
    <x v="29"/>
    <n v="84.949999999999989"/>
    <x v="1"/>
    <x v="2"/>
    <x v="0"/>
    <x v="11"/>
    <n v="-137.77000000000001"/>
  </r>
  <r>
    <d v="2024-12-10T00:00:00"/>
    <s v="cogs:product 3"/>
    <n v="8.49"/>
    <x v="23"/>
    <n v="0"/>
    <x v="1"/>
    <x v="3"/>
    <x v="0"/>
    <x v="11"/>
    <n v="-101.94"/>
  </r>
  <r>
    <d v="2024-12-10T00:00:00"/>
    <s v="marketing"/>
    <s v="NA"/>
    <x v="0"/>
    <n v="100"/>
    <x v="2"/>
    <x v="0"/>
    <x v="0"/>
    <x v="11"/>
    <n v="-178.29"/>
  </r>
  <r>
    <d v="2024-12-10T00:00:00"/>
    <s v="net sales:product 1"/>
    <n v="9.99"/>
    <x v="86"/>
    <n v="279.72000000000003"/>
    <x v="3"/>
    <x v="1"/>
    <x v="0"/>
    <x v="11"/>
    <n v="-99.92"/>
  </r>
  <r>
    <d v="2024-12-10T00:00:00"/>
    <s v="net sales:product 2"/>
    <n v="24.99"/>
    <x v="29"/>
    <n v="124.94999999999999"/>
    <x v="3"/>
    <x v="2"/>
    <x v="0"/>
    <x v="11"/>
    <n v="229.77"/>
  </r>
  <r>
    <d v="2024-12-10T00:00:00"/>
    <s v="net sales:product 3"/>
    <n v="12.49"/>
    <x v="23"/>
    <n v="0"/>
    <x v="3"/>
    <x v="3"/>
    <x v="0"/>
    <x v="11"/>
    <n v="149.94"/>
  </r>
  <r>
    <d v="2024-12-11T00:00:00"/>
    <s v="cogs:product 1"/>
    <n v="5.99"/>
    <x v="83"/>
    <n v="275.54000000000002"/>
    <x v="1"/>
    <x v="1"/>
    <x v="0"/>
    <x v="11"/>
    <n v="262.29000000000002"/>
  </r>
  <r>
    <d v="2024-12-11T00:00:00"/>
    <s v="cogs:product 2"/>
    <n v="16.989999999999998"/>
    <x v="25"/>
    <n v="16.989999999999998"/>
    <x v="1"/>
    <x v="2"/>
    <x v="0"/>
    <x v="11"/>
    <n v="-185.69"/>
  </r>
  <r>
    <d v="2024-12-11T00:00:00"/>
    <s v="cogs:product 3"/>
    <n v="8.49"/>
    <x v="192"/>
    <n v="1706.49"/>
    <x v="1"/>
    <x v="3"/>
    <x v="0"/>
    <x v="11"/>
    <n v="-152.91"/>
  </r>
  <r>
    <d v="2024-12-11T00:00:00"/>
    <s v="marketing"/>
    <s v="NA"/>
    <x v="0"/>
    <n v="100.07000000000001"/>
    <x v="2"/>
    <x v="0"/>
    <x v="0"/>
    <x v="11"/>
    <n v="-1604.6100000000001"/>
  </r>
  <r>
    <d v="2024-12-11T00:00:00"/>
    <s v="net sales:product 1"/>
    <n v="9.99"/>
    <x v="83"/>
    <n v="459.54"/>
    <x v="3"/>
    <x v="1"/>
    <x v="0"/>
    <x v="11"/>
    <n v="-100.01"/>
  </r>
  <r>
    <d v="2024-12-11T00:00:00"/>
    <s v="net sales:product 2"/>
    <n v="24.99"/>
    <x v="25"/>
    <n v="24.99"/>
    <x v="3"/>
    <x v="2"/>
    <x v="0"/>
    <x v="11"/>
    <n v="309.69"/>
  </r>
  <r>
    <d v="2024-12-11T00:00:00"/>
    <s v="net sales:product 3"/>
    <n v="12.49"/>
    <x v="192"/>
    <n v="2510.4900000000002"/>
    <x v="3"/>
    <x v="3"/>
    <x v="0"/>
    <x v="11"/>
    <n v="224.91"/>
  </r>
  <r>
    <d v="2024-12-12T00:00:00"/>
    <s v="cogs:product 1"/>
    <n v="5.99"/>
    <x v="166"/>
    <n v="77.87"/>
    <x v="1"/>
    <x v="1"/>
    <x v="0"/>
    <x v="11"/>
    <n v="2360.61"/>
  </r>
  <r>
    <d v="2024-12-12T00:00:00"/>
    <s v="cogs:product 2"/>
    <n v="16.989999999999998"/>
    <x v="29"/>
    <n v="84.949999999999989"/>
    <x v="1"/>
    <x v="2"/>
    <x v="0"/>
    <x v="11"/>
    <n v="-359.40000000000003"/>
  </r>
  <r>
    <d v="2024-12-12T00:00:00"/>
    <s v="cogs:product 3"/>
    <n v="8.49"/>
    <x v="4"/>
    <n v="551.85"/>
    <x v="1"/>
    <x v="3"/>
    <x v="0"/>
    <x v="11"/>
    <n v="-67.959999999999994"/>
  </r>
  <r>
    <d v="2024-12-12T00:00:00"/>
    <s v="marketing"/>
    <s v="NA"/>
    <x v="0"/>
    <n v="100.07000000000001"/>
    <x v="2"/>
    <x v="0"/>
    <x v="0"/>
    <x v="11"/>
    <n v="-1714.98"/>
  </r>
  <r>
    <d v="2024-12-12T00:00:00"/>
    <s v="net sales:product 1"/>
    <n v="9.99"/>
    <x v="166"/>
    <n v="129.87"/>
    <x v="3"/>
    <x v="1"/>
    <x v="0"/>
    <x v="11"/>
    <n v="-100.01"/>
  </r>
  <r>
    <d v="2024-12-12T00:00:00"/>
    <s v="net sales:product 2"/>
    <n v="24.99"/>
    <x v="29"/>
    <n v="124.94999999999999"/>
    <x v="3"/>
    <x v="2"/>
    <x v="0"/>
    <x v="11"/>
    <n v="599.4"/>
  </r>
  <r>
    <d v="2024-12-12T00:00:00"/>
    <s v="net sales:product 3"/>
    <n v="12.49"/>
    <x v="4"/>
    <n v="811.85"/>
    <x v="3"/>
    <x v="3"/>
    <x v="0"/>
    <x v="11"/>
    <n v="99.96"/>
  </r>
  <r>
    <d v="2024-12-13T00:00:00"/>
    <s v="cogs:product 1"/>
    <n v="5.99"/>
    <x v="13"/>
    <n v="41.93"/>
    <x v="1"/>
    <x v="1"/>
    <x v="0"/>
    <x v="11"/>
    <n v="2522.98"/>
  </r>
  <r>
    <d v="2024-12-13T00:00:00"/>
    <s v="cogs:product 2"/>
    <n v="16.989999999999998"/>
    <x v="19"/>
    <n v="67.959999999999994"/>
    <x v="1"/>
    <x v="2"/>
    <x v="0"/>
    <x v="11"/>
    <n v="-197.67000000000002"/>
  </r>
  <r>
    <d v="2024-12-13T00:00:00"/>
    <s v="cogs:product 3"/>
    <n v="8.49"/>
    <x v="190"/>
    <n v="2003.64"/>
    <x v="1"/>
    <x v="3"/>
    <x v="0"/>
    <x v="11"/>
    <n v="-152.91"/>
  </r>
  <r>
    <d v="2024-12-13T00:00:00"/>
    <s v="marketing"/>
    <s v="NA"/>
    <x v="0"/>
    <n v="100.06"/>
    <x v="2"/>
    <x v="0"/>
    <x v="0"/>
    <x v="11"/>
    <n v="-305.64"/>
  </r>
  <r>
    <d v="2024-12-13T00:00:00"/>
    <s v="net sales:product 1"/>
    <n v="9.99"/>
    <x v="13"/>
    <n v="69.930000000000007"/>
    <x v="3"/>
    <x v="1"/>
    <x v="0"/>
    <x v="11"/>
    <n v="-99.94"/>
  </r>
  <r>
    <d v="2024-12-13T00:00:00"/>
    <s v="net sales:product 2"/>
    <n v="24.99"/>
    <x v="19"/>
    <n v="99.96"/>
    <x v="3"/>
    <x v="2"/>
    <x v="0"/>
    <x v="11"/>
    <n v="329.67"/>
  </r>
  <r>
    <d v="2024-12-13T00:00:00"/>
    <s v="net sales:product 3"/>
    <n v="12.49"/>
    <x v="190"/>
    <n v="2947.64"/>
    <x v="3"/>
    <x v="3"/>
    <x v="0"/>
    <x v="11"/>
    <n v="224.91"/>
  </r>
  <r>
    <d v="2024-12-14T00:00:00"/>
    <s v="cogs:product 1"/>
    <n v="5.99"/>
    <x v="111"/>
    <n v="131.78"/>
    <x v="1"/>
    <x v="1"/>
    <x v="0"/>
    <x v="11"/>
    <n v="449.64"/>
  </r>
  <r>
    <d v="2024-12-14T00:00:00"/>
    <s v="cogs:product 2"/>
    <n v="16.989999999999998"/>
    <x v="25"/>
    <n v="16.989999999999998"/>
    <x v="1"/>
    <x v="2"/>
    <x v="0"/>
    <x v="11"/>
    <n v="-275.54000000000002"/>
  </r>
  <r>
    <d v="2024-12-14T00:00:00"/>
    <s v="cogs:product 3"/>
    <n v="8.49"/>
    <x v="66"/>
    <n v="399.03000000000003"/>
    <x v="1"/>
    <x v="3"/>
    <x v="0"/>
    <x v="11"/>
    <n v="-50.97"/>
  </r>
  <r>
    <d v="2024-12-14T00:00:00"/>
    <s v="marketing"/>
    <s v="NA"/>
    <x v="0"/>
    <n v="100.03"/>
    <x v="2"/>
    <x v="0"/>
    <x v="0"/>
    <x v="11"/>
    <n v="0"/>
  </r>
  <r>
    <d v="2024-12-14T00:00:00"/>
    <s v="net sales:product 1"/>
    <n v="9.99"/>
    <x v="111"/>
    <n v="219.78"/>
    <x v="3"/>
    <x v="1"/>
    <x v="0"/>
    <x v="11"/>
    <n v="-100.10000000000001"/>
  </r>
  <r>
    <d v="2024-12-14T00:00:00"/>
    <s v="net sales:product 2"/>
    <n v="24.99"/>
    <x v="25"/>
    <n v="24.99"/>
    <x v="3"/>
    <x v="2"/>
    <x v="0"/>
    <x v="11"/>
    <n v="459.54"/>
  </r>
  <r>
    <d v="2024-12-14T00:00:00"/>
    <s v="net sales:product 3"/>
    <n v="12.49"/>
    <x v="66"/>
    <n v="587.03"/>
    <x v="3"/>
    <x v="3"/>
    <x v="0"/>
    <x v="11"/>
    <n v="74.97"/>
  </r>
  <r>
    <d v="2024-12-15T00:00:00"/>
    <s v="cogs:product 1"/>
    <n v="5.99"/>
    <x v="120"/>
    <n v="479.20000000000005"/>
    <x v="1"/>
    <x v="1"/>
    <x v="0"/>
    <x v="11"/>
    <n v="0"/>
  </r>
  <r>
    <d v="2024-12-15T00:00:00"/>
    <s v="cogs:product 2"/>
    <n v="16.989999999999998"/>
    <x v="22"/>
    <n v="169.89999999999998"/>
    <x v="1"/>
    <x v="2"/>
    <x v="0"/>
    <x v="11"/>
    <n v="-533.11"/>
  </r>
  <r>
    <d v="2024-12-15T00:00:00"/>
    <s v="cogs:product 3"/>
    <n v="8.49"/>
    <x v="165"/>
    <n v="1740.45"/>
    <x v="1"/>
    <x v="3"/>
    <x v="0"/>
    <x v="11"/>
    <n v="-101.94"/>
  </r>
  <r>
    <d v="2024-12-15T00:00:00"/>
    <s v="interest"/>
    <s v="NA"/>
    <x v="0"/>
    <n v="1247.92"/>
    <x v="6"/>
    <x v="0"/>
    <x v="0"/>
    <x v="11"/>
    <n v="-118.86"/>
  </r>
  <r>
    <d v="2024-12-15T00:00:00"/>
    <s v="marketing"/>
    <s v="NA"/>
    <x v="0"/>
    <n v="99.95"/>
    <x v="2"/>
    <x v="0"/>
    <x v="0"/>
    <x v="11"/>
    <n v="-1250.04"/>
  </r>
  <r>
    <d v="2024-12-15T00:00:00"/>
    <s v="net sales:product 1"/>
    <n v="9.99"/>
    <x v="120"/>
    <n v="799.2"/>
    <x v="3"/>
    <x v="1"/>
    <x v="0"/>
    <x v="11"/>
    <n v="-100.06"/>
  </r>
  <r>
    <d v="2024-12-15T00:00:00"/>
    <s v="net sales:product 2"/>
    <n v="24.99"/>
    <x v="22"/>
    <n v="249.89999999999998"/>
    <x v="3"/>
    <x v="2"/>
    <x v="0"/>
    <x v="11"/>
    <n v="889.11"/>
  </r>
  <r>
    <d v="2024-12-15T00:00:00"/>
    <s v="net sales:product 3"/>
    <n v="12.49"/>
    <x v="165"/>
    <n v="2560.4499999999998"/>
    <x v="3"/>
    <x v="3"/>
    <x v="0"/>
    <x v="11"/>
    <n v="149.94"/>
  </r>
  <r>
    <d v="2024-12-15T00:00:00"/>
    <s v="overhead"/>
    <s v="NA"/>
    <x v="0"/>
    <n v="310.94"/>
    <x v="4"/>
    <x v="0"/>
    <x v="0"/>
    <x v="11"/>
    <n v="174.86"/>
  </r>
  <r>
    <d v="2024-12-16T00:00:00"/>
    <s v="cogs:product 1"/>
    <n v="5.99"/>
    <x v="145"/>
    <n v="89.850000000000009"/>
    <x v="1"/>
    <x v="1"/>
    <x v="0"/>
    <x v="11"/>
    <n v="-312.51"/>
  </r>
  <r>
    <d v="2024-12-16T00:00:00"/>
    <s v="cogs:product 2"/>
    <n v="16.989999999999998"/>
    <x v="19"/>
    <n v="67.959999999999994"/>
    <x v="1"/>
    <x v="2"/>
    <x v="0"/>
    <x v="11"/>
    <n v="-563.06000000000006"/>
  </r>
  <r>
    <d v="2024-12-16T00:00:00"/>
    <s v="cogs:product 3"/>
    <n v="8.49"/>
    <x v="193"/>
    <n v="1986.66"/>
    <x v="1"/>
    <x v="3"/>
    <x v="0"/>
    <x v="11"/>
    <n v="-16.989999999999998"/>
  </r>
  <r>
    <d v="2024-12-16T00:00:00"/>
    <s v="marketing"/>
    <s v="NA"/>
    <x v="0"/>
    <n v="99.960000000000008"/>
    <x v="2"/>
    <x v="0"/>
    <x v="0"/>
    <x v="11"/>
    <n v="-25.47"/>
  </r>
  <r>
    <d v="2024-12-16T00:00:00"/>
    <s v="net sales:product 1"/>
    <n v="9.99"/>
    <x v="145"/>
    <n v="149.85"/>
    <x v="3"/>
    <x v="1"/>
    <x v="0"/>
    <x v="11"/>
    <n v="-100.07000000000001"/>
  </r>
  <r>
    <d v="2024-12-16T00:00:00"/>
    <s v="net sales:product 2"/>
    <n v="24.99"/>
    <x v="19"/>
    <n v="99.96"/>
    <x v="3"/>
    <x v="2"/>
    <x v="0"/>
    <x v="11"/>
    <n v="939.06000000000006"/>
  </r>
  <r>
    <d v="2024-12-16T00:00:00"/>
    <s v="net sales:product 3"/>
    <n v="12.49"/>
    <x v="193"/>
    <n v="2922.66"/>
    <x v="3"/>
    <x v="3"/>
    <x v="0"/>
    <x v="11"/>
    <n v="24.99"/>
  </r>
  <r>
    <d v="2024-12-17T00:00:00"/>
    <s v="cogs:product 1"/>
    <n v="5.99"/>
    <x v="100"/>
    <n v="527.12"/>
    <x v="1"/>
    <x v="1"/>
    <x v="0"/>
    <x v="11"/>
    <n v="37.47"/>
  </r>
  <r>
    <d v="2024-12-17T00:00:00"/>
    <s v="cogs:product 2"/>
    <n v="16.989999999999998"/>
    <x v="29"/>
    <n v="84.949999999999989"/>
    <x v="1"/>
    <x v="2"/>
    <x v="0"/>
    <x v="11"/>
    <n v="-299.5"/>
  </r>
  <r>
    <d v="2024-12-17T00:00:00"/>
    <s v="cogs:product 3"/>
    <n v="8.49"/>
    <x v="52"/>
    <n v="772.59"/>
    <x v="1"/>
    <x v="3"/>
    <x v="0"/>
    <x v="11"/>
    <n v="-33.979999999999997"/>
  </r>
  <r>
    <d v="2024-12-17T00:00:00"/>
    <s v="marketing"/>
    <s v="NA"/>
    <x v="0"/>
    <n v="100.04"/>
    <x v="2"/>
    <x v="0"/>
    <x v="0"/>
    <x v="11"/>
    <n v="-229.23000000000002"/>
  </r>
  <r>
    <d v="2024-12-17T00:00:00"/>
    <s v="net sales:product 1"/>
    <n v="9.99"/>
    <x v="100"/>
    <n v="879.12"/>
    <x v="3"/>
    <x v="1"/>
    <x v="0"/>
    <x v="11"/>
    <n v="-100.05"/>
  </r>
  <r>
    <d v="2024-12-17T00:00:00"/>
    <s v="net sales:product 2"/>
    <n v="24.99"/>
    <x v="29"/>
    <n v="124.94999999999999"/>
    <x v="3"/>
    <x v="2"/>
    <x v="0"/>
    <x v="11"/>
    <n v="499.5"/>
  </r>
  <r>
    <d v="2024-12-17T00:00:00"/>
    <s v="net sales:product 3"/>
    <n v="12.49"/>
    <x v="52"/>
    <n v="1136.5899999999999"/>
    <x v="3"/>
    <x v="3"/>
    <x v="0"/>
    <x v="11"/>
    <n v="49.98"/>
  </r>
  <r>
    <d v="2024-12-18T00:00:00"/>
    <s v="cogs:product 1"/>
    <n v="5.99"/>
    <x v="58"/>
    <n v="251.58"/>
    <x v="1"/>
    <x v="1"/>
    <x v="0"/>
    <x v="11"/>
    <n v="337.23"/>
  </r>
  <r>
    <d v="2024-12-18T00:00:00"/>
    <s v="cogs:product 2"/>
    <n v="16.989999999999998"/>
    <x v="13"/>
    <n v="118.92999999999999"/>
    <x v="1"/>
    <x v="2"/>
    <x v="0"/>
    <x v="11"/>
    <n v="-35.94"/>
  </r>
  <r>
    <d v="2024-12-18T00:00:00"/>
    <s v="cogs:product 3"/>
    <n v="8.49"/>
    <x v="194"/>
    <n v="1511.22"/>
    <x v="1"/>
    <x v="3"/>
    <x v="0"/>
    <x v="11"/>
    <n v="-84.949999999999989"/>
  </r>
  <r>
    <d v="2024-12-18T00:00:00"/>
    <s v="marketing"/>
    <s v="NA"/>
    <x v="0"/>
    <n v="99.93"/>
    <x v="2"/>
    <x v="0"/>
    <x v="0"/>
    <x v="11"/>
    <n v="0"/>
  </r>
  <r>
    <d v="2024-12-18T00:00:00"/>
    <s v="net sales:product 1"/>
    <n v="9.99"/>
    <x v="58"/>
    <n v="419.58"/>
    <x v="3"/>
    <x v="1"/>
    <x v="0"/>
    <x v="11"/>
    <n v="-100.05"/>
  </r>
  <r>
    <d v="2024-12-18T00:00:00"/>
    <s v="net sales:product 2"/>
    <n v="24.99"/>
    <x v="13"/>
    <n v="174.92999999999998"/>
    <x v="3"/>
    <x v="2"/>
    <x v="0"/>
    <x v="11"/>
    <n v="59.94"/>
  </r>
  <r>
    <d v="2024-12-18T00:00:00"/>
    <s v="net sales:product 3"/>
    <n v="12.49"/>
    <x v="194"/>
    <n v="2223.2200000000003"/>
    <x v="3"/>
    <x v="3"/>
    <x v="0"/>
    <x v="11"/>
    <n v="124.94999999999999"/>
  </r>
  <r>
    <d v="2024-12-19T00:00:00"/>
    <s v="cogs:product 1"/>
    <n v="5.99"/>
    <x v="13"/>
    <n v="41.93"/>
    <x v="1"/>
    <x v="1"/>
    <x v="0"/>
    <x v="11"/>
    <n v="0"/>
  </r>
  <r>
    <d v="2024-12-19T00:00:00"/>
    <s v="cogs:product 2"/>
    <n v="16.989999999999998"/>
    <x v="42"/>
    <n v="101.94"/>
    <x v="1"/>
    <x v="2"/>
    <x v="0"/>
    <x v="11"/>
    <n v="-167.72"/>
  </r>
  <r>
    <d v="2024-12-19T00:00:00"/>
    <s v="cogs:product 3"/>
    <n v="8.49"/>
    <x v="138"/>
    <n v="441.48"/>
    <x v="1"/>
    <x v="3"/>
    <x v="0"/>
    <x v="11"/>
    <n v="-135.91999999999999"/>
  </r>
  <r>
    <d v="2024-12-19T00:00:00"/>
    <s v="marketing"/>
    <s v="NA"/>
    <x v="0"/>
    <n v="100.08"/>
    <x v="2"/>
    <x v="0"/>
    <x v="0"/>
    <x v="11"/>
    <n v="-1604.6100000000001"/>
  </r>
  <r>
    <d v="2024-12-19T00:00:00"/>
    <s v="net sales:product 1"/>
    <n v="9.99"/>
    <x v="13"/>
    <n v="69.930000000000007"/>
    <x v="3"/>
    <x v="1"/>
    <x v="0"/>
    <x v="11"/>
    <n v="-99.98"/>
  </r>
  <r>
    <d v="2024-12-19T00:00:00"/>
    <s v="net sales:product 2"/>
    <n v="24.99"/>
    <x v="42"/>
    <n v="149.94"/>
    <x v="3"/>
    <x v="2"/>
    <x v="0"/>
    <x v="11"/>
    <n v="279.72000000000003"/>
  </r>
  <r>
    <d v="2024-12-19T00:00:00"/>
    <s v="net sales:product 3"/>
    <n v="12.49"/>
    <x v="138"/>
    <n v="649.48"/>
    <x v="3"/>
    <x v="3"/>
    <x v="0"/>
    <x v="11"/>
    <n v="199.92"/>
  </r>
  <r>
    <d v="2024-12-20T00:00:00"/>
    <s v="cogs:product 1"/>
    <n v="5.99"/>
    <x v="85"/>
    <n v="209.65"/>
    <x v="1"/>
    <x v="1"/>
    <x v="0"/>
    <x v="11"/>
    <n v="2360.61"/>
  </r>
  <r>
    <d v="2024-12-20T00:00:00"/>
    <s v="cogs:product 2"/>
    <n v="16.989999999999998"/>
    <x v="2"/>
    <n v="50.97"/>
    <x v="1"/>
    <x v="2"/>
    <x v="0"/>
    <x v="11"/>
    <n v="-569.05000000000007"/>
  </r>
  <r>
    <d v="2024-12-20T00:00:00"/>
    <s v="cogs:product 3"/>
    <n v="8.49"/>
    <x v="95"/>
    <n v="509.40000000000003"/>
    <x v="1"/>
    <x v="3"/>
    <x v="0"/>
    <x v="11"/>
    <n v="-101.94"/>
  </r>
  <r>
    <d v="2024-12-20T00:00:00"/>
    <s v="marketing"/>
    <s v="NA"/>
    <x v="0"/>
    <n v="99.960000000000008"/>
    <x v="2"/>
    <x v="0"/>
    <x v="0"/>
    <x v="11"/>
    <n v="-1952.7"/>
  </r>
  <r>
    <d v="2024-12-20T00:00:00"/>
    <s v="net sales:product 1"/>
    <n v="9.99"/>
    <x v="85"/>
    <n v="349.65000000000003"/>
    <x v="3"/>
    <x v="1"/>
    <x v="0"/>
    <x v="11"/>
    <n v="-100.09"/>
  </r>
  <r>
    <d v="2024-12-20T00:00:00"/>
    <s v="net sales:product 2"/>
    <n v="24.99"/>
    <x v="2"/>
    <n v="74.97"/>
    <x v="3"/>
    <x v="2"/>
    <x v="0"/>
    <x v="11"/>
    <n v="949.05000000000007"/>
  </r>
  <r>
    <d v="2024-12-20T00:00:00"/>
    <s v="net sales:product 3"/>
    <n v="12.49"/>
    <x v="95"/>
    <n v="749.4"/>
    <x v="3"/>
    <x v="3"/>
    <x v="0"/>
    <x v="11"/>
    <n v="149.94"/>
  </r>
  <r>
    <d v="2024-12-20T00:00:00"/>
    <s v="payroll"/>
    <s v="NA"/>
    <x v="0"/>
    <n v="1200"/>
    <x v="5"/>
    <x v="0"/>
    <x v="0"/>
    <x v="11"/>
    <n v="2872.7000000000003"/>
  </r>
  <r>
    <d v="2024-12-21T00:00:00"/>
    <s v="cogs:product 1"/>
    <n v="5.99"/>
    <x v="95"/>
    <n v="359.40000000000003"/>
    <x v="1"/>
    <x v="1"/>
    <x v="0"/>
    <x v="11"/>
    <n v="-83.86"/>
  </r>
  <r>
    <d v="2024-12-21T00:00:00"/>
    <s v="cogs:product 2"/>
    <n v="16.989999999999998"/>
    <x v="7"/>
    <n v="152.91"/>
    <x v="1"/>
    <x v="2"/>
    <x v="0"/>
    <x v="11"/>
    <n v="-101.94"/>
  </r>
  <r>
    <d v="2024-12-21T00:00:00"/>
    <s v="cogs:product 3"/>
    <n v="8.49"/>
    <x v="195"/>
    <n v="1443.3"/>
    <x v="1"/>
    <x v="3"/>
    <x v="0"/>
    <x v="11"/>
    <n v="0"/>
  </r>
  <r>
    <d v="2024-12-21T00:00:00"/>
    <s v="marketing"/>
    <s v="NA"/>
    <x v="0"/>
    <n v="99.95"/>
    <x v="2"/>
    <x v="0"/>
    <x v="0"/>
    <x v="11"/>
    <n v="-100.10000000000001"/>
  </r>
  <r>
    <d v="2024-12-21T00:00:00"/>
    <s v="net sales:product 1"/>
    <n v="9.99"/>
    <x v="95"/>
    <n v="599.4"/>
    <x v="3"/>
    <x v="1"/>
    <x v="0"/>
    <x v="11"/>
    <n v="139.86000000000001"/>
  </r>
  <r>
    <d v="2024-12-21T00:00:00"/>
    <s v="net sales:product 2"/>
    <n v="24.99"/>
    <x v="7"/>
    <n v="224.91"/>
    <x v="3"/>
    <x v="2"/>
    <x v="0"/>
    <x v="11"/>
    <n v="149.94"/>
  </r>
  <r>
    <d v="2024-12-21T00:00:00"/>
    <s v="net sales:product 3"/>
    <n v="12.49"/>
    <x v="195"/>
    <n v="2123.3000000000002"/>
    <x v="3"/>
    <x v="3"/>
    <x v="0"/>
    <x v="11"/>
    <n v="0"/>
  </r>
  <r>
    <d v="2024-12-22T00:00:00"/>
    <s v="cogs:product 1"/>
    <n v="5.99"/>
    <x v="137"/>
    <n v="299.5"/>
    <x v="1"/>
    <x v="1"/>
    <x v="0"/>
    <x v="11"/>
    <n v="-161.73000000000002"/>
  </r>
  <r>
    <d v="2024-12-22T00:00:00"/>
    <s v="cogs:product 2"/>
    <n v="16.989999999999998"/>
    <x v="42"/>
    <n v="101.94"/>
    <x v="1"/>
    <x v="2"/>
    <x v="0"/>
    <x v="11"/>
    <n v="-101.94"/>
  </r>
  <r>
    <d v="2024-12-22T00:00:00"/>
    <s v="cogs:product 3"/>
    <n v="8.49"/>
    <x v="196"/>
    <n v="1961.19"/>
    <x v="1"/>
    <x v="3"/>
    <x v="0"/>
    <x v="11"/>
    <n v="-169.8"/>
  </r>
  <r>
    <d v="2024-12-22T00:00:00"/>
    <s v="marketing"/>
    <s v="NA"/>
    <x v="0"/>
    <n v="99.960000000000008"/>
    <x v="2"/>
    <x v="0"/>
    <x v="0"/>
    <x v="11"/>
    <n v="-100.06"/>
  </r>
  <r>
    <d v="2024-12-22T00:00:00"/>
    <s v="net sales:product 1"/>
    <n v="9.99"/>
    <x v="137"/>
    <n v="499.5"/>
    <x v="3"/>
    <x v="1"/>
    <x v="0"/>
    <x v="11"/>
    <n v="269.73"/>
  </r>
  <r>
    <d v="2024-12-22T00:00:00"/>
    <s v="net sales:product 2"/>
    <n v="24.99"/>
    <x v="42"/>
    <n v="149.94"/>
    <x v="3"/>
    <x v="2"/>
    <x v="0"/>
    <x v="11"/>
    <n v="149.94"/>
  </r>
  <r>
    <d v="2024-12-22T00:00:00"/>
    <s v="net sales:product 3"/>
    <n v="12.49"/>
    <x v="196"/>
    <n v="2885.19"/>
    <x v="3"/>
    <x v="3"/>
    <x v="0"/>
    <x v="11"/>
    <n v="249.8"/>
  </r>
  <r>
    <d v="2024-12-23T00:00:00"/>
    <s v="cogs:product 1"/>
    <n v="5.99"/>
    <x v="48"/>
    <n v="371.38"/>
    <x v="1"/>
    <x v="1"/>
    <x v="0"/>
    <x v="11"/>
    <n v="-1200"/>
  </r>
  <r>
    <d v="2024-12-23T00:00:00"/>
    <s v="cogs:product 2"/>
    <n v="16.989999999999998"/>
    <x v="22"/>
    <n v="169.89999999999998"/>
    <x v="1"/>
    <x v="2"/>
    <x v="0"/>
    <x v="11"/>
    <n v="-209.65"/>
  </r>
  <r>
    <d v="2024-12-23T00:00:00"/>
    <s v="cogs:product 3"/>
    <n v="8.49"/>
    <x v="72"/>
    <n v="203.76"/>
    <x v="1"/>
    <x v="3"/>
    <x v="0"/>
    <x v="11"/>
    <n v="-84.949999999999989"/>
  </r>
  <r>
    <d v="2024-12-23T00:00:00"/>
    <s v="marketing"/>
    <s v="NA"/>
    <x v="0"/>
    <n v="99.93"/>
    <x v="2"/>
    <x v="0"/>
    <x v="0"/>
    <x v="11"/>
    <n v="-1850.82"/>
  </r>
  <r>
    <d v="2024-12-23T00:00:00"/>
    <s v="net sales:product 1"/>
    <n v="9.99"/>
    <x v="48"/>
    <n v="619.38"/>
    <x v="3"/>
    <x v="1"/>
    <x v="0"/>
    <x v="11"/>
    <n v="-100.06"/>
  </r>
  <r>
    <d v="2024-12-23T00:00:00"/>
    <s v="net sales:product 2"/>
    <n v="24.99"/>
    <x v="22"/>
    <n v="249.89999999999998"/>
    <x v="3"/>
    <x v="2"/>
    <x v="0"/>
    <x v="11"/>
    <n v="349.65000000000003"/>
  </r>
  <r>
    <d v="2024-12-23T00:00:00"/>
    <s v="net sales:product 3"/>
    <n v="12.49"/>
    <x v="72"/>
    <n v="299.76"/>
    <x v="3"/>
    <x v="3"/>
    <x v="0"/>
    <x v="11"/>
    <n v="124.94999999999999"/>
  </r>
  <r>
    <d v="2024-12-24T00:00:00"/>
    <s v="cogs:product 1"/>
    <n v="5.99"/>
    <x v="104"/>
    <n v="413.31"/>
    <x v="1"/>
    <x v="1"/>
    <x v="0"/>
    <x v="11"/>
    <n v="2722.82"/>
  </r>
  <r>
    <d v="2024-12-24T00:00:00"/>
    <s v="cogs:product 2"/>
    <n v="16.989999999999998"/>
    <x v="29"/>
    <n v="84.949999999999989"/>
    <x v="1"/>
    <x v="2"/>
    <x v="0"/>
    <x v="11"/>
    <n v="-179.70000000000002"/>
  </r>
  <r>
    <d v="2024-12-24T00:00:00"/>
    <s v="cogs:product 3"/>
    <n v="8.49"/>
    <x v="46"/>
    <n v="577.32000000000005"/>
    <x v="1"/>
    <x v="3"/>
    <x v="0"/>
    <x v="11"/>
    <n v="-135.91999999999999"/>
  </r>
  <r>
    <d v="2024-12-24T00:00:00"/>
    <s v="marketing"/>
    <s v="NA"/>
    <x v="0"/>
    <n v="99.97"/>
    <x v="2"/>
    <x v="0"/>
    <x v="0"/>
    <x v="11"/>
    <n v="-916.92000000000007"/>
  </r>
  <r>
    <d v="2024-12-24T00:00:00"/>
    <s v="net sales:product 1"/>
    <n v="9.99"/>
    <x v="104"/>
    <n v="689.31000000000006"/>
    <x v="3"/>
    <x v="1"/>
    <x v="0"/>
    <x v="11"/>
    <n v="-100.02"/>
  </r>
  <r>
    <d v="2024-12-24T00:00:00"/>
    <s v="net sales:product 2"/>
    <n v="24.99"/>
    <x v="29"/>
    <n v="124.94999999999999"/>
    <x v="3"/>
    <x v="2"/>
    <x v="0"/>
    <x v="11"/>
    <n v="299.7"/>
  </r>
  <r>
    <d v="2024-12-24T00:00:00"/>
    <s v="net sales:product 3"/>
    <n v="12.49"/>
    <x v="46"/>
    <n v="849.32"/>
    <x v="3"/>
    <x v="3"/>
    <x v="0"/>
    <x v="11"/>
    <n v="199.92"/>
  </r>
  <r>
    <d v="2024-12-25T00:00:00"/>
    <s v="cogs:product 1"/>
    <n v="5.99"/>
    <x v="113"/>
    <n v="185.69"/>
    <x v="1"/>
    <x v="1"/>
    <x v="0"/>
    <x v="11"/>
    <n v="1348.92"/>
  </r>
  <r>
    <d v="2024-12-25T00:00:00"/>
    <s v="cogs:product 2"/>
    <n v="16.989999999999998"/>
    <x v="2"/>
    <n v="50.97"/>
    <x v="1"/>
    <x v="2"/>
    <x v="0"/>
    <x v="11"/>
    <n v="-179.70000000000002"/>
  </r>
  <r>
    <d v="2024-12-25T00:00:00"/>
    <s v="cogs:product 3"/>
    <n v="8.49"/>
    <x v="146"/>
    <n v="1222.56"/>
    <x v="1"/>
    <x v="3"/>
    <x v="0"/>
    <x v="11"/>
    <n v="-50.97"/>
  </r>
  <r>
    <d v="2024-12-25T00:00:00"/>
    <s v="marketing"/>
    <s v="NA"/>
    <x v="0"/>
    <n v="100.09"/>
    <x v="2"/>
    <x v="0"/>
    <x v="0"/>
    <x v="11"/>
    <n v="-169.8"/>
  </r>
  <r>
    <d v="2024-12-25T00:00:00"/>
    <s v="net sales:product 1"/>
    <n v="9.99"/>
    <x v="113"/>
    <n v="309.69"/>
    <x v="3"/>
    <x v="1"/>
    <x v="0"/>
    <x v="11"/>
    <n v="-100.01"/>
  </r>
  <r>
    <d v="2024-12-25T00:00:00"/>
    <s v="net sales:product 2"/>
    <n v="24.99"/>
    <x v="2"/>
    <n v="74.97"/>
    <x v="3"/>
    <x v="2"/>
    <x v="0"/>
    <x v="11"/>
    <n v="299.7"/>
  </r>
  <r>
    <d v="2024-12-25T00:00:00"/>
    <s v="net sales:product 3"/>
    <n v="12.49"/>
    <x v="146"/>
    <n v="1798.56"/>
    <x v="3"/>
    <x v="3"/>
    <x v="0"/>
    <x v="11"/>
    <n v="74.97"/>
  </r>
  <r>
    <d v="2024-12-26T00:00:00"/>
    <s v="cogs:product 1"/>
    <n v="5.99"/>
    <x v="131"/>
    <n v="563.06000000000006"/>
    <x v="1"/>
    <x v="1"/>
    <x v="0"/>
    <x v="11"/>
    <n v="249.8"/>
  </r>
  <r>
    <d v="2024-12-26T00:00:00"/>
    <s v="cogs:product 2"/>
    <n v="16.989999999999998"/>
    <x v="16"/>
    <n v="135.91999999999999"/>
    <x v="1"/>
    <x v="2"/>
    <x v="0"/>
    <x v="11"/>
    <n v="-593.01"/>
  </r>
  <r>
    <d v="2024-12-26T00:00:00"/>
    <s v="cogs:product 3"/>
    <n v="8.49"/>
    <x v="14"/>
    <n v="806.55000000000007"/>
    <x v="1"/>
    <x v="3"/>
    <x v="0"/>
    <x v="11"/>
    <n v="-16.989999999999998"/>
  </r>
  <r>
    <d v="2024-12-26T00:00:00"/>
    <s v="marketing"/>
    <s v="NA"/>
    <x v="0"/>
    <n v="100.03"/>
    <x v="2"/>
    <x v="0"/>
    <x v="0"/>
    <x v="11"/>
    <n v="-220.74"/>
  </r>
  <r>
    <d v="2024-12-26T00:00:00"/>
    <s v="net sales:product 1"/>
    <n v="9.99"/>
    <x v="131"/>
    <n v="939.06000000000006"/>
    <x v="3"/>
    <x v="1"/>
    <x v="0"/>
    <x v="11"/>
    <n v="-100.07000000000001"/>
  </r>
  <r>
    <d v="2024-12-26T00:00:00"/>
    <s v="net sales:product 2"/>
    <n v="24.99"/>
    <x v="16"/>
    <n v="199.92"/>
    <x v="3"/>
    <x v="2"/>
    <x v="0"/>
    <x v="11"/>
    <n v="989.01"/>
  </r>
  <r>
    <d v="2024-12-26T00:00:00"/>
    <s v="net sales:product 3"/>
    <n v="12.49"/>
    <x v="14"/>
    <n v="1186.55"/>
    <x v="3"/>
    <x v="3"/>
    <x v="0"/>
    <x v="11"/>
    <n v="24.99"/>
  </r>
  <r>
    <d v="2024-12-27T00:00:00"/>
    <s v="cogs:product 1"/>
    <n v="5.99"/>
    <x v="140"/>
    <n v="173.71"/>
    <x v="1"/>
    <x v="1"/>
    <x v="0"/>
    <x v="11"/>
    <n v="324.74"/>
  </r>
  <r>
    <d v="2024-12-27T00:00:00"/>
    <s v="cogs:product 2"/>
    <n v="16.989999999999998"/>
    <x v="10"/>
    <n v="33.979999999999997"/>
    <x v="1"/>
    <x v="2"/>
    <x v="0"/>
    <x v="11"/>
    <n v="-215.64000000000001"/>
  </r>
  <r>
    <d v="2024-12-27T00:00:00"/>
    <s v="cogs:product 3"/>
    <n v="8.49"/>
    <x v="196"/>
    <n v="1961.19"/>
    <x v="1"/>
    <x v="3"/>
    <x v="0"/>
    <x v="11"/>
    <n v="-135.91999999999999"/>
  </r>
  <r>
    <d v="2024-12-27T00:00:00"/>
    <s v="marketing"/>
    <s v="NA"/>
    <x v="0"/>
    <n v="99.95"/>
    <x v="2"/>
    <x v="0"/>
    <x v="0"/>
    <x v="11"/>
    <n v="-2054.58"/>
  </r>
  <r>
    <d v="2024-12-27T00:00:00"/>
    <s v="net sales:product 1"/>
    <n v="9.99"/>
    <x v="140"/>
    <n v="289.70999999999998"/>
    <x v="3"/>
    <x v="1"/>
    <x v="0"/>
    <x v="11"/>
    <n v="-99.94"/>
  </r>
  <r>
    <d v="2024-12-27T00:00:00"/>
    <s v="net sales:product 2"/>
    <n v="24.99"/>
    <x v="10"/>
    <n v="49.98"/>
    <x v="3"/>
    <x v="2"/>
    <x v="0"/>
    <x v="11"/>
    <n v="359.64"/>
  </r>
  <r>
    <d v="2024-12-27T00:00:00"/>
    <s v="net sales:product 3"/>
    <n v="12.49"/>
    <x v="196"/>
    <n v="2885.19"/>
    <x v="3"/>
    <x v="3"/>
    <x v="0"/>
    <x v="11"/>
    <n v="199.92"/>
  </r>
  <r>
    <d v="2024-12-28T00:00:00"/>
    <s v="cogs:product 1"/>
    <n v="5.99"/>
    <x v="74"/>
    <n v="329.45"/>
    <x v="1"/>
    <x v="1"/>
    <x v="0"/>
    <x v="11"/>
    <n v="3022.58"/>
  </r>
  <r>
    <d v="2024-12-28T00:00:00"/>
    <s v="cogs:product 2"/>
    <n v="16.989999999999998"/>
    <x v="7"/>
    <n v="152.91"/>
    <x v="1"/>
    <x v="2"/>
    <x v="0"/>
    <x v="11"/>
    <n v="-389.35"/>
  </r>
  <r>
    <d v="2024-12-28T00:00:00"/>
    <s v="cogs:product 3"/>
    <n v="8.49"/>
    <x v="91"/>
    <n v="1494.24"/>
    <x v="1"/>
    <x v="3"/>
    <x v="0"/>
    <x v="11"/>
    <n v="-152.91"/>
  </r>
  <r>
    <d v="2024-12-28T00:00:00"/>
    <s v="marketing"/>
    <s v="NA"/>
    <x v="0"/>
    <n v="100.06"/>
    <x v="2"/>
    <x v="0"/>
    <x v="0"/>
    <x v="11"/>
    <n v="-730.14"/>
  </r>
  <r>
    <d v="2024-12-28T00:00:00"/>
    <s v="net sales:product 1"/>
    <n v="9.99"/>
    <x v="74"/>
    <n v="549.45000000000005"/>
    <x v="3"/>
    <x v="1"/>
    <x v="0"/>
    <x v="11"/>
    <n v="-99.97"/>
  </r>
  <r>
    <d v="2024-12-28T00:00:00"/>
    <s v="net sales:product 2"/>
    <n v="24.99"/>
    <x v="7"/>
    <n v="224.91"/>
    <x v="3"/>
    <x v="2"/>
    <x v="0"/>
    <x v="11"/>
    <n v="649.35"/>
  </r>
  <r>
    <d v="2024-12-28T00:00:00"/>
    <s v="net sales:product 3"/>
    <n v="12.49"/>
    <x v="91"/>
    <n v="2198.2400000000002"/>
    <x v="3"/>
    <x v="3"/>
    <x v="0"/>
    <x v="11"/>
    <n v="224.91"/>
  </r>
  <r>
    <d v="2024-12-29T00:00:00"/>
    <s v="cogs:product 1"/>
    <n v="5.99"/>
    <x v="22"/>
    <n v="59.900000000000006"/>
    <x v="1"/>
    <x v="1"/>
    <x v="0"/>
    <x v="11"/>
    <n v="1074.1400000000001"/>
  </r>
  <r>
    <d v="2024-12-29T00:00:00"/>
    <s v="cogs:product 2"/>
    <n v="16.989999999999998"/>
    <x v="19"/>
    <n v="67.959999999999994"/>
    <x v="1"/>
    <x v="2"/>
    <x v="0"/>
    <x v="11"/>
    <n v="-227.62"/>
  </r>
  <r>
    <d v="2024-12-29T00:00:00"/>
    <s v="cogs:product 3"/>
    <n v="8.49"/>
    <x v="197"/>
    <n v="1281.99"/>
    <x v="1"/>
    <x v="3"/>
    <x v="0"/>
    <x v="11"/>
    <n v="-67.959999999999994"/>
  </r>
  <r>
    <d v="2024-12-29T00:00:00"/>
    <s v="marketing"/>
    <s v="NA"/>
    <x v="0"/>
    <n v="99.94"/>
    <x v="2"/>
    <x v="0"/>
    <x v="0"/>
    <x v="11"/>
    <n v="-152.82"/>
  </r>
  <r>
    <d v="2024-12-29T00:00:00"/>
    <s v="net sales:product 1"/>
    <n v="9.99"/>
    <x v="22"/>
    <n v="99.9"/>
    <x v="3"/>
    <x v="1"/>
    <x v="0"/>
    <x v="11"/>
    <n v="-99.94"/>
  </r>
  <r>
    <d v="2024-12-29T00:00:00"/>
    <s v="net sales:product 2"/>
    <n v="24.99"/>
    <x v="19"/>
    <n v="99.96"/>
    <x v="3"/>
    <x v="2"/>
    <x v="0"/>
    <x v="11"/>
    <n v="379.62"/>
  </r>
  <r>
    <d v="2024-12-29T00:00:00"/>
    <s v="net sales:product 3"/>
    <n v="12.49"/>
    <x v="197"/>
    <n v="1885.99"/>
    <x v="3"/>
    <x v="3"/>
    <x v="0"/>
    <x v="11"/>
    <n v="99.96"/>
  </r>
  <r>
    <d v="2024-12-30T00:00:00"/>
    <s v="cogs:product 1"/>
    <n v="5.99"/>
    <x v="198"/>
    <n v="557.07000000000005"/>
    <x v="1"/>
    <x v="1"/>
    <x v="0"/>
    <x v="11"/>
    <n v="224.82"/>
  </r>
  <r>
    <d v="2024-12-30T00:00:00"/>
    <s v="cogs:product 2"/>
    <n v="16.989999999999998"/>
    <x v="22"/>
    <n v="169.89999999999998"/>
    <x v="1"/>
    <x v="2"/>
    <x v="0"/>
    <x v="11"/>
    <n v="-521.13"/>
  </r>
  <r>
    <d v="2024-12-30T00:00:00"/>
    <s v="cogs:product 3"/>
    <n v="8.49"/>
    <x v="79"/>
    <n v="534.87"/>
    <x v="1"/>
    <x v="3"/>
    <x v="0"/>
    <x v="11"/>
    <n v="-33.979999999999997"/>
  </r>
  <r>
    <d v="2024-12-30T00:00:00"/>
    <s v="marketing"/>
    <s v="NA"/>
    <x v="0"/>
    <n v="100.09"/>
    <x v="2"/>
    <x v="0"/>
    <x v="0"/>
    <x v="11"/>
    <n v="0"/>
  </r>
  <r>
    <d v="2024-12-30T00:00:00"/>
    <s v="net sales:product 1"/>
    <n v="9.99"/>
    <x v="198"/>
    <n v="929.07"/>
    <x v="3"/>
    <x v="1"/>
    <x v="0"/>
    <x v="11"/>
    <n v="-99.92"/>
  </r>
  <r>
    <d v="2024-12-30T00:00:00"/>
    <s v="net sales:product 2"/>
    <n v="24.99"/>
    <x v="22"/>
    <n v="249.89999999999998"/>
    <x v="3"/>
    <x v="2"/>
    <x v="0"/>
    <x v="11"/>
    <n v="869.13"/>
  </r>
  <r>
    <d v="2024-12-30T00:00:00"/>
    <s v="net sales:product 3"/>
    <n v="12.49"/>
    <x v="79"/>
    <n v="786.87"/>
    <x v="3"/>
    <x v="3"/>
    <x v="0"/>
    <x v="11"/>
    <n v="49.98"/>
  </r>
  <r>
    <d v="2024-12-31T00:00:00"/>
    <s v="cogs:product 1"/>
    <n v="5.99"/>
    <x v="33"/>
    <n v="485.19"/>
    <x v="1"/>
    <x v="1"/>
    <x v="0"/>
    <x v="11"/>
    <n v="0"/>
  </r>
  <r>
    <d v="2024-12-31T00:00:00"/>
    <s v="cogs:product 2"/>
    <n v="16.989999999999998"/>
    <x v="10"/>
    <n v="33.979999999999997"/>
    <x v="1"/>
    <x v="2"/>
    <x v="0"/>
    <x v="11"/>
    <n v="0"/>
  </r>
  <r>
    <d v="2024-12-31T00:00:00"/>
    <s v="cogs:product 3"/>
    <n v="8.49"/>
    <x v="87"/>
    <n v="135.84"/>
    <x v="1"/>
    <x v="3"/>
    <x v="0"/>
    <x v="11"/>
    <n v="-77.87"/>
  </r>
  <r>
    <d v="2024-12-31T00:00:00"/>
    <s v="marketing"/>
    <s v="NA"/>
    <x v="0"/>
    <n v="99.91"/>
    <x v="2"/>
    <x v="0"/>
    <x v="0"/>
    <x v="11"/>
    <n v="-67.959999999999994"/>
  </r>
  <r>
    <d v="2024-12-31T00:00:00"/>
    <s v="net sales:product 1"/>
    <n v="9.99"/>
    <x v="33"/>
    <n v="809.19"/>
    <x v="3"/>
    <x v="1"/>
    <x v="0"/>
    <x v="11"/>
    <n v="0"/>
  </r>
  <r>
    <d v="2024-12-31T00:00:00"/>
    <s v="net sales:product 2"/>
    <n v="24.99"/>
    <x v="10"/>
    <n v="49.98"/>
    <x v="3"/>
    <x v="2"/>
    <x v="0"/>
    <x v="11"/>
    <n v="-99.91"/>
  </r>
  <r>
    <d v="2024-12-31T00:00:00"/>
    <s v="net sales:product 3"/>
    <n v="12.49"/>
    <x v="87"/>
    <n v="199.84"/>
    <x v="3"/>
    <x v="3"/>
    <x v="0"/>
    <x v="11"/>
    <n v="129.87"/>
  </r>
  <r>
    <d v="2025-01-01T00:00:00"/>
    <s v="amortization"/>
    <s v="NA"/>
    <x v="0"/>
    <n v="50"/>
    <x v="0"/>
    <x v="0"/>
    <x v="1"/>
    <x v="0"/>
    <n v="99.96"/>
  </r>
  <r>
    <d v="2025-01-01T00:00:00"/>
    <s v="cogs:product 1"/>
    <n v="5.49"/>
    <x v="28"/>
    <n v="318.42"/>
    <x v="1"/>
    <x v="1"/>
    <x v="1"/>
    <x v="0"/>
    <n v="0"/>
  </r>
  <r>
    <d v="2025-01-01T00:00:00"/>
    <s v="cogs:product 2"/>
    <n v="19.989999999999998"/>
    <x v="13"/>
    <n v="139.92999999999998"/>
    <x v="1"/>
    <x v="2"/>
    <x v="1"/>
    <x v="0"/>
    <n v="-2000"/>
  </r>
  <r>
    <d v="2025-01-01T00:00:00"/>
    <s v="cogs:product 3"/>
    <n v="8.99"/>
    <x v="50"/>
    <n v="809.1"/>
    <x v="1"/>
    <x v="3"/>
    <x v="1"/>
    <x v="0"/>
    <n v="-149.75"/>
  </r>
  <r>
    <d v="2025-01-01T00:00:00"/>
    <s v="marketing"/>
    <s v="NA"/>
    <x v="0"/>
    <n v="118.02"/>
    <x v="2"/>
    <x v="0"/>
    <x v="1"/>
    <x v="0"/>
    <n v="-118.92999999999999"/>
  </r>
  <r>
    <d v="2025-01-01T00:00:00"/>
    <s v="net sales:product 1"/>
    <n v="9.99"/>
    <x v="28"/>
    <n v="579.41999999999996"/>
    <x v="3"/>
    <x v="1"/>
    <x v="1"/>
    <x v="0"/>
    <n v="-1035.78"/>
  </r>
  <r>
    <d v="2025-01-01T00:00:00"/>
    <s v="net sales:product 2"/>
    <n v="24.99"/>
    <x v="13"/>
    <n v="174.92999999999998"/>
    <x v="3"/>
    <x v="2"/>
    <x v="1"/>
    <x v="0"/>
    <n v="-99.98"/>
  </r>
  <r>
    <d v="2025-01-01T00:00:00"/>
    <s v="net sales:product 3"/>
    <n v="12.49"/>
    <x v="50"/>
    <n v="1124.0999999999999"/>
    <x v="3"/>
    <x v="3"/>
    <x v="1"/>
    <x v="0"/>
    <n v="249.75"/>
  </r>
  <r>
    <d v="2025-01-01T00:00:00"/>
    <s v="overhead"/>
    <s v="NA"/>
    <x v="0"/>
    <n v="2000"/>
    <x v="4"/>
    <x v="0"/>
    <x v="1"/>
    <x v="0"/>
    <n v="174.92999999999998"/>
  </r>
  <r>
    <d v="2025-01-02T00:00:00"/>
    <s v="cogs:product 1"/>
    <n v="5.49"/>
    <x v="95"/>
    <n v="329.40000000000003"/>
    <x v="1"/>
    <x v="1"/>
    <x v="1"/>
    <x v="0"/>
    <n v="1523.78"/>
  </r>
  <r>
    <d v="2025-01-02T00:00:00"/>
    <s v="cogs:product 2"/>
    <n v="19.989999999999998"/>
    <x v="2"/>
    <n v="59.97"/>
    <x v="1"/>
    <x v="2"/>
    <x v="1"/>
    <x v="0"/>
    <n v="-485.19"/>
  </r>
  <r>
    <d v="2025-01-02T00:00:00"/>
    <s v="cogs:product 3"/>
    <n v="8.99"/>
    <x v="57"/>
    <n v="1537.29"/>
    <x v="1"/>
    <x v="3"/>
    <x v="1"/>
    <x v="0"/>
    <n v="-50.97"/>
  </r>
  <r>
    <d v="2025-01-02T00:00:00"/>
    <s v="marketing"/>
    <s v="NA"/>
    <x v="0"/>
    <n v="119.10000000000001"/>
    <x v="2"/>
    <x v="0"/>
    <x v="1"/>
    <x v="0"/>
    <n v="-67.92"/>
  </r>
  <r>
    <d v="2025-01-02T00:00:00"/>
    <s v="net sales:product 1"/>
    <n v="9.99"/>
    <x v="95"/>
    <n v="599.4"/>
    <x v="3"/>
    <x v="1"/>
    <x v="1"/>
    <x v="0"/>
    <n v="-100.07000000000001"/>
  </r>
  <r>
    <d v="2025-01-02T00:00:00"/>
    <s v="net sales:product 2"/>
    <n v="24.99"/>
    <x v="2"/>
    <n v="74.97"/>
    <x v="3"/>
    <x v="2"/>
    <x v="1"/>
    <x v="0"/>
    <n v="809.19"/>
  </r>
  <r>
    <d v="2025-01-02T00:00:00"/>
    <s v="net sales:product 3"/>
    <n v="12.49"/>
    <x v="57"/>
    <n v="2135.79"/>
    <x v="3"/>
    <x v="3"/>
    <x v="1"/>
    <x v="0"/>
    <n v="74.97"/>
  </r>
  <r>
    <d v="2025-01-03T00:00:00"/>
    <s v="cogs:product 1"/>
    <n v="5.49"/>
    <x v="122"/>
    <n v="142.74"/>
    <x v="1"/>
    <x v="1"/>
    <x v="1"/>
    <x v="0"/>
    <n v="99.92"/>
  </r>
  <r>
    <d v="2025-01-03T00:00:00"/>
    <s v="cogs:product 2"/>
    <n v="19.989999999999998"/>
    <x v="19"/>
    <n v="79.959999999999994"/>
    <x v="1"/>
    <x v="2"/>
    <x v="1"/>
    <x v="0"/>
    <n v="-41.93"/>
  </r>
  <r>
    <d v="2025-01-03T00:00:00"/>
    <s v="cogs:product 3"/>
    <n v="8.99"/>
    <x v="65"/>
    <n v="1474.3600000000001"/>
    <x v="1"/>
    <x v="3"/>
    <x v="1"/>
    <x v="0"/>
    <n v="-118.92999999999999"/>
  </r>
  <r>
    <d v="2025-01-03T00:00:00"/>
    <s v="marketing"/>
    <s v="NA"/>
    <x v="0"/>
    <n v="118.93"/>
    <x v="2"/>
    <x v="0"/>
    <x v="1"/>
    <x v="0"/>
    <n v="-2003.64"/>
  </r>
  <r>
    <d v="2025-01-03T00:00:00"/>
    <s v="net sales:product 1"/>
    <n v="9.99"/>
    <x v="122"/>
    <n v="259.74"/>
    <x v="3"/>
    <x v="1"/>
    <x v="1"/>
    <x v="0"/>
    <n v="-99.95"/>
  </r>
  <r>
    <d v="2025-01-03T00:00:00"/>
    <s v="net sales:product 2"/>
    <n v="24.99"/>
    <x v="19"/>
    <n v="99.96"/>
    <x v="3"/>
    <x v="2"/>
    <x v="1"/>
    <x v="0"/>
    <n v="69.930000000000007"/>
  </r>
  <r>
    <d v="2025-01-03T00:00:00"/>
    <s v="net sales:product 3"/>
    <n v="12.49"/>
    <x v="65"/>
    <n v="2048.36"/>
    <x v="3"/>
    <x v="3"/>
    <x v="1"/>
    <x v="0"/>
    <n v="174.92999999999998"/>
  </r>
  <r>
    <d v="2025-01-03T00:00:00"/>
    <s v="payroll"/>
    <s v="NA"/>
    <x v="0"/>
    <n v="1200"/>
    <x v="5"/>
    <x v="0"/>
    <x v="1"/>
    <x v="0"/>
    <n v="2947.64"/>
  </r>
  <r>
    <d v="2025-01-04T00:00:00"/>
    <s v="cogs:product 1"/>
    <n v="5.49"/>
    <x v="19"/>
    <n v="21.96"/>
    <x v="1"/>
    <x v="1"/>
    <x v="1"/>
    <x v="0"/>
    <n v="-311.48"/>
  </r>
  <r>
    <d v="2025-01-04T00:00:00"/>
    <s v="cogs:product 2"/>
    <n v="19.989999999999998"/>
    <x v="29"/>
    <n v="99.949999999999989"/>
    <x v="1"/>
    <x v="2"/>
    <x v="1"/>
    <x v="0"/>
    <n v="-118.92999999999999"/>
  </r>
  <r>
    <d v="2025-01-04T00:00:00"/>
    <s v="cogs:product 3"/>
    <n v="8.99"/>
    <x v="78"/>
    <n v="503.44"/>
    <x v="1"/>
    <x v="3"/>
    <x v="1"/>
    <x v="0"/>
    <n v="-390.54"/>
  </r>
  <r>
    <d v="2025-01-04T00:00:00"/>
    <s v="marketing"/>
    <s v="NA"/>
    <x v="0"/>
    <n v="109"/>
    <x v="2"/>
    <x v="0"/>
    <x v="1"/>
    <x v="0"/>
    <n v="-99.94"/>
  </r>
  <r>
    <d v="2025-01-04T00:00:00"/>
    <s v="net sales:product 1"/>
    <n v="9.99"/>
    <x v="19"/>
    <n v="39.96"/>
    <x v="3"/>
    <x v="1"/>
    <x v="1"/>
    <x v="0"/>
    <n v="519.48"/>
  </r>
  <r>
    <d v="2025-01-04T00:00:00"/>
    <s v="net sales:product 2"/>
    <n v="24.99"/>
    <x v="29"/>
    <n v="124.94999999999999"/>
    <x v="3"/>
    <x v="2"/>
    <x v="1"/>
    <x v="0"/>
    <n v="174.92999999999998"/>
  </r>
  <r>
    <d v="2025-01-04T00:00:00"/>
    <s v="net sales:product 3"/>
    <n v="12.49"/>
    <x v="78"/>
    <n v="699.44"/>
    <x v="3"/>
    <x v="3"/>
    <x v="1"/>
    <x v="0"/>
    <n v="574.54"/>
  </r>
  <r>
    <d v="2025-01-05T00:00:00"/>
    <s v="cogs:product 1"/>
    <n v="5.49"/>
    <x v="14"/>
    <n v="521.55000000000007"/>
    <x v="1"/>
    <x v="1"/>
    <x v="1"/>
    <x v="0"/>
    <n v="-545.09"/>
  </r>
  <r>
    <d v="2025-01-05T00:00:00"/>
    <s v="cogs:product 2"/>
    <n v="19.989999999999998"/>
    <x v="29"/>
    <n v="99.949999999999989"/>
    <x v="1"/>
    <x v="2"/>
    <x v="1"/>
    <x v="0"/>
    <n v="-84.949999999999989"/>
  </r>
  <r>
    <d v="2025-01-05T00:00:00"/>
    <s v="cogs:product 3"/>
    <n v="8.99"/>
    <x v="65"/>
    <n v="1474.3600000000001"/>
    <x v="1"/>
    <x v="3"/>
    <x v="1"/>
    <x v="0"/>
    <n v="-16.98"/>
  </r>
  <r>
    <d v="2025-01-05T00:00:00"/>
    <s v="marketing"/>
    <s v="NA"/>
    <x v="0"/>
    <n v="117.98"/>
    <x v="2"/>
    <x v="0"/>
    <x v="1"/>
    <x v="0"/>
    <n v="-100.07000000000001"/>
  </r>
  <r>
    <d v="2025-01-05T00:00:00"/>
    <s v="net sales:product 1"/>
    <n v="9.99"/>
    <x v="14"/>
    <n v="949.05000000000007"/>
    <x v="3"/>
    <x v="1"/>
    <x v="1"/>
    <x v="0"/>
    <n v="909.09"/>
  </r>
  <r>
    <d v="2025-01-05T00:00:00"/>
    <s v="net sales:product 2"/>
    <n v="24.99"/>
    <x v="29"/>
    <n v="124.94999999999999"/>
    <x v="3"/>
    <x v="2"/>
    <x v="1"/>
    <x v="0"/>
    <n v="124.94999999999999"/>
  </r>
  <r>
    <d v="2025-01-05T00:00:00"/>
    <s v="net sales:product 3"/>
    <n v="12.49"/>
    <x v="65"/>
    <n v="2048.36"/>
    <x v="3"/>
    <x v="3"/>
    <x v="1"/>
    <x v="0"/>
    <n v="24.98"/>
  </r>
  <r>
    <d v="2025-01-06T00:00:00"/>
    <s v="cogs:product 1"/>
    <n v="5.49"/>
    <x v="158"/>
    <n v="395.28000000000003"/>
    <x v="1"/>
    <x v="1"/>
    <x v="1"/>
    <x v="0"/>
    <n v="-1200"/>
  </r>
  <r>
    <d v="2025-01-06T00:00:00"/>
    <s v="cogs:product 2"/>
    <n v="19.989999999999998"/>
    <x v="42"/>
    <n v="119.94"/>
    <x v="1"/>
    <x v="2"/>
    <x v="1"/>
    <x v="0"/>
    <n v="-149.75"/>
  </r>
  <r>
    <d v="2025-01-06T00:00:00"/>
    <s v="cogs:product 3"/>
    <n v="8.99"/>
    <x v="199"/>
    <n v="1887.9"/>
    <x v="1"/>
    <x v="3"/>
    <x v="1"/>
    <x v="0"/>
    <n v="-50.97"/>
  </r>
  <r>
    <d v="2025-01-06T00:00:00"/>
    <s v="marketing"/>
    <s v="NA"/>
    <x v="0"/>
    <n v="119.95"/>
    <x v="2"/>
    <x v="0"/>
    <x v="1"/>
    <x v="0"/>
    <n v="-1375.38"/>
  </r>
  <r>
    <d v="2025-01-06T00:00:00"/>
    <s v="net sales:product 1"/>
    <n v="9.99"/>
    <x v="158"/>
    <n v="719.28"/>
    <x v="3"/>
    <x v="1"/>
    <x v="1"/>
    <x v="0"/>
    <n v="-99.94"/>
  </r>
  <r>
    <d v="2025-01-06T00:00:00"/>
    <s v="net sales:product 2"/>
    <n v="24.99"/>
    <x v="42"/>
    <n v="149.94"/>
    <x v="3"/>
    <x v="2"/>
    <x v="1"/>
    <x v="0"/>
    <n v="249.75"/>
  </r>
  <r>
    <d v="2025-01-06T00:00:00"/>
    <s v="net sales:product 3"/>
    <n v="12.49"/>
    <x v="199"/>
    <n v="2622.9"/>
    <x v="3"/>
    <x v="3"/>
    <x v="1"/>
    <x v="0"/>
    <n v="74.97"/>
  </r>
  <r>
    <d v="2025-01-07T00:00:00"/>
    <s v="cogs:product 1"/>
    <n v="5.49"/>
    <x v="198"/>
    <n v="510.57"/>
    <x v="1"/>
    <x v="1"/>
    <x v="1"/>
    <x v="0"/>
    <n v="2023.38"/>
  </r>
  <r>
    <d v="2025-01-07T00:00:00"/>
    <s v="cogs:product 2"/>
    <n v="19.989999999999998"/>
    <x v="13"/>
    <n v="139.92999999999998"/>
    <x v="1"/>
    <x v="2"/>
    <x v="1"/>
    <x v="0"/>
    <n v="-245.59"/>
  </r>
  <r>
    <d v="2025-01-07T00:00:00"/>
    <s v="cogs:product 3"/>
    <n v="8.99"/>
    <x v="24"/>
    <n v="890.01"/>
    <x v="1"/>
    <x v="3"/>
    <x v="1"/>
    <x v="0"/>
    <n v="-135.91999999999999"/>
  </r>
  <r>
    <d v="2025-01-07T00:00:00"/>
    <s v="marketing"/>
    <s v="NA"/>
    <x v="0"/>
    <n v="103.96000000000001"/>
    <x v="2"/>
    <x v="0"/>
    <x v="1"/>
    <x v="0"/>
    <n v="-1655.55"/>
  </r>
  <r>
    <d v="2025-01-07T00:00:00"/>
    <s v="net sales:product 1"/>
    <n v="9.99"/>
    <x v="198"/>
    <n v="929.07"/>
    <x v="3"/>
    <x v="1"/>
    <x v="1"/>
    <x v="0"/>
    <n v="-100.04"/>
  </r>
  <r>
    <d v="2025-01-07T00:00:00"/>
    <s v="net sales:product 2"/>
    <n v="24.99"/>
    <x v="13"/>
    <n v="174.92999999999998"/>
    <x v="3"/>
    <x v="2"/>
    <x v="1"/>
    <x v="0"/>
    <n v="409.59000000000003"/>
  </r>
  <r>
    <d v="2025-01-07T00:00:00"/>
    <s v="net sales:product 3"/>
    <n v="12.49"/>
    <x v="24"/>
    <n v="1236.51"/>
    <x v="3"/>
    <x v="3"/>
    <x v="1"/>
    <x v="0"/>
    <n v="199.92"/>
  </r>
  <r>
    <d v="2025-01-08T00:00:00"/>
    <s v="cogs:product 1"/>
    <n v="5.49"/>
    <x v="138"/>
    <n v="285.48"/>
    <x v="1"/>
    <x v="1"/>
    <x v="1"/>
    <x v="0"/>
    <n v="2435.5500000000002"/>
  </r>
  <r>
    <d v="2025-01-08T00:00:00"/>
    <s v="cogs:product 2"/>
    <n v="19.989999999999998"/>
    <x v="16"/>
    <n v="159.91999999999999"/>
    <x v="1"/>
    <x v="2"/>
    <x v="1"/>
    <x v="0"/>
    <n v="-347.42"/>
  </r>
  <r>
    <d v="2025-01-08T00:00:00"/>
    <s v="cogs:product 3"/>
    <n v="8.99"/>
    <x v="101"/>
    <n v="710.21"/>
    <x v="1"/>
    <x v="3"/>
    <x v="1"/>
    <x v="0"/>
    <n v="0"/>
  </r>
  <r>
    <d v="2025-01-08T00:00:00"/>
    <s v="marketing"/>
    <s v="NA"/>
    <x v="0"/>
    <n v="120.08"/>
    <x v="2"/>
    <x v="0"/>
    <x v="1"/>
    <x v="0"/>
    <n v="-1706.49"/>
  </r>
  <r>
    <d v="2025-01-08T00:00:00"/>
    <s v="net sales:product 1"/>
    <n v="9.99"/>
    <x v="138"/>
    <n v="519.48"/>
    <x v="3"/>
    <x v="1"/>
    <x v="1"/>
    <x v="0"/>
    <n v="-99.94"/>
  </r>
  <r>
    <d v="2025-01-08T00:00:00"/>
    <s v="net sales:product 2"/>
    <n v="24.99"/>
    <x v="16"/>
    <n v="199.92"/>
    <x v="3"/>
    <x v="2"/>
    <x v="1"/>
    <x v="0"/>
    <n v="579.41999999999996"/>
  </r>
  <r>
    <d v="2025-01-08T00:00:00"/>
    <s v="net sales:product 3"/>
    <n v="12.49"/>
    <x v="101"/>
    <n v="986.71"/>
    <x v="3"/>
    <x v="3"/>
    <x v="1"/>
    <x v="0"/>
    <n v="0"/>
  </r>
  <r>
    <d v="2025-01-09T00:00:00"/>
    <s v="cogs:product 1"/>
    <n v="5.49"/>
    <x v="172"/>
    <n v="296.46000000000004"/>
    <x v="1"/>
    <x v="1"/>
    <x v="1"/>
    <x v="0"/>
    <n v="2510.4900000000002"/>
  </r>
  <r>
    <d v="2025-01-09T00:00:00"/>
    <s v="cogs:product 2"/>
    <n v="19.989999999999998"/>
    <x v="16"/>
    <n v="159.91999999999999"/>
    <x v="1"/>
    <x v="2"/>
    <x v="1"/>
    <x v="0"/>
    <n v="-167.72"/>
  </r>
  <r>
    <d v="2025-01-09T00:00:00"/>
    <s v="cogs:product 3"/>
    <n v="8.99"/>
    <x v="58"/>
    <n v="377.58"/>
    <x v="1"/>
    <x v="3"/>
    <x v="1"/>
    <x v="0"/>
    <n v="-84.949999999999989"/>
  </r>
  <r>
    <d v="2025-01-09T00:00:00"/>
    <s v="marketing"/>
    <s v="NA"/>
    <x v="0"/>
    <n v="102.08"/>
    <x v="2"/>
    <x v="0"/>
    <x v="1"/>
    <x v="0"/>
    <n v="0"/>
  </r>
  <r>
    <d v="2025-01-09T00:00:00"/>
    <s v="net sales:product 1"/>
    <n v="9.99"/>
    <x v="172"/>
    <n v="539.46"/>
    <x v="3"/>
    <x v="1"/>
    <x v="1"/>
    <x v="0"/>
    <n v="-100"/>
  </r>
  <r>
    <d v="2025-01-09T00:00:00"/>
    <s v="net sales:product 2"/>
    <n v="24.99"/>
    <x v="16"/>
    <n v="199.92"/>
    <x v="3"/>
    <x v="2"/>
    <x v="1"/>
    <x v="0"/>
    <n v="279.72000000000003"/>
  </r>
  <r>
    <d v="2025-01-09T00:00:00"/>
    <s v="net sales:product 3"/>
    <n v="12.49"/>
    <x v="58"/>
    <n v="524.58000000000004"/>
    <x v="3"/>
    <x v="3"/>
    <x v="1"/>
    <x v="0"/>
    <n v="124.94999999999999"/>
  </r>
  <r>
    <d v="2025-01-10T00:00:00"/>
    <s v="cogs:product 1"/>
    <n v="5.49"/>
    <x v="22"/>
    <n v="54.900000000000006"/>
    <x v="1"/>
    <x v="1"/>
    <x v="1"/>
    <x v="0"/>
    <n v="0"/>
  </r>
  <r>
    <d v="2025-01-10T00:00:00"/>
    <s v="cogs:product 2"/>
    <n v="19.989999999999998"/>
    <x v="13"/>
    <n v="139.92999999999998"/>
    <x v="1"/>
    <x v="2"/>
    <x v="1"/>
    <x v="0"/>
    <n v="-275.54000000000002"/>
  </r>
  <r>
    <d v="2025-01-10T00:00:00"/>
    <s v="cogs:product 3"/>
    <n v="8.99"/>
    <x v="111"/>
    <n v="197.78"/>
    <x v="1"/>
    <x v="3"/>
    <x v="1"/>
    <x v="0"/>
    <n v="-16.989999999999998"/>
  </r>
  <r>
    <d v="2025-01-10T00:00:00"/>
    <s v="marketing"/>
    <s v="NA"/>
    <x v="0"/>
    <n v="101.95"/>
    <x v="2"/>
    <x v="0"/>
    <x v="1"/>
    <x v="0"/>
    <n v="-1706.49"/>
  </r>
  <r>
    <d v="2025-01-10T00:00:00"/>
    <s v="net sales:product 1"/>
    <n v="9.99"/>
    <x v="22"/>
    <n v="99.9"/>
    <x v="3"/>
    <x v="1"/>
    <x v="1"/>
    <x v="0"/>
    <n v="-100.07000000000001"/>
  </r>
  <r>
    <d v="2025-01-10T00:00:00"/>
    <s v="net sales:product 2"/>
    <n v="24.99"/>
    <x v="13"/>
    <n v="174.92999999999998"/>
    <x v="3"/>
    <x v="2"/>
    <x v="1"/>
    <x v="0"/>
    <n v="459.54"/>
  </r>
  <r>
    <d v="2025-01-10T00:00:00"/>
    <s v="net sales:product 3"/>
    <n v="12.49"/>
    <x v="111"/>
    <n v="274.78000000000003"/>
    <x v="3"/>
    <x v="3"/>
    <x v="1"/>
    <x v="0"/>
    <n v="24.99"/>
  </r>
  <r>
    <d v="2025-01-11T00:00:00"/>
    <s v="cogs:product 1"/>
    <n v="5.49"/>
    <x v="23"/>
    <n v="0"/>
    <x v="1"/>
    <x v="1"/>
    <x v="1"/>
    <x v="0"/>
    <n v="2510.4900000000002"/>
  </r>
  <r>
    <d v="2025-01-11T00:00:00"/>
    <s v="cogs:product 2"/>
    <n v="19.989999999999998"/>
    <x v="42"/>
    <n v="119.94"/>
    <x v="1"/>
    <x v="2"/>
    <x v="1"/>
    <x v="0"/>
    <n v="-77.87"/>
  </r>
  <r>
    <d v="2025-01-11T00:00:00"/>
    <s v="cogs:product 3"/>
    <n v="8.99"/>
    <x v="187"/>
    <n v="1636.18"/>
    <x v="1"/>
    <x v="3"/>
    <x v="1"/>
    <x v="0"/>
    <n v="-84.949999999999989"/>
  </r>
  <r>
    <d v="2025-01-11T00:00:00"/>
    <s v="marketing"/>
    <s v="NA"/>
    <x v="0"/>
    <n v="106.97"/>
    <x v="2"/>
    <x v="0"/>
    <x v="1"/>
    <x v="0"/>
    <n v="-551.85"/>
  </r>
  <r>
    <d v="2025-01-11T00:00:00"/>
    <s v="net sales:product 1"/>
    <n v="9.99"/>
    <x v="23"/>
    <n v="0"/>
    <x v="3"/>
    <x v="1"/>
    <x v="1"/>
    <x v="0"/>
    <n v="-100.07000000000001"/>
  </r>
  <r>
    <d v="2025-01-11T00:00:00"/>
    <s v="net sales:product 2"/>
    <n v="24.99"/>
    <x v="42"/>
    <n v="149.94"/>
    <x v="3"/>
    <x v="2"/>
    <x v="1"/>
    <x v="0"/>
    <n v="129.87"/>
  </r>
  <r>
    <d v="2025-01-11T00:00:00"/>
    <s v="net sales:product 3"/>
    <n v="12.49"/>
    <x v="187"/>
    <n v="2273.1799999999998"/>
    <x v="3"/>
    <x v="3"/>
    <x v="1"/>
    <x v="0"/>
    <n v="124.94999999999999"/>
  </r>
  <r>
    <d v="2025-01-12T00:00:00"/>
    <s v="cogs:product 1"/>
    <n v="5.49"/>
    <x v="86"/>
    <n v="153.72"/>
    <x v="1"/>
    <x v="1"/>
    <x v="1"/>
    <x v="0"/>
    <n v="811.85"/>
  </r>
  <r>
    <d v="2025-01-12T00:00:00"/>
    <s v="cogs:product 2"/>
    <n v="19.989999999999998"/>
    <x v="23"/>
    <n v="0"/>
    <x v="1"/>
    <x v="2"/>
    <x v="1"/>
    <x v="0"/>
    <n v="-41.93"/>
  </r>
  <r>
    <d v="2025-01-12T00:00:00"/>
    <s v="cogs:product 3"/>
    <n v="8.99"/>
    <x v="133"/>
    <n v="1240.6200000000001"/>
    <x v="1"/>
    <x v="3"/>
    <x v="1"/>
    <x v="0"/>
    <n v="-67.959999999999994"/>
  </r>
  <r>
    <d v="2025-01-12T00:00:00"/>
    <s v="marketing"/>
    <s v="NA"/>
    <x v="0"/>
    <n v="114.96000000000001"/>
    <x v="2"/>
    <x v="0"/>
    <x v="1"/>
    <x v="0"/>
    <n v="-2003.64"/>
  </r>
  <r>
    <d v="2025-01-12T00:00:00"/>
    <s v="net sales:product 1"/>
    <n v="9.99"/>
    <x v="86"/>
    <n v="279.72000000000003"/>
    <x v="3"/>
    <x v="1"/>
    <x v="1"/>
    <x v="0"/>
    <n v="-100.06"/>
  </r>
  <r>
    <d v="2025-01-12T00:00:00"/>
    <s v="net sales:product 2"/>
    <n v="24.99"/>
    <x v="23"/>
    <n v="0"/>
    <x v="3"/>
    <x v="2"/>
    <x v="1"/>
    <x v="0"/>
    <n v="69.930000000000007"/>
  </r>
  <r>
    <d v="2025-01-12T00:00:00"/>
    <s v="net sales:product 3"/>
    <n v="12.49"/>
    <x v="133"/>
    <n v="1723.6200000000001"/>
    <x v="3"/>
    <x v="3"/>
    <x v="1"/>
    <x v="0"/>
    <n v="99.96"/>
  </r>
  <r>
    <d v="2025-01-13T00:00:00"/>
    <s v="cogs:product 1"/>
    <n v="5.49"/>
    <x v="198"/>
    <n v="510.57"/>
    <x v="1"/>
    <x v="1"/>
    <x v="1"/>
    <x v="0"/>
    <n v="2947.64"/>
  </r>
  <r>
    <d v="2025-01-13T00:00:00"/>
    <s v="cogs:product 2"/>
    <n v="19.989999999999998"/>
    <x v="23"/>
    <n v="0"/>
    <x v="1"/>
    <x v="2"/>
    <x v="1"/>
    <x v="0"/>
    <n v="-131.78"/>
  </r>
  <r>
    <d v="2025-01-13T00:00:00"/>
    <s v="cogs:product 3"/>
    <n v="8.99"/>
    <x v="158"/>
    <n v="647.28"/>
    <x v="1"/>
    <x v="3"/>
    <x v="1"/>
    <x v="0"/>
    <n v="-16.989999999999998"/>
  </r>
  <r>
    <d v="2025-01-13T00:00:00"/>
    <s v="marketing"/>
    <s v="NA"/>
    <x v="0"/>
    <n v="107.93"/>
    <x v="2"/>
    <x v="0"/>
    <x v="1"/>
    <x v="0"/>
    <n v="-399.03000000000003"/>
  </r>
  <r>
    <d v="2025-01-13T00:00:00"/>
    <s v="net sales:product 1"/>
    <n v="9.99"/>
    <x v="198"/>
    <n v="929.07"/>
    <x v="3"/>
    <x v="1"/>
    <x v="1"/>
    <x v="0"/>
    <n v="-100.03"/>
  </r>
  <r>
    <d v="2025-01-13T00:00:00"/>
    <s v="net sales:product 2"/>
    <n v="24.99"/>
    <x v="23"/>
    <n v="0"/>
    <x v="3"/>
    <x v="2"/>
    <x v="1"/>
    <x v="0"/>
    <n v="219.78"/>
  </r>
  <r>
    <d v="2025-01-13T00:00:00"/>
    <s v="net sales:product 3"/>
    <n v="12.49"/>
    <x v="158"/>
    <n v="899.28"/>
    <x v="3"/>
    <x v="3"/>
    <x v="1"/>
    <x v="0"/>
    <n v="24.99"/>
  </r>
  <r>
    <d v="2025-01-14T00:00:00"/>
    <s v="cogs:product 1"/>
    <n v="5.49"/>
    <x v="54"/>
    <n v="241.56"/>
    <x v="1"/>
    <x v="1"/>
    <x v="1"/>
    <x v="0"/>
    <n v="587.03"/>
  </r>
  <r>
    <d v="2025-01-14T00:00:00"/>
    <s v="cogs:product 2"/>
    <n v="19.989999999999998"/>
    <x v="7"/>
    <n v="179.91"/>
    <x v="1"/>
    <x v="2"/>
    <x v="1"/>
    <x v="0"/>
    <n v="-479.20000000000005"/>
  </r>
  <r>
    <d v="2025-01-14T00:00:00"/>
    <s v="cogs:product 3"/>
    <n v="8.99"/>
    <x v="154"/>
    <n v="1105.77"/>
    <x v="1"/>
    <x v="3"/>
    <x v="1"/>
    <x v="0"/>
    <n v="-169.89999999999998"/>
  </r>
  <r>
    <d v="2025-01-14T00:00:00"/>
    <s v="marketing"/>
    <s v="NA"/>
    <x v="0"/>
    <n v="115.97"/>
    <x v="2"/>
    <x v="0"/>
    <x v="1"/>
    <x v="0"/>
    <n v="-1740.45"/>
  </r>
  <r>
    <d v="2025-01-14T00:00:00"/>
    <s v="net sales:product 1"/>
    <n v="9.99"/>
    <x v="54"/>
    <n v="439.56"/>
    <x v="3"/>
    <x v="1"/>
    <x v="1"/>
    <x v="0"/>
    <n v="-1247.92"/>
  </r>
  <r>
    <d v="2025-01-14T00:00:00"/>
    <s v="net sales:product 2"/>
    <n v="24.99"/>
    <x v="7"/>
    <n v="224.91"/>
    <x v="3"/>
    <x v="2"/>
    <x v="1"/>
    <x v="0"/>
    <n v="-99.95"/>
  </r>
  <r>
    <d v="2025-01-14T00:00:00"/>
    <s v="net sales:product 3"/>
    <n v="12.49"/>
    <x v="154"/>
    <n v="1536.27"/>
    <x v="3"/>
    <x v="3"/>
    <x v="1"/>
    <x v="0"/>
    <n v="799.2"/>
  </r>
  <r>
    <d v="2025-01-15T00:00:00"/>
    <s v="cogs:product 1"/>
    <n v="5.49"/>
    <x v="28"/>
    <n v="318.42"/>
    <x v="1"/>
    <x v="1"/>
    <x v="1"/>
    <x v="0"/>
    <n v="249.89999999999998"/>
  </r>
  <r>
    <d v="2025-01-15T00:00:00"/>
    <s v="cogs:product 2"/>
    <n v="19.989999999999998"/>
    <x v="23"/>
    <n v="0"/>
    <x v="1"/>
    <x v="2"/>
    <x v="1"/>
    <x v="0"/>
    <n v="2560.4499999999998"/>
  </r>
  <r>
    <d v="2025-01-15T00:00:00"/>
    <s v="cogs:product 3"/>
    <n v="8.99"/>
    <x v="200"/>
    <n v="1222.6400000000001"/>
    <x v="1"/>
    <x v="3"/>
    <x v="1"/>
    <x v="0"/>
    <n v="-310.94"/>
  </r>
  <r>
    <d v="2025-01-15T00:00:00"/>
    <s v="interest"/>
    <s v="NA"/>
    <x v="0"/>
    <n v="1271.6400000000001"/>
    <x v="6"/>
    <x v="0"/>
    <x v="1"/>
    <x v="0"/>
    <n v="-89.850000000000009"/>
  </r>
  <r>
    <d v="2025-01-15T00:00:00"/>
    <s v="marketing"/>
    <s v="NA"/>
    <x v="0"/>
    <n v="117.94"/>
    <x v="2"/>
    <x v="0"/>
    <x v="1"/>
    <x v="0"/>
    <n v="-67.959999999999994"/>
  </r>
  <r>
    <d v="2025-01-15T00:00:00"/>
    <s v="net sales:product 1"/>
    <n v="9.99"/>
    <x v="28"/>
    <n v="579.41999999999996"/>
    <x v="3"/>
    <x v="1"/>
    <x v="1"/>
    <x v="0"/>
    <n v="-1986.66"/>
  </r>
  <r>
    <d v="2025-01-15T00:00:00"/>
    <s v="net sales:product 2"/>
    <n v="24.99"/>
    <x v="23"/>
    <n v="0"/>
    <x v="3"/>
    <x v="2"/>
    <x v="1"/>
    <x v="0"/>
    <n v="-99.960000000000008"/>
  </r>
  <r>
    <d v="2025-01-15T00:00:00"/>
    <s v="net sales:product 3"/>
    <n v="12.49"/>
    <x v="200"/>
    <n v="1698.64"/>
    <x v="3"/>
    <x v="3"/>
    <x v="1"/>
    <x v="0"/>
    <n v="149.85"/>
  </r>
  <r>
    <d v="2025-01-15T00:00:00"/>
    <s v="overhead"/>
    <s v="NA"/>
    <x v="0"/>
    <n v="317.91000000000003"/>
    <x v="4"/>
    <x v="0"/>
    <x v="1"/>
    <x v="0"/>
    <n v="99.96"/>
  </r>
  <r>
    <d v="2025-01-16T00:00:00"/>
    <s v="cogs:product 1"/>
    <n v="5.49"/>
    <x v="127"/>
    <n v="76.86"/>
    <x v="1"/>
    <x v="1"/>
    <x v="1"/>
    <x v="0"/>
    <n v="2922.66"/>
  </r>
  <r>
    <d v="2025-01-16T00:00:00"/>
    <s v="cogs:product 2"/>
    <n v="19.989999999999998"/>
    <x v="29"/>
    <n v="99.949999999999989"/>
    <x v="1"/>
    <x v="2"/>
    <x v="1"/>
    <x v="0"/>
    <n v="-527.12"/>
  </r>
  <r>
    <d v="2025-01-16T00:00:00"/>
    <s v="cogs:product 3"/>
    <n v="8.99"/>
    <x v="58"/>
    <n v="377.58"/>
    <x v="1"/>
    <x v="3"/>
    <x v="1"/>
    <x v="0"/>
    <n v="-84.949999999999989"/>
  </r>
  <r>
    <d v="2025-01-16T00:00:00"/>
    <s v="marketing"/>
    <s v="NA"/>
    <x v="0"/>
    <n v="117.9"/>
    <x v="2"/>
    <x v="0"/>
    <x v="1"/>
    <x v="0"/>
    <n v="-772.59"/>
  </r>
  <r>
    <d v="2025-01-16T00:00:00"/>
    <s v="net sales:product 1"/>
    <n v="9.99"/>
    <x v="127"/>
    <n v="139.86000000000001"/>
    <x v="3"/>
    <x v="1"/>
    <x v="1"/>
    <x v="0"/>
    <n v="-100.04"/>
  </r>
  <r>
    <d v="2025-01-16T00:00:00"/>
    <s v="net sales:product 2"/>
    <n v="24.99"/>
    <x v="29"/>
    <n v="124.94999999999999"/>
    <x v="3"/>
    <x v="2"/>
    <x v="1"/>
    <x v="0"/>
    <n v="879.12"/>
  </r>
  <r>
    <d v="2025-01-16T00:00:00"/>
    <s v="net sales:product 3"/>
    <n v="12.49"/>
    <x v="58"/>
    <n v="524.58000000000004"/>
    <x v="3"/>
    <x v="3"/>
    <x v="1"/>
    <x v="0"/>
    <n v="124.94999999999999"/>
  </r>
  <r>
    <d v="2025-01-17T00:00:00"/>
    <s v="cogs:product 1"/>
    <n v="5.49"/>
    <x v="95"/>
    <n v="329.40000000000003"/>
    <x v="1"/>
    <x v="1"/>
    <x v="1"/>
    <x v="0"/>
    <n v="1136.5899999999999"/>
  </r>
  <r>
    <d v="2025-01-17T00:00:00"/>
    <s v="cogs:product 2"/>
    <n v="19.989999999999998"/>
    <x v="29"/>
    <n v="99.949999999999989"/>
    <x v="1"/>
    <x v="2"/>
    <x v="1"/>
    <x v="0"/>
    <n v="-251.58"/>
  </r>
  <r>
    <d v="2025-01-17T00:00:00"/>
    <s v="cogs:product 3"/>
    <n v="8.99"/>
    <x v="99"/>
    <n v="1195.67"/>
    <x v="1"/>
    <x v="3"/>
    <x v="1"/>
    <x v="0"/>
    <n v="-118.92999999999999"/>
  </r>
  <r>
    <d v="2025-01-17T00:00:00"/>
    <s v="marketing"/>
    <s v="NA"/>
    <x v="0"/>
    <n v="105.09"/>
    <x v="2"/>
    <x v="0"/>
    <x v="1"/>
    <x v="0"/>
    <n v="-1511.22"/>
  </r>
  <r>
    <d v="2025-01-17T00:00:00"/>
    <s v="net sales:product 1"/>
    <n v="9.99"/>
    <x v="95"/>
    <n v="599.4"/>
    <x v="3"/>
    <x v="1"/>
    <x v="1"/>
    <x v="0"/>
    <n v="-99.93"/>
  </r>
  <r>
    <d v="2025-01-17T00:00:00"/>
    <s v="net sales:product 2"/>
    <n v="24.99"/>
    <x v="29"/>
    <n v="124.94999999999999"/>
    <x v="3"/>
    <x v="2"/>
    <x v="1"/>
    <x v="0"/>
    <n v="419.58"/>
  </r>
  <r>
    <d v="2025-01-17T00:00:00"/>
    <s v="net sales:product 3"/>
    <n v="12.49"/>
    <x v="99"/>
    <n v="1661.17"/>
    <x v="3"/>
    <x v="3"/>
    <x v="1"/>
    <x v="0"/>
    <n v="174.92999999999998"/>
  </r>
  <r>
    <d v="2025-01-17T00:00:00"/>
    <s v="payroll"/>
    <s v="NA"/>
    <x v="0"/>
    <n v="1200"/>
    <x v="5"/>
    <x v="0"/>
    <x v="1"/>
    <x v="0"/>
    <n v="2223.2200000000003"/>
  </r>
  <r>
    <d v="2025-01-18T00:00:00"/>
    <s v="cogs:product 1"/>
    <n v="5.49"/>
    <x v="25"/>
    <n v="5.49"/>
    <x v="1"/>
    <x v="1"/>
    <x v="1"/>
    <x v="0"/>
    <n v="-41.93"/>
  </r>
  <r>
    <d v="2025-01-18T00:00:00"/>
    <s v="cogs:product 2"/>
    <n v="19.989999999999998"/>
    <x v="16"/>
    <n v="159.91999999999999"/>
    <x v="1"/>
    <x v="2"/>
    <x v="1"/>
    <x v="0"/>
    <n v="-101.94"/>
  </r>
  <r>
    <d v="2025-01-18T00:00:00"/>
    <s v="cogs:product 3"/>
    <n v="8.99"/>
    <x v="27"/>
    <n v="1411.43"/>
    <x v="1"/>
    <x v="3"/>
    <x v="1"/>
    <x v="0"/>
    <n v="-441.48"/>
  </r>
  <r>
    <d v="2025-01-18T00:00:00"/>
    <s v="marketing"/>
    <s v="NA"/>
    <x v="0"/>
    <n v="111"/>
    <x v="2"/>
    <x v="0"/>
    <x v="1"/>
    <x v="0"/>
    <n v="-100.08"/>
  </r>
  <r>
    <d v="2025-01-18T00:00:00"/>
    <s v="net sales:product 1"/>
    <n v="9.99"/>
    <x v="25"/>
    <n v="9.99"/>
    <x v="3"/>
    <x v="1"/>
    <x v="1"/>
    <x v="0"/>
    <n v="69.930000000000007"/>
  </r>
  <r>
    <d v="2025-01-18T00:00:00"/>
    <s v="net sales:product 2"/>
    <n v="24.99"/>
    <x v="16"/>
    <n v="199.92"/>
    <x v="3"/>
    <x v="2"/>
    <x v="1"/>
    <x v="0"/>
    <n v="149.94"/>
  </r>
  <r>
    <d v="2025-01-18T00:00:00"/>
    <s v="net sales:product 3"/>
    <n v="12.49"/>
    <x v="27"/>
    <n v="1960.93"/>
    <x v="3"/>
    <x v="3"/>
    <x v="1"/>
    <x v="0"/>
    <n v="649.48"/>
  </r>
  <r>
    <d v="2025-01-19T00:00:00"/>
    <s v="cogs:product 1"/>
    <n v="5.49"/>
    <x v="6"/>
    <n v="203.13"/>
    <x v="1"/>
    <x v="1"/>
    <x v="1"/>
    <x v="0"/>
    <n v="-209.65"/>
  </r>
  <r>
    <d v="2025-01-19T00:00:00"/>
    <s v="cogs:product 2"/>
    <n v="19.989999999999998"/>
    <x v="7"/>
    <n v="179.91"/>
    <x v="1"/>
    <x v="2"/>
    <x v="1"/>
    <x v="0"/>
    <n v="-50.97"/>
  </r>
  <r>
    <d v="2025-01-19T00:00:00"/>
    <s v="cogs:product 3"/>
    <n v="8.99"/>
    <x v="175"/>
    <n v="1429.41"/>
    <x v="1"/>
    <x v="3"/>
    <x v="1"/>
    <x v="0"/>
    <n v="-509.40000000000003"/>
  </r>
  <r>
    <d v="2025-01-19T00:00:00"/>
    <s v="marketing"/>
    <s v="NA"/>
    <x v="0"/>
    <n v="107.02"/>
    <x v="2"/>
    <x v="0"/>
    <x v="1"/>
    <x v="0"/>
    <n v="-99.960000000000008"/>
  </r>
  <r>
    <d v="2025-01-19T00:00:00"/>
    <s v="net sales:product 1"/>
    <n v="9.99"/>
    <x v="6"/>
    <n v="369.63"/>
    <x v="3"/>
    <x v="1"/>
    <x v="1"/>
    <x v="0"/>
    <n v="349.65000000000003"/>
  </r>
  <r>
    <d v="2025-01-19T00:00:00"/>
    <s v="net sales:product 2"/>
    <n v="24.99"/>
    <x v="7"/>
    <n v="224.91"/>
    <x v="3"/>
    <x v="2"/>
    <x v="1"/>
    <x v="0"/>
    <n v="74.97"/>
  </r>
  <r>
    <d v="2025-01-19T00:00:00"/>
    <s v="net sales:product 3"/>
    <n v="12.49"/>
    <x v="175"/>
    <n v="1985.91"/>
    <x v="3"/>
    <x v="3"/>
    <x v="1"/>
    <x v="0"/>
    <n v="749.4"/>
  </r>
  <r>
    <d v="2025-01-20T00:00:00"/>
    <s v="cogs:product 1"/>
    <n v="5.49"/>
    <x v="113"/>
    <n v="170.19"/>
    <x v="1"/>
    <x v="1"/>
    <x v="1"/>
    <x v="0"/>
    <n v="-1200"/>
  </r>
  <r>
    <d v="2025-01-20T00:00:00"/>
    <s v="cogs:product 2"/>
    <n v="19.989999999999998"/>
    <x v="7"/>
    <n v="179.91"/>
    <x v="1"/>
    <x v="2"/>
    <x v="1"/>
    <x v="0"/>
    <n v="-359.40000000000003"/>
  </r>
  <r>
    <d v="2025-01-20T00:00:00"/>
    <s v="cogs:product 3"/>
    <n v="8.99"/>
    <x v="7"/>
    <n v="80.91"/>
    <x v="1"/>
    <x v="3"/>
    <x v="1"/>
    <x v="0"/>
    <n v="-152.91"/>
  </r>
  <r>
    <d v="2025-01-20T00:00:00"/>
    <s v="marketing"/>
    <s v="NA"/>
    <x v="0"/>
    <n v="110.91"/>
    <x v="2"/>
    <x v="0"/>
    <x v="1"/>
    <x v="0"/>
    <n v="-1443.3"/>
  </r>
  <r>
    <d v="2025-01-20T00:00:00"/>
    <s v="net sales:product 1"/>
    <n v="9.99"/>
    <x v="113"/>
    <n v="309.69"/>
    <x v="3"/>
    <x v="1"/>
    <x v="1"/>
    <x v="0"/>
    <n v="-99.95"/>
  </r>
  <r>
    <d v="2025-01-20T00:00:00"/>
    <s v="net sales:product 2"/>
    <n v="24.99"/>
    <x v="7"/>
    <n v="224.91"/>
    <x v="3"/>
    <x v="2"/>
    <x v="1"/>
    <x v="0"/>
    <n v="599.4"/>
  </r>
  <r>
    <d v="2025-01-20T00:00:00"/>
    <s v="net sales:product 3"/>
    <n v="12.49"/>
    <x v="7"/>
    <n v="112.41"/>
    <x v="3"/>
    <x v="3"/>
    <x v="1"/>
    <x v="0"/>
    <n v="224.91"/>
  </r>
  <r>
    <d v="2025-01-21T00:00:00"/>
    <s v="cogs:product 1"/>
    <n v="5.49"/>
    <x v="50"/>
    <n v="494.1"/>
    <x v="1"/>
    <x v="1"/>
    <x v="1"/>
    <x v="0"/>
    <n v="2123.3000000000002"/>
  </r>
  <r>
    <d v="2025-01-21T00:00:00"/>
    <s v="cogs:product 2"/>
    <n v="19.989999999999998"/>
    <x v="29"/>
    <n v="99.949999999999989"/>
    <x v="1"/>
    <x v="2"/>
    <x v="1"/>
    <x v="0"/>
    <n v="-299.5"/>
  </r>
  <r>
    <d v="2025-01-21T00:00:00"/>
    <s v="cogs:product 3"/>
    <n v="8.99"/>
    <x v="40"/>
    <n v="2130.63"/>
    <x v="1"/>
    <x v="3"/>
    <x v="1"/>
    <x v="0"/>
    <n v="-101.94"/>
  </r>
  <r>
    <d v="2025-01-21T00:00:00"/>
    <s v="marketing"/>
    <s v="NA"/>
    <x v="0"/>
    <n v="116.97"/>
    <x v="2"/>
    <x v="0"/>
    <x v="1"/>
    <x v="0"/>
    <n v="-1961.19"/>
  </r>
  <r>
    <d v="2025-01-21T00:00:00"/>
    <s v="net sales:product 1"/>
    <n v="9.99"/>
    <x v="50"/>
    <n v="899.1"/>
    <x v="3"/>
    <x v="1"/>
    <x v="1"/>
    <x v="0"/>
    <n v="-99.960000000000008"/>
  </r>
  <r>
    <d v="2025-01-21T00:00:00"/>
    <s v="net sales:product 2"/>
    <n v="24.99"/>
    <x v="29"/>
    <n v="124.94999999999999"/>
    <x v="3"/>
    <x v="2"/>
    <x v="1"/>
    <x v="0"/>
    <n v="499.5"/>
  </r>
  <r>
    <d v="2025-01-21T00:00:00"/>
    <s v="net sales:product 3"/>
    <n v="12.49"/>
    <x v="40"/>
    <n v="2960.13"/>
    <x v="3"/>
    <x v="3"/>
    <x v="1"/>
    <x v="0"/>
    <n v="149.94"/>
  </r>
  <r>
    <d v="2025-01-22T00:00:00"/>
    <s v="cogs:product 1"/>
    <n v="5.49"/>
    <x v="78"/>
    <n v="307.44"/>
    <x v="1"/>
    <x v="1"/>
    <x v="1"/>
    <x v="0"/>
    <n v="2885.19"/>
  </r>
  <r>
    <d v="2025-01-22T00:00:00"/>
    <s v="cogs:product 2"/>
    <n v="19.989999999999998"/>
    <x v="23"/>
    <n v="0"/>
    <x v="1"/>
    <x v="2"/>
    <x v="1"/>
    <x v="0"/>
    <n v="-371.38"/>
  </r>
  <r>
    <d v="2025-01-22T00:00:00"/>
    <s v="cogs:product 3"/>
    <n v="8.99"/>
    <x v="201"/>
    <n v="1663.15"/>
    <x v="1"/>
    <x v="3"/>
    <x v="1"/>
    <x v="0"/>
    <n v="-169.89999999999998"/>
  </r>
  <r>
    <d v="2025-01-22T00:00:00"/>
    <s v="marketing"/>
    <s v="NA"/>
    <x v="0"/>
    <n v="101.97"/>
    <x v="2"/>
    <x v="0"/>
    <x v="1"/>
    <x v="0"/>
    <n v="-203.76"/>
  </r>
  <r>
    <d v="2025-01-22T00:00:00"/>
    <s v="net sales:product 1"/>
    <n v="9.99"/>
    <x v="78"/>
    <n v="559.44000000000005"/>
    <x v="3"/>
    <x v="1"/>
    <x v="1"/>
    <x v="0"/>
    <n v="-99.93"/>
  </r>
  <r>
    <d v="2025-01-22T00:00:00"/>
    <s v="net sales:product 2"/>
    <n v="24.99"/>
    <x v="23"/>
    <n v="0"/>
    <x v="3"/>
    <x v="2"/>
    <x v="1"/>
    <x v="0"/>
    <n v="619.38"/>
  </r>
  <r>
    <d v="2025-01-22T00:00:00"/>
    <s v="net sales:product 3"/>
    <n v="12.49"/>
    <x v="201"/>
    <n v="2310.65"/>
    <x v="3"/>
    <x v="3"/>
    <x v="1"/>
    <x v="0"/>
    <n v="249.89999999999998"/>
  </r>
  <r>
    <d v="2025-01-23T00:00:00"/>
    <s v="cogs:product 1"/>
    <n v="5.49"/>
    <x v="28"/>
    <n v="318.42"/>
    <x v="1"/>
    <x v="1"/>
    <x v="1"/>
    <x v="0"/>
    <n v="299.76"/>
  </r>
  <r>
    <d v="2025-01-23T00:00:00"/>
    <s v="cogs:product 2"/>
    <n v="19.989999999999998"/>
    <x v="13"/>
    <n v="139.92999999999998"/>
    <x v="1"/>
    <x v="2"/>
    <x v="1"/>
    <x v="0"/>
    <n v="-413.31"/>
  </r>
  <r>
    <d v="2025-01-23T00:00:00"/>
    <s v="cogs:product 3"/>
    <n v="8.99"/>
    <x v="49"/>
    <n v="2094.67"/>
    <x v="1"/>
    <x v="3"/>
    <x v="1"/>
    <x v="0"/>
    <n v="-84.949999999999989"/>
  </r>
  <r>
    <d v="2025-01-23T00:00:00"/>
    <s v="marketing"/>
    <s v="NA"/>
    <x v="0"/>
    <n v="119.93"/>
    <x v="2"/>
    <x v="0"/>
    <x v="1"/>
    <x v="0"/>
    <n v="-577.32000000000005"/>
  </r>
  <r>
    <d v="2025-01-23T00:00:00"/>
    <s v="net sales:product 1"/>
    <n v="9.99"/>
    <x v="28"/>
    <n v="579.41999999999996"/>
    <x v="3"/>
    <x v="1"/>
    <x v="1"/>
    <x v="0"/>
    <n v="-99.97"/>
  </r>
  <r>
    <d v="2025-01-23T00:00:00"/>
    <s v="net sales:product 2"/>
    <n v="24.99"/>
    <x v="13"/>
    <n v="174.92999999999998"/>
    <x v="3"/>
    <x v="2"/>
    <x v="1"/>
    <x v="0"/>
    <n v="689.31000000000006"/>
  </r>
  <r>
    <d v="2025-01-23T00:00:00"/>
    <s v="net sales:product 3"/>
    <n v="12.49"/>
    <x v="49"/>
    <n v="2910.17"/>
    <x v="3"/>
    <x v="3"/>
    <x v="1"/>
    <x v="0"/>
    <n v="124.94999999999999"/>
  </r>
  <r>
    <d v="2025-01-24T00:00:00"/>
    <s v="cogs:product 1"/>
    <n v="5.49"/>
    <x v="10"/>
    <n v="10.98"/>
    <x v="1"/>
    <x v="1"/>
    <x v="1"/>
    <x v="0"/>
    <n v="849.32"/>
  </r>
  <r>
    <d v="2025-01-24T00:00:00"/>
    <s v="cogs:product 2"/>
    <n v="19.989999999999998"/>
    <x v="23"/>
    <n v="0"/>
    <x v="1"/>
    <x v="2"/>
    <x v="1"/>
    <x v="0"/>
    <n v="-185.69"/>
  </r>
  <r>
    <d v="2025-01-24T00:00:00"/>
    <s v="cogs:product 3"/>
    <n v="8.99"/>
    <x v="180"/>
    <n v="1932.8500000000001"/>
    <x v="1"/>
    <x v="3"/>
    <x v="1"/>
    <x v="0"/>
    <n v="-50.97"/>
  </r>
  <r>
    <d v="2025-01-24T00:00:00"/>
    <s v="marketing"/>
    <s v="NA"/>
    <x v="0"/>
    <n v="118.02"/>
    <x v="2"/>
    <x v="0"/>
    <x v="1"/>
    <x v="0"/>
    <n v="-1222.56"/>
  </r>
  <r>
    <d v="2025-01-24T00:00:00"/>
    <s v="net sales:product 1"/>
    <n v="9.99"/>
    <x v="10"/>
    <n v="19.98"/>
    <x v="3"/>
    <x v="1"/>
    <x v="1"/>
    <x v="0"/>
    <n v="-100.09"/>
  </r>
  <r>
    <d v="2025-01-24T00:00:00"/>
    <s v="net sales:product 2"/>
    <n v="24.99"/>
    <x v="23"/>
    <n v="0"/>
    <x v="3"/>
    <x v="2"/>
    <x v="1"/>
    <x v="0"/>
    <n v="309.69"/>
  </r>
  <r>
    <d v="2025-01-24T00:00:00"/>
    <s v="net sales:product 3"/>
    <n v="12.49"/>
    <x v="180"/>
    <n v="2685.35"/>
    <x v="3"/>
    <x v="3"/>
    <x v="1"/>
    <x v="0"/>
    <n v="74.97"/>
  </r>
  <r>
    <d v="2025-01-25T00:00:00"/>
    <s v="cogs:product 1"/>
    <n v="5.49"/>
    <x v="62"/>
    <n v="384.3"/>
    <x v="1"/>
    <x v="1"/>
    <x v="1"/>
    <x v="0"/>
    <n v="1798.56"/>
  </r>
  <r>
    <d v="2025-01-25T00:00:00"/>
    <s v="cogs:product 2"/>
    <n v="19.989999999999998"/>
    <x v="25"/>
    <n v="19.989999999999998"/>
    <x v="1"/>
    <x v="2"/>
    <x v="1"/>
    <x v="0"/>
    <n v="-563.06000000000006"/>
  </r>
  <r>
    <d v="2025-01-25T00:00:00"/>
    <s v="cogs:product 3"/>
    <n v="8.99"/>
    <x v="16"/>
    <n v="71.92"/>
    <x v="1"/>
    <x v="3"/>
    <x v="1"/>
    <x v="0"/>
    <n v="-135.91999999999999"/>
  </r>
  <r>
    <d v="2025-01-25T00:00:00"/>
    <s v="marketing"/>
    <s v="NA"/>
    <x v="0"/>
    <n v="116.06"/>
    <x v="2"/>
    <x v="0"/>
    <x v="1"/>
    <x v="0"/>
    <n v="-806.55000000000007"/>
  </r>
  <r>
    <d v="2025-01-25T00:00:00"/>
    <s v="net sales:product 1"/>
    <n v="9.99"/>
    <x v="62"/>
    <n v="699.30000000000007"/>
    <x v="3"/>
    <x v="1"/>
    <x v="1"/>
    <x v="0"/>
    <n v="-100.03"/>
  </r>
  <r>
    <d v="2025-01-25T00:00:00"/>
    <s v="net sales:product 2"/>
    <n v="24.99"/>
    <x v="25"/>
    <n v="24.99"/>
    <x v="3"/>
    <x v="2"/>
    <x v="1"/>
    <x v="0"/>
    <n v="939.06000000000006"/>
  </r>
  <r>
    <d v="2025-01-25T00:00:00"/>
    <s v="net sales:product 3"/>
    <n v="12.49"/>
    <x v="16"/>
    <n v="99.92"/>
    <x v="3"/>
    <x v="3"/>
    <x v="1"/>
    <x v="0"/>
    <n v="199.92"/>
  </r>
  <r>
    <d v="2025-01-26T00:00:00"/>
    <s v="cogs:product 1"/>
    <n v="5.49"/>
    <x v="82"/>
    <n v="488.61"/>
    <x v="1"/>
    <x v="1"/>
    <x v="1"/>
    <x v="0"/>
    <n v="1186.55"/>
  </r>
  <r>
    <d v="2025-01-26T00:00:00"/>
    <s v="cogs:product 2"/>
    <n v="19.989999999999998"/>
    <x v="7"/>
    <n v="179.91"/>
    <x v="1"/>
    <x v="2"/>
    <x v="1"/>
    <x v="0"/>
    <n v="-173.71"/>
  </r>
  <r>
    <d v="2025-01-26T00:00:00"/>
    <s v="cogs:product 3"/>
    <n v="8.99"/>
    <x v="187"/>
    <n v="1636.18"/>
    <x v="1"/>
    <x v="3"/>
    <x v="1"/>
    <x v="0"/>
    <n v="-33.979999999999997"/>
  </r>
  <r>
    <d v="2025-01-26T00:00:00"/>
    <s v="marketing"/>
    <s v="NA"/>
    <x v="0"/>
    <n v="114.95"/>
    <x v="2"/>
    <x v="0"/>
    <x v="1"/>
    <x v="0"/>
    <n v="-1961.19"/>
  </r>
  <r>
    <d v="2025-01-26T00:00:00"/>
    <s v="net sales:product 1"/>
    <n v="9.99"/>
    <x v="82"/>
    <n v="889.11"/>
    <x v="3"/>
    <x v="1"/>
    <x v="1"/>
    <x v="0"/>
    <n v="-99.95"/>
  </r>
  <r>
    <d v="2025-01-26T00:00:00"/>
    <s v="net sales:product 2"/>
    <n v="24.99"/>
    <x v="7"/>
    <n v="224.91"/>
    <x v="3"/>
    <x v="2"/>
    <x v="1"/>
    <x v="0"/>
    <n v="289.70999999999998"/>
  </r>
  <r>
    <d v="2025-01-26T00:00:00"/>
    <s v="net sales:product 3"/>
    <n v="12.49"/>
    <x v="187"/>
    <n v="2273.1799999999998"/>
    <x v="3"/>
    <x v="3"/>
    <x v="1"/>
    <x v="0"/>
    <n v="49.98"/>
  </r>
  <r>
    <d v="2025-01-27T00:00:00"/>
    <s v="cogs:product 1"/>
    <n v="5.49"/>
    <x v="44"/>
    <n v="175.68"/>
    <x v="1"/>
    <x v="1"/>
    <x v="1"/>
    <x v="0"/>
    <n v="2885.19"/>
  </r>
  <r>
    <d v="2025-01-27T00:00:00"/>
    <s v="cogs:product 2"/>
    <n v="19.989999999999998"/>
    <x v="23"/>
    <n v="0"/>
    <x v="1"/>
    <x v="2"/>
    <x v="1"/>
    <x v="0"/>
    <n v="-329.45"/>
  </r>
  <r>
    <d v="2025-01-27T00:00:00"/>
    <s v="cogs:product 3"/>
    <n v="8.99"/>
    <x v="30"/>
    <n v="152.83000000000001"/>
    <x v="1"/>
    <x v="3"/>
    <x v="1"/>
    <x v="0"/>
    <n v="-152.91"/>
  </r>
  <r>
    <d v="2025-01-27T00:00:00"/>
    <s v="marketing"/>
    <s v="NA"/>
    <x v="0"/>
    <n v="107.94"/>
    <x v="2"/>
    <x v="0"/>
    <x v="1"/>
    <x v="0"/>
    <n v="-1494.24"/>
  </r>
  <r>
    <d v="2025-01-27T00:00:00"/>
    <s v="net sales:product 1"/>
    <n v="9.99"/>
    <x v="44"/>
    <n v="319.68"/>
    <x v="3"/>
    <x v="1"/>
    <x v="1"/>
    <x v="0"/>
    <n v="-100.06"/>
  </r>
  <r>
    <d v="2025-01-27T00:00:00"/>
    <s v="net sales:product 2"/>
    <n v="24.99"/>
    <x v="23"/>
    <n v="0"/>
    <x v="3"/>
    <x v="2"/>
    <x v="1"/>
    <x v="0"/>
    <n v="549.45000000000005"/>
  </r>
  <r>
    <d v="2025-01-27T00:00:00"/>
    <s v="net sales:product 3"/>
    <n v="12.49"/>
    <x v="30"/>
    <n v="212.33"/>
    <x v="3"/>
    <x v="3"/>
    <x v="1"/>
    <x v="0"/>
    <n v="224.91"/>
  </r>
  <r>
    <d v="2025-01-28T00:00:00"/>
    <s v="cogs:product 1"/>
    <n v="5.49"/>
    <x v="92"/>
    <n v="290.97000000000003"/>
    <x v="1"/>
    <x v="1"/>
    <x v="1"/>
    <x v="0"/>
    <n v="2198.2400000000002"/>
  </r>
  <r>
    <d v="2025-01-28T00:00:00"/>
    <s v="cogs:product 2"/>
    <n v="19.989999999999998"/>
    <x v="23"/>
    <n v="0"/>
    <x v="1"/>
    <x v="2"/>
    <x v="1"/>
    <x v="0"/>
    <n v="-59.900000000000006"/>
  </r>
  <r>
    <d v="2025-01-28T00:00:00"/>
    <s v="cogs:product 3"/>
    <n v="8.99"/>
    <x v="23"/>
    <n v="0"/>
    <x v="1"/>
    <x v="3"/>
    <x v="1"/>
    <x v="0"/>
    <n v="-67.959999999999994"/>
  </r>
  <r>
    <d v="2025-01-28T00:00:00"/>
    <s v="marketing"/>
    <s v="NA"/>
    <x v="0"/>
    <n v="110.95"/>
    <x v="2"/>
    <x v="0"/>
    <x v="1"/>
    <x v="0"/>
    <n v="-1281.99"/>
  </r>
  <r>
    <d v="2025-01-28T00:00:00"/>
    <s v="net sales:product 1"/>
    <n v="9.99"/>
    <x v="92"/>
    <n v="529.47"/>
    <x v="3"/>
    <x v="1"/>
    <x v="1"/>
    <x v="0"/>
    <n v="-99.94"/>
  </r>
  <r>
    <d v="2025-01-28T00:00:00"/>
    <s v="net sales:product 2"/>
    <n v="24.99"/>
    <x v="23"/>
    <n v="0"/>
    <x v="3"/>
    <x v="2"/>
    <x v="1"/>
    <x v="0"/>
    <n v="99.9"/>
  </r>
  <r>
    <d v="2025-01-28T00:00:00"/>
    <s v="net sales:product 3"/>
    <n v="12.49"/>
    <x v="23"/>
    <n v="0"/>
    <x v="3"/>
    <x v="3"/>
    <x v="1"/>
    <x v="0"/>
    <n v="99.96"/>
  </r>
  <r>
    <d v="2025-01-29T00:00:00"/>
    <s v="cogs:product 1"/>
    <n v="5.49"/>
    <x v="83"/>
    <n v="252.54000000000002"/>
    <x v="1"/>
    <x v="1"/>
    <x v="1"/>
    <x v="0"/>
    <n v="1885.99"/>
  </r>
  <r>
    <d v="2025-01-29T00:00:00"/>
    <s v="cogs:product 2"/>
    <n v="19.989999999999998"/>
    <x v="19"/>
    <n v="79.959999999999994"/>
    <x v="1"/>
    <x v="2"/>
    <x v="1"/>
    <x v="0"/>
    <n v="-557.07000000000005"/>
  </r>
  <r>
    <d v="2025-01-29T00:00:00"/>
    <s v="cogs:product 3"/>
    <n v="8.99"/>
    <x v="96"/>
    <n v="1699.1100000000001"/>
    <x v="1"/>
    <x v="3"/>
    <x v="1"/>
    <x v="0"/>
    <n v="-169.89999999999998"/>
  </r>
  <r>
    <d v="2025-01-29T00:00:00"/>
    <s v="marketing"/>
    <s v="NA"/>
    <x v="0"/>
    <n v="107.03"/>
    <x v="2"/>
    <x v="0"/>
    <x v="1"/>
    <x v="0"/>
    <n v="-534.87"/>
  </r>
  <r>
    <d v="2025-01-29T00:00:00"/>
    <s v="net sales:product 1"/>
    <n v="9.99"/>
    <x v="83"/>
    <n v="459.54"/>
    <x v="3"/>
    <x v="1"/>
    <x v="1"/>
    <x v="0"/>
    <n v="-100.09"/>
  </r>
  <r>
    <d v="2025-01-29T00:00:00"/>
    <s v="net sales:product 2"/>
    <n v="24.99"/>
    <x v="19"/>
    <n v="99.96"/>
    <x v="3"/>
    <x v="2"/>
    <x v="1"/>
    <x v="0"/>
    <n v="929.07"/>
  </r>
  <r>
    <d v="2025-01-29T00:00:00"/>
    <s v="net sales:product 3"/>
    <n v="12.49"/>
    <x v="96"/>
    <n v="2360.61"/>
    <x v="3"/>
    <x v="3"/>
    <x v="1"/>
    <x v="0"/>
    <n v="249.89999999999998"/>
  </r>
  <r>
    <d v="2025-01-30T00:00:00"/>
    <s v="cogs:product 1"/>
    <n v="5.49"/>
    <x v="13"/>
    <n v="38.43"/>
    <x v="1"/>
    <x v="1"/>
    <x v="1"/>
    <x v="0"/>
    <n v="786.87"/>
  </r>
  <r>
    <d v="2025-01-30T00:00:00"/>
    <s v="cogs:product 2"/>
    <n v="19.989999999999998"/>
    <x v="42"/>
    <n v="119.94"/>
    <x v="1"/>
    <x v="2"/>
    <x v="1"/>
    <x v="0"/>
    <n v="-485.19"/>
  </r>
  <r>
    <d v="2025-01-30T00:00:00"/>
    <s v="cogs:product 3"/>
    <n v="8.99"/>
    <x v="87"/>
    <n v="143.84"/>
    <x v="1"/>
    <x v="3"/>
    <x v="1"/>
    <x v="0"/>
    <n v="-33.979999999999997"/>
  </r>
  <r>
    <d v="2025-01-30T00:00:00"/>
    <s v="marketing"/>
    <s v="NA"/>
    <x v="0"/>
    <n v="107.97"/>
    <x v="2"/>
    <x v="0"/>
    <x v="1"/>
    <x v="0"/>
    <n v="-135.84"/>
  </r>
  <r>
    <d v="2025-01-30T00:00:00"/>
    <s v="net sales:product 1"/>
    <n v="9.99"/>
    <x v="13"/>
    <n v="69.930000000000007"/>
    <x v="3"/>
    <x v="1"/>
    <x v="1"/>
    <x v="0"/>
    <n v="-99.91"/>
  </r>
  <r>
    <d v="2025-01-30T00:00:00"/>
    <s v="net sales:product 2"/>
    <n v="24.99"/>
    <x v="42"/>
    <n v="149.94"/>
    <x v="3"/>
    <x v="2"/>
    <x v="1"/>
    <x v="0"/>
    <n v="809.19"/>
  </r>
  <r>
    <d v="2025-01-30T00:00:00"/>
    <s v="net sales:product 3"/>
    <n v="12.49"/>
    <x v="87"/>
    <n v="199.84"/>
    <x v="3"/>
    <x v="3"/>
    <x v="1"/>
    <x v="0"/>
    <n v="49.98"/>
  </r>
  <r>
    <d v="2025-01-31T00:00:00"/>
    <s v="cogs:product 1"/>
    <n v="5.49"/>
    <x v="172"/>
    <n v="296.46000000000004"/>
    <x v="1"/>
    <x v="1"/>
    <x v="1"/>
    <x v="0"/>
    <n v="199.84"/>
  </r>
  <r>
    <d v="2025-01-31T00:00:00"/>
    <s v="cogs:product 2"/>
    <n v="19.989999999999998"/>
    <x v="42"/>
    <n v="119.94"/>
    <x v="1"/>
    <x v="2"/>
    <x v="1"/>
    <x v="0"/>
    <n v="0"/>
  </r>
  <r>
    <d v="2025-01-31T00:00:00"/>
    <s v="cogs:product 3"/>
    <n v="8.99"/>
    <x v="134"/>
    <n v="575.36"/>
    <x v="1"/>
    <x v="3"/>
    <x v="1"/>
    <x v="0"/>
    <n v="-318.42"/>
  </r>
  <r>
    <d v="2025-01-31T00:00:00"/>
    <s v="marketing"/>
    <s v="NA"/>
    <x v="0"/>
    <n v="116.05"/>
    <x v="2"/>
    <x v="0"/>
    <x v="1"/>
    <x v="0"/>
    <n v="-139.92999999999998"/>
  </r>
  <r>
    <d v="2025-01-31T00:00:00"/>
    <s v="net sales:product 1"/>
    <n v="9.99"/>
    <x v="172"/>
    <n v="539.46"/>
    <x v="3"/>
    <x v="1"/>
    <x v="1"/>
    <x v="0"/>
    <n v="-809.1"/>
  </r>
  <r>
    <d v="2025-01-31T00:00:00"/>
    <s v="net sales:product 2"/>
    <n v="24.99"/>
    <x v="42"/>
    <n v="149.94"/>
    <x v="3"/>
    <x v="2"/>
    <x v="1"/>
    <x v="0"/>
    <n v="-118.02"/>
  </r>
  <r>
    <d v="2025-01-31T00:00:00"/>
    <s v="net sales:product 3"/>
    <n v="12.49"/>
    <x v="134"/>
    <n v="799.36"/>
    <x v="3"/>
    <x v="3"/>
    <x v="1"/>
    <x v="0"/>
    <n v="579.41999999999996"/>
  </r>
  <r>
    <d v="2025-01-31T00:00:00"/>
    <s v="payroll"/>
    <s v="NA"/>
    <x v="0"/>
    <n v="1200"/>
    <x v="5"/>
    <x v="0"/>
    <x v="1"/>
    <x v="0"/>
    <n v="174.92999999999998"/>
  </r>
  <r>
    <d v="2025-02-01T00:00:00"/>
    <s v="amortization"/>
    <s v="NA"/>
    <x v="0"/>
    <n v="50"/>
    <x v="0"/>
    <x v="0"/>
    <x v="1"/>
    <x v="1"/>
    <n v="1124.0999999999999"/>
  </r>
  <r>
    <d v="2025-02-01T00:00:00"/>
    <s v="cogs:product 1"/>
    <n v="5.49"/>
    <x v="60"/>
    <n v="126.27000000000001"/>
    <x v="1"/>
    <x v="1"/>
    <x v="1"/>
    <x v="1"/>
    <n v="-2000"/>
  </r>
  <r>
    <d v="2025-02-01T00:00:00"/>
    <s v="cogs:product 2"/>
    <n v="19.989999999999998"/>
    <x v="7"/>
    <n v="179.91"/>
    <x v="1"/>
    <x v="2"/>
    <x v="1"/>
    <x v="1"/>
    <n v="-329.40000000000003"/>
  </r>
  <r>
    <d v="2025-02-01T00:00:00"/>
    <s v="cogs:product 3"/>
    <n v="8.99"/>
    <x v="82"/>
    <n v="800.11"/>
    <x v="1"/>
    <x v="3"/>
    <x v="1"/>
    <x v="1"/>
    <n v="-59.97"/>
  </r>
  <r>
    <d v="2025-02-01T00:00:00"/>
    <s v="marketing"/>
    <s v="NA"/>
    <x v="0"/>
    <n v="112.02"/>
    <x v="2"/>
    <x v="0"/>
    <x v="1"/>
    <x v="1"/>
    <n v="-1537.29"/>
  </r>
  <r>
    <d v="2025-02-01T00:00:00"/>
    <s v="net sales:product 1"/>
    <n v="9.99"/>
    <x v="60"/>
    <n v="229.77"/>
    <x v="3"/>
    <x v="1"/>
    <x v="1"/>
    <x v="1"/>
    <n v="-119.10000000000001"/>
  </r>
  <r>
    <d v="2025-02-01T00:00:00"/>
    <s v="net sales:product 2"/>
    <n v="24.99"/>
    <x v="7"/>
    <n v="224.91"/>
    <x v="3"/>
    <x v="2"/>
    <x v="1"/>
    <x v="1"/>
    <n v="599.4"/>
  </r>
  <r>
    <d v="2025-02-01T00:00:00"/>
    <s v="net sales:product 3"/>
    <n v="12.49"/>
    <x v="82"/>
    <n v="1111.6100000000001"/>
    <x v="3"/>
    <x v="3"/>
    <x v="1"/>
    <x v="1"/>
    <n v="74.97"/>
  </r>
  <r>
    <d v="2025-02-01T00:00:00"/>
    <s v="overhead"/>
    <s v="NA"/>
    <x v="0"/>
    <n v="2000"/>
    <x v="4"/>
    <x v="0"/>
    <x v="1"/>
    <x v="1"/>
    <n v="2135.79"/>
  </r>
  <r>
    <d v="2025-02-02T00:00:00"/>
    <s v="cogs:product 1"/>
    <n v="5.49"/>
    <x v="105"/>
    <n v="450.18"/>
    <x v="1"/>
    <x v="1"/>
    <x v="1"/>
    <x v="1"/>
    <n v="-142.74"/>
  </r>
  <r>
    <d v="2025-02-02T00:00:00"/>
    <s v="cogs:product 2"/>
    <n v="19.989999999999998"/>
    <x v="23"/>
    <n v="0"/>
    <x v="1"/>
    <x v="2"/>
    <x v="1"/>
    <x v="1"/>
    <n v="-79.959999999999994"/>
  </r>
  <r>
    <d v="2025-02-02T00:00:00"/>
    <s v="cogs:product 3"/>
    <n v="8.99"/>
    <x v="202"/>
    <n v="1303.55"/>
    <x v="1"/>
    <x v="3"/>
    <x v="1"/>
    <x v="1"/>
    <n v="-1474.3600000000001"/>
  </r>
  <r>
    <d v="2025-02-02T00:00:00"/>
    <s v="marketing"/>
    <s v="NA"/>
    <x v="0"/>
    <n v="102.07000000000001"/>
    <x v="2"/>
    <x v="0"/>
    <x v="1"/>
    <x v="1"/>
    <n v="-118.93"/>
  </r>
  <r>
    <d v="2025-02-02T00:00:00"/>
    <s v="net sales:product 1"/>
    <n v="9.99"/>
    <x v="105"/>
    <n v="819.18000000000006"/>
    <x v="3"/>
    <x v="1"/>
    <x v="1"/>
    <x v="1"/>
    <n v="259.74"/>
  </r>
  <r>
    <d v="2025-02-02T00:00:00"/>
    <s v="net sales:product 2"/>
    <n v="24.99"/>
    <x v="23"/>
    <n v="0"/>
    <x v="3"/>
    <x v="2"/>
    <x v="1"/>
    <x v="1"/>
    <n v="99.96"/>
  </r>
  <r>
    <d v="2025-02-02T00:00:00"/>
    <s v="net sales:product 3"/>
    <n v="12.49"/>
    <x v="202"/>
    <n v="1811.05"/>
    <x v="3"/>
    <x v="3"/>
    <x v="1"/>
    <x v="1"/>
    <n v="2048.36"/>
  </r>
  <r>
    <d v="2025-02-03T00:00:00"/>
    <s v="cogs:product 1"/>
    <n v="5.49"/>
    <x v="15"/>
    <n v="208.62"/>
    <x v="1"/>
    <x v="1"/>
    <x v="1"/>
    <x v="1"/>
    <n v="-1200"/>
  </r>
  <r>
    <d v="2025-02-03T00:00:00"/>
    <s v="cogs:product 2"/>
    <n v="19.989999999999998"/>
    <x v="23"/>
    <n v="0"/>
    <x v="1"/>
    <x v="2"/>
    <x v="1"/>
    <x v="1"/>
    <n v="-21.96"/>
  </r>
  <r>
    <d v="2025-02-03T00:00:00"/>
    <s v="cogs:product 3"/>
    <n v="8.99"/>
    <x v="14"/>
    <n v="854.05000000000007"/>
    <x v="1"/>
    <x v="3"/>
    <x v="1"/>
    <x v="1"/>
    <n v="-99.949999999999989"/>
  </r>
  <r>
    <d v="2025-02-03T00:00:00"/>
    <s v="marketing"/>
    <s v="NA"/>
    <x v="0"/>
    <n v="107.09"/>
    <x v="2"/>
    <x v="0"/>
    <x v="1"/>
    <x v="1"/>
    <n v="-503.44"/>
  </r>
  <r>
    <d v="2025-02-03T00:00:00"/>
    <s v="net sales:product 1"/>
    <n v="9.99"/>
    <x v="15"/>
    <n v="379.62"/>
    <x v="3"/>
    <x v="1"/>
    <x v="1"/>
    <x v="1"/>
    <n v="-109"/>
  </r>
  <r>
    <d v="2025-02-03T00:00:00"/>
    <s v="net sales:product 2"/>
    <n v="24.99"/>
    <x v="23"/>
    <n v="0"/>
    <x v="3"/>
    <x v="2"/>
    <x v="1"/>
    <x v="1"/>
    <n v="39.96"/>
  </r>
  <r>
    <d v="2025-02-03T00:00:00"/>
    <s v="net sales:product 3"/>
    <n v="12.49"/>
    <x v="14"/>
    <n v="1186.55"/>
    <x v="3"/>
    <x v="3"/>
    <x v="1"/>
    <x v="1"/>
    <n v="124.94999999999999"/>
  </r>
  <r>
    <d v="2025-02-04T00:00:00"/>
    <s v="cogs:product 1"/>
    <n v="5.49"/>
    <x v="21"/>
    <n v="65.88"/>
    <x v="1"/>
    <x v="1"/>
    <x v="1"/>
    <x v="1"/>
    <n v="699.44"/>
  </r>
  <r>
    <d v="2025-02-04T00:00:00"/>
    <s v="cogs:product 2"/>
    <n v="19.989999999999998"/>
    <x v="2"/>
    <n v="59.97"/>
    <x v="1"/>
    <x v="2"/>
    <x v="1"/>
    <x v="1"/>
    <n v="-521.55000000000007"/>
  </r>
  <r>
    <d v="2025-02-04T00:00:00"/>
    <s v="cogs:product 3"/>
    <n v="8.99"/>
    <x v="137"/>
    <n v="449.5"/>
    <x v="1"/>
    <x v="3"/>
    <x v="1"/>
    <x v="1"/>
    <n v="-99.949999999999989"/>
  </r>
  <r>
    <d v="2025-02-04T00:00:00"/>
    <s v="marketing"/>
    <s v="NA"/>
    <x v="0"/>
    <n v="113.92"/>
    <x v="2"/>
    <x v="0"/>
    <x v="1"/>
    <x v="1"/>
    <n v="-1474.3600000000001"/>
  </r>
  <r>
    <d v="2025-02-04T00:00:00"/>
    <s v="net sales:product 1"/>
    <n v="9.99"/>
    <x v="21"/>
    <n v="119.88"/>
    <x v="3"/>
    <x v="1"/>
    <x v="1"/>
    <x v="1"/>
    <n v="-117.98"/>
  </r>
  <r>
    <d v="2025-02-04T00:00:00"/>
    <s v="net sales:product 2"/>
    <n v="24.99"/>
    <x v="2"/>
    <n v="74.97"/>
    <x v="3"/>
    <x v="2"/>
    <x v="1"/>
    <x v="1"/>
    <n v="949.05000000000007"/>
  </r>
  <r>
    <d v="2025-02-04T00:00:00"/>
    <s v="net sales:product 3"/>
    <n v="12.49"/>
    <x v="137"/>
    <n v="624.5"/>
    <x v="3"/>
    <x v="3"/>
    <x v="1"/>
    <x v="1"/>
    <n v="124.94999999999999"/>
  </r>
  <r>
    <d v="2025-02-05T00:00:00"/>
    <s v="cogs:product 1"/>
    <n v="5.49"/>
    <x v="74"/>
    <n v="301.95"/>
    <x v="1"/>
    <x v="1"/>
    <x v="1"/>
    <x v="1"/>
    <n v="2048.36"/>
  </r>
  <r>
    <d v="2025-02-05T00:00:00"/>
    <s v="cogs:product 2"/>
    <n v="19.989999999999998"/>
    <x v="42"/>
    <n v="119.94"/>
    <x v="1"/>
    <x v="2"/>
    <x v="1"/>
    <x v="1"/>
    <n v="-395.28000000000003"/>
  </r>
  <r>
    <d v="2025-02-05T00:00:00"/>
    <s v="cogs:product 3"/>
    <n v="8.99"/>
    <x v="10"/>
    <n v="17.98"/>
    <x v="1"/>
    <x v="3"/>
    <x v="1"/>
    <x v="1"/>
    <n v="-119.94"/>
  </r>
  <r>
    <d v="2025-02-05T00:00:00"/>
    <s v="marketing"/>
    <s v="NA"/>
    <x v="0"/>
    <n v="104.04"/>
    <x v="2"/>
    <x v="0"/>
    <x v="1"/>
    <x v="1"/>
    <n v="-1887.9"/>
  </r>
  <r>
    <d v="2025-02-05T00:00:00"/>
    <s v="net sales:product 1"/>
    <n v="9.99"/>
    <x v="74"/>
    <n v="549.45000000000005"/>
    <x v="3"/>
    <x v="1"/>
    <x v="1"/>
    <x v="1"/>
    <n v="-119.95"/>
  </r>
  <r>
    <d v="2025-02-05T00:00:00"/>
    <s v="net sales:product 2"/>
    <n v="24.99"/>
    <x v="42"/>
    <n v="149.94"/>
    <x v="3"/>
    <x v="2"/>
    <x v="1"/>
    <x v="1"/>
    <n v="719.28"/>
  </r>
  <r>
    <d v="2025-02-05T00:00:00"/>
    <s v="net sales:product 3"/>
    <n v="12.49"/>
    <x v="10"/>
    <n v="24.98"/>
    <x v="3"/>
    <x v="3"/>
    <x v="1"/>
    <x v="1"/>
    <n v="149.94"/>
  </r>
  <r>
    <d v="2025-02-06T00:00:00"/>
    <s v="cogs:product 1"/>
    <n v="5.49"/>
    <x v="15"/>
    <n v="208.62"/>
    <x v="1"/>
    <x v="1"/>
    <x v="1"/>
    <x v="1"/>
    <n v="2622.9"/>
  </r>
  <r>
    <d v="2025-02-06T00:00:00"/>
    <s v="cogs:product 2"/>
    <n v="19.989999999999998"/>
    <x v="16"/>
    <n v="159.91999999999999"/>
    <x v="1"/>
    <x v="2"/>
    <x v="1"/>
    <x v="1"/>
    <n v="-510.57"/>
  </r>
  <r>
    <d v="2025-02-06T00:00:00"/>
    <s v="cogs:product 3"/>
    <n v="8.99"/>
    <x v="37"/>
    <n v="1833.96"/>
    <x v="1"/>
    <x v="3"/>
    <x v="1"/>
    <x v="1"/>
    <n v="-139.92999999999998"/>
  </r>
  <r>
    <d v="2025-02-06T00:00:00"/>
    <s v="marketing"/>
    <s v="NA"/>
    <x v="0"/>
    <n v="111.9"/>
    <x v="2"/>
    <x v="0"/>
    <x v="1"/>
    <x v="1"/>
    <n v="-890.01"/>
  </r>
  <r>
    <d v="2025-02-06T00:00:00"/>
    <s v="net sales:product 1"/>
    <n v="9.99"/>
    <x v="15"/>
    <n v="379.62"/>
    <x v="3"/>
    <x v="1"/>
    <x v="1"/>
    <x v="1"/>
    <n v="-103.96000000000001"/>
  </r>
  <r>
    <d v="2025-02-06T00:00:00"/>
    <s v="net sales:product 2"/>
    <n v="24.99"/>
    <x v="16"/>
    <n v="199.92"/>
    <x v="3"/>
    <x v="2"/>
    <x v="1"/>
    <x v="1"/>
    <n v="929.07"/>
  </r>
  <r>
    <d v="2025-02-06T00:00:00"/>
    <s v="net sales:product 3"/>
    <n v="12.49"/>
    <x v="37"/>
    <n v="2547.96"/>
    <x v="3"/>
    <x v="3"/>
    <x v="1"/>
    <x v="1"/>
    <n v="174.92999999999998"/>
  </r>
  <r>
    <d v="2025-02-07T00:00:00"/>
    <s v="cogs:product 1"/>
    <n v="5.49"/>
    <x v="16"/>
    <n v="43.92"/>
    <x v="1"/>
    <x v="1"/>
    <x v="1"/>
    <x v="1"/>
    <n v="1236.51"/>
  </r>
  <r>
    <d v="2025-02-07T00:00:00"/>
    <s v="cogs:product 2"/>
    <n v="19.989999999999998"/>
    <x v="2"/>
    <n v="59.97"/>
    <x v="1"/>
    <x v="2"/>
    <x v="1"/>
    <x v="1"/>
    <n v="-285.48"/>
  </r>
  <r>
    <d v="2025-02-07T00:00:00"/>
    <s v="cogs:product 3"/>
    <n v="8.99"/>
    <x v="78"/>
    <n v="503.44"/>
    <x v="1"/>
    <x v="3"/>
    <x v="1"/>
    <x v="1"/>
    <n v="-159.91999999999999"/>
  </r>
  <r>
    <d v="2025-02-07T00:00:00"/>
    <s v="marketing"/>
    <s v="NA"/>
    <x v="0"/>
    <n v="100.9"/>
    <x v="2"/>
    <x v="0"/>
    <x v="1"/>
    <x v="1"/>
    <n v="-710.21"/>
  </r>
  <r>
    <d v="2025-02-07T00:00:00"/>
    <s v="net sales:product 1"/>
    <n v="9.99"/>
    <x v="16"/>
    <n v="79.92"/>
    <x v="3"/>
    <x v="1"/>
    <x v="1"/>
    <x v="1"/>
    <n v="-120.08"/>
  </r>
  <r>
    <d v="2025-02-07T00:00:00"/>
    <s v="net sales:product 2"/>
    <n v="24.99"/>
    <x v="2"/>
    <n v="74.97"/>
    <x v="3"/>
    <x v="2"/>
    <x v="1"/>
    <x v="1"/>
    <n v="519.48"/>
  </r>
  <r>
    <d v="2025-02-07T00:00:00"/>
    <s v="net sales:product 3"/>
    <n v="12.49"/>
    <x v="78"/>
    <n v="699.44"/>
    <x v="3"/>
    <x v="3"/>
    <x v="1"/>
    <x v="1"/>
    <n v="199.92"/>
  </r>
  <r>
    <d v="2025-02-08T00:00:00"/>
    <s v="cogs:product 1"/>
    <n v="5.49"/>
    <x v="29"/>
    <n v="27.450000000000003"/>
    <x v="1"/>
    <x v="1"/>
    <x v="1"/>
    <x v="1"/>
    <n v="986.71"/>
  </r>
  <r>
    <d v="2025-02-08T00:00:00"/>
    <s v="cogs:product 2"/>
    <n v="19.989999999999998"/>
    <x v="16"/>
    <n v="159.91999999999999"/>
    <x v="1"/>
    <x v="2"/>
    <x v="1"/>
    <x v="1"/>
    <n v="-296.46000000000004"/>
  </r>
  <r>
    <d v="2025-02-08T00:00:00"/>
    <s v="cogs:product 3"/>
    <n v="8.99"/>
    <x v="147"/>
    <n v="1519.31"/>
    <x v="1"/>
    <x v="3"/>
    <x v="1"/>
    <x v="1"/>
    <n v="-159.91999999999999"/>
  </r>
  <r>
    <d v="2025-02-08T00:00:00"/>
    <s v="marketing"/>
    <s v="NA"/>
    <x v="0"/>
    <n v="102.99000000000001"/>
    <x v="2"/>
    <x v="0"/>
    <x v="1"/>
    <x v="1"/>
    <n v="-377.58"/>
  </r>
  <r>
    <d v="2025-02-08T00:00:00"/>
    <s v="net sales:product 1"/>
    <n v="9.99"/>
    <x v="29"/>
    <n v="49.95"/>
    <x v="3"/>
    <x v="1"/>
    <x v="1"/>
    <x v="1"/>
    <n v="-102.08"/>
  </r>
  <r>
    <d v="2025-02-08T00:00:00"/>
    <s v="net sales:product 2"/>
    <n v="24.99"/>
    <x v="16"/>
    <n v="199.92"/>
    <x v="3"/>
    <x v="2"/>
    <x v="1"/>
    <x v="1"/>
    <n v="539.46"/>
  </r>
  <r>
    <d v="2025-02-08T00:00:00"/>
    <s v="net sales:product 3"/>
    <n v="12.49"/>
    <x v="147"/>
    <n v="2110.81"/>
    <x v="3"/>
    <x v="3"/>
    <x v="1"/>
    <x v="1"/>
    <n v="199.92"/>
  </r>
  <r>
    <d v="2025-02-09T00:00:00"/>
    <s v="cogs:product 1"/>
    <n v="5.49"/>
    <x v="105"/>
    <n v="450.18"/>
    <x v="1"/>
    <x v="1"/>
    <x v="1"/>
    <x v="1"/>
    <n v="524.58000000000004"/>
  </r>
  <r>
    <d v="2025-02-09T00:00:00"/>
    <s v="cogs:product 2"/>
    <n v="19.989999999999998"/>
    <x v="19"/>
    <n v="79.959999999999994"/>
    <x v="1"/>
    <x v="2"/>
    <x v="1"/>
    <x v="1"/>
    <n v="-54.900000000000006"/>
  </r>
  <r>
    <d v="2025-02-09T00:00:00"/>
    <s v="cogs:product 3"/>
    <n v="8.99"/>
    <x v="13"/>
    <n v="62.93"/>
    <x v="1"/>
    <x v="3"/>
    <x v="1"/>
    <x v="1"/>
    <n v="-139.92999999999998"/>
  </r>
  <r>
    <d v="2025-02-09T00:00:00"/>
    <s v="marketing"/>
    <s v="NA"/>
    <x v="0"/>
    <n v="115.94"/>
    <x v="2"/>
    <x v="0"/>
    <x v="1"/>
    <x v="1"/>
    <n v="-197.78"/>
  </r>
  <r>
    <d v="2025-02-09T00:00:00"/>
    <s v="net sales:product 1"/>
    <n v="9.99"/>
    <x v="105"/>
    <n v="819.18000000000006"/>
    <x v="3"/>
    <x v="1"/>
    <x v="1"/>
    <x v="1"/>
    <n v="-101.95"/>
  </r>
  <r>
    <d v="2025-02-09T00:00:00"/>
    <s v="net sales:product 2"/>
    <n v="24.99"/>
    <x v="19"/>
    <n v="99.96"/>
    <x v="3"/>
    <x v="2"/>
    <x v="1"/>
    <x v="1"/>
    <n v="99.9"/>
  </r>
  <r>
    <d v="2025-02-09T00:00:00"/>
    <s v="net sales:product 3"/>
    <n v="12.49"/>
    <x v="13"/>
    <n v="87.43"/>
    <x v="3"/>
    <x v="3"/>
    <x v="1"/>
    <x v="1"/>
    <n v="174.92999999999998"/>
  </r>
  <r>
    <d v="2025-02-10T00:00:00"/>
    <s v="cogs:product 1"/>
    <n v="5.49"/>
    <x v="66"/>
    <n v="258.03000000000003"/>
    <x v="1"/>
    <x v="1"/>
    <x v="1"/>
    <x v="1"/>
    <n v="274.78000000000003"/>
  </r>
  <r>
    <d v="2025-02-10T00:00:00"/>
    <s v="cogs:product 2"/>
    <n v="19.989999999999998"/>
    <x v="7"/>
    <n v="179.91"/>
    <x v="1"/>
    <x v="2"/>
    <x v="1"/>
    <x v="1"/>
    <n v="0"/>
  </r>
  <r>
    <d v="2025-02-10T00:00:00"/>
    <s v="cogs:product 3"/>
    <n v="8.99"/>
    <x v="101"/>
    <n v="710.21"/>
    <x v="1"/>
    <x v="3"/>
    <x v="1"/>
    <x v="1"/>
    <n v="-119.94"/>
  </r>
  <r>
    <d v="2025-02-10T00:00:00"/>
    <s v="marketing"/>
    <s v="NA"/>
    <x v="0"/>
    <n v="103.07000000000001"/>
    <x v="2"/>
    <x v="0"/>
    <x v="1"/>
    <x v="1"/>
    <n v="-1636.18"/>
  </r>
  <r>
    <d v="2025-02-10T00:00:00"/>
    <s v="net sales:product 1"/>
    <n v="9.99"/>
    <x v="66"/>
    <n v="469.53000000000003"/>
    <x v="3"/>
    <x v="1"/>
    <x v="1"/>
    <x v="1"/>
    <n v="-106.97"/>
  </r>
  <r>
    <d v="2025-02-10T00:00:00"/>
    <s v="net sales:product 2"/>
    <n v="24.99"/>
    <x v="7"/>
    <n v="224.91"/>
    <x v="3"/>
    <x v="2"/>
    <x v="1"/>
    <x v="1"/>
    <n v="0"/>
  </r>
  <r>
    <d v="2025-02-10T00:00:00"/>
    <s v="net sales:product 3"/>
    <n v="12.49"/>
    <x v="101"/>
    <n v="986.71"/>
    <x v="3"/>
    <x v="3"/>
    <x v="1"/>
    <x v="1"/>
    <n v="149.94"/>
  </r>
  <r>
    <d v="2025-02-11T00:00:00"/>
    <s v="cogs:product 1"/>
    <n v="5.49"/>
    <x v="158"/>
    <n v="395.28000000000003"/>
    <x v="1"/>
    <x v="1"/>
    <x v="1"/>
    <x v="1"/>
    <n v="2273.1799999999998"/>
  </r>
  <r>
    <d v="2025-02-11T00:00:00"/>
    <s v="cogs:product 2"/>
    <n v="19.989999999999998"/>
    <x v="19"/>
    <n v="79.959999999999994"/>
    <x v="1"/>
    <x v="2"/>
    <x v="1"/>
    <x v="1"/>
    <n v="-153.72"/>
  </r>
  <r>
    <d v="2025-02-11T00:00:00"/>
    <s v="cogs:product 3"/>
    <n v="8.99"/>
    <x v="10"/>
    <n v="17.98"/>
    <x v="1"/>
    <x v="3"/>
    <x v="1"/>
    <x v="1"/>
    <n v="0"/>
  </r>
  <r>
    <d v="2025-02-11T00:00:00"/>
    <s v="marketing"/>
    <s v="NA"/>
    <x v="0"/>
    <n v="118.94"/>
    <x v="2"/>
    <x v="0"/>
    <x v="1"/>
    <x v="1"/>
    <n v="-1240.6200000000001"/>
  </r>
  <r>
    <d v="2025-02-11T00:00:00"/>
    <s v="net sales:product 1"/>
    <n v="9.99"/>
    <x v="158"/>
    <n v="719.28"/>
    <x v="3"/>
    <x v="1"/>
    <x v="1"/>
    <x v="1"/>
    <n v="-114.96000000000001"/>
  </r>
  <r>
    <d v="2025-02-11T00:00:00"/>
    <s v="net sales:product 2"/>
    <n v="24.99"/>
    <x v="19"/>
    <n v="99.96"/>
    <x v="3"/>
    <x v="2"/>
    <x v="1"/>
    <x v="1"/>
    <n v="279.72000000000003"/>
  </r>
  <r>
    <d v="2025-02-11T00:00:00"/>
    <s v="net sales:product 3"/>
    <n v="12.49"/>
    <x v="10"/>
    <n v="24.98"/>
    <x v="3"/>
    <x v="3"/>
    <x v="1"/>
    <x v="1"/>
    <n v="0"/>
  </r>
  <r>
    <d v="2025-02-12T00:00:00"/>
    <s v="cogs:product 1"/>
    <n v="5.49"/>
    <x v="44"/>
    <n v="175.68"/>
    <x v="1"/>
    <x v="1"/>
    <x v="1"/>
    <x v="1"/>
    <n v="1723.6200000000001"/>
  </r>
  <r>
    <d v="2025-02-12T00:00:00"/>
    <s v="cogs:product 2"/>
    <n v="19.989999999999998"/>
    <x v="2"/>
    <n v="59.97"/>
    <x v="1"/>
    <x v="2"/>
    <x v="1"/>
    <x v="1"/>
    <n v="-510.57"/>
  </r>
  <r>
    <d v="2025-02-12T00:00:00"/>
    <s v="cogs:product 3"/>
    <n v="8.99"/>
    <x v="160"/>
    <n v="1177.69"/>
    <x v="1"/>
    <x v="3"/>
    <x v="1"/>
    <x v="1"/>
    <n v="0"/>
  </r>
  <r>
    <d v="2025-02-12T00:00:00"/>
    <s v="marketing"/>
    <s v="NA"/>
    <x v="0"/>
    <n v="100.01"/>
    <x v="2"/>
    <x v="0"/>
    <x v="1"/>
    <x v="1"/>
    <n v="-647.28"/>
  </r>
  <r>
    <d v="2025-02-12T00:00:00"/>
    <s v="net sales:product 1"/>
    <n v="9.99"/>
    <x v="44"/>
    <n v="319.68"/>
    <x v="3"/>
    <x v="1"/>
    <x v="1"/>
    <x v="1"/>
    <n v="-107.93"/>
  </r>
  <r>
    <d v="2025-02-12T00:00:00"/>
    <s v="net sales:product 2"/>
    <n v="24.99"/>
    <x v="2"/>
    <n v="74.97"/>
    <x v="3"/>
    <x v="2"/>
    <x v="1"/>
    <x v="1"/>
    <n v="929.07"/>
  </r>
  <r>
    <d v="2025-02-12T00:00:00"/>
    <s v="net sales:product 3"/>
    <n v="12.49"/>
    <x v="160"/>
    <n v="1636.19"/>
    <x v="3"/>
    <x v="3"/>
    <x v="1"/>
    <x v="1"/>
    <n v="0"/>
  </r>
  <r>
    <d v="2025-02-13T00:00:00"/>
    <s v="cogs:product 1"/>
    <n v="5.49"/>
    <x v="71"/>
    <n v="455.67"/>
    <x v="1"/>
    <x v="1"/>
    <x v="1"/>
    <x v="1"/>
    <n v="899.28"/>
  </r>
  <r>
    <d v="2025-02-13T00:00:00"/>
    <s v="cogs:product 2"/>
    <n v="19.989999999999998"/>
    <x v="29"/>
    <n v="99.949999999999989"/>
    <x v="1"/>
    <x v="2"/>
    <x v="1"/>
    <x v="1"/>
    <n v="-241.56"/>
  </r>
  <r>
    <d v="2025-02-13T00:00:00"/>
    <s v="cogs:product 3"/>
    <n v="8.99"/>
    <x v="185"/>
    <n v="1771.03"/>
    <x v="1"/>
    <x v="3"/>
    <x v="1"/>
    <x v="1"/>
    <n v="-179.91"/>
  </r>
  <r>
    <d v="2025-02-13T00:00:00"/>
    <s v="marketing"/>
    <s v="NA"/>
    <x v="0"/>
    <n v="110.96000000000001"/>
    <x v="2"/>
    <x v="0"/>
    <x v="1"/>
    <x v="1"/>
    <n v="-1105.77"/>
  </r>
  <r>
    <d v="2025-02-13T00:00:00"/>
    <s v="net sales:product 1"/>
    <n v="9.99"/>
    <x v="71"/>
    <n v="829.17000000000007"/>
    <x v="3"/>
    <x v="1"/>
    <x v="1"/>
    <x v="1"/>
    <n v="-115.97"/>
  </r>
  <r>
    <d v="2025-02-13T00:00:00"/>
    <s v="net sales:product 2"/>
    <n v="24.99"/>
    <x v="29"/>
    <n v="124.94999999999999"/>
    <x v="3"/>
    <x v="2"/>
    <x v="1"/>
    <x v="1"/>
    <n v="439.56"/>
  </r>
  <r>
    <d v="2025-02-13T00:00:00"/>
    <s v="net sales:product 3"/>
    <n v="12.49"/>
    <x v="185"/>
    <n v="2460.5300000000002"/>
    <x v="3"/>
    <x v="3"/>
    <x v="1"/>
    <x v="1"/>
    <n v="224.91"/>
  </r>
  <r>
    <d v="2025-02-14T00:00:00"/>
    <s v="cogs:product 1"/>
    <n v="5.49"/>
    <x v="7"/>
    <n v="49.410000000000004"/>
    <x v="1"/>
    <x v="1"/>
    <x v="1"/>
    <x v="1"/>
    <n v="1536.27"/>
  </r>
  <r>
    <d v="2025-02-14T00:00:00"/>
    <s v="cogs:product 2"/>
    <n v="19.989999999999998"/>
    <x v="42"/>
    <n v="119.94"/>
    <x v="1"/>
    <x v="2"/>
    <x v="1"/>
    <x v="1"/>
    <n v="-318.42"/>
  </r>
  <r>
    <d v="2025-02-14T00:00:00"/>
    <s v="cogs:product 3"/>
    <n v="8.99"/>
    <x v="48"/>
    <n v="557.38"/>
    <x v="1"/>
    <x v="3"/>
    <x v="1"/>
    <x v="1"/>
    <n v="0"/>
  </r>
  <r>
    <d v="2025-02-14T00:00:00"/>
    <s v="marketing"/>
    <s v="NA"/>
    <x v="0"/>
    <n v="112.01"/>
    <x v="2"/>
    <x v="0"/>
    <x v="1"/>
    <x v="1"/>
    <n v="-1222.6400000000001"/>
  </r>
  <r>
    <d v="2025-02-14T00:00:00"/>
    <s v="net sales:product 1"/>
    <n v="9.99"/>
    <x v="7"/>
    <n v="89.91"/>
    <x v="3"/>
    <x v="1"/>
    <x v="1"/>
    <x v="1"/>
    <n v="-1271.6400000000001"/>
  </r>
  <r>
    <d v="2025-02-14T00:00:00"/>
    <s v="net sales:product 2"/>
    <n v="24.99"/>
    <x v="42"/>
    <n v="149.94"/>
    <x v="3"/>
    <x v="2"/>
    <x v="1"/>
    <x v="1"/>
    <n v="-117.94"/>
  </r>
  <r>
    <d v="2025-02-14T00:00:00"/>
    <s v="net sales:product 3"/>
    <n v="12.49"/>
    <x v="48"/>
    <n v="774.38"/>
    <x v="3"/>
    <x v="3"/>
    <x v="1"/>
    <x v="1"/>
    <n v="579.41999999999996"/>
  </r>
  <r>
    <d v="2025-02-14T00:00:00"/>
    <s v="payroll"/>
    <s v="NA"/>
    <x v="0"/>
    <n v="1200"/>
    <x v="5"/>
    <x v="0"/>
    <x v="1"/>
    <x v="1"/>
    <n v="0"/>
  </r>
  <r>
    <d v="2025-02-15T00:00:00"/>
    <s v="cogs:product 1"/>
    <n v="5.49"/>
    <x v="115"/>
    <n v="417.24"/>
    <x v="1"/>
    <x v="1"/>
    <x v="1"/>
    <x v="1"/>
    <n v="1698.64"/>
  </r>
  <r>
    <d v="2025-02-15T00:00:00"/>
    <s v="cogs:product 2"/>
    <n v="19.989999999999998"/>
    <x v="42"/>
    <n v="119.94"/>
    <x v="1"/>
    <x v="2"/>
    <x v="1"/>
    <x v="1"/>
    <n v="-317.91000000000003"/>
  </r>
  <r>
    <d v="2025-02-15T00:00:00"/>
    <s v="cogs:product 3"/>
    <n v="8.99"/>
    <x v="23"/>
    <n v="0"/>
    <x v="1"/>
    <x v="3"/>
    <x v="1"/>
    <x v="1"/>
    <n v="-76.86"/>
  </r>
  <r>
    <d v="2025-02-15T00:00:00"/>
    <s v="interest"/>
    <s v="NA"/>
    <x v="0"/>
    <n v="1243.76"/>
    <x v="6"/>
    <x v="0"/>
    <x v="1"/>
    <x v="1"/>
    <n v="-99.949999999999989"/>
  </r>
  <r>
    <d v="2025-02-15T00:00:00"/>
    <s v="marketing"/>
    <s v="NA"/>
    <x v="0"/>
    <n v="120.07000000000001"/>
    <x v="2"/>
    <x v="0"/>
    <x v="1"/>
    <x v="1"/>
    <n v="-377.58"/>
  </r>
  <r>
    <d v="2025-02-15T00:00:00"/>
    <s v="net sales:product 1"/>
    <n v="9.99"/>
    <x v="115"/>
    <n v="759.24"/>
    <x v="3"/>
    <x v="1"/>
    <x v="1"/>
    <x v="1"/>
    <n v="-117.9"/>
  </r>
  <r>
    <d v="2025-02-15T00:00:00"/>
    <s v="net sales:product 2"/>
    <n v="24.99"/>
    <x v="42"/>
    <n v="149.94"/>
    <x v="3"/>
    <x v="2"/>
    <x v="1"/>
    <x v="1"/>
    <n v="139.86000000000001"/>
  </r>
  <r>
    <d v="2025-02-15T00:00:00"/>
    <s v="net sales:product 3"/>
    <n v="12.49"/>
    <x v="23"/>
    <n v="0"/>
    <x v="3"/>
    <x v="3"/>
    <x v="1"/>
    <x v="1"/>
    <n v="124.94999999999999"/>
  </r>
  <r>
    <d v="2025-02-15T00:00:00"/>
    <s v="overhead"/>
    <s v="NA"/>
    <x v="0"/>
    <n v="311.98"/>
    <x v="4"/>
    <x v="0"/>
    <x v="1"/>
    <x v="1"/>
    <n v="524.58000000000004"/>
  </r>
  <r>
    <d v="2025-02-16T00:00:00"/>
    <s v="cogs:product 1"/>
    <n v="5.49"/>
    <x v="13"/>
    <n v="38.43"/>
    <x v="1"/>
    <x v="1"/>
    <x v="1"/>
    <x v="1"/>
    <n v="-329.40000000000003"/>
  </r>
  <r>
    <d v="2025-02-16T00:00:00"/>
    <s v="cogs:product 2"/>
    <n v="19.989999999999998"/>
    <x v="42"/>
    <n v="119.94"/>
    <x v="1"/>
    <x v="2"/>
    <x v="1"/>
    <x v="1"/>
    <n v="-99.949999999999989"/>
  </r>
  <r>
    <d v="2025-02-16T00:00:00"/>
    <s v="cogs:product 3"/>
    <n v="8.99"/>
    <x v="47"/>
    <n v="2211.54"/>
    <x v="1"/>
    <x v="3"/>
    <x v="1"/>
    <x v="1"/>
    <n v="-1195.67"/>
  </r>
  <r>
    <d v="2025-02-16T00:00:00"/>
    <s v="marketing"/>
    <s v="NA"/>
    <x v="0"/>
    <n v="112.97"/>
    <x v="2"/>
    <x v="0"/>
    <x v="1"/>
    <x v="1"/>
    <n v="-105.09"/>
  </r>
  <r>
    <d v="2025-02-16T00:00:00"/>
    <s v="net sales:product 1"/>
    <n v="9.99"/>
    <x v="13"/>
    <n v="69.930000000000007"/>
    <x v="3"/>
    <x v="1"/>
    <x v="1"/>
    <x v="1"/>
    <n v="599.4"/>
  </r>
  <r>
    <d v="2025-02-16T00:00:00"/>
    <s v="net sales:product 2"/>
    <n v="24.99"/>
    <x v="42"/>
    <n v="149.94"/>
    <x v="3"/>
    <x v="2"/>
    <x v="1"/>
    <x v="1"/>
    <n v="124.94999999999999"/>
  </r>
  <r>
    <d v="2025-02-16T00:00:00"/>
    <s v="net sales:product 3"/>
    <n v="12.49"/>
    <x v="47"/>
    <n v="3072.54"/>
    <x v="3"/>
    <x v="3"/>
    <x v="1"/>
    <x v="1"/>
    <n v="1661.17"/>
  </r>
  <r>
    <d v="2025-02-17T00:00:00"/>
    <s v="cogs:product 1"/>
    <n v="5.49"/>
    <x v="58"/>
    <n v="230.58"/>
    <x v="1"/>
    <x v="1"/>
    <x v="1"/>
    <x v="1"/>
    <n v="-1200"/>
  </r>
  <r>
    <d v="2025-02-17T00:00:00"/>
    <s v="cogs:product 2"/>
    <n v="19.989999999999998"/>
    <x v="10"/>
    <n v="39.979999999999997"/>
    <x v="1"/>
    <x v="2"/>
    <x v="1"/>
    <x v="1"/>
    <n v="-5.49"/>
  </r>
  <r>
    <d v="2025-02-17T00:00:00"/>
    <s v="cogs:product 3"/>
    <n v="8.99"/>
    <x v="203"/>
    <n v="1717.0900000000001"/>
    <x v="1"/>
    <x v="3"/>
    <x v="1"/>
    <x v="1"/>
    <n v="-159.91999999999999"/>
  </r>
  <r>
    <d v="2025-02-17T00:00:00"/>
    <s v="marketing"/>
    <s v="NA"/>
    <x v="0"/>
    <n v="113.07000000000001"/>
    <x v="2"/>
    <x v="0"/>
    <x v="1"/>
    <x v="1"/>
    <n v="-1411.43"/>
  </r>
  <r>
    <d v="2025-02-17T00:00:00"/>
    <s v="net sales:product 1"/>
    <n v="9.99"/>
    <x v="58"/>
    <n v="419.58"/>
    <x v="3"/>
    <x v="1"/>
    <x v="1"/>
    <x v="1"/>
    <n v="-111"/>
  </r>
  <r>
    <d v="2025-02-17T00:00:00"/>
    <s v="net sales:product 2"/>
    <n v="24.99"/>
    <x v="10"/>
    <n v="49.98"/>
    <x v="3"/>
    <x v="2"/>
    <x v="1"/>
    <x v="1"/>
    <n v="9.99"/>
  </r>
  <r>
    <d v="2025-02-17T00:00:00"/>
    <s v="net sales:product 3"/>
    <n v="12.49"/>
    <x v="203"/>
    <n v="2385.59"/>
    <x v="3"/>
    <x v="3"/>
    <x v="1"/>
    <x v="1"/>
    <n v="199.92"/>
  </r>
  <r>
    <d v="2025-02-18T00:00:00"/>
    <s v="cogs:product 1"/>
    <n v="5.49"/>
    <x v="35"/>
    <n v="104.31"/>
    <x v="1"/>
    <x v="1"/>
    <x v="1"/>
    <x v="1"/>
    <n v="1960.93"/>
  </r>
  <r>
    <d v="2025-02-18T00:00:00"/>
    <s v="cogs:product 2"/>
    <n v="19.989999999999998"/>
    <x v="42"/>
    <n v="119.94"/>
    <x v="1"/>
    <x v="2"/>
    <x v="1"/>
    <x v="1"/>
    <n v="-203.13"/>
  </r>
  <r>
    <d v="2025-02-18T00:00:00"/>
    <s v="cogs:product 3"/>
    <n v="8.99"/>
    <x v="204"/>
    <n v="1438.4"/>
    <x v="1"/>
    <x v="3"/>
    <x v="1"/>
    <x v="1"/>
    <n v="-179.91"/>
  </r>
  <r>
    <d v="2025-02-18T00:00:00"/>
    <s v="marketing"/>
    <s v="NA"/>
    <x v="0"/>
    <n v="114.07000000000001"/>
    <x v="2"/>
    <x v="0"/>
    <x v="1"/>
    <x v="1"/>
    <n v="-1429.41"/>
  </r>
  <r>
    <d v="2025-02-18T00:00:00"/>
    <s v="net sales:product 1"/>
    <n v="9.99"/>
    <x v="35"/>
    <n v="189.81"/>
    <x v="3"/>
    <x v="1"/>
    <x v="1"/>
    <x v="1"/>
    <n v="-107.02"/>
  </r>
  <r>
    <d v="2025-02-18T00:00:00"/>
    <s v="net sales:product 2"/>
    <n v="24.99"/>
    <x v="42"/>
    <n v="149.94"/>
    <x v="3"/>
    <x v="2"/>
    <x v="1"/>
    <x v="1"/>
    <n v="369.63"/>
  </r>
  <r>
    <d v="2025-02-18T00:00:00"/>
    <s v="net sales:product 3"/>
    <n v="12.49"/>
    <x v="204"/>
    <n v="1998.4"/>
    <x v="3"/>
    <x v="3"/>
    <x v="1"/>
    <x v="1"/>
    <n v="224.91"/>
  </r>
  <r>
    <d v="2025-02-19T00:00:00"/>
    <s v="cogs:product 1"/>
    <n v="5.49"/>
    <x v="80"/>
    <n v="236.07000000000002"/>
    <x v="1"/>
    <x v="1"/>
    <x v="1"/>
    <x v="1"/>
    <n v="1985.91"/>
  </r>
  <r>
    <d v="2025-02-19T00:00:00"/>
    <s v="cogs:product 2"/>
    <n v="19.989999999999998"/>
    <x v="13"/>
    <n v="139.92999999999998"/>
    <x v="1"/>
    <x v="2"/>
    <x v="1"/>
    <x v="1"/>
    <n v="-170.19"/>
  </r>
  <r>
    <d v="2025-02-19T00:00:00"/>
    <s v="cogs:product 3"/>
    <n v="8.99"/>
    <x v="205"/>
    <n v="1339.51"/>
    <x v="1"/>
    <x v="3"/>
    <x v="1"/>
    <x v="1"/>
    <n v="-179.91"/>
  </r>
  <r>
    <d v="2025-02-19T00:00:00"/>
    <s v="marketing"/>
    <s v="NA"/>
    <x v="0"/>
    <n v="105.99000000000001"/>
    <x v="2"/>
    <x v="0"/>
    <x v="1"/>
    <x v="1"/>
    <n v="-80.91"/>
  </r>
  <r>
    <d v="2025-02-19T00:00:00"/>
    <s v="net sales:product 1"/>
    <n v="9.99"/>
    <x v="80"/>
    <n v="429.57"/>
    <x v="3"/>
    <x v="1"/>
    <x v="1"/>
    <x v="1"/>
    <n v="-110.91"/>
  </r>
  <r>
    <d v="2025-02-19T00:00:00"/>
    <s v="net sales:product 2"/>
    <n v="24.99"/>
    <x v="13"/>
    <n v="174.92999999999998"/>
    <x v="3"/>
    <x v="2"/>
    <x v="1"/>
    <x v="1"/>
    <n v="309.69"/>
  </r>
  <r>
    <d v="2025-02-19T00:00:00"/>
    <s v="net sales:product 3"/>
    <n v="12.49"/>
    <x v="205"/>
    <n v="1861.01"/>
    <x v="3"/>
    <x v="3"/>
    <x v="1"/>
    <x v="1"/>
    <n v="224.91"/>
  </r>
  <r>
    <d v="2025-02-20T00:00:00"/>
    <s v="cogs:product 1"/>
    <n v="5.49"/>
    <x v="26"/>
    <n v="115.29"/>
    <x v="1"/>
    <x v="1"/>
    <x v="1"/>
    <x v="1"/>
    <n v="112.41"/>
  </r>
  <r>
    <d v="2025-02-20T00:00:00"/>
    <s v="cogs:product 2"/>
    <n v="19.989999999999998"/>
    <x v="19"/>
    <n v="79.959999999999994"/>
    <x v="1"/>
    <x v="2"/>
    <x v="1"/>
    <x v="1"/>
    <n v="-494.1"/>
  </r>
  <r>
    <d v="2025-02-20T00:00:00"/>
    <s v="cogs:product 3"/>
    <n v="8.99"/>
    <x v="148"/>
    <n v="1681.13"/>
    <x v="1"/>
    <x v="3"/>
    <x v="1"/>
    <x v="1"/>
    <n v="-99.949999999999989"/>
  </r>
  <r>
    <d v="2025-02-20T00:00:00"/>
    <s v="marketing"/>
    <s v="NA"/>
    <x v="0"/>
    <n v="107.03"/>
    <x v="2"/>
    <x v="0"/>
    <x v="1"/>
    <x v="1"/>
    <n v="-2130.63"/>
  </r>
  <r>
    <d v="2025-02-20T00:00:00"/>
    <s v="net sales:product 1"/>
    <n v="9.99"/>
    <x v="26"/>
    <n v="209.79"/>
    <x v="3"/>
    <x v="1"/>
    <x v="1"/>
    <x v="1"/>
    <n v="-116.97"/>
  </r>
  <r>
    <d v="2025-02-20T00:00:00"/>
    <s v="net sales:product 2"/>
    <n v="24.99"/>
    <x v="19"/>
    <n v="99.96"/>
    <x v="3"/>
    <x v="2"/>
    <x v="1"/>
    <x v="1"/>
    <n v="899.1"/>
  </r>
  <r>
    <d v="2025-02-20T00:00:00"/>
    <s v="net sales:product 3"/>
    <n v="12.49"/>
    <x v="148"/>
    <n v="2335.63"/>
    <x v="3"/>
    <x v="3"/>
    <x v="1"/>
    <x v="1"/>
    <n v="124.94999999999999"/>
  </r>
  <r>
    <d v="2025-02-21T00:00:00"/>
    <s v="cogs:product 1"/>
    <n v="5.49"/>
    <x v="135"/>
    <n v="164.70000000000002"/>
    <x v="1"/>
    <x v="1"/>
    <x v="1"/>
    <x v="1"/>
    <n v="2960.13"/>
  </r>
  <r>
    <d v="2025-02-21T00:00:00"/>
    <s v="cogs:product 2"/>
    <n v="19.989999999999998"/>
    <x v="13"/>
    <n v="139.92999999999998"/>
    <x v="1"/>
    <x v="2"/>
    <x v="1"/>
    <x v="1"/>
    <n v="-307.44"/>
  </r>
  <r>
    <d v="2025-02-21T00:00:00"/>
    <s v="cogs:product 3"/>
    <n v="8.99"/>
    <x v="206"/>
    <n v="1069.81"/>
    <x v="1"/>
    <x v="3"/>
    <x v="1"/>
    <x v="1"/>
    <n v="0"/>
  </r>
  <r>
    <d v="2025-02-21T00:00:00"/>
    <s v="marketing"/>
    <s v="NA"/>
    <x v="0"/>
    <n v="103.07000000000001"/>
    <x v="2"/>
    <x v="0"/>
    <x v="1"/>
    <x v="1"/>
    <n v="-1663.15"/>
  </r>
  <r>
    <d v="2025-02-21T00:00:00"/>
    <s v="net sales:product 1"/>
    <n v="9.99"/>
    <x v="135"/>
    <n v="299.7"/>
    <x v="3"/>
    <x v="1"/>
    <x v="1"/>
    <x v="1"/>
    <n v="-101.97"/>
  </r>
  <r>
    <d v="2025-02-21T00:00:00"/>
    <s v="net sales:product 2"/>
    <n v="24.99"/>
    <x v="13"/>
    <n v="174.92999999999998"/>
    <x v="3"/>
    <x v="2"/>
    <x v="1"/>
    <x v="1"/>
    <n v="559.44000000000005"/>
  </r>
  <r>
    <d v="2025-02-21T00:00:00"/>
    <s v="net sales:product 3"/>
    <n v="12.49"/>
    <x v="206"/>
    <n v="1486.31"/>
    <x v="3"/>
    <x v="3"/>
    <x v="1"/>
    <x v="1"/>
    <n v="0"/>
  </r>
  <r>
    <d v="2025-02-22T00:00:00"/>
    <s v="cogs:product 1"/>
    <n v="5.49"/>
    <x v="1"/>
    <n v="389.79"/>
    <x v="1"/>
    <x v="1"/>
    <x v="1"/>
    <x v="1"/>
    <n v="2310.65"/>
  </r>
  <r>
    <d v="2025-02-22T00:00:00"/>
    <s v="cogs:product 2"/>
    <n v="19.989999999999998"/>
    <x v="7"/>
    <n v="179.91"/>
    <x v="1"/>
    <x v="2"/>
    <x v="1"/>
    <x v="1"/>
    <n v="-318.42"/>
  </r>
  <r>
    <d v="2025-02-22T00:00:00"/>
    <s v="cogs:product 3"/>
    <n v="8.99"/>
    <x v="168"/>
    <n v="1114.76"/>
    <x v="1"/>
    <x v="3"/>
    <x v="1"/>
    <x v="1"/>
    <n v="-139.92999999999998"/>
  </r>
  <r>
    <d v="2025-02-22T00:00:00"/>
    <s v="marketing"/>
    <s v="NA"/>
    <x v="0"/>
    <n v="117.02"/>
    <x v="2"/>
    <x v="0"/>
    <x v="1"/>
    <x v="1"/>
    <n v="-2094.67"/>
  </r>
  <r>
    <d v="2025-02-22T00:00:00"/>
    <s v="net sales:product 1"/>
    <n v="9.99"/>
    <x v="1"/>
    <n v="709.29"/>
    <x v="3"/>
    <x v="1"/>
    <x v="1"/>
    <x v="1"/>
    <n v="-119.93"/>
  </r>
  <r>
    <d v="2025-02-22T00:00:00"/>
    <s v="net sales:product 2"/>
    <n v="24.99"/>
    <x v="7"/>
    <n v="224.91"/>
    <x v="3"/>
    <x v="2"/>
    <x v="1"/>
    <x v="1"/>
    <n v="579.41999999999996"/>
  </r>
  <r>
    <d v="2025-02-22T00:00:00"/>
    <s v="net sales:product 3"/>
    <n v="12.49"/>
    <x v="168"/>
    <n v="1548.76"/>
    <x v="3"/>
    <x v="3"/>
    <x v="1"/>
    <x v="1"/>
    <n v="174.92999999999998"/>
  </r>
  <r>
    <d v="2025-02-23T00:00:00"/>
    <s v="cogs:product 1"/>
    <n v="5.49"/>
    <x v="117"/>
    <n v="472.14000000000004"/>
    <x v="1"/>
    <x v="1"/>
    <x v="1"/>
    <x v="1"/>
    <n v="2910.17"/>
  </r>
  <r>
    <d v="2025-02-23T00:00:00"/>
    <s v="cogs:product 2"/>
    <n v="19.989999999999998"/>
    <x v="10"/>
    <n v="39.979999999999997"/>
    <x v="1"/>
    <x v="2"/>
    <x v="1"/>
    <x v="1"/>
    <n v="-10.98"/>
  </r>
  <r>
    <d v="2025-02-23T00:00:00"/>
    <s v="cogs:product 3"/>
    <n v="8.99"/>
    <x v="145"/>
    <n v="134.85"/>
    <x v="1"/>
    <x v="3"/>
    <x v="1"/>
    <x v="1"/>
    <n v="0"/>
  </r>
  <r>
    <d v="2025-02-23T00:00:00"/>
    <s v="marketing"/>
    <s v="NA"/>
    <x v="0"/>
    <n v="105.94"/>
    <x v="2"/>
    <x v="0"/>
    <x v="1"/>
    <x v="1"/>
    <n v="-1932.8500000000001"/>
  </r>
  <r>
    <d v="2025-02-23T00:00:00"/>
    <s v="net sales:product 1"/>
    <n v="9.99"/>
    <x v="117"/>
    <n v="859.14"/>
    <x v="3"/>
    <x v="1"/>
    <x v="1"/>
    <x v="1"/>
    <n v="-118.02"/>
  </r>
  <r>
    <d v="2025-02-23T00:00:00"/>
    <s v="net sales:product 2"/>
    <n v="24.99"/>
    <x v="10"/>
    <n v="49.98"/>
    <x v="3"/>
    <x v="2"/>
    <x v="1"/>
    <x v="1"/>
    <n v="19.98"/>
  </r>
  <r>
    <d v="2025-02-23T00:00:00"/>
    <s v="net sales:product 3"/>
    <n v="12.49"/>
    <x v="145"/>
    <n v="187.35"/>
    <x v="3"/>
    <x v="3"/>
    <x v="1"/>
    <x v="1"/>
    <n v="0"/>
  </r>
  <r>
    <d v="2025-02-24T00:00:00"/>
    <s v="cogs:product 1"/>
    <n v="5.49"/>
    <x v="85"/>
    <n v="192.15"/>
    <x v="1"/>
    <x v="1"/>
    <x v="1"/>
    <x v="1"/>
    <n v="2685.35"/>
  </r>
  <r>
    <d v="2025-02-24T00:00:00"/>
    <s v="cogs:product 2"/>
    <n v="19.989999999999998"/>
    <x v="29"/>
    <n v="99.949999999999989"/>
    <x v="1"/>
    <x v="2"/>
    <x v="1"/>
    <x v="1"/>
    <n v="-384.3"/>
  </r>
  <r>
    <d v="2025-02-24T00:00:00"/>
    <s v="cogs:product 3"/>
    <n v="8.99"/>
    <x v="197"/>
    <n v="1357.49"/>
    <x v="1"/>
    <x v="3"/>
    <x v="1"/>
    <x v="1"/>
    <n v="-19.989999999999998"/>
  </r>
  <r>
    <d v="2025-02-24T00:00:00"/>
    <s v="marketing"/>
    <s v="NA"/>
    <x v="0"/>
    <n v="117.94"/>
    <x v="2"/>
    <x v="0"/>
    <x v="1"/>
    <x v="1"/>
    <n v="-71.92"/>
  </r>
  <r>
    <d v="2025-02-24T00:00:00"/>
    <s v="net sales:product 1"/>
    <n v="9.99"/>
    <x v="85"/>
    <n v="349.65000000000003"/>
    <x v="3"/>
    <x v="1"/>
    <x v="1"/>
    <x v="1"/>
    <n v="-116.06"/>
  </r>
  <r>
    <d v="2025-02-24T00:00:00"/>
    <s v="net sales:product 2"/>
    <n v="24.99"/>
    <x v="29"/>
    <n v="124.94999999999999"/>
    <x v="3"/>
    <x v="2"/>
    <x v="1"/>
    <x v="1"/>
    <n v="699.30000000000007"/>
  </r>
  <r>
    <d v="2025-02-24T00:00:00"/>
    <s v="net sales:product 3"/>
    <n v="12.49"/>
    <x v="197"/>
    <n v="1885.99"/>
    <x v="3"/>
    <x v="3"/>
    <x v="1"/>
    <x v="1"/>
    <n v="24.99"/>
  </r>
  <r>
    <d v="2025-02-25T00:00:00"/>
    <s v="cogs:product 1"/>
    <n v="5.49"/>
    <x v="124"/>
    <n v="186.66"/>
    <x v="1"/>
    <x v="1"/>
    <x v="1"/>
    <x v="1"/>
    <n v="99.92"/>
  </r>
  <r>
    <d v="2025-02-25T00:00:00"/>
    <s v="cogs:product 2"/>
    <n v="19.989999999999998"/>
    <x v="23"/>
    <n v="0"/>
    <x v="1"/>
    <x v="2"/>
    <x v="1"/>
    <x v="1"/>
    <n v="-488.61"/>
  </r>
  <r>
    <d v="2025-02-25T00:00:00"/>
    <s v="cogs:product 3"/>
    <n v="8.99"/>
    <x v="3"/>
    <n v="701.22"/>
    <x v="1"/>
    <x v="3"/>
    <x v="1"/>
    <x v="1"/>
    <n v="-179.91"/>
  </r>
  <r>
    <d v="2025-02-25T00:00:00"/>
    <s v="marketing"/>
    <s v="NA"/>
    <x v="0"/>
    <n v="106.03"/>
    <x v="2"/>
    <x v="0"/>
    <x v="1"/>
    <x v="1"/>
    <n v="-1636.18"/>
  </r>
  <r>
    <d v="2025-02-25T00:00:00"/>
    <s v="net sales:product 1"/>
    <n v="9.99"/>
    <x v="124"/>
    <n v="339.66"/>
    <x v="3"/>
    <x v="1"/>
    <x v="1"/>
    <x v="1"/>
    <n v="-114.95"/>
  </r>
  <r>
    <d v="2025-02-25T00:00:00"/>
    <s v="net sales:product 2"/>
    <n v="24.99"/>
    <x v="23"/>
    <n v="0"/>
    <x v="3"/>
    <x v="2"/>
    <x v="1"/>
    <x v="1"/>
    <n v="889.11"/>
  </r>
  <r>
    <d v="2025-02-25T00:00:00"/>
    <s v="net sales:product 3"/>
    <n v="12.49"/>
    <x v="3"/>
    <n v="974.22"/>
    <x v="3"/>
    <x v="3"/>
    <x v="1"/>
    <x v="1"/>
    <n v="224.91"/>
  </r>
  <r>
    <d v="2025-02-26T00:00:00"/>
    <s v="cogs:product 1"/>
    <n v="5.49"/>
    <x v="54"/>
    <n v="241.56"/>
    <x v="1"/>
    <x v="1"/>
    <x v="1"/>
    <x v="1"/>
    <n v="2273.1799999999998"/>
  </r>
  <r>
    <d v="2025-02-26T00:00:00"/>
    <s v="cogs:product 2"/>
    <n v="19.989999999999998"/>
    <x v="13"/>
    <n v="139.92999999999998"/>
    <x v="1"/>
    <x v="2"/>
    <x v="1"/>
    <x v="1"/>
    <n v="-175.68"/>
  </r>
  <r>
    <d v="2025-02-26T00:00:00"/>
    <s v="cogs:product 3"/>
    <n v="8.99"/>
    <x v="183"/>
    <n v="1042.8399999999999"/>
    <x v="1"/>
    <x v="3"/>
    <x v="1"/>
    <x v="1"/>
    <n v="0"/>
  </r>
  <r>
    <d v="2025-02-26T00:00:00"/>
    <s v="marketing"/>
    <s v="NA"/>
    <x v="0"/>
    <n v="116.02"/>
    <x v="2"/>
    <x v="0"/>
    <x v="1"/>
    <x v="1"/>
    <n v="-152.83000000000001"/>
  </r>
  <r>
    <d v="2025-02-26T00:00:00"/>
    <s v="net sales:product 1"/>
    <n v="9.99"/>
    <x v="54"/>
    <n v="439.56"/>
    <x v="3"/>
    <x v="1"/>
    <x v="1"/>
    <x v="1"/>
    <n v="-107.94"/>
  </r>
  <r>
    <d v="2025-02-26T00:00:00"/>
    <s v="net sales:product 2"/>
    <n v="24.99"/>
    <x v="13"/>
    <n v="174.92999999999998"/>
    <x v="3"/>
    <x v="2"/>
    <x v="1"/>
    <x v="1"/>
    <n v="319.68"/>
  </r>
  <r>
    <d v="2025-02-26T00:00:00"/>
    <s v="net sales:product 3"/>
    <n v="12.49"/>
    <x v="183"/>
    <n v="1448.84"/>
    <x v="3"/>
    <x v="3"/>
    <x v="1"/>
    <x v="1"/>
    <n v="0"/>
  </r>
  <r>
    <d v="2025-02-27T00:00:00"/>
    <s v="cogs:product 1"/>
    <n v="5.49"/>
    <x v="66"/>
    <n v="258.03000000000003"/>
    <x v="1"/>
    <x v="1"/>
    <x v="1"/>
    <x v="1"/>
    <n v="212.33"/>
  </r>
  <r>
    <d v="2025-02-27T00:00:00"/>
    <s v="cogs:product 2"/>
    <n v="19.989999999999998"/>
    <x v="2"/>
    <n v="59.97"/>
    <x v="1"/>
    <x v="2"/>
    <x v="1"/>
    <x v="1"/>
    <n v="-290.97000000000003"/>
  </r>
  <r>
    <d v="2025-02-27T00:00:00"/>
    <s v="cogs:product 3"/>
    <n v="8.99"/>
    <x v="23"/>
    <n v="0"/>
    <x v="1"/>
    <x v="3"/>
    <x v="1"/>
    <x v="1"/>
    <n v="0"/>
  </r>
  <r>
    <d v="2025-02-27T00:00:00"/>
    <s v="marketing"/>
    <s v="NA"/>
    <x v="0"/>
    <n v="108.91"/>
    <x v="2"/>
    <x v="0"/>
    <x v="1"/>
    <x v="1"/>
    <n v="0"/>
  </r>
  <r>
    <d v="2025-02-27T00:00:00"/>
    <s v="net sales:product 1"/>
    <n v="9.99"/>
    <x v="66"/>
    <n v="469.53000000000003"/>
    <x v="3"/>
    <x v="1"/>
    <x v="1"/>
    <x v="1"/>
    <n v="-110.95"/>
  </r>
  <r>
    <d v="2025-02-27T00:00:00"/>
    <s v="net sales:product 2"/>
    <n v="24.99"/>
    <x v="2"/>
    <n v="74.97"/>
    <x v="3"/>
    <x v="2"/>
    <x v="1"/>
    <x v="1"/>
    <n v="529.47"/>
  </r>
  <r>
    <d v="2025-02-27T00:00:00"/>
    <s v="net sales:product 3"/>
    <n v="12.49"/>
    <x v="23"/>
    <n v="0"/>
    <x v="3"/>
    <x v="3"/>
    <x v="1"/>
    <x v="1"/>
    <n v="0"/>
  </r>
  <r>
    <d v="2025-02-28T00:00:00"/>
    <s v="cogs:product 1"/>
    <n v="5.49"/>
    <x v="86"/>
    <n v="153.72"/>
    <x v="1"/>
    <x v="1"/>
    <x v="1"/>
    <x v="1"/>
    <n v="0"/>
  </r>
  <r>
    <d v="2025-02-28T00:00:00"/>
    <s v="cogs:product 2"/>
    <n v="19.989999999999998"/>
    <x v="23"/>
    <n v="0"/>
    <x v="1"/>
    <x v="2"/>
    <x v="1"/>
    <x v="1"/>
    <n v="-252.54000000000002"/>
  </r>
  <r>
    <d v="2025-02-28T00:00:00"/>
    <s v="cogs:product 3"/>
    <n v="8.99"/>
    <x v="92"/>
    <n v="476.47"/>
    <x v="1"/>
    <x v="3"/>
    <x v="1"/>
    <x v="1"/>
    <n v="-79.959999999999994"/>
  </r>
  <r>
    <d v="2025-02-28T00:00:00"/>
    <s v="marketing"/>
    <s v="NA"/>
    <x v="0"/>
    <n v="106.04"/>
    <x v="2"/>
    <x v="0"/>
    <x v="1"/>
    <x v="1"/>
    <n v="-1699.1100000000001"/>
  </r>
  <r>
    <d v="2025-02-28T00:00:00"/>
    <s v="net sales:product 1"/>
    <n v="9.99"/>
    <x v="86"/>
    <n v="279.72000000000003"/>
    <x v="3"/>
    <x v="1"/>
    <x v="1"/>
    <x v="1"/>
    <n v="-107.03"/>
  </r>
  <r>
    <d v="2025-02-28T00:00:00"/>
    <s v="net sales:product 2"/>
    <n v="24.99"/>
    <x v="23"/>
    <n v="0"/>
    <x v="3"/>
    <x v="2"/>
    <x v="1"/>
    <x v="1"/>
    <n v="459.54"/>
  </r>
  <r>
    <d v="2025-02-28T00:00:00"/>
    <s v="net sales:product 3"/>
    <n v="12.49"/>
    <x v="92"/>
    <n v="661.97"/>
    <x v="3"/>
    <x v="3"/>
    <x v="1"/>
    <x v="1"/>
    <n v="99.96"/>
  </r>
  <r>
    <d v="2025-02-28T00:00:00"/>
    <s v="payroll"/>
    <s v="NA"/>
    <x v="0"/>
    <n v="1200"/>
    <x v="5"/>
    <x v="0"/>
    <x v="1"/>
    <x v="1"/>
    <n v="2360.61"/>
  </r>
  <r>
    <d v="2025-03-01T00:00:00"/>
    <s v="amortization"/>
    <s v="NA"/>
    <x v="0"/>
    <n v="50"/>
    <x v="0"/>
    <x v="0"/>
    <x v="1"/>
    <x v="2"/>
    <n v="-38.43"/>
  </r>
  <r>
    <d v="2025-03-01T00:00:00"/>
    <s v="cogs:product 1"/>
    <n v="5.49"/>
    <x v="158"/>
    <n v="395.28000000000003"/>
    <x v="1"/>
    <x v="1"/>
    <x v="1"/>
    <x v="2"/>
    <n v="-119.94"/>
  </r>
  <r>
    <d v="2025-03-01T00:00:00"/>
    <s v="cogs:product 2"/>
    <n v="19.989999999999998"/>
    <x v="25"/>
    <n v="19.989999999999998"/>
    <x v="1"/>
    <x v="2"/>
    <x v="1"/>
    <x v="2"/>
    <n v="-143.84"/>
  </r>
  <r>
    <d v="2025-03-01T00:00:00"/>
    <s v="cogs:product 3"/>
    <n v="8.99"/>
    <x v="56"/>
    <n v="782.13"/>
    <x v="1"/>
    <x v="3"/>
    <x v="1"/>
    <x v="2"/>
    <n v="-107.97"/>
  </r>
  <r>
    <d v="2025-03-01T00:00:00"/>
    <s v="marketing"/>
    <s v="NA"/>
    <x v="0"/>
    <n v="112.05"/>
    <x v="2"/>
    <x v="0"/>
    <x v="1"/>
    <x v="2"/>
    <n v="69.930000000000007"/>
  </r>
  <r>
    <d v="2025-03-01T00:00:00"/>
    <s v="net sales:product 1"/>
    <n v="9.99"/>
    <x v="158"/>
    <n v="719.28"/>
    <x v="3"/>
    <x v="1"/>
    <x v="1"/>
    <x v="2"/>
    <n v="149.94"/>
  </r>
  <r>
    <d v="2025-03-01T00:00:00"/>
    <s v="net sales:product 2"/>
    <n v="24.99"/>
    <x v="25"/>
    <n v="24.99"/>
    <x v="3"/>
    <x v="2"/>
    <x v="1"/>
    <x v="2"/>
    <n v="199.84"/>
  </r>
  <r>
    <d v="2025-03-01T00:00:00"/>
    <s v="net sales:product 3"/>
    <n v="12.49"/>
    <x v="56"/>
    <n v="1086.6300000000001"/>
    <x v="3"/>
    <x v="3"/>
    <x v="1"/>
    <x v="2"/>
    <n v="-296.46000000000004"/>
  </r>
  <r>
    <d v="2025-03-01T00:00:00"/>
    <s v="overhead"/>
    <s v="NA"/>
    <x v="0"/>
    <n v="2000"/>
    <x v="4"/>
    <x v="0"/>
    <x v="1"/>
    <x v="2"/>
    <n v="-119.94"/>
  </r>
  <r>
    <d v="2025-03-02T00:00:00"/>
    <s v="cogs:product 1"/>
    <n v="5.49"/>
    <x v="100"/>
    <n v="483.12"/>
    <x v="1"/>
    <x v="1"/>
    <x v="1"/>
    <x v="2"/>
    <n v="-575.36"/>
  </r>
  <r>
    <d v="2025-03-02T00:00:00"/>
    <s v="cogs:product 2"/>
    <n v="19.989999999999998"/>
    <x v="19"/>
    <n v="79.959999999999994"/>
    <x v="1"/>
    <x v="2"/>
    <x v="1"/>
    <x v="2"/>
    <n v="-116.05"/>
  </r>
  <r>
    <d v="2025-03-02T00:00:00"/>
    <s v="cogs:product 3"/>
    <n v="8.99"/>
    <x v="207"/>
    <n v="1330.52"/>
    <x v="1"/>
    <x v="3"/>
    <x v="1"/>
    <x v="2"/>
    <n v="539.46"/>
  </r>
  <r>
    <d v="2025-03-02T00:00:00"/>
    <s v="marketing"/>
    <s v="NA"/>
    <x v="0"/>
    <n v="112.08"/>
    <x v="2"/>
    <x v="0"/>
    <x v="1"/>
    <x v="2"/>
    <n v="149.94"/>
  </r>
  <r>
    <d v="2025-03-02T00:00:00"/>
    <s v="net sales:product 1"/>
    <n v="9.99"/>
    <x v="100"/>
    <n v="879.12"/>
    <x v="3"/>
    <x v="1"/>
    <x v="1"/>
    <x v="2"/>
    <n v="799.36"/>
  </r>
  <r>
    <d v="2025-03-02T00:00:00"/>
    <s v="net sales:product 2"/>
    <n v="24.99"/>
    <x v="19"/>
    <n v="99.96"/>
    <x v="3"/>
    <x v="2"/>
    <x v="1"/>
    <x v="2"/>
    <n v="-1200"/>
  </r>
  <r>
    <d v="2025-03-02T00:00:00"/>
    <s v="net sales:product 3"/>
    <n v="12.49"/>
    <x v="207"/>
    <n v="1848.52"/>
    <x v="3"/>
    <x v="3"/>
    <x v="1"/>
    <x v="2"/>
    <n v="0"/>
  </r>
  <r>
    <d v="2025-03-03T00:00:00"/>
    <s v="cogs:product 1"/>
    <n v="5.49"/>
    <x v="128"/>
    <n v="225.09"/>
    <x v="1"/>
    <x v="1"/>
    <x v="1"/>
    <x v="2"/>
    <n v="-126.27000000000001"/>
  </r>
  <r>
    <d v="2025-03-03T00:00:00"/>
    <s v="cogs:product 2"/>
    <n v="19.989999999999998"/>
    <x v="25"/>
    <n v="19.989999999999998"/>
    <x v="1"/>
    <x v="2"/>
    <x v="1"/>
    <x v="2"/>
    <n v="-179.91"/>
  </r>
  <r>
    <d v="2025-03-03T00:00:00"/>
    <s v="cogs:product 3"/>
    <n v="8.99"/>
    <x v="4"/>
    <n v="584.35"/>
    <x v="1"/>
    <x v="3"/>
    <x v="1"/>
    <x v="2"/>
    <n v="-800.11"/>
  </r>
  <r>
    <d v="2025-03-03T00:00:00"/>
    <s v="marketing"/>
    <s v="NA"/>
    <x v="0"/>
    <n v="113.94"/>
    <x v="2"/>
    <x v="0"/>
    <x v="1"/>
    <x v="2"/>
    <n v="-112.02"/>
  </r>
  <r>
    <d v="2025-03-03T00:00:00"/>
    <s v="net sales:product 1"/>
    <n v="9.99"/>
    <x v="128"/>
    <n v="409.59000000000003"/>
    <x v="3"/>
    <x v="1"/>
    <x v="1"/>
    <x v="2"/>
    <n v="229.77"/>
  </r>
  <r>
    <d v="2025-03-03T00:00:00"/>
    <s v="net sales:product 2"/>
    <n v="24.99"/>
    <x v="25"/>
    <n v="24.99"/>
    <x v="3"/>
    <x v="2"/>
    <x v="1"/>
    <x v="2"/>
    <n v="224.91"/>
  </r>
  <r>
    <d v="2025-03-03T00:00:00"/>
    <s v="net sales:product 3"/>
    <n v="12.49"/>
    <x v="4"/>
    <n v="811.85"/>
    <x v="3"/>
    <x v="3"/>
    <x v="1"/>
    <x v="2"/>
    <n v="1111.6100000000001"/>
  </r>
  <r>
    <d v="2025-03-04T00:00:00"/>
    <s v="cogs:product 1"/>
    <n v="5.49"/>
    <x v="2"/>
    <n v="16.47"/>
    <x v="1"/>
    <x v="1"/>
    <x v="1"/>
    <x v="2"/>
    <n v="-2000"/>
  </r>
  <r>
    <d v="2025-03-04T00:00:00"/>
    <s v="cogs:product 2"/>
    <n v="19.989999999999998"/>
    <x v="2"/>
    <n v="59.97"/>
    <x v="1"/>
    <x v="2"/>
    <x v="1"/>
    <x v="2"/>
    <n v="-450.18"/>
  </r>
  <r>
    <d v="2025-03-04T00:00:00"/>
    <s v="cogs:product 3"/>
    <n v="8.99"/>
    <x v="23"/>
    <n v="0"/>
    <x v="1"/>
    <x v="3"/>
    <x v="1"/>
    <x v="2"/>
    <n v="0"/>
  </r>
  <r>
    <d v="2025-03-04T00:00:00"/>
    <s v="marketing"/>
    <s v="NA"/>
    <x v="0"/>
    <n v="114.07000000000001"/>
    <x v="2"/>
    <x v="0"/>
    <x v="1"/>
    <x v="2"/>
    <n v="-1303.55"/>
  </r>
  <r>
    <d v="2025-03-04T00:00:00"/>
    <s v="net sales:product 1"/>
    <n v="9.99"/>
    <x v="2"/>
    <n v="29.97"/>
    <x v="3"/>
    <x v="1"/>
    <x v="1"/>
    <x v="2"/>
    <n v="-102.07000000000001"/>
  </r>
  <r>
    <d v="2025-03-04T00:00:00"/>
    <s v="net sales:product 2"/>
    <n v="24.99"/>
    <x v="2"/>
    <n v="74.97"/>
    <x v="3"/>
    <x v="2"/>
    <x v="1"/>
    <x v="2"/>
    <n v="819.18000000000006"/>
  </r>
  <r>
    <d v="2025-03-04T00:00:00"/>
    <s v="net sales:product 3"/>
    <n v="12.49"/>
    <x v="23"/>
    <n v="0"/>
    <x v="3"/>
    <x v="3"/>
    <x v="1"/>
    <x v="2"/>
    <n v="0"/>
  </r>
  <r>
    <d v="2025-03-05T00:00:00"/>
    <s v="cogs:product 1"/>
    <n v="5.49"/>
    <x v="83"/>
    <n v="252.54000000000002"/>
    <x v="1"/>
    <x v="1"/>
    <x v="1"/>
    <x v="2"/>
    <n v="1811.05"/>
  </r>
  <r>
    <d v="2025-03-05T00:00:00"/>
    <s v="cogs:product 2"/>
    <n v="19.989999999999998"/>
    <x v="25"/>
    <n v="19.989999999999998"/>
    <x v="1"/>
    <x v="2"/>
    <x v="1"/>
    <x v="2"/>
    <n v="-208.62"/>
  </r>
  <r>
    <d v="2025-03-05T00:00:00"/>
    <s v="cogs:product 3"/>
    <n v="8.99"/>
    <x v="5"/>
    <n v="2031.74"/>
    <x v="1"/>
    <x v="3"/>
    <x v="1"/>
    <x v="2"/>
    <n v="0"/>
  </r>
  <r>
    <d v="2025-03-05T00:00:00"/>
    <s v="marketing"/>
    <s v="NA"/>
    <x v="0"/>
    <n v="101.95"/>
    <x v="2"/>
    <x v="0"/>
    <x v="1"/>
    <x v="2"/>
    <n v="-854.05000000000007"/>
  </r>
  <r>
    <d v="2025-03-05T00:00:00"/>
    <s v="net sales:product 1"/>
    <n v="9.99"/>
    <x v="83"/>
    <n v="459.54"/>
    <x v="3"/>
    <x v="1"/>
    <x v="1"/>
    <x v="2"/>
    <n v="-107.09"/>
  </r>
  <r>
    <d v="2025-03-05T00:00:00"/>
    <s v="net sales:product 2"/>
    <n v="24.99"/>
    <x v="25"/>
    <n v="24.99"/>
    <x v="3"/>
    <x v="2"/>
    <x v="1"/>
    <x v="2"/>
    <n v="379.62"/>
  </r>
  <r>
    <d v="2025-03-05T00:00:00"/>
    <s v="net sales:product 3"/>
    <n v="12.49"/>
    <x v="5"/>
    <n v="2822.7400000000002"/>
    <x v="3"/>
    <x v="3"/>
    <x v="1"/>
    <x v="2"/>
    <n v="0"/>
  </r>
  <r>
    <d v="2025-03-06T00:00:00"/>
    <s v="cogs:product 1"/>
    <n v="5.49"/>
    <x v="50"/>
    <n v="494.1"/>
    <x v="1"/>
    <x v="1"/>
    <x v="1"/>
    <x v="2"/>
    <n v="1186.55"/>
  </r>
  <r>
    <d v="2025-03-06T00:00:00"/>
    <s v="cogs:product 2"/>
    <n v="19.989999999999998"/>
    <x v="25"/>
    <n v="19.989999999999998"/>
    <x v="1"/>
    <x v="2"/>
    <x v="1"/>
    <x v="2"/>
    <n v="-65.88"/>
  </r>
  <r>
    <d v="2025-03-06T00:00:00"/>
    <s v="cogs:product 3"/>
    <n v="8.99"/>
    <x v="10"/>
    <n v="17.98"/>
    <x v="1"/>
    <x v="3"/>
    <x v="1"/>
    <x v="2"/>
    <n v="-59.97"/>
  </r>
  <r>
    <d v="2025-03-06T00:00:00"/>
    <s v="marketing"/>
    <s v="NA"/>
    <x v="0"/>
    <n v="109.93"/>
    <x v="2"/>
    <x v="0"/>
    <x v="1"/>
    <x v="2"/>
    <n v="-449.5"/>
  </r>
  <r>
    <d v="2025-03-06T00:00:00"/>
    <s v="net sales:product 1"/>
    <n v="9.99"/>
    <x v="50"/>
    <n v="899.1"/>
    <x v="3"/>
    <x v="1"/>
    <x v="1"/>
    <x v="2"/>
    <n v="-113.92"/>
  </r>
  <r>
    <d v="2025-03-06T00:00:00"/>
    <s v="net sales:product 2"/>
    <n v="24.99"/>
    <x v="25"/>
    <n v="24.99"/>
    <x v="3"/>
    <x v="2"/>
    <x v="1"/>
    <x v="2"/>
    <n v="119.88"/>
  </r>
  <r>
    <d v="2025-03-06T00:00:00"/>
    <s v="net sales:product 3"/>
    <n v="12.49"/>
    <x v="10"/>
    <n v="24.98"/>
    <x v="3"/>
    <x v="3"/>
    <x v="1"/>
    <x v="2"/>
    <n v="74.97"/>
  </r>
  <r>
    <d v="2025-03-07T00:00:00"/>
    <s v="cogs:product 1"/>
    <n v="5.49"/>
    <x v="119"/>
    <n v="269.01"/>
    <x v="1"/>
    <x v="1"/>
    <x v="1"/>
    <x v="2"/>
    <n v="624.5"/>
  </r>
  <r>
    <d v="2025-03-07T00:00:00"/>
    <s v="cogs:product 2"/>
    <n v="19.989999999999998"/>
    <x v="29"/>
    <n v="99.949999999999989"/>
    <x v="1"/>
    <x v="2"/>
    <x v="1"/>
    <x v="2"/>
    <n v="-301.95"/>
  </r>
  <r>
    <d v="2025-03-07T00:00:00"/>
    <s v="cogs:product 3"/>
    <n v="8.99"/>
    <x v="54"/>
    <n v="395.56"/>
    <x v="1"/>
    <x v="3"/>
    <x v="1"/>
    <x v="2"/>
    <n v="-119.94"/>
  </r>
  <r>
    <d v="2025-03-07T00:00:00"/>
    <s v="marketing"/>
    <s v="NA"/>
    <x v="0"/>
    <n v="102.91"/>
    <x v="2"/>
    <x v="0"/>
    <x v="1"/>
    <x v="2"/>
    <n v="-17.98"/>
  </r>
  <r>
    <d v="2025-03-07T00:00:00"/>
    <s v="net sales:product 1"/>
    <n v="9.99"/>
    <x v="119"/>
    <n v="489.51"/>
    <x v="3"/>
    <x v="1"/>
    <x v="1"/>
    <x v="2"/>
    <n v="-104.04"/>
  </r>
  <r>
    <d v="2025-03-07T00:00:00"/>
    <s v="net sales:product 2"/>
    <n v="24.99"/>
    <x v="29"/>
    <n v="124.94999999999999"/>
    <x v="3"/>
    <x v="2"/>
    <x v="1"/>
    <x v="2"/>
    <n v="549.45000000000005"/>
  </r>
  <r>
    <d v="2025-03-07T00:00:00"/>
    <s v="net sales:product 3"/>
    <n v="12.49"/>
    <x v="54"/>
    <n v="549.56000000000006"/>
    <x v="3"/>
    <x v="3"/>
    <x v="1"/>
    <x v="2"/>
    <n v="149.94"/>
  </r>
  <r>
    <d v="2025-03-08T00:00:00"/>
    <s v="cogs:product 1"/>
    <n v="5.49"/>
    <x v="122"/>
    <n v="142.74"/>
    <x v="1"/>
    <x v="1"/>
    <x v="1"/>
    <x v="2"/>
    <n v="24.98"/>
  </r>
  <r>
    <d v="2025-03-08T00:00:00"/>
    <s v="cogs:product 2"/>
    <n v="19.989999999999998"/>
    <x v="10"/>
    <n v="39.979999999999997"/>
    <x v="1"/>
    <x v="2"/>
    <x v="1"/>
    <x v="2"/>
    <n v="-208.62"/>
  </r>
  <r>
    <d v="2025-03-08T00:00:00"/>
    <s v="cogs:product 3"/>
    <n v="8.99"/>
    <x v="208"/>
    <n v="961.93000000000006"/>
    <x v="1"/>
    <x v="3"/>
    <x v="1"/>
    <x v="2"/>
    <n v="-159.91999999999999"/>
  </r>
  <r>
    <d v="2025-03-08T00:00:00"/>
    <s v="marketing"/>
    <s v="NA"/>
    <x v="0"/>
    <n v="103.08"/>
    <x v="2"/>
    <x v="0"/>
    <x v="1"/>
    <x v="2"/>
    <n v="-1833.96"/>
  </r>
  <r>
    <d v="2025-03-08T00:00:00"/>
    <s v="net sales:product 1"/>
    <n v="9.99"/>
    <x v="122"/>
    <n v="259.74"/>
    <x v="3"/>
    <x v="1"/>
    <x v="1"/>
    <x v="2"/>
    <n v="-111.9"/>
  </r>
  <r>
    <d v="2025-03-08T00:00:00"/>
    <s v="net sales:product 2"/>
    <n v="24.99"/>
    <x v="10"/>
    <n v="49.98"/>
    <x v="3"/>
    <x v="2"/>
    <x v="1"/>
    <x v="2"/>
    <n v="379.62"/>
  </r>
  <r>
    <d v="2025-03-08T00:00:00"/>
    <s v="net sales:product 3"/>
    <n v="12.49"/>
    <x v="208"/>
    <n v="1336.43"/>
    <x v="3"/>
    <x v="3"/>
    <x v="1"/>
    <x v="2"/>
    <n v="199.92"/>
  </r>
  <r>
    <d v="2025-03-09T00:00:00"/>
    <s v="cogs:product 1"/>
    <n v="5.49"/>
    <x v="12"/>
    <n v="400.77000000000004"/>
    <x v="1"/>
    <x v="1"/>
    <x v="1"/>
    <x v="2"/>
    <n v="2547.96"/>
  </r>
  <r>
    <d v="2025-03-09T00:00:00"/>
    <s v="cogs:product 2"/>
    <n v="19.989999999999998"/>
    <x v="23"/>
    <n v="0"/>
    <x v="1"/>
    <x v="2"/>
    <x v="1"/>
    <x v="2"/>
    <n v="-43.92"/>
  </r>
  <r>
    <d v="2025-03-09T00:00:00"/>
    <s v="cogs:product 3"/>
    <n v="8.99"/>
    <x v="76"/>
    <n v="665.26"/>
    <x v="1"/>
    <x v="3"/>
    <x v="1"/>
    <x v="2"/>
    <n v="-59.97"/>
  </r>
  <r>
    <d v="2025-03-09T00:00:00"/>
    <s v="marketing"/>
    <s v="NA"/>
    <x v="0"/>
    <n v="112.08"/>
    <x v="2"/>
    <x v="0"/>
    <x v="1"/>
    <x v="2"/>
    <n v="-503.44"/>
  </r>
  <r>
    <d v="2025-03-09T00:00:00"/>
    <s v="net sales:product 1"/>
    <n v="9.99"/>
    <x v="12"/>
    <n v="729.27"/>
    <x v="3"/>
    <x v="1"/>
    <x v="1"/>
    <x v="2"/>
    <n v="-100.9"/>
  </r>
  <r>
    <d v="2025-03-09T00:00:00"/>
    <s v="net sales:product 2"/>
    <n v="24.99"/>
    <x v="23"/>
    <n v="0"/>
    <x v="3"/>
    <x v="2"/>
    <x v="1"/>
    <x v="2"/>
    <n v="79.92"/>
  </r>
  <r>
    <d v="2025-03-09T00:00:00"/>
    <s v="net sales:product 3"/>
    <n v="12.49"/>
    <x v="76"/>
    <n v="924.26"/>
    <x v="3"/>
    <x v="3"/>
    <x v="1"/>
    <x v="2"/>
    <n v="74.97"/>
  </r>
  <r>
    <d v="2025-03-10T00:00:00"/>
    <s v="cogs:product 1"/>
    <n v="5.49"/>
    <x v="158"/>
    <n v="395.28000000000003"/>
    <x v="1"/>
    <x v="1"/>
    <x v="1"/>
    <x v="2"/>
    <n v="699.44"/>
  </r>
  <r>
    <d v="2025-03-10T00:00:00"/>
    <s v="cogs:product 2"/>
    <n v="19.989999999999998"/>
    <x v="2"/>
    <n v="59.97"/>
    <x v="1"/>
    <x v="2"/>
    <x v="1"/>
    <x v="2"/>
    <n v="-27.450000000000003"/>
  </r>
  <r>
    <d v="2025-03-10T00:00:00"/>
    <s v="cogs:product 3"/>
    <n v="8.99"/>
    <x v="24"/>
    <n v="890.01"/>
    <x v="1"/>
    <x v="3"/>
    <x v="1"/>
    <x v="2"/>
    <n v="-159.91999999999999"/>
  </r>
  <r>
    <d v="2025-03-10T00:00:00"/>
    <s v="marketing"/>
    <s v="NA"/>
    <x v="0"/>
    <n v="120.05"/>
    <x v="2"/>
    <x v="0"/>
    <x v="1"/>
    <x v="2"/>
    <n v="-1519.31"/>
  </r>
  <r>
    <d v="2025-03-10T00:00:00"/>
    <s v="net sales:product 1"/>
    <n v="9.99"/>
    <x v="158"/>
    <n v="719.28"/>
    <x v="3"/>
    <x v="1"/>
    <x v="1"/>
    <x v="2"/>
    <n v="-102.99000000000001"/>
  </r>
  <r>
    <d v="2025-03-10T00:00:00"/>
    <s v="net sales:product 2"/>
    <n v="24.99"/>
    <x v="2"/>
    <n v="74.97"/>
    <x v="3"/>
    <x v="2"/>
    <x v="1"/>
    <x v="2"/>
    <n v="49.95"/>
  </r>
  <r>
    <d v="2025-03-10T00:00:00"/>
    <s v="net sales:product 3"/>
    <n v="12.49"/>
    <x v="24"/>
    <n v="1236.51"/>
    <x v="3"/>
    <x v="3"/>
    <x v="1"/>
    <x v="2"/>
    <n v="199.92"/>
  </r>
  <r>
    <d v="2025-03-11T00:00:00"/>
    <s v="cogs:product 1"/>
    <n v="5.49"/>
    <x v="26"/>
    <n v="115.29"/>
    <x v="1"/>
    <x v="1"/>
    <x v="1"/>
    <x v="2"/>
    <n v="2110.81"/>
  </r>
  <r>
    <d v="2025-03-11T00:00:00"/>
    <s v="cogs:product 2"/>
    <n v="19.989999999999998"/>
    <x v="19"/>
    <n v="79.959999999999994"/>
    <x v="1"/>
    <x v="2"/>
    <x v="1"/>
    <x v="2"/>
    <n v="-450.18"/>
  </r>
  <r>
    <d v="2025-03-11T00:00:00"/>
    <s v="cogs:product 3"/>
    <n v="8.99"/>
    <x v="14"/>
    <n v="854.05000000000007"/>
    <x v="1"/>
    <x v="3"/>
    <x v="1"/>
    <x v="2"/>
    <n v="-79.959999999999994"/>
  </r>
  <r>
    <d v="2025-03-11T00:00:00"/>
    <s v="marketing"/>
    <s v="NA"/>
    <x v="0"/>
    <n v="105.06"/>
    <x v="2"/>
    <x v="0"/>
    <x v="1"/>
    <x v="2"/>
    <n v="-62.93"/>
  </r>
  <r>
    <d v="2025-03-11T00:00:00"/>
    <s v="net sales:product 1"/>
    <n v="9.99"/>
    <x v="26"/>
    <n v="209.79"/>
    <x v="3"/>
    <x v="1"/>
    <x v="1"/>
    <x v="2"/>
    <n v="-115.94"/>
  </r>
  <r>
    <d v="2025-03-11T00:00:00"/>
    <s v="net sales:product 2"/>
    <n v="24.99"/>
    <x v="19"/>
    <n v="99.96"/>
    <x v="3"/>
    <x v="2"/>
    <x v="1"/>
    <x v="2"/>
    <n v="819.18000000000006"/>
  </r>
  <r>
    <d v="2025-03-11T00:00:00"/>
    <s v="net sales:product 3"/>
    <n v="12.49"/>
    <x v="14"/>
    <n v="1186.55"/>
    <x v="3"/>
    <x v="3"/>
    <x v="1"/>
    <x v="2"/>
    <n v="99.96"/>
  </r>
  <r>
    <d v="2025-03-12T00:00:00"/>
    <s v="cogs:product 1"/>
    <n v="5.49"/>
    <x v="1"/>
    <n v="389.79"/>
    <x v="1"/>
    <x v="1"/>
    <x v="1"/>
    <x v="2"/>
    <n v="87.43"/>
  </r>
  <r>
    <d v="2025-03-12T00:00:00"/>
    <s v="cogs:product 2"/>
    <n v="19.989999999999998"/>
    <x v="19"/>
    <n v="79.959999999999994"/>
    <x v="1"/>
    <x v="2"/>
    <x v="1"/>
    <x v="2"/>
    <n v="-258.03000000000003"/>
  </r>
  <r>
    <d v="2025-03-12T00:00:00"/>
    <s v="cogs:product 3"/>
    <n v="8.99"/>
    <x v="207"/>
    <n v="1330.52"/>
    <x v="1"/>
    <x v="3"/>
    <x v="1"/>
    <x v="2"/>
    <n v="-179.91"/>
  </r>
  <r>
    <d v="2025-03-12T00:00:00"/>
    <s v="marketing"/>
    <s v="NA"/>
    <x v="0"/>
    <n v="114.96000000000001"/>
    <x v="2"/>
    <x v="0"/>
    <x v="1"/>
    <x v="2"/>
    <n v="-710.21"/>
  </r>
  <r>
    <d v="2025-03-12T00:00:00"/>
    <s v="net sales:product 1"/>
    <n v="9.99"/>
    <x v="1"/>
    <n v="709.29"/>
    <x v="3"/>
    <x v="1"/>
    <x v="1"/>
    <x v="2"/>
    <n v="-103.07000000000001"/>
  </r>
  <r>
    <d v="2025-03-12T00:00:00"/>
    <s v="net sales:product 2"/>
    <n v="24.99"/>
    <x v="19"/>
    <n v="99.96"/>
    <x v="3"/>
    <x v="2"/>
    <x v="1"/>
    <x v="2"/>
    <n v="469.53000000000003"/>
  </r>
  <r>
    <d v="2025-03-12T00:00:00"/>
    <s v="net sales:product 3"/>
    <n v="12.49"/>
    <x v="207"/>
    <n v="1848.52"/>
    <x v="3"/>
    <x v="3"/>
    <x v="1"/>
    <x v="2"/>
    <n v="224.91"/>
  </r>
  <r>
    <d v="2025-03-13T00:00:00"/>
    <s v="cogs:product 1"/>
    <n v="5.49"/>
    <x v="128"/>
    <n v="225.09"/>
    <x v="1"/>
    <x v="1"/>
    <x v="1"/>
    <x v="2"/>
    <n v="986.71"/>
  </r>
  <r>
    <d v="2025-03-13T00:00:00"/>
    <s v="cogs:product 2"/>
    <n v="19.989999999999998"/>
    <x v="13"/>
    <n v="139.92999999999998"/>
    <x v="1"/>
    <x v="2"/>
    <x v="1"/>
    <x v="2"/>
    <n v="-395.28000000000003"/>
  </r>
  <r>
    <d v="2025-03-13T00:00:00"/>
    <s v="cogs:product 3"/>
    <n v="8.99"/>
    <x v="153"/>
    <n v="1087.79"/>
    <x v="1"/>
    <x v="3"/>
    <x v="1"/>
    <x v="2"/>
    <n v="-79.959999999999994"/>
  </r>
  <r>
    <d v="2025-03-13T00:00:00"/>
    <s v="marketing"/>
    <s v="NA"/>
    <x v="0"/>
    <n v="104.91"/>
    <x v="2"/>
    <x v="0"/>
    <x v="1"/>
    <x v="2"/>
    <n v="-17.98"/>
  </r>
  <r>
    <d v="2025-03-13T00:00:00"/>
    <s v="net sales:product 1"/>
    <n v="9.99"/>
    <x v="128"/>
    <n v="409.59000000000003"/>
    <x v="3"/>
    <x v="1"/>
    <x v="1"/>
    <x v="2"/>
    <n v="-118.94"/>
  </r>
  <r>
    <d v="2025-03-13T00:00:00"/>
    <s v="net sales:product 2"/>
    <n v="24.99"/>
    <x v="13"/>
    <n v="174.92999999999998"/>
    <x v="3"/>
    <x v="2"/>
    <x v="1"/>
    <x v="2"/>
    <n v="719.28"/>
  </r>
  <r>
    <d v="2025-03-13T00:00:00"/>
    <s v="net sales:product 3"/>
    <n v="12.49"/>
    <x v="153"/>
    <n v="1511.29"/>
    <x v="3"/>
    <x v="3"/>
    <x v="1"/>
    <x v="2"/>
    <n v="99.96"/>
  </r>
  <r>
    <d v="2025-03-14T00:00:00"/>
    <s v="cogs:product 1"/>
    <n v="5.49"/>
    <x v="35"/>
    <n v="104.31"/>
    <x v="1"/>
    <x v="1"/>
    <x v="1"/>
    <x v="2"/>
    <n v="24.98"/>
  </r>
  <r>
    <d v="2025-03-14T00:00:00"/>
    <s v="cogs:product 2"/>
    <n v="19.989999999999998"/>
    <x v="23"/>
    <n v="0"/>
    <x v="1"/>
    <x v="2"/>
    <x v="1"/>
    <x v="2"/>
    <n v="-175.68"/>
  </r>
  <r>
    <d v="2025-03-14T00:00:00"/>
    <s v="cogs:product 3"/>
    <n v="8.99"/>
    <x v="67"/>
    <n v="1627.19"/>
    <x v="1"/>
    <x v="3"/>
    <x v="1"/>
    <x v="2"/>
    <n v="-59.97"/>
  </r>
  <r>
    <d v="2025-03-14T00:00:00"/>
    <s v="marketing"/>
    <s v="NA"/>
    <x v="0"/>
    <n v="104.97"/>
    <x v="2"/>
    <x v="0"/>
    <x v="1"/>
    <x v="2"/>
    <n v="-1177.69"/>
  </r>
  <r>
    <d v="2025-03-14T00:00:00"/>
    <s v="net sales:product 1"/>
    <n v="9.99"/>
    <x v="35"/>
    <n v="189.81"/>
    <x v="3"/>
    <x v="1"/>
    <x v="1"/>
    <x v="2"/>
    <n v="-100.01"/>
  </r>
  <r>
    <d v="2025-03-14T00:00:00"/>
    <s v="net sales:product 2"/>
    <n v="24.99"/>
    <x v="23"/>
    <n v="0"/>
    <x v="3"/>
    <x v="2"/>
    <x v="1"/>
    <x v="2"/>
    <n v="319.68"/>
  </r>
  <r>
    <d v="2025-03-14T00:00:00"/>
    <s v="net sales:product 3"/>
    <n v="12.49"/>
    <x v="67"/>
    <n v="2260.69"/>
    <x v="3"/>
    <x v="3"/>
    <x v="1"/>
    <x v="2"/>
    <n v="74.97"/>
  </r>
  <r>
    <d v="2025-03-14T00:00:00"/>
    <s v="payroll"/>
    <s v="NA"/>
    <x v="0"/>
    <n v="1200"/>
    <x v="5"/>
    <x v="0"/>
    <x v="1"/>
    <x v="2"/>
    <n v="1636.19"/>
  </r>
  <r>
    <d v="2025-03-15T00:00:00"/>
    <s v="cogs:product 1"/>
    <n v="5.49"/>
    <x v="21"/>
    <n v="65.88"/>
    <x v="1"/>
    <x v="1"/>
    <x v="1"/>
    <x v="2"/>
    <n v="-455.67"/>
  </r>
  <r>
    <d v="2025-03-15T00:00:00"/>
    <s v="cogs:product 2"/>
    <n v="19.989999999999998"/>
    <x v="7"/>
    <n v="179.91"/>
    <x v="1"/>
    <x v="2"/>
    <x v="1"/>
    <x v="2"/>
    <n v="-99.949999999999989"/>
  </r>
  <r>
    <d v="2025-03-15T00:00:00"/>
    <s v="cogs:product 3"/>
    <n v="8.99"/>
    <x v="209"/>
    <n v="1905.88"/>
    <x v="1"/>
    <x v="3"/>
    <x v="1"/>
    <x v="2"/>
    <n v="-1771.03"/>
  </r>
  <r>
    <d v="2025-03-15T00:00:00"/>
    <s v="interest"/>
    <s v="NA"/>
    <x v="0"/>
    <n v="1215.8399999999999"/>
    <x v="6"/>
    <x v="0"/>
    <x v="1"/>
    <x v="2"/>
    <n v="-110.96000000000001"/>
  </r>
  <r>
    <d v="2025-03-15T00:00:00"/>
    <s v="marketing"/>
    <s v="NA"/>
    <x v="0"/>
    <n v="119.09"/>
    <x v="2"/>
    <x v="0"/>
    <x v="1"/>
    <x v="2"/>
    <n v="829.17000000000007"/>
  </r>
  <r>
    <d v="2025-03-15T00:00:00"/>
    <s v="net sales:product 1"/>
    <n v="9.99"/>
    <x v="21"/>
    <n v="119.88"/>
    <x v="3"/>
    <x v="1"/>
    <x v="1"/>
    <x v="2"/>
    <n v="124.94999999999999"/>
  </r>
  <r>
    <d v="2025-03-15T00:00:00"/>
    <s v="net sales:product 2"/>
    <n v="24.99"/>
    <x v="7"/>
    <n v="224.91"/>
    <x v="3"/>
    <x v="2"/>
    <x v="1"/>
    <x v="2"/>
    <n v="2460.5300000000002"/>
  </r>
  <r>
    <d v="2025-03-15T00:00:00"/>
    <s v="net sales:product 3"/>
    <n v="12.49"/>
    <x v="209"/>
    <n v="2647.88"/>
    <x v="3"/>
    <x v="3"/>
    <x v="1"/>
    <x v="2"/>
    <n v="-49.410000000000004"/>
  </r>
  <r>
    <d v="2025-03-15T00:00:00"/>
    <s v="overhead"/>
    <s v="NA"/>
    <x v="0"/>
    <n v="303.95999999999998"/>
    <x v="4"/>
    <x v="0"/>
    <x v="1"/>
    <x v="2"/>
    <n v="-119.94"/>
  </r>
  <r>
    <d v="2025-03-16T00:00:00"/>
    <s v="cogs:product 1"/>
    <n v="5.49"/>
    <x v="105"/>
    <n v="450.18"/>
    <x v="1"/>
    <x v="1"/>
    <x v="1"/>
    <x v="2"/>
    <n v="-557.38"/>
  </r>
  <r>
    <d v="2025-03-16T00:00:00"/>
    <s v="cogs:product 2"/>
    <n v="19.989999999999998"/>
    <x v="19"/>
    <n v="79.959999999999994"/>
    <x v="1"/>
    <x v="2"/>
    <x v="1"/>
    <x v="2"/>
    <n v="-112.01"/>
  </r>
  <r>
    <d v="2025-03-16T00:00:00"/>
    <s v="cogs:product 3"/>
    <n v="8.99"/>
    <x v="125"/>
    <n v="1483.3500000000001"/>
    <x v="1"/>
    <x v="3"/>
    <x v="1"/>
    <x v="2"/>
    <n v="89.91"/>
  </r>
  <r>
    <d v="2025-03-16T00:00:00"/>
    <s v="marketing"/>
    <s v="NA"/>
    <x v="0"/>
    <n v="107.91"/>
    <x v="2"/>
    <x v="0"/>
    <x v="1"/>
    <x v="2"/>
    <n v="149.94"/>
  </r>
  <r>
    <d v="2025-03-16T00:00:00"/>
    <s v="net sales:product 1"/>
    <n v="9.99"/>
    <x v="105"/>
    <n v="819.18000000000006"/>
    <x v="3"/>
    <x v="1"/>
    <x v="1"/>
    <x v="2"/>
    <n v="774.38"/>
  </r>
  <r>
    <d v="2025-03-16T00:00:00"/>
    <s v="net sales:product 2"/>
    <n v="24.99"/>
    <x v="19"/>
    <n v="99.96"/>
    <x v="3"/>
    <x v="2"/>
    <x v="1"/>
    <x v="2"/>
    <n v="-1200"/>
  </r>
  <r>
    <d v="2025-03-16T00:00:00"/>
    <s v="net sales:product 3"/>
    <n v="12.49"/>
    <x v="125"/>
    <n v="2060.85"/>
    <x v="3"/>
    <x v="3"/>
    <x v="1"/>
    <x v="2"/>
    <n v="-417.24"/>
  </r>
  <r>
    <d v="2025-03-17T00:00:00"/>
    <s v="cogs:product 1"/>
    <n v="5.49"/>
    <x v="158"/>
    <n v="395.28000000000003"/>
    <x v="1"/>
    <x v="1"/>
    <x v="1"/>
    <x v="2"/>
    <n v="-119.94"/>
  </r>
  <r>
    <d v="2025-03-17T00:00:00"/>
    <s v="cogs:product 2"/>
    <n v="19.989999999999998"/>
    <x v="10"/>
    <n v="39.979999999999997"/>
    <x v="1"/>
    <x v="2"/>
    <x v="1"/>
    <x v="2"/>
    <n v="0"/>
  </r>
  <r>
    <d v="2025-03-17T00:00:00"/>
    <s v="cogs:product 3"/>
    <n v="8.99"/>
    <x v="35"/>
    <n v="170.81"/>
    <x v="1"/>
    <x v="3"/>
    <x v="1"/>
    <x v="2"/>
    <n v="-1243.76"/>
  </r>
  <r>
    <d v="2025-03-17T00:00:00"/>
    <s v="marketing"/>
    <s v="NA"/>
    <x v="0"/>
    <n v="112.92"/>
    <x v="2"/>
    <x v="0"/>
    <x v="1"/>
    <x v="2"/>
    <n v="-120.07000000000001"/>
  </r>
  <r>
    <d v="2025-03-17T00:00:00"/>
    <s v="net sales:product 1"/>
    <n v="9.99"/>
    <x v="158"/>
    <n v="719.28"/>
    <x v="3"/>
    <x v="1"/>
    <x v="1"/>
    <x v="2"/>
    <n v="759.24"/>
  </r>
  <r>
    <d v="2025-03-17T00:00:00"/>
    <s v="net sales:product 2"/>
    <n v="24.99"/>
    <x v="10"/>
    <n v="49.98"/>
    <x v="3"/>
    <x v="2"/>
    <x v="1"/>
    <x v="2"/>
    <n v="149.94"/>
  </r>
  <r>
    <d v="2025-03-17T00:00:00"/>
    <s v="net sales:product 3"/>
    <n v="12.49"/>
    <x v="35"/>
    <n v="237.31"/>
    <x v="3"/>
    <x v="3"/>
    <x v="1"/>
    <x v="2"/>
    <n v="0"/>
  </r>
  <r>
    <d v="2025-03-18T00:00:00"/>
    <s v="cogs:product 1"/>
    <n v="5.49"/>
    <x v="108"/>
    <n v="527.04"/>
    <x v="1"/>
    <x v="1"/>
    <x v="1"/>
    <x v="2"/>
    <n v="-311.98"/>
  </r>
  <r>
    <d v="2025-03-18T00:00:00"/>
    <s v="cogs:product 2"/>
    <n v="19.989999999999998"/>
    <x v="42"/>
    <n v="119.94"/>
    <x v="1"/>
    <x v="2"/>
    <x v="1"/>
    <x v="2"/>
    <n v="-38.43"/>
  </r>
  <r>
    <d v="2025-03-18T00:00:00"/>
    <s v="cogs:product 3"/>
    <n v="8.99"/>
    <x v="188"/>
    <n v="2067.7000000000003"/>
    <x v="1"/>
    <x v="3"/>
    <x v="1"/>
    <x v="2"/>
    <n v="-119.94"/>
  </r>
  <r>
    <d v="2025-03-18T00:00:00"/>
    <s v="marketing"/>
    <s v="NA"/>
    <x v="0"/>
    <n v="101.06"/>
    <x v="2"/>
    <x v="0"/>
    <x v="1"/>
    <x v="2"/>
    <n v="-2211.54"/>
  </r>
  <r>
    <d v="2025-03-18T00:00:00"/>
    <s v="net sales:product 1"/>
    <n v="9.99"/>
    <x v="108"/>
    <n v="959.04"/>
    <x v="3"/>
    <x v="1"/>
    <x v="1"/>
    <x v="2"/>
    <n v="-112.97"/>
  </r>
  <r>
    <d v="2025-03-18T00:00:00"/>
    <s v="net sales:product 2"/>
    <n v="24.99"/>
    <x v="42"/>
    <n v="149.94"/>
    <x v="3"/>
    <x v="2"/>
    <x v="1"/>
    <x v="2"/>
    <n v="69.930000000000007"/>
  </r>
  <r>
    <d v="2025-03-18T00:00:00"/>
    <s v="net sales:product 3"/>
    <n v="12.49"/>
    <x v="188"/>
    <n v="2872.7000000000003"/>
    <x v="3"/>
    <x v="3"/>
    <x v="1"/>
    <x v="2"/>
    <n v="149.94"/>
  </r>
  <r>
    <d v="2025-03-19T00:00:00"/>
    <s v="cogs:product 1"/>
    <n v="5.49"/>
    <x v="92"/>
    <n v="290.97000000000003"/>
    <x v="1"/>
    <x v="1"/>
    <x v="1"/>
    <x v="2"/>
    <n v="3072.54"/>
  </r>
  <r>
    <d v="2025-03-19T00:00:00"/>
    <s v="cogs:product 2"/>
    <n v="19.989999999999998"/>
    <x v="10"/>
    <n v="39.979999999999997"/>
    <x v="1"/>
    <x v="2"/>
    <x v="1"/>
    <x v="2"/>
    <n v="-230.58"/>
  </r>
  <r>
    <d v="2025-03-19T00:00:00"/>
    <s v="cogs:product 3"/>
    <n v="8.99"/>
    <x v="93"/>
    <n v="1141.73"/>
    <x v="1"/>
    <x v="3"/>
    <x v="1"/>
    <x v="2"/>
    <n v="-39.979999999999997"/>
  </r>
  <r>
    <d v="2025-03-19T00:00:00"/>
    <s v="marketing"/>
    <s v="NA"/>
    <x v="0"/>
    <n v="114.07000000000001"/>
    <x v="2"/>
    <x v="0"/>
    <x v="1"/>
    <x v="2"/>
    <n v="-1717.0900000000001"/>
  </r>
  <r>
    <d v="2025-03-19T00:00:00"/>
    <s v="net sales:product 1"/>
    <n v="9.99"/>
    <x v="92"/>
    <n v="529.47"/>
    <x v="3"/>
    <x v="1"/>
    <x v="1"/>
    <x v="2"/>
    <n v="-113.07000000000001"/>
  </r>
  <r>
    <d v="2025-03-19T00:00:00"/>
    <s v="net sales:product 2"/>
    <n v="24.99"/>
    <x v="10"/>
    <n v="49.98"/>
    <x v="3"/>
    <x v="2"/>
    <x v="1"/>
    <x v="2"/>
    <n v="419.58"/>
  </r>
  <r>
    <d v="2025-03-19T00:00:00"/>
    <s v="net sales:product 3"/>
    <n v="12.49"/>
    <x v="93"/>
    <n v="1586.23"/>
    <x v="3"/>
    <x v="3"/>
    <x v="1"/>
    <x v="2"/>
    <n v="49.98"/>
  </r>
  <r>
    <d v="2025-03-20T00:00:00"/>
    <s v="cogs:product 1"/>
    <n v="5.49"/>
    <x v="98"/>
    <n v="247.05"/>
    <x v="1"/>
    <x v="1"/>
    <x v="1"/>
    <x v="2"/>
    <n v="2385.59"/>
  </r>
  <r>
    <d v="2025-03-20T00:00:00"/>
    <s v="cogs:product 2"/>
    <n v="19.989999999999998"/>
    <x v="23"/>
    <n v="0"/>
    <x v="1"/>
    <x v="2"/>
    <x v="1"/>
    <x v="2"/>
    <n v="-104.31"/>
  </r>
  <r>
    <d v="2025-03-20T00:00:00"/>
    <s v="cogs:product 3"/>
    <n v="8.99"/>
    <x v="47"/>
    <n v="2211.54"/>
    <x v="1"/>
    <x v="3"/>
    <x v="1"/>
    <x v="2"/>
    <n v="-119.94"/>
  </r>
  <r>
    <d v="2025-03-20T00:00:00"/>
    <s v="marketing"/>
    <s v="NA"/>
    <x v="0"/>
    <n v="118.91"/>
    <x v="2"/>
    <x v="0"/>
    <x v="1"/>
    <x v="2"/>
    <n v="-1438.4"/>
  </r>
  <r>
    <d v="2025-03-20T00:00:00"/>
    <s v="net sales:product 1"/>
    <n v="9.99"/>
    <x v="98"/>
    <n v="449.55"/>
    <x v="3"/>
    <x v="1"/>
    <x v="1"/>
    <x v="2"/>
    <n v="-114.07000000000001"/>
  </r>
  <r>
    <d v="2025-03-20T00:00:00"/>
    <s v="net sales:product 2"/>
    <n v="24.99"/>
    <x v="23"/>
    <n v="0"/>
    <x v="3"/>
    <x v="2"/>
    <x v="1"/>
    <x v="2"/>
    <n v="189.81"/>
  </r>
  <r>
    <d v="2025-03-20T00:00:00"/>
    <s v="net sales:product 3"/>
    <n v="12.49"/>
    <x v="47"/>
    <n v="3072.54"/>
    <x v="3"/>
    <x v="3"/>
    <x v="1"/>
    <x v="2"/>
    <n v="149.94"/>
  </r>
  <r>
    <d v="2025-03-21T00:00:00"/>
    <s v="cogs:product 1"/>
    <n v="5.49"/>
    <x v="42"/>
    <n v="32.94"/>
    <x v="1"/>
    <x v="1"/>
    <x v="1"/>
    <x v="2"/>
    <n v="1998.4"/>
  </r>
  <r>
    <d v="2025-03-21T00:00:00"/>
    <s v="cogs:product 2"/>
    <n v="19.989999999999998"/>
    <x v="13"/>
    <n v="139.92999999999998"/>
    <x v="1"/>
    <x v="2"/>
    <x v="1"/>
    <x v="2"/>
    <n v="-236.07000000000002"/>
  </r>
  <r>
    <d v="2025-03-21T00:00:00"/>
    <s v="cogs:product 3"/>
    <n v="8.99"/>
    <x v="42"/>
    <n v="53.94"/>
    <x v="1"/>
    <x v="3"/>
    <x v="1"/>
    <x v="2"/>
    <n v="-139.92999999999998"/>
  </r>
  <r>
    <d v="2025-03-21T00:00:00"/>
    <s v="marketing"/>
    <s v="NA"/>
    <x v="0"/>
    <n v="106.08"/>
    <x v="2"/>
    <x v="0"/>
    <x v="1"/>
    <x v="2"/>
    <n v="-1339.51"/>
  </r>
  <r>
    <d v="2025-03-21T00:00:00"/>
    <s v="net sales:product 1"/>
    <n v="9.99"/>
    <x v="42"/>
    <n v="59.94"/>
    <x v="3"/>
    <x v="1"/>
    <x v="1"/>
    <x v="2"/>
    <n v="-105.99000000000001"/>
  </r>
  <r>
    <d v="2025-03-21T00:00:00"/>
    <s v="net sales:product 2"/>
    <n v="24.99"/>
    <x v="13"/>
    <n v="174.92999999999998"/>
    <x v="3"/>
    <x v="2"/>
    <x v="1"/>
    <x v="2"/>
    <n v="429.57"/>
  </r>
  <r>
    <d v="2025-03-21T00:00:00"/>
    <s v="net sales:product 3"/>
    <n v="12.49"/>
    <x v="42"/>
    <n v="74.94"/>
    <x v="3"/>
    <x v="3"/>
    <x v="1"/>
    <x v="2"/>
    <n v="174.92999999999998"/>
  </r>
  <r>
    <d v="2025-03-22T00:00:00"/>
    <s v="cogs:product 1"/>
    <n v="5.49"/>
    <x v="66"/>
    <n v="258.03000000000003"/>
    <x v="1"/>
    <x v="1"/>
    <x v="1"/>
    <x v="2"/>
    <n v="1861.01"/>
  </r>
  <r>
    <d v="2025-03-22T00:00:00"/>
    <s v="cogs:product 2"/>
    <n v="19.989999999999998"/>
    <x v="7"/>
    <n v="179.91"/>
    <x v="1"/>
    <x v="2"/>
    <x v="1"/>
    <x v="2"/>
    <n v="-115.29"/>
  </r>
  <r>
    <d v="2025-03-22T00:00:00"/>
    <s v="cogs:product 3"/>
    <n v="8.99"/>
    <x v="137"/>
    <n v="449.5"/>
    <x v="1"/>
    <x v="3"/>
    <x v="1"/>
    <x v="2"/>
    <n v="-79.959999999999994"/>
  </r>
  <r>
    <d v="2025-03-22T00:00:00"/>
    <s v="marketing"/>
    <s v="NA"/>
    <x v="0"/>
    <n v="110.98"/>
    <x v="2"/>
    <x v="0"/>
    <x v="1"/>
    <x v="2"/>
    <n v="-1681.13"/>
  </r>
  <r>
    <d v="2025-03-22T00:00:00"/>
    <s v="net sales:product 1"/>
    <n v="9.99"/>
    <x v="66"/>
    <n v="469.53000000000003"/>
    <x v="3"/>
    <x v="1"/>
    <x v="1"/>
    <x v="2"/>
    <n v="-107.03"/>
  </r>
  <r>
    <d v="2025-03-22T00:00:00"/>
    <s v="net sales:product 2"/>
    <n v="24.99"/>
    <x v="7"/>
    <n v="224.91"/>
    <x v="3"/>
    <x v="2"/>
    <x v="1"/>
    <x v="2"/>
    <n v="209.79"/>
  </r>
  <r>
    <d v="2025-03-22T00:00:00"/>
    <s v="net sales:product 3"/>
    <n v="12.49"/>
    <x v="137"/>
    <n v="624.5"/>
    <x v="3"/>
    <x v="3"/>
    <x v="1"/>
    <x v="2"/>
    <n v="99.96"/>
  </r>
  <r>
    <d v="2025-03-23T00:00:00"/>
    <s v="cogs:product 1"/>
    <n v="5.49"/>
    <x v="54"/>
    <n v="241.56"/>
    <x v="1"/>
    <x v="1"/>
    <x v="1"/>
    <x v="2"/>
    <n v="2335.63"/>
  </r>
  <r>
    <d v="2025-03-23T00:00:00"/>
    <s v="cogs:product 2"/>
    <n v="19.989999999999998"/>
    <x v="16"/>
    <n v="159.91999999999999"/>
    <x v="1"/>
    <x v="2"/>
    <x v="1"/>
    <x v="2"/>
    <n v="-164.70000000000002"/>
  </r>
  <r>
    <d v="2025-03-23T00:00:00"/>
    <s v="cogs:product 3"/>
    <n v="8.99"/>
    <x v="4"/>
    <n v="584.35"/>
    <x v="1"/>
    <x v="3"/>
    <x v="1"/>
    <x v="2"/>
    <n v="-139.92999999999998"/>
  </r>
  <r>
    <d v="2025-03-23T00:00:00"/>
    <s v="marketing"/>
    <s v="NA"/>
    <x v="0"/>
    <n v="118.02"/>
    <x v="2"/>
    <x v="0"/>
    <x v="1"/>
    <x v="2"/>
    <n v="-1069.81"/>
  </r>
  <r>
    <d v="2025-03-23T00:00:00"/>
    <s v="net sales:product 1"/>
    <n v="9.99"/>
    <x v="54"/>
    <n v="439.56"/>
    <x v="3"/>
    <x v="1"/>
    <x v="1"/>
    <x v="2"/>
    <n v="-103.07000000000001"/>
  </r>
  <r>
    <d v="2025-03-23T00:00:00"/>
    <s v="net sales:product 2"/>
    <n v="24.99"/>
    <x v="16"/>
    <n v="199.92"/>
    <x v="3"/>
    <x v="2"/>
    <x v="1"/>
    <x v="2"/>
    <n v="299.7"/>
  </r>
  <r>
    <d v="2025-03-23T00:00:00"/>
    <s v="net sales:product 3"/>
    <n v="12.49"/>
    <x v="4"/>
    <n v="811.85"/>
    <x v="3"/>
    <x v="3"/>
    <x v="1"/>
    <x v="2"/>
    <n v="174.92999999999998"/>
  </r>
  <r>
    <d v="2025-03-24T00:00:00"/>
    <s v="cogs:product 1"/>
    <n v="5.49"/>
    <x v="117"/>
    <n v="472.14000000000004"/>
    <x v="1"/>
    <x v="1"/>
    <x v="1"/>
    <x v="2"/>
    <n v="1486.31"/>
  </r>
  <r>
    <d v="2025-03-24T00:00:00"/>
    <s v="cogs:product 2"/>
    <n v="19.989999999999998"/>
    <x v="29"/>
    <n v="99.949999999999989"/>
    <x v="1"/>
    <x v="2"/>
    <x v="1"/>
    <x v="2"/>
    <n v="-389.79"/>
  </r>
  <r>
    <d v="2025-03-24T00:00:00"/>
    <s v="cogs:product 3"/>
    <n v="8.99"/>
    <x v="116"/>
    <n v="1591.23"/>
    <x v="1"/>
    <x v="3"/>
    <x v="1"/>
    <x v="2"/>
    <n v="-179.91"/>
  </r>
  <r>
    <d v="2025-03-24T00:00:00"/>
    <s v="marketing"/>
    <s v="NA"/>
    <x v="0"/>
    <n v="115"/>
    <x v="2"/>
    <x v="0"/>
    <x v="1"/>
    <x v="2"/>
    <n v="-1114.76"/>
  </r>
  <r>
    <d v="2025-03-24T00:00:00"/>
    <s v="net sales:product 1"/>
    <n v="9.99"/>
    <x v="117"/>
    <n v="859.14"/>
    <x v="3"/>
    <x v="1"/>
    <x v="1"/>
    <x v="2"/>
    <n v="-117.02"/>
  </r>
  <r>
    <d v="2025-03-24T00:00:00"/>
    <s v="net sales:product 2"/>
    <n v="24.99"/>
    <x v="29"/>
    <n v="124.94999999999999"/>
    <x v="3"/>
    <x v="2"/>
    <x v="1"/>
    <x v="2"/>
    <n v="709.29"/>
  </r>
  <r>
    <d v="2025-03-24T00:00:00"/>
    <s v="net sales:product 3"/>
    <n v="12.49"/>
    <x v="116"/>
    <n v="2210.73"/>
    <x v="3"/>
    <x v="3"/>
    <x v="1"/>
    <x v="2"/>
    <n v="224.91"/>
  </r>
  <r>
    <d v="2025-03-25T00:00:00"/>
    <s v="cogs:product 1"/>
    <n v="5.49"/>
    <x v="13"/>
    <n v="38.43"/>
    <x v="1"/>
    <x v="1"/>
    <x v="1"/>
    <x v="2"/>
    <n v="1548.76"/>
  </r>
  <r>
    <d v="2025-03-25T00:00:00"/>
    <s v="cogs:product 2"/>
    <n v="19.989999999999998"/>
    <x v="25"/>
    <n v="19.989999999999998"/>
    <x v="1"/>
    <x v="2"/>
    <x v="1"/>
    <x v="2"/>
    <n v="-472.14000000000004"/>
  </r>
  <r>
    <d v="2025-03-25T00:00:00"/>
    <s v="cogs:product 3"/>
    <n v="8.99"/>
    <x v="40"/>
    <n v="2130.63"/>
    <x v="1"/>
    <x v="3"/>
    <x v="1"/>
    <x v="2"/>
    <n v="-39.979999999999997"/>
  </r>
  <r>
    <d v="2025-03-25T00:00:00"/>
    <s v="marketing"/>
    <s v="NA"/>
    <x v="0"/>
    <n v="104.04"/>
    <x v="2"/>
    <x v="0"/>
    <x v="1"/>
    <x v="2"/>
    <n v="-134.85"/>
  </r>
  <r>
    <d v="2025-03-25T00:00:00"/>
    <s v="net sales:product 1"/>
    <n v="9.99"/>
    <x v="13"/>
    <n v="69.930000000000007"/>
    <x v="3"/>
    <x v="1"/>
    <x v="1"/>
    <x v="2"/>
    <n v="-105.94"/>
  </r>
  <r>
    <d v="2025-03-25T00:00:00"/>
    <s v="net sales:product 2"/>
    <n v="24.99"/>
    <x v="25"/>
    <n v="24.99"/>
    <x v="3"/>
    <x v="2"/>
    <x v="1"/>
    <x v="2"/>
    <n v="859.14"/>
  </r>
  <r>
    <d v="2025-03-25T00:00:00"/>
    <s v="net sales:product 3"/>
    <n v="12.49"/>
    <x v="40"/>
    <n v="2960.13"/>
    <x v="3"/>
    <x v="3"/>
    <x v="1"/>
    <x v="2"/>
    <n v="49.98"/>
  </r>
  <r>
    <d v="2025-03-26T00:00:00"/>
    <s v="cogs:product 1"/>
    <n v="5.49"/>
    <x v="56"/>
    <n v="477.63"/>
    <x v="1"/>
    <x v="1"/>
    <x v="1"/>
    <x v="2"/>
    <n v="187.35"/>
  </r>
  <r>
    <d v="2025-03-26T00:00:00"/>
    <s v="cogs:product 2"/>
    <n v="19.989999999999998"/>
    <x v="42"/>
    <n v="119.94"/>
    <x v="1"/>
    <x v="2"/>
    <x v="1"/>
    <x v="2"/>
    <n v="-192.15"/>
  </r>
  <r>
    <d v="2025-03-26T00:00:00"/>
    <s v="cogs:product 3"/>
    <n v="8.99"/>
    <x v="75"/>
    <n v="674.25"/>
    <x v="1"/>
    <x v="3"/>
    <x v="1"/>
    <x v="2"/>
    <n v="-99.949999999999989"/>
  </r>
  <r>
    <d v="2025-03-26T00:00:00"/>
    <s v="marketing"/>
    <s v="NA"/>
    <x v="0"/>
    <n v="109.91"/>
    <x v="2"/>
    <x v="0"/>
    <x v="1"/>
    <x v="2"/>
    <n v="-1357.49"/>
  </r>
  <r>
    <d v="2025-03-26T00:00:00"/>
    <s v="net sales:product 1"/>
    <n v="9.99"/>
    <x v="56"/>
    <n v="869.13"/>
    <x v="3"/>
    <x v="1"/>
    <x v="1"/>
    <x v="2"/>
    <n v="-117.94"/>
  </r>
  <r>
    <d v="2025-03-26T00:00:00"/>
    <s v="net sales:product 2"/>
    <n v="24.99"/>
    <x v="42"/>
    <n v="149.94"/>
    <x v="3"/>
    <x v="2"/>
    <x v="1"/>
    <x v="2"/>
    <n v="349.65000000000003"/>
  </r>
  <r>
    <d v="2025-03-26T00:00:00"/>
    <s v="net sales:product 3"/>
    <n v="12.49"/>
    <x v="75"/>
    <n v="936.75"/>
    <x v="3"/>
    <x v="3"/>
    <x v="1"/>
    <x v="2"/>
    <n v="124.94999999999999"/>
  </r>
  <r>
    <d v="2025-03-27T00:00:00"/>
    <s v="cogs:product 1"/>
    <n v="5.49"/>
    <x v="134"/>
    <n v="351.36"/>
    <x v="1"/>
    <x v="1"/>
    <x v="1"/>
    <x v="2"/>
    <n v="1885.99"/>
  </r>
  <r>
    <d v="2025-03-27T00:00:00"/>
    <s v="cogs:product 2"/>
    <n v="19.989999999999998"/>
    <x v="23"/>
    <n v="0"/>
    <x v="1"/>
    <x v="2"/>
    <x v="1"/>
    <x v="2"/>
    <n v="-186.66"/>
  </r>
  <r>
    <d v="2025-03-27T00:00:00"/>
    <s v="cogs:product 3"/>
    <n v="8.99"/>
    <x v="25"/>
    <n v="8.99"/>
    <x v="1"/>
    <x v="3"/>
    <x v="1"/>
    <x v="2"/>
    <n v="0"/>
  </r>
  <r>
    <d v="2025-03-27T00:00:00"/>
    <s v="marketing"/>
    <s v="NA"/>
    <x v="0"/>
    <n v="119.99000000000001"/>
    <x v="2"/>
    <x v="0"/>
    <x v="1"/>
    <x v="2"/>
    <n v="-701.22"/>
  </r>
  <r>
    <d v="2025-03-27T00:00:00"/>
    <s v="net sales:product 1"/>
    <n v="9.99"/>
    <x v="134"/>
    <n v="639.36"/>
    <x v="3"/>
    <x v="1"/>
    <x v="1"/>
    <x v="2"/>
    <n v="-106.03"/>
  </r>
  <r>
    <d v="2025-03-27T00:00:00"/>
    <s v="net sales:product 2"/>
    <n v="24.99"/>
    <x v="23"/>
    <n v="0"/>
    <x v="3"/>
    <x v="2"/>
    <x v="1"/>
    <x v="2"/>
    <n v="339.66"/>
  </r>
  <r>
    <d v="2025-03-27T00:00:00"/>
    <s v="net sales:product 3"/>
    <n v="12.49"/>
    <x v="25"/>
    <n v="12.49"/>
    <x v="3"/>
    <x v="3"/>
    <x v="1"/>
    <x v="2"/>
    <n v="0"/>
  </r>
  <r>
    <d v="2025-03-28T00:00:00"/>
    <s v="cogs:product 1"/>
    <n v="5.49"/>
    <x v="95"/>
    <n v="329.40000000000003"/>
    <x v="1"/>
    <x v="1"/>
    <x v="1"/>
    <x v="2"/>
    <n v="974.22"/>
  </r>
  <r>
    <d v="2025-03-28T00:00:00"/>
    <s v="cogs:product 2"/>
    <n v="19.989999999999998"/>
    <x v="10"/>
    <n v="39.979999999999997"/>
    <x v="1"/>
    <x v="2"/>
    <x v="1"/>
    <x v="2"/>
    <n v="-241.56"/>
  </r>
  <r>
    <d v="2025-03-28T00:00:00"/>
    <s v="cogs:product 3"/>
    <n v="8.99"/>
    <x v="180"/>
    <n v="1932.8500000000001"/>
    <x v="1"/>
    <x v="3"/>
    <x v="1"/>
    <x v="2"/>
    <n v="-139.92999999999998"/>
  </r>
  <r>
    <d v="2025-03-28T00:00:00"/>
    <s v="marketing"/>
    <s v="NA"/>
    <x v="0"/>
    <n v="114.05"/>
    <x v="2"/>
    <x v="0"/>
    <x v="1"/>
    <x v="2"/>
    <n v="-1042.8399999999999"/>
  </r>
  <r>
    <d v="2025-03-28T00:00:00"/>
    <s v="net sales:product 1"/>
    <n v="9.99"/>
    <x v="95"/>
    <n v="599.4"/>
    <x v="3"/>
    <x v="1"/>
    <x v="1"/>
    <x v="2"/>
    <n v="-116.02"/>
  </r>
  <r>
    <d v="2025-03-28T00:00:00"/>
    <s v="net sales:product 2"/>
    <n v="24.99"/>
    <x v="10"/>
    <n v="49.98"/>
    <x v="3"/>
    <x v="2"/>
    <x v="1"/>
    <x v="2"/>
    <n v="439.56"/>
  </r>
  <r>
    <d v="2025-03-28T00:00:00"/>
    <s v="net sales:product 3"/>
    <n v="12.49"/>
    <x v="180"/>
    <n v="2685.35"/>
    <x v="3"/>
    <x v="3"/>
    <x v="1"/>
    <x v="2"/>
    <n v="174.92999999999998"/>
  </r>
  <r>
    <d v="2025-03-28T00:00:00"/>
    <s v="payroll"/>
    <s v="NA"/>
    <x v="0"/>
    <n v="1200"/>
    <x v="5"/>
    <x v="0"/>
    <x v="1"/>
    <x v="2"/>
    <n v="1448.84"/>
  </r>
  <r>
    <d v="2025-03-29T00:00:00"/>
    <s v="cogs:product 1"/>
    <n v="5.49"/>
    <x v="35"/>
    <n v="104.31"/>
    <x v="1"/>
    <x v="1"/>
    <x v="1"/>
    <x v="2"/>
    <n v="-258.03000000000003"/>
  </r>
  <r>
    <d v="2025-03-29T00:00:00"/>
    <s v="cogs:product 2"/>
    <n v="19.989999999999998"/>
    <x v="7"/>
    <n v="179.91"/>
    <x v="1"/>
    <x v="2"/>
    <x v="1"/>
    <x v="2"/>
    <n v="-59.97"/>
  </r>
  <r>
    <d v="2025-03-29T00:00:00"/>
    <s v="cogs:product 3"/>
    <n v="8.99"/>
    <x v="210"/>
    <n v="1878.91"/>
    <x v="1"/>
    <x v="3"/>
    <x v="1"/>
    <x v="2"/>
    <n v="0"/>
  </r>
  <r>
    <d v="2025-03-29T00:00:00"/>
    <s v="marketing"/>
    <s v="NA"/>
    <x v="0"/>
    <n v="109.07000000000001"/>
    <x v="2"/>
    <x v="0"/>
    <x v="1"/>
    <x v="2"/>
    <n v="-108.91"/>
  </r>
  <r>
    <d v="2025-03-29T00:00:00"/>
    <s v="net sales:product 1"/>
    <n v="9.99"/>
    <x v="35"/>
    <n v="189.81"/>
    <x v="3"/>
    <x v="1"/>
    <x v="1"/>
    <x v="2"/>
    <n v="469.53000000000003"/>
  </r>
  <r>
    <d v="2025-03-29T00:00:00"/>
    <s v="net sales:product 2"/>
    <n v="24.99"/>
    <x v="7"/>
    <n v="224.91"/>
    <x v="3"/>
    <x v="2"/>
    <x v="1"/>
    <x v="2"/>
    <n v="74.97"/>
  </r>
  <r>
    <d v="2025-03-29T00:00:00"/>
    <s v="net sales:product 3"/>
    <n v="12.49"/>
    <x v="210"/>
    <n v="2610.41"/>
    <x v="3"/>
    <x v="3"/>
    <x v="1"/>
    <x v="2"/>
    <n v="0"/>
  </r>
  <r>
    <d v="2025-03-30T00:00:00"/>
    <s v="cogs:product 1"/>
    <n v="5.49"/>
    <x v="128"/>
    <n v="225.09"/>
    <x v="1"/>
    <x v="1"/>
    <x v="1"/>
    <x v="2"/>
    <n v="-153.72"/>
  </r>
  <r>
    <d v="2025-03-30T00:00:00"/>
    <s v="cogs:product 2"/>
    <n v="19.989999999999998"/>
    <x v="19"/>
    <n v="79.959999999999994"/>
    <x v="1"/>
    <x v="2"/>
    <x v="1"/>
    <x v="2"/>
    <n v="0"/>
  </r>
  <r>
    <d v="2025-03-30T00:00:00"/>
    <s v="cogs:product 3"/>
    <n v="8.99"/>
    <x v="72"/>
    <n v="215.76"/>
    <x v="1"/>
    <x v="3"/>
    <x v="1"/>
    <x v="2"/>
    <n v="-476.47"/>
  </r>
  <r>
    <d v="2025-03-30T00:00:00"/>
    <s v="marketing"/>
    <s v="NA"/>
    <x v="0"/>
    <n v="112.01"/>
    <x v="2"/>
    <x v="0"/>
    <x v="1"/>
    <x v="2"/>
    <n v="-106.04"/>
  </r>
  <r>
    <d v="2025-03-30T00:00:00"/>
    <s v="net sales:product 1"/>
    <n v="9.99"/>
    <x v="128"/>
    <n v="409.59000000000003"/>
    <x v="3"/>
    <x v="1"/>
    <x v="1"/>
    <x v="2"/>
    <n v="279.72000000000003"/>
  </r>
  <r>
    <d v="2025-03-30T00:00:00"/>
    <s v="net sales:product 2"/>
    <n v="24.99"/>
    <x v="19"/>
    <n v="99.96"/>
    <x v="3"/>
    <x v="2"/>
    <x v="1"/>
    <x v="2"/>
    <n v="0"/>
  </r>
  <r>
    <d v="2025-03-30T00:00:00"/>
    <s v="net sales:product 3"/>
    <n v="12.49"/>
    <x v="72"/>
    <n v="299.76"/>
    <x v="3"/>
    <x v="3"/>
    <x v="1"/>
    <x v="2"/>
    <n v="661.97"/>
  </r>
  <r>
    <d v="2025-03-31T00:00:00"/>
    <s v="cogs:product 1"/>
    <n v="5.49"/>
    <x v="61"/>
    <n v="532.53"/>
    <x v="1"/>
    <x v="1"/>
    <x v="1"/>
    <x v="2"/>
    <n v="-1200"/>
  </r>
  <r>
    <d v="2025-03-31T00:00:00"/>
    <s v="cogs:product 2"/>
    <n v="19.989999999999998"/>
    <x v="10"/>
    <n v="39.979999999999997"/>
    <x v="1"/>
    <x v="2"/>
    <x v="1"/>
    <x v="2"/>
    <n v="0"/>
  </r>
  <r>
    <d v="2025-03-31T00:00:00"/>
    <s v="cogs:product 3"/>
    <n v="8.99"/>
    <x v="198"/>
    <n v="836.07"/>
    <x v="1"/>
    <x v="3"/>
    <x v="1"/>
    <x v="2"/>
    <n v="-395.28000000000003"/>
  </r>
  <r>
    <d v="2025-03-31T00:00:00"/>
    <s v="marketing"/>
    <s v="NA"/>
    <x v="0"/>
    <n v="109.91"/>
    <x v="2"/>
    <x v="0"/>
    <x v="1"/>
    <x v="2"/>
    <n v="-19.989999999999998"/>
  </r>
  <r>
    <d v="2025-03-31T00:00:00"/>
    <s v="net sales:product 1"/>
    <n v="9.99"/>
    <x v="61"/>
    <n v="969.03"/>
    <x v="3"/>
    <x v="1"/>
    <x v="1"/>
    <x v="2"/>
    <n v="-782.13"/>
  </r>
  <r>
    <d v="2025-03-31T00:00:00"/>
    <s v="net sales:product 2"/>
    <n v="24.99"/>
    <x v="10"/>
    <n v="49.98"/>
    <x v="3"/>
    <x v="2"/>
    <x v="1"/>
    <x v="2"/>
    <n v="-112.05"/>
  </r>
  <r>
    <d v="2025-03-31T00:00:00"/>
    <s v="net sales:product 3"/>
    <n v="12.49"/>
    <x v="198"/>
    <n v="1161.57"/>
    <x v="3"/>
    <x v="3"/>
    <x v="1"/>
    <x v="2"/>
    <n v="719.28"/>
  </r>
  <r>
    <d v="2025-04-01T00:00:00"/>
    <s v="amortization"/>
    <s v="NA"/>
    <x v="0"/>
    <n v="50"/>
    <x v="0"/>
    <x v="0"/>
    <x v="1"/>
    <x v="3"/>
    <n v="24.99"/>
  </r>
  <r>
    <d v="2025-04-01T00:00:00"/>
    <s v="cogs:product 1"/>
    <n v="5.49"/>
    <x v="87"/>
    <n v="87.84"/>
    <x v="1"/>
    <x v="1"/>
    <x v="1"/>
    <x v="3"/>
    <n v="1086.6300000000001"/>
  </r>
  <r>
    <d v="2025-04-01T00:00:00"/>
    <s v="cogs:product 2"/>
    <n v="19.989999999999998"/>
    <x v="23"/>
    <n v="0"/>
    <x v="1"/>
    <x v="2"/>
    <x v="1"/>
    <x v="3"/>
    <n v="-2000"/>
  </r>
  <r>
    <d v="2025-04-01T00:00:00"/>
    <s v="cogs:product 3"/>
    <n v="8.99"/>
    <x v="78"/>
    <n v="503.44"/>
    <x v="1"/>
    <x v="3"/>
    <x v="1"/>
    <x v="3"/>
    <n v="-483.12"/>
  </r>
  <r>
    <d v="2025-04-01T00:00:00"/>
    <s v="marketing"/>
    <s v="NA"/>
    <x v="0"/>
    <n v="110.05"/>
    <x v="2"/>
    <x v="0"/>
    <x v="1"/>
    <x v="3"/>
    <n v="-79.959999999999994"/>
  </r>
  <r>
    <d v="2025-04-01T00:00:00"/>
    <s v="net sales:product 1"/>
    <n v="9.99"/>
    <x v="87"/>
    <n v="159.84"/>
    <x v="3"/>
    <x v="1"/>
    <x v="1"/>
    <x v="3"/>
    <n v="-1330.52"/>
  </r>
  <r>
    <d v="2025-04-01T00:00:00"/>
    <s v="net sales:product 2"/>
    <n v="24.99"/>
    <x v="23"/>
    <n v="0"/>
    <x v="3"/>
    <x v="2"/>
    <x v="1"/>
    <x v="3"/>
    <n v="-112.08"/>
  </r>
  <r>
    <d v="2025-04-01T00:00:00"/>
    <s v="net sales:product 3"/>
    <n v="12.49"/>
    <x v="78"/>
    <n v="699.44"/>
    <x v="3"/>
    <x v="3"/>
    <x v="1"/>
    <x v="3"/>
    <n v="879.12"/>
  </r>
  <r>
    <d v="2025-04-01T00:00:00"/>
    <s v="overhead"/>
    <s v="NA"/>
    <x v="0"/>
    <n v="2000"/>
    <x v="4"/>
    <x v="0"/>
    <x v="1"/>
    <x v="3"/>
    <n v="99.96"/>
  </r>
  <r>
    <d v="2025-04-02T00:00:00"/>
    <s v="cogs:product 1"/>
    <n v="5.49"/>
    <x v="80"/>
    <n v="236.07000000000002"/>
    <x v="1"/>
    <x v="1"/>
    <x v="1"/>
    <x v="3"/>
    <n v="1848.52"/>
  </r>
  <r>
    <d v="2025-04-02T00:00:00"/>
    <s v="cogs:product 2"/>
    <n v="19.989999999999998"/>
    <x v="25"/>
    <n v="19.989999999999998"/>
    <x v="1"/>
    <x v="2"/>
    <x v="1"/>
    <x v="3"/>
    <n v="-225.09"/>
  </r>
  <r>
    <d v="2025-04-02T00:00:00"/>
    <s v="cogs:product 3"/>
    <n v="8.99"/>
    <x v="140"/>
    <n v="260.70999999999998"/>
    <x v="1"/>
    <x v="3"/>
    <x v="1"/>
    <x v="3"/>
    <n v="-19.989999999999998"/>
  </r>
  <r>
    <d v="2025-04-02T00:00:00"/>
    <s v="marketing"/>
    <s v="NA"/>
    <x v="0"/>
    <n v="119.03"/>
    <x v="2"/>
    <x v="0"/>
    <x v="1"/>
    <x v="3"/>
    <n v="-584.35"/>
  </r>
  <r>
    <d v="2025-04-02T00:00:00"/>
    <s v="net sales:product 1"/>
    <n v="9.99"/>
    <x v="80"/>
    <n v="429.57"/>
    <x v="3"/>
    <x v="1"/>
    <x v="1"/>
    <x v="3"/>
    <n v="-113.94"/>
  </r>
  <r>
    <d v="2025-04-02T00:00:00"/>
    <s v="net sales:product 2"/>
    <n v="24.99"/>
    <x v="25"/>
    <n v="24.99"/>
    <x v="3"/>
    <x v="2"/>
    <x v="1"/>
    <x v="3"/>
    <n v="409.59000000000003"/>
  </r>
  <r>
    <d v="2025-04-02T00:00:00"/>
    <s v="net sales:product 3"/>
    <n v="12.49"/>
    <x v="140"/>
    <n v="362.21"/>
    <x v="3"/>
    <x v="3"/>
    <x v="1"/>
    <x v="3"/>
    <n v="24.99"/>
  </r>
  <r>
    <d v="2025-04-03T00:00:00"/>
    <s v="cogs:product 1"/>
    <n v="5.49"/>
    <x v="172"/>
    <n v="296.46000000000004"/>
    <x v="1"/>
    <x v="1"/>
    <x v="1"/>
    <x v="3"/>
    <n v="811.85"/>
  </r>
  <r>
    <d v="2025-04-03T00:00:00"/>
    <s v="cogs:product 2"/>
    <n v="19.989999999999998"/>
    <x v="23"/>
    <n v="0"/>
    <x v="1"/>
    <x v="2"/>
    <x v="1"/>
    <x v="3"/>
    <n v="-16.47"/>
  </r>
  <r>
    <d v="2025-04-03T00:00:00"/>
    <s v="cogs:product 3"/>
    <n v="8.99"/>
    <x v="166"/>
    <n v="116.87"/>
    <x v="1"/>
    <x v="3"/>
    <x v="1"/>
    <x v="3"/>
    <n v="-59.97"/>
  </r>
  <r>
    <d v="2025-04-03T00:00:00"/>
    <s v="marketing"/>
    <s v="NA"/>
    <x v="0"/>
    <n v="117.93"/>
    <x v="2"/>
    <x v="0"/>
    <x v="1"/>
    <x v="3"/>
    <n v="0"/>
  </r>
  <r>
    <d v="2025-04-03T00:00:00"/>
    <s v="net sales:product 1"/>
    <n v="9.99"/>
    <x v="172"/>
    <n v="539.46"/>
    <x v="3"/>
    <x v="1"/>
    <x v="1"/>
    <x v="3"/>
    <n v="-114.07000000000001"/>
  </r>
  <r>
    <d v="2025-04-03T00:00:00"/>
    <s v="net sales:product 2"/>
    <n v="24.99"/>
    <x v="23"/>
    <n v="0"/>
    <x v="3"/>
    <x v="2"/>
    <x v="1"/>
    <x v="3"/>
    <n v="29.97"/>
  </r>
  <r>
    <d v="2025-04-03T00:00:00"/>
    <s v="net sales:product 3"/>
    <n v="12.49"/>
    <x v="166"/>
    <n v="162.37"/>
    <x v="3"/>
    <x v="3"/>
    <x v="1"/>
    <x v="3"/>
    <n v="74.97"/>
  </r>
  <r>
    <d v="2025-04-04T00:00:00"/>
    <s v="cogs:product 1"/>
    <n v="5.49"/>
    <x v="80"/>
    <n v="236.07000000000002"/>
    <x v="1"/>
    <x v="1"/>
    <x v="1"/>
    <x v="3"/>
    <n v="0"/>
  </r>
  <r>
    <d v="2025-04-04T00:00:00"/>
    <s v="cogs:product 2"/>
    <n v="19.989999999999998"/>
    <x v="42"/>
    <n v="119.94"/>
    <x v="1"/>
    <x v="2"/>
    <x v="1"/>
    <x v="3"/>
    <n v="-252.54000000000002"/>
  </r>
  <r>
    <d v="2025-04-04T00:00:00"/>
    <s v="cogs:product 3"/>
    <n v="8.99"/>
    <x v="63"/>
    <n v="2058.71"/>
    <x v="1"/>
    <x v="3"/>
    <x v="1"/>
    <x v="3"/>
    <n v="-19.989999999999998"/>
  </r>
  <r>
    <d v="2025-04-04T00:00:00"/>
    <s v="marketing"/>
    <s v="NA"/>
    <x v="0"/>
    <n v="101.96000000000001"/>
    <x v="2"/>
    <x v="0"/>
    <x v="1"/>
    <x v="3"/>
    <n v="-2031.74"/>
  </r>
  <r>
    <d v="2025-04-04T00:00:00"/>
    <s v="net sales:product 1"/>
    <n v="9.99"/>
    <x v="80"/>
    <n v="429.57"/>
    <x v="3"/>
    <x v="1"/>
    <x v="1"/>
    <x v="3"/>
    <n v="-101.95"/>
  </r>
  <r>
    <d v="2025-04-04T00:00:00"/>
    <s v="net sales:product 2"/>
    <n v="24.99"/>
    <x v="42"/>
    <n v="149.94"/>
    <x v="3"/>
    <x v="2"/>
    <x v="1"/>
    <x v="3"/>
    <n v="459.54"/>
  </r>
  <r>
    <d v="2025-04-04T00:00:00"/>
    <s v="net sales:product 3"/>
    <n v="12.49"/>
    <x v="63"/>
    <n v="2860.21"/>
    <x v="3"/>
    <x v="3"/>
    <x v="1"/>
    <x v="3"/>
    <n v="24.99"/>
  </r>
  <r>
    <d v="2025-04-05T00:00:00"/>
    <s v="cogs:product 1"/>
    <n v="5.49"/>
    <x v="138"/>
    <n v="285.48"/>
    <x v="1"/>
    <x v="1"/>
    <x v="1"/>
    <x v="3"/>
    <n v="2822.7400000000002"/>
  </r>
  <r>
    <d v="2025-04-05T00:00:00"/>
    <s v="cogs:product 2"/>
    <n v="19.989999999999998"/>
    <x v="19"/>
    <n v="79.959999999999994"/>
    <x v="1"/>
    <x v="2"/>
    <x v="1"/>
    <x v="3"/>
    <n v="-494.1"/>
  </r>
  <r>
    <d v="2025-04-05T00:00:00"/>
    <s v="cogs:product 3"/>
    <n v="8.99"/>
    <x v="173"/>
    <n v="2202.5500000000002"/>
    <x v="1"/>
    <x v="3"/>
    <x v="1"/>
    <x v="3"/>
    <n v="-19.989999999999998"/>
  </r>
  <r>
    <d v="2025-04-05T00:00:00"/>
    <s v="marketing"/>
    <s v="NA"/>
    <x v="0"/>
    <n v="99.990000000000009"/>
    <x v="2"/>
    <x v="0"/>
    <x v="1"/>
    <x v="3"/>
    <n v="-17.98"/>
  </r>
  <r>
    <d v="2025-04-05T00:00:00"/>
    <s v="net sales:product 1"/>
    <n v="9.99"/>
    <x v="138"/>
    <n v="519.48"/>
    <x v="3"/>
    <x v="1"/>
    <x v="1"/>
    <x v="3"/>
    <n v="-109.93"/>
  </r>
  <r>
    <d v="2025-04-05T00:00:00"/>
    <s v="net sales:product 2"/>
    <n v="24.99"/>
    <x v="19"/>
    <n v="99.96"/>
    <x v="3"/>
    <x v="2"/>
    <x v="1"/>
    <x v="3"/>
    <n v="899.1"/>
  </r>
  <r>
    <d v="2025-04-05T00:00:00"/>
    <s v="net sales:product 3"/>
    <n v="12.49"/>
    <x v="173"/>
    <n v="3060.05"/>
    <x v="3"/>
    <x v="3"/>
    <x v="1"/>
    <x v="3"/>
    <n v="24.99"/>
  </r>
  <r>
    <d v="2025-04-06T00:00:00"/>
    <s v="cogs:product 1"/>
    <n v="5.49"/>
    <x v="120"/>
    <n v="439.20000000000005"/>
    <x v="1"/>
    <x v="1"/>
    <x v="1"/>
    <x v="3"/>
    <n v="24.98"/>
  </r>
  <r>
    <d v="2025-04-06T00:00:00"/>
    <s v="cogs:product 2"/>
    <n v="19.989999999999998"/>
    <x v="13"/>
    <n v="139.92999999999998"/>
    <x v="1"/>
    <x v="2"/>
    <x v="1"/>
    <x v="3"/>
    <n v="-269.01"/>
  </r>
  <r>
    <d v="2025-04-06T00:00:00"/>
    <s v="cogs:product 3"/>
    <n v="8.99"/>
    <x v="211"/>
    <n v="1860.93"/>
    <x v="1"/>
    <x v="3"/>
    <x v="1"/>
    <x v="3"/>
    <n v="-99.949999999999989"/>
  </r>
  <r>
    <d v="2025-04-06T00:00:00"/>
    <s v="marketing"/>
    <s v="NA"/>
    <x v="0"/>
    <n v="116"/>
    <x v="2"/>
    <x v="0"/>
    <x v="1"/>
    <x v="3"/>
    <n v="-395.56"/>
  </r>
  <r>
    <d v="2025-04-06T00:00:00"/>
    <s v="net sales:product 1"/>
    <n v="9.99"/>
    <x v="120"/>
    <n v="799.2"/>
    <x v="3"/>
    <x v="1"/>
    <x v="1"/>
    <x v="3"/>
    <n v="-102.91"/>
  </r>
  <r>
    <d v="2025-04-06T00:00:00"/>
    <s v="net sales:product 2"/>
    <n v="24.99"/>
    <x v="13"/>
    <n v="174.92999999999998"/>
    <x v="3"/>
    <x v="2"/>
    <x v="1"/>
    <x v="3"/>
    <n v="489.51"/>
  </r>
  <r>
    <d v="2025-04-06T00:00:00"/>
    <s v="net sales:product 3"/>
    <n v="12.49"/>
    <x v="211"/>
    <n v="2585.4299999999998"/>
    <x v="3"/>
    <x v="3"/>
    <x v="1"/>
    <x v="3"/>
    <n v="124.94999999999999"/>
  </r>
  <r>
    <d v="2025-04-07T00:00:00"/>
    <s v="cogs:product 1"/>
    <n v="5.49"/>
    <x v="172"/>
    <n v="296.46000000000004"/>
    <x v="1"/>
    <x v="1"/>
    <x v="1"/>
    <x v="3"/>
    <n v="549.56000000000006"/>
  </r>
  <r>
    <d v="2025-04-07T00:00:00"/>
    <s v="cogs:product 2"/>
    <n v="19.989999999999998"/>
    <x v="42"/>
    <n v="119.94"/>
    <x v="1"/>
    <x v="2"/>
    <x v="1"/>
    <x v="3"/>
    <n v="-142.74"/>
  </r>
  <r>
    <d v="2025-04-07T00:00:00"/>
    <s v="cogs:product 3"/>
    <n v="8.99"/>
    <x v="212"/>
    <n v="1024.8600000000001"/>
    <x v="1"/>
    <x v="3"/>
    <x v="1"/>
    <x v="3"/>
    <n v="-39.979999999999997"/>
  </r>
  <r>
    <d v="2025-04-07T00:00:00"/>
    <s v="marketing"/>
    <s v="NA"/>
    <x v="0"/>
    <n v="111.07000000000001"/>
    <x v="2"/>
    <x v="0"/>
    <x v="1"/>
    <x v="3"/>
    <n v="-961.93000000000006"/>
  </r>
  <r>
    <d v="2025-04-07T00:00:00"/>
    <s v="net sales:product 1"/>
    <n v="9.99"/>
    <x v="172"/>
    <n v="539.46"/>
    <x v="3"/>
    <x v="1"/>
    <x v="1"/>
    <x v="3"/>
    <n v="-103.08"/>
  </r>
  <r>
    <d v="2025-04-07T00:00:00"/>
    <s v="net sales:product 2"/>
    <n v="24.99"/>
    <x v="42"/>
    <n v="149.94"/>
    <x v="3"/>
    <x v="2"/>
    <x v="1"/>
    <x v="3"/>
    <n v="259.74"/>
  </r>
  <r>
    <d v="2025-04-07T00:00:00"/>
    <s v="net sales:product 3"/>
    <n v="12.49"/>
    <x v="212"/>
    <n v="1423.8600000000001"/>
    <x v="3"/>
    <x v="3"/>
    <x v="1"/>
    <x v="3"/>
    <n v="49.98"/>
  </r>
  <r>
    <d v="2025-04-08T00:00:00"/>
    <s v="cogs:product 1"/>
    <n v="5.49"/>
    <x v="100"/>
    <n v="483.12"/>
    <x v="1"/>
    <x v="1"/>
    <x v="1"/>
    <x v="3"/>
    <n v="1336.43"/>
  </r>
  <r>
    <d v="2025-04-08T00:00:00"/>
    <s v="cogs:product 2"/>
    <n v="19.989999999999998"/>
    <x v="42"/>
    <n v="119.94"/>
    <x v="1"/>
    <x v="2"/>
    <x v="1"/>
    <x v="3"/>
    <n v="-400.77000000000004"/>
  </r>
  <r>
    <d v="2025-04-08T00:00:00"/>
    <s v="cogs:product 3"/>
    <n v="8.99"/>
    <x v="5"/>
    <n v="2031.74"/>
    <x v="1"/>
    <x v="3"/>
    <x v="1"/>
    <x v="3"/>
    <n v="0"/>
  </r>
  <r>
    <d v="2025-04-08T00:00:00"/>
    <s v="marketing"/>
    <s v="NA"/>
    <x v="0"/>
    <n v="109.96000000000001"/>
    <x v="2"/>
    <x v="0"/>
    <x v="1"/>
    <x v="3"/>
    <n v="-665.26"/>
  </r>
  <r>
    <d v="2025-04-08T00:00:00"/>
    <s v="net sales:product 1"/>
    <n v="9.99"/>
    <x v="100"/>
    <n v="879.12"/>
    <x v="3"/>
    <x v="1"/>
    <x v="1"/>
    <x v="3"/>
    <n v="-112.08"/>
  </r>
  <r>
    <d v="2025-04-08T00:00:00"/>
    <s v="net sales:product 2"/>
    <n v="24.99"/>
    <x v="42"/>
    <n v="149.94"/>
    <x v="3"/>
    <x v="2"/>
    <x v="1"/>
    <x v="3"/>
    <n v="729.27"/>
  </r>
  <r>
    <d v="2025-04-08T00:00:00"/>
    <s v="net sales:product 3"/>
    <n v="12.49"/>
    <x v="5"/>
    <n v="2822.7400000000002"/>
    <x v="3"/>
    <x v="3"/>
    <x v="1"/>
    <x v="3"/>
    <n v="0"/>
  </r>
  <r>
    <d v="2025-04-09T00:00:00"/>
    <s v="cogs:product 1"/>
    <n v="5.49"/>
    <x v="73"/>
    <n v="367.83000000000004"/>
    <x v="1"/>
    <x v="1"/>
    <x v="1"/>
    <x v="3"/>
    <n v="924.26"/>
  </r>
  <r>
    <d v="2025-04-09T00:00:00"/>
    <s v="cogs:product 2"/>
    <n v="19.989999999999998"/>
    <x v="2"/>
    <n v="59.97"/>
    <x v="1"/>
    <x v="2"/>
    <x v="1"/>
    <x v="3"/>
    <n v="-395.28000000000003"/>
  </r>
  <r>
    <d v="2025-04-09T00:00:00"/>
    <s v="cogs:product 3"/>
    <n v="8.99"/>
    <x v="73"/>
    <n v="602.33000000000004"/>
    <x v="1"/>
    <x v="3"/>
    <x v="1"/>
    <x v="3"/>
    <n v="-59.97"/>
  </r>
  <r>
    <d v="2025-04-09T00:00:00"/>
    <s v="marketing"/>
    <s v="NA"/>
    <x v="0"/>
    <n v="114.94"/>
    <x v="2"/>
    <x v="0"/>
    <x v="1"/>
    <x v="3"/>
    <n v="-890.01"/>
  </r>
  <r>
    <d v="2025-04-09T00:00:00"/>
    <s v="net sales:product 1"/>
    <n v="9.99"/>
    <x v="73"/>
    <n v="669.33"/>
    <x v="3"/>
    <x v="1"/>
    <x v="1"/>
    <x v="3"/>
    <n v="-120.05"/>
  </r>
  <r>
    <d v="2025-04-09T00:00:00"/>
    <s v="net sales:product 2"/>
    <n v="24.99"/>
    <x v="2"/>
    <n v="74.97"/>
    <x v="3"/>
    <x v="2"/>
    <x v="1"/>
    <x v="3"/>
    <n v="719.28"/>
  </r>
  <r>
    <d v="2025-04-09T00:00:00"/>
    <s v="net sales:product 3"/>
    <n v="12.49"/>
    <x v="73"/>
    <n v="836.83"/>
    <x v="3"/>
    <x v="3"/>
    <x v="1"/>
    <x v="3"/>
    <n v="74.97"/>
  </r>
  <r>
    <d v="2025-04-10T00:00:00"/>
    <s v="cogs:product 1"/>
    <n v="5.49"/>
    <x v="24"/>
    <n v="543.51"/>
    <x v="1"/>
    <x v="1"/>
    <x v="1"/>
    <x v="3"/>
    <n v="1236.51"/>
  </r>
  <r>
    <d v="2025-04-10T00:00:00"/>
    <s v="cogs:product 2"/>
    <n v="19.989999999999998"/>
    <x v="25"/>
    <n v="19.989999999999998"/>
    <x v="1"/>
    <x v="2"/>
    <x v="1"/>
    <x v="3"/>
    <n v="-115.29"/>
  </r>
  <r>
    <d v="2025-04-10T00:00:00"/>
    <s v="cogs:product 3"/>
    <n v="8.99"/>
    <x v="191"/>
    <n v="1456.38"/>
    <x v="1"/>
    <x v="3"/>
    <x v="1"/>
    <x v="3"/>
    <n v="-79.959999999999994"/>
  </r>
  <r>
    <d v="2025-04-10T00:00:00"/>
    <s v="marketing"/>
    <s v="NA"/>
    <x v="0"/>
    <n v="106.97"/>
    <x v="2"/>
    <x v="0"/>
    <x v="1"/>
    <x v="3"/>
    <n v="-854.05000000000007"/>
  </r>
  <r>
    <d v="2025-04-10T00:00:00"/>
    <s v="net sales:product 1"/>
    <n v="9.99"/>
    <x v="24"/>
    <n v="989.01"/>
    <x v="3"/>
    <x v="1"/>
    <x v="1"/>
    <x v="3"/>
    <n v="-105.06"/>
  </r>
  <r>
    <d v="2025-04-10T00:00:00"/>
    <s v="net sales:product 2"/>
    <n v="24.99"/>
    <x v="25"/>
    <n v="24.99"/>
    <x v="3"/>
    <x v="2"/>
    <x v="1"/>
    <x v="3"/>
    <n v="209.79"/>
  </r>
  <r>
    <d v="2025-04-10T00:00:00"/>
    <s v="net sales:product 3"/>
    <n v="12.49"/>
    <x v="191"/>
    <n v="2023.38"/>
    <x v="3"/>
    <x v="3"/>
    <x v="1"/>
    <x v="3"/>
    <n v="99.96"/>
  </r>
  <r>
    <d v="2025-04-11T00:00:00"/>
    <s v="cogs:product 1"/>
    <n v="5.49"/>
    <x v="3"/>
    <n v="428.22"/>
    <x v="1"/>
    <x v="1"/>
    <x v="1"/>
    <x v="3"/>
    <n v="1186.55"/>
  </r>
  <r>
    <d v="2025-04-11T00:00:00"/>
    <s v="cogs:product 2"/>
    <n v="19.989999999999998"/>
    <x v="19"/>
    <n v="79.959999999999994"/>
    <x v="1"/>
    <x v="2"/>
    <x v="1"/>
    <x v="3"/>
    <n v="-389.79"/>
  </r>
  <r>
    <d v="2025-04-11T00:00:00"/>
    <s v="cogs:product 3"/>
    <n v="8.99"/>
    <x v="207"/>
    <n v="1330.52"/>
    <x v="1"/>
    <x v="3"/>
    <x v="1"/>
    <x v="3"/>
    <n v="-79.959999999999994"/>
  </r>
  <r>
    <d v="2025-04-11T00:00:00"/>
    <s v="marketing"/>
    <s v="NA"/>
    <x v="0"/>
    <n v="103.98"/>
    <x v="2"/>
    <x v="0"/>
    <x v="1"/>
    <x v="3"/>
    <n v="-1330.52"/>
  </r>
  <r>
    <d v="2025-04-11T00:00:00"/>
    <s v="net sales:product 1"/>
    <n v="9.99"/>
    <x v="3"/>
    <n v="779.22"/>
    <x v="3"/>
    <x v="1"/>
    <x v="1"/>
    <x v="3"/>
    <n v="-114.96000000000001"/>
  </r>
  <r>
    <d v="2025-04-11T00:00:00"/>
    <s v="net sales:product 2"/>
    <n v="24.99"/>
    <x v="19"/>
    <n v="99.96"/>
    <x v="3"/>
    <x v="2"/>
    <x v="1"/>
    <x v="3"/>
    <n v="709.29"/>
  </r>
  <r>
    <d v="2025-04-11T00:00:00"/>
    <s v="net sales:product 3"/>
    <n v="12.49"/>
    <x v="207"/>
    <n v="1848.52"/>
    <x v="3"/>
    <x v="3"/>
    <x v="1"/>
    <x v="3"/>
    <n v="99.96"/>
  </r>
  <r>
    <d v="2025-04-11T00:00:00"/>
    <s v="payroll"/>
    <s v="NA"/>
    <x v="0"/>
    <n v="1200"/>
    <x v="5"/>
    <x v="0"/>
    <x v="1"/>
    <x v="3"/>
    <n v="1848.52"/>
  </r>
  <r>
    <d v="2025-04-12T00:00:00"/>
    <s v="cogs:product 1"/>
    <n v="5.49"/>
    <x v="111"/>
    <n v="120.78"/>
    <x v="1"/>
    <x v="1"/>
    <x v="1"/>
    <x v="3"/>
    <n v="-225.09"/>
  </r>
  <r>
    <d v="2025-04-12T00:00:00"/>
    <s v="cogs:product 2"/>
    <n v="19.989999999999998"/>
    <x v="16"/>
    <n v="159.91999999999999"/>
    <x v="1"/>
    <x v="2"/>
    <x v="1"/>
    <x v="3"/>
    <n v="-139.92999999999998"/>
  </r>
  <r>
    <d v="2025-04-12T00:00:00"/>
    <s v="cogs:product 3"/>
    <n v="8.99"/>
    <x v="166"/>
    <n v="116.87"/>
    <x v="1"/>
    <x v="3"/>
    <x v="1"/>
    <x v="3"/>
    <n v="-1087.79"/>
  </r>
  <r>
    <d v="2025-04-12T00:00:00"/>
    <s v="marketing"/>
    <s v="NA"/>
    <x v="0"/>
    <n v="112.98"/>
    <x v="2"/>
    <x v="0"/>
    <x v="1"/>
    <x v="3"/>
    <n v="-104.91"/>
  </r>
  <r>
    <d v="2025-04-12T00:00:00"/>
    <s v="net sales:product 1"/>
    <n v="9.99"/>
    <x v="111"/>
    <n v="219.78"/>
    <x v="3"/>
    <x v="1"/>
    <x v="1"/>
    <x v="3"/>
    <n v="409.59000000000003"/>
  </r>
  <r>
    <d v="2025-04-12T00:00:00"/>
    <s v="net sales:product 2"/>
    <n v="24.99"/>
    <x v="16"/>
    <n v="199.92"/>
    <x v="3"/>
    <x v="2"/>
    <x v="1"/>
    <x v="3"/>
    <n v="174.92999999999998"/>
  </r>
  <r>
    <d v="2025-04-12T00:00:00"/>
    <s v="net sales:product 3"/>
    <n v="12.49"/>
    <x v="166"/>
    <n v="162.37"/>
    <x v="3"/>
    <x v="3"/>
    <x v="1"/>
    <x v="3"/>
    <n v="1511.29"/>
  </r>
  <r>
    <d v="2025-04-13T00:00:00"/>
    <s v="cogs:product 1"/>
    <n v="5.49"/>
    <x v="44"/>
    <n v="175.68"/>
    <x v="1"/>
    <x v="1"/>
    <x v="1"/>
    <x v="3"/>
    <n v="-104.31"/>
  </r>
  <r>
    <d v="2025-04-13T00:00:00"/>
    <s v="cogs:product 2"/>
    <n v="19.989999999999998"/>
    <x v="2"/>
    <n v="59.97"/>
    <x v="1"/>
    <x v="2"/>
    <x v="1"/>
    <x v="3"/>
    <n v="0"/>
  </r>
  <r>
    <d v="2025-04-13T00:00:00"/>
    <s v="cogs:product 3"/>
    <n v="8.99"/>
    <x v="46"/>
    <n v="611.32000000000005"/>
    <x v="1"/>
    <x v="3"/>
    <x v="1"/>
    <x v="3"/>
    <n v="-1627.19"/>
  </r>
  <r>
    <d v="2025-04-13T00:00:00"/>
    <s v="marketing"/>
    <s v="NA"/>
    <x v="0"/>
    <n v="116.08"/>
    <x v="2"/>
    <x v="0"/>
    <x v="1"/>
    <x v="3"/>
    <n v="-104.97"/>
  </r>
  <r>
    <d v="2025-04-13T00:00:00"/>
    <s v="net sales:product 1"/>
    <n v="9.99"/>
    <x v="44"/>
    <n v="319.68"/>
    <x v="3"/>
    <x v="1"/>
    <x v="1"/>
    <x v="3"/>
    <n v="189.81"/>
  </r>
  <r>
    <d v="2025-04-13T00:00:00"/>
    <s v="net sales:product 2"/>
    <n v="24.99"/>
    <x v="2"/>
    <n v="74.97"/>
    <x v="3"/>
    <x v="2"/>
    <x v="1"/>
    <x v="3"/>
    <n v="0"/>
  </r>
  <r>
    <d v="2025-04-13T00:00:00"/>
    <s v="net sales:product 3"/>
    <n v="12.49"/>
    <x v="46"/>
    <n v="849.32"/>
    <x v="3"/>
    <x v="3"/>
    <x v="1"/>
    <x v="3"/>
    <n v="2260.69"/>
  </r>
  <r>
    <d v="2025-04-14T00:00:00"/>
    <s v="cogs:product 1"/>
    <n v="5.49"/>
    <x v="62"/>
    <n v="384.3"/>
    <x v="1"/>
    <x v="1"/>
    <x v="1"/>
    <x v="3"/>
    <n v="-1200"/>
  </r>
  <r>
    <d v="2025-04-14T00:00:00"/>
    <s v="cogs:product 2"/>
    <n v="19.989999999999998"/>
    <x v="16"/>
    <n v="159.91999999999999"/>
    <x v="1"/>
    <x v="2"/>
    <x v="1"/>
    <x v="3"/>
    <n v="-65.88"/>
  </r>
  <r>
    <d v="2025-04-14T00:00:00"/>
    <s v="cogs:product 3"/>
    <n v="8.99"/>
    <x v="127"/>
    <n v="125.86"/>
    <x v="1"/>
    <x v="3"/>
    <x v="1"/>
    <x v="3"/>
    <n v="-179.91"/>
  </r>
  <r>
    <d v="2025-04-14T00:00:00"/>
    <s v="marketing"/>
    <s v="NA"/>
    <x v="0"/>
    <n v="112.92"/>
    <x v="2"/>
    <x v="0"/>
    <x v="1"/>
    <x v="3"/>
    <n v="-1905.88"/>
  </r>
  <r>
    <d v="2025-04-14T00:00:00"/>
    <s v="net sales:product 1"/>
    <n v="9.99"/>
    <x v="62"/>
    <n v="699.30000000000007"/>
    <x v="3"/>
    <x v="1"/>
    <x v="1"/>
    <x v="3"/>
    <n v="-1215.8399999999999"/>
  </r>
  <r>
    <d v="2025-04-14T00:00:00"/>
    <s v="net sales:product 2"/>
    <n v="24.99"/>
    <x v="16"/>
    <n v="199.92"/>
    <x v="3"/>
    <x v="2"/>
    <x v="1"/>
    <x v="3"/>
    <n v="-119.09"/>
  </r>
  <r>
    <d v="2025-04-14T00:00:00"/>
    <s v="net sales:product 3"/>
    <n v="12.49"/>
    <x v="127"/>
    <n v="174.86"/>
    <x v="3"/>
    <x v="3"/>
    <x v="1"/>
    <x v="3"/>
    <n v="119.88"/>
  </r>
  <r>
    <d v="2025-04-15T00:00:00"/>
    <s v="cogs:product 1"/>
    <n v="5.49"/>
    <x v="24"/>
    <n v="543.51"/>
    <x v="1"/>
    <x v="1"/>
    <x v="1"/>
    <x v="3"/>
    <n v="224.91"/>
  </r>
  <r>
    <d v="2025-04-15T00:00:00"/>
    <s v="cogs:product 2"/>
    <n v="19.989999999999998"/>
    <x v="13"/>
    <n v="139.92999999999998"/>
    <x v="1"/>
    <x v="2"/>
    <x v="1"/>
    <x v="3"/>
    <n v="2647.88"/>
  </r>
  <r>
    <d v="2025-04-15T00:00:00"/>
    <s v="cogs:product 3"/>
    <n v="8.99"/>
    <x v="167"/>
    <n v="2229.52"/>
    <x v="1"/>
    <x v="3"/>
    <x v="1"/>
    <x v="3"/>
    <n v="-303.95999999999998"/>
  </r>
  <r>
    <d v="2025-04-15T00:00:00"/>
    <s v="interest"/>
    <s v="NA"/>
    <x v="0"/>
    <n v="1265.1199999999999"/>
    <x v="6"/>
    <x v="0"/>
    <x v="1"/>
    <x v="3"/>
    <n v="-450.18"/>
  </r>
  <r>
    <d v="2025-04-15T00:00:00"/>
    <s v="marketing"/>
    <s v="NA"/>
    <x v="0"/>
    <n v="103.98"/>
    <x v="2"/>
    <x v="0"/>
    <x v="1"/>
    <x v="3"/>
    <n v="-79.959999999999994"/>
  </r>
  <r>
    <d v="2025-04-15T00:00:00"/>
    <s v="net sales:product 1"/>
    <n v="9.99"/>
    <x v="24"/>
    <n v="989.01"/>
    <x v="3"/>
    <x v="1"/>
    <x v="1"/>
    <x v="3"/>
    <n v="-1483.3500000000001"/>
  </r>
  <r>
    <d v="2025-04-15T00:00:00"/>
    <s v="net sales:product 2"/>
    <n v="24.99"/>
    <x v="13"/>
    <n v="174.92999999999998"/>
    <x v="3"/>
    <x v="2"/>
    <x v="1"/>
    <x v="3"/>
    <n v="-107.91"/>
  </r>
  <r>
    <d v="2025-04-15T00:00:00"/>
    <s v="net sales:product 3"/>
    <n v="12.49"/>
    <x v="167"/>
    <n v="3097.52"/>
    <x v="3"/>
    <x v="3"/>
    <x v="1"/>
    <x v="3"/>
    <n v="819.18000000000006"/>
  </r>
  <r>
    <d v="2025-04-15T00:00:00"/>
    <s v="overhead"/>
    <s v="NA"/>
    <x v="0"/>
    <n v="313.02999999999997"/>
    <x v="4"/>
    <x v="0"/>
    <x v="1"/>
    <x v="3"/>
    <n v="99.96"/>
  </r>
  <r>
    <d v="2025-04-16T00:00:00"/>
    <s v="cogs:product 1"/>
    <n v="5.49"/>
    <x v="44"/>
    <n v="175.68"/>
    <x v="1"/>
    <x v="1"/>
    <x v="1"/>
    <x v="3"/>
    <n v="2060.85"/>
  </r>
  <r>
    <d v="2025-04-16T00:00:00"/>
    <s v="cogs:product 2"/>
    <n v="19.989999999999998"/>
    <x v="23"/>
    <n v="0"/>
    <x v="1"/>
    <x v="2"/>
    <x v="1"/>
    <x v="3"/>
    <n v="-395.28000000000003"/>
  </r>
  <r>
    <d v="2025-04-16T00:00:00"/>
    <s v="cogs:product 3"/>
    <n v="8.99"/>
    <x v="153"/>
    <n v="1087.79"/>
    <x v="1"/>
    <x v="3"/>
    <x v="1"/>
    <x v="3"/>
    <n v="-39.979999999999997"/>
  </r>
  <r>
    <d v="2025-04-16T00:00:00"/>
    <s v="marketing"/>
    <s v="NA"/>
    <x v="0"/>
    <n v="119.98"/>
    <x v="2"/>
    <x v="0"/>
    <x v="1"/>
    <x v="3"/>
    <n v="-170.81"/>
  </r>
  <r>
    <d v="2025-04-16T00:00:00"/>
    <s v="net sales:product 1"/>
    <n v="9.99"/>
    <x v="44"/>
    <n v="319.68"/>
    <x v="3"/>
    <x v="1"/>
    <x v="1"/>
    <x v="3"/>
    <n v="-112.92"/>
  </r>
  <r>
    <d v="2025-04-16T00:00:00"/>
    <s v="net sales:product 2"/>
    <n v="24.99"/>
    <x v="23"/>
    <n v="0"/>
    <x v="3"/>
    <x v="2"/>
    <x v="1"/>
    <x v="3"/>
    <n v="719.28"/>
  </r>
  <r>
    <d v="2025-04-16T00:00:00"/>
    <s v="net sales:product 3"/>
    <n v="12.49"/>
    <x v="153"/>
    <n v="1511.29"/>
    <x v="3"/>
    <x v="3"/>
    <x v="1"/>
    <x v="3"/>
    <n v="49.98"/>
  </r>
  <r>
    <d v="2025-04-17T00:00:00"/>
    <s v="cogs:product 1"/>
    <n v="5.49"/>
    <x v="1"/>
    <n v="389.79"/>
    <x v="1"/>
    <x v="1"/>
    <x v="1"/>
    <x v="3"/>
    <n v="237.31"/>
  </r>
  <r>
    <d v="2025-04-17T00:00:00"/>
    <s v="cogs:product 2"/>
    <n v="19.989999999999998"/>
    <x v="29"/>
    <n v="99.949999999999989"/>
    <x v="1"/>
    <x v="2"/>
    <x v="1"/>
    <x v="3"/>
    <n v="-527.04"/>
  </r>
  <r>
    <d v="2025-04-17T00:00:00"/>
    <s v="cogs:product 3"/>
    <n v="8.99"/>
    <x v="167"/>
    <n v="2229.52"/>
    <x v="1"/>
    <x v="3"/>
    <x v="1"/>
    <x v="3"/>
    <n v="-119.94"/>
  </r>
  <r>
    <d v="2025-04-17T00:00:00"/>
    <s v="marketing"/>
    <s v="NA"/>
    <x v="0"/>
    <n v="104.03"/>
    <x v="2"/>
    <x v="0"/>
    <x v="1"/>
    <x v="3"/>
    <n v="-2067.7000000000003"/>
  </r>
  <r>
    <d v="2025-04-17T00:00:00"/>
    <s v="net sales:product 1"/>
    <n v="9.99"/>
    <x v="1"/>
    <n v="709.29"/>
    <x v="3"/>
    <x v="1"/>
    <x v="1"/>
    <x v="3"/>
    <n v="-101.06"/>
  </r>
  <r>
    <d v="2025-04-17T00:00:00"/>
    <s v="net sales:product 2"/>
    <n v="24.99"/>
    <x v="29"/>
    <n v="124.94999999999999"/>
    <x v="3"/>
    <x v="2"/>
    <x v="1"/>
    <x v="3"/>
    <n v="959.04"/>
  </r>
  <r>
    <d v="2025-04-17T00:00:00"/>
    <s v="net sales:product 3"/>
    <n v="12.49"/>
    <x v="167"/>
    <n v="3097.52"/>
    <x v="3"/>
    <x v="3"/>
    <x v="1"/>
    <x v="3"/>
    <n v="149.94"/>
  </r>
  <r>
    <d v="2025-04-18T00:00:00"/>
    <s v="cogs:product 1"/>
    <n v="5.49"/>
    <x v="131"/>
    <n v="516.06000000000006"/>
    <x v="1"/>
    <x v="1"/>
    <x v="1"/>
    <x v="3"/>
    <n v="2872.7000000000003"/>
  </r>
  <r>
    <d v="2025-04-18T00:00:00"/>
    <s v="cogs:product 2"/>
    <n v="19.989999999999998"/>
    <x v="25"/>
    <n v="19.989999999999998"/>
    <x v="1"/>
    <x v="2"/>
    <x v="1"/>
    <x v="3"/>
    <n v="-290.97000000000003"/>
  </r>
  <r>
    <d v="2025-04-18T00:00:00"/>
    <s v="cogs:product 3"/>
    <n v="8.99"/>
    <x v="192"/>
    <n v="1806.99"/>
    <x v="1"/>
    <x v="3"/>
    <x v="1"/>
    <x v="3"/>
    <n v="-39.979999999999997"/>
  </r>
  <r>
    <d v="2025-04-18T00:00:00"/>
    <s v="marketing"/>
    <s v="NA"/>
    <x v="0"/>
    <n v="111.04"/>
    <x v="2"/>
    <x v="0"/>
    <x v="1"/>
    <x v="3"/>
    <n v="-1141.73"/>
  </r>
  <r>
    <d v="2025-04-18T00:00:00"/>
    <s v="net sales:product 1"/>
    <n v="9.99"/>
    <x v="131"/>
    <n v="939.06000000000006"/>
    <x v="3"/>
    <x v="1"/>
    <x v="1"/>
    <x v="3"/>
    <n v="-114.07000000000001"/>
  </r>
  <r>
    <d v="2025-04-18T00:00:00"/>
    <s v="net sales:product 2"/>
    <n v="24.99"/>
    <x v="25"/>
    <n v="24.99"/>
    <x v="3"/>
    <x v="2"/>
    <x v="1"/>
    <x v="3"/>
    <n v="529.47"/>
  </r>
  <r>
    <d v="2025-04-18T00:00:00"/>
    <s v="net sales:product 3"/>
    <n v="12.49"/>
    <x v="192"/>
    <n v="2510.4900000000002"/>
    <x v="3"/>
    <x v="3"/>
    <x v="1"/>
    <x v="3"/>
    <n v="49.98"/>
  </r>
  <r>
    <d v="2025-04-19T00:00:00"/>
    <s v="cogs:product 1"/>
    <n v="5.49"/>
    <x v="137"/>
    <n v="274.5"/>
    <x v="1"/>
    <x v="1"/>
    <x v="1"/>
    <x v="3"/>
    <n v="1586.23"/>
  </r>
  <r>
    <d v="2025-04-19T00:00:00"/>
    <s v="cogs:product 2"/>
    <n v="19.989999999999998"/>
    <x v="10"/>
    <n v="39.979999999999997"/>
    <x v="1"/>
    <x v="2"/>
    <x v="1"/>
    <x v="3"/>
    <n v="-247.05"/>
  </r>
  <r>
    <d v="2025-04-19T00:00:00"/>
    <s v="cogs:product 3"/>
    <n v="8.99"/>
    <x v="78"/>
    <n v="503.44"/>
    <x v="1"/>
    <x v="3"/>
    <x v="1"/>
    <x v="3"/>
    <n v="0"/>
  </r>
  <r>
    <d v="2025-04-19T00:00:00"/>
    <s v="marketing"/>
    <s v="NA"/>
    <x v="0"/>
    <n v="113.04"/>
    <x v="2"/>
    <x v="0"/>
    <x v="1"/>
    <x v="3"/>
    <n v="-2211.54"/>
  </r>
  <r>
    <d v="2025-04-19T00:00:00"/>
    <s v="net sales:product 1"/>
    <n v="9.99"/>
    <x v="137"/>
    <n v="499.5"/>
    <x v="3"/>
    <x v="1"/>
    <x v="1"/>
    <x v="3"/>
    <n v="-118.91"/>
  </r>
  <r>
    <d v="2025-04-19T00:00:00"/>
    <s v="net sales:product 2"/>
    <n v="24.99"/>
    <x v="10"/>
    <n v="49.98"/>
    <x v="3"/>
    <x v="2"/>
    <x v="1"/>
    <x v="3"/>
    <n v="449.55"/>
  </r>
  <r>
    <d v="2025-04-19T00:00:00"/>
    <s v="net sales:product 3"/>
    <n v="12.49"/>
    <x v="78"/>
    <n v="699.44"/>
    <x v="3"/>
    <x v="3"/>
    <x v="1"/>
    <x v="3"/>
    <n v="0"/>
  </r>
  <r>
    <d v="2025-04-20T00:00:00"/>
    <s v="cogs:product 1"/>
    <n v="5.49"/>
    <x v="85"/>
    <n v="192.15"/>
    <x v="1"/>
    <x v="1"/>
    <x v="1"/>
    <x v="3"/>
    <n v="3072.54"/>
  </r>
  <r>
    <d v="2025-04-20T00:00:00"/>
    <s v="cogs:product 2"/>
    <n v="19.989999999999998"/>
    <x v="10"/>
    <n v="39.979999999999997"/>
    <x v="1"/>
    <x v="2"/>
    <x v="1"/>
    <x v="3"/>
    <n v="-32.94"/>
  </r>
  <r>
    <d v="2025-04-20T00:00:00"/>
    <s v="cogs:product 3"/>
    <n v="8.99"/>
    <x v="101"/>
    <n v="710.21"/>
    <x v="1"/>
    <x v="3"/>
    <x v="1"/>
    <x v="3"/>
    <n v="-139.92999999999998"/>
  </r>
  <r>
    <d v="2025-04-20T00:00:00"/>
    <s v="marketing"/>
    <s v="NA"/>
    <x v="0"/>
    <n v="113.95"/>
    <x v="2"/>
    <x v="0"/>
    <x v="1"/>
    <x v="3"/>
    <n v="-53.94"/>
  </r>
  <r>
    <d v="2025-04-20T00:00:00"/>
    <s v="net sales:product 1"/>
    <n v="9.99"/>
    <x v="85"/>
    <n v="349.65000000000003"/>
    <x v="3"/>
    <x v="1"/>
    <x v="1"/>
    <x v="3"/>
    <n v="-106.08"/>
  </r>
  <r>
    <d v="2025-04-20T00:00:00"/>
    <s v="net sales:product 2"/>
    <n v="24.99"/>
    <x v="10"/>
    <n v="49.98"/>
    <x v="3"/>
    <x v="2"/>
    <x v="1"/>
    <x v="3"/>
    <n v="59.94"/>
  </r>
  <r>
    <d v="2025-04-20T00:00:00"/>
    <s v="net sales:product 3"/>
    <n v="12.49"/>
    <x v="101"/>
    <n v="986.71"/>
    <x v="3"/>
    <x v="3"/>
    <x v="1"/>
    <x v="3"/>
    <n v="174.92999999999998"/>
  </r>
  <r>
    <d v="2025-04-21T00:00:00"/>
    <s v="cogs:product 1"/>
    <n v="5.49"/>
    <x v="114"/>
    <n v="263.52"/>
    <x v="1"/>
    <x v="1"/>
    <x v="1"/>
    <x v="3"/>
    <n v="74.94"/>
  </r>
  <r>
    <d v="2025-04-21T00:00:00"/>
    <s v="cogs:product 2"/>
    <n v="19.989999999999998"/>
    <x v="25"/>
    <n v="19.989999999999998"/>
    <x v="1"/>
    <x v="2"/>
    <x v="1"/>
    <x v="3"/>
    <n v="-258.03000000000003"/>
  </r>
  <r>
    <d v="2025-04-21T00:00:00"/>
    <s v="cogs:product 3"/>
    <n v="8.99"/>
    <x v="213"/>
    <n v="1501.33"/>
    <x v="1"/>
    <x v="3"/>
    <x v="1"/>
    <x v="3"/>
    <n v="-179.91"/>
  </r>
  <r>
    <d v="2025-04-21T00:00:00"/>
    <s v="marketing"/>
    <s v="NA"/>
    <x v="0"/>
    <n v="108"/>
    <x v="2"/>
    <x v="0"/>
    <x v="1"/>
    <x v="3"/>
    <n v="-449.5"/>
  </r>
  <r>
    <d v="2025-04-21T00:00:00"/>
    <s v="net sales:product 1"/>
    <n v="9.99"/>
    <x v="114"/>
    <n v="479.52"/>
    <x v="3"/>
    <x v="1"/>
    <x v="1"/>
    <x v="3"/>
    <n v="-110.98"/>
  </r>
  <r>
    <d v="2025-04-21T00:00:00"/>
    <s v="net sales:product 2"/>
    <n v="24.99"/>
    <x v="25"/>
    <n v="24.99"/>
    <x v="3"/>
    <x v="2"/>
    <x v="1"/>
    <x v="3"/>
    <n v="469.53000000000003"/>
  </r>
  <r>
    <d v="2025-04-21T00:00:00"/>
    <s v="net sales:product 3"/>
    <n v="12.49"/>
    <x v="213"/>
    <n v="2085.83"/>
    <x v="3"/>
    <x v="3"/>
    <x v="1"/>
    <x v="3"/>
    <n v="224.91"/>
  </r>
  <r>
    <d v="2025-04-22T00:00:00"/>
    <s v="cogs:product 1"/>
    <n v="5.49"/>
    <x v="108"/>
    <n v="527.04"/>
    <x v="1"/>
    <x v="1"/>
    <x v="1"/>
    <x v="3"/>
    <n v="624.5"/>
  </r>
  <r>
    <d v="2025-04-22T00:00:00"/>
    <s v="cogs:product 2"/>
    <n v="19.989999999999998"/>
    <x v="13"/>
    <n v="139.92999999999998"/>
    <x v="1"/>
    <x v="2"/>
    <x v="1"/>
    <x v="3"/>
    <n v="-241.56"/>
  </r>
  <r>
    <d v="2025-04-22T00:00:00"/>
    <s v="cogs:product 3"/>
    <n v="8.99"/>
    <x v="124"/>
    <n v="305.66000000000003"/>
    <x v="1"/>
    <x v="3"/>
    <x v="1"/>
    <x v="3"/>
    <n v="-159.91999999999999"/>
  </r>
  <r>
    <d v="2025-04-22T00:00:00"/>
    <s v="marketing"/>
    <s v="NA"/>
    <x v="0"/>
    <n v="118.04"/>
    <x v="2"/>
    <x v="0"/>
    <x v="1"/>
    <x v="3"/>
    <n v="-584.35"/>
  </r>
  <r>
    <d v="2025-04-22T00:00:00"/>
    <s v="net sales:product 1"/>
    <n v="9.99"/>
    <x v="108"/>
    <n v="959.04"/>
    <x v="3"/>
    <x v="1"/>
    <x v="1"/>
    <x v="3"/>
    <n v="-118.02"/>
  </r>
  <r>
    <d v="2025-04-22T00:00:00"/>
    <s v="net sales:product 2"/>
    <n v="24.99"/>
    <x v="13"/>
    <n v="174.92999999999998"/>
    <x v="3"/>
    <x v="2"/>
    <x v="1"/>
    <x v="3"/>
    <n v="439.56"/>
  </r>
  <r>
    <d v="2025-04-22T00:00:00"/>
    <s v="net sales:product 3"/>
    <n v="12.49"/>
    <x v="124"/>
    <n v="424.66"/>
    <x v="3"/>
    <x v="3"/>
    <x v="1"/>
    <x v="3"/>
    <n v="199.92"/>
  </r>
  <r>
    <d v="2025-04-23T00:00:00"/>
    <s v="cogs:product 1"/>
    <n v="5.49"/>
    <x v="131"/>
    <n v="516.06000000000006"/>
    <x v="1"/>
    <x v="1"/>
    <x v="1"/>
    <x v="3"/>
    <n v="811.85"/>
  </r>
  <r>
    <d v="2025-04-23T00:00:00"/>
    <s v="cogs:product 2"/>
    <n v="19.989999999999998"/>
    <x v="13"/>
    <n v="139.92999999999998"/>
    <x v="1"/>
    <x v="2"/>
    <x v="1"/>
    <x v="3"/>
    <n v="-472.14000000000004"/>
  </r>
  <r>
    <d v="2025-04-23T00:00:00"/>
    <s v="cogs:product 3"/>
    <n v="8.99"/>
    <x v="139"/>
    <n v="323.64"/>
    <x v="1"/>
    <x v="3"/>
    <x v="1"/>
    <x v="3"/>
    <n v="-99.949999999999989"/>
  </r>
  <r>
    <d v="2025-04-23T00:00:00"/>
    <s v="marketing"/>
    <s v="NA"/>
    <x v="0"/>
    <n v="110.02"/>
    <x v="2"/>
    <x v="0"/>
    <x v="1"/>
    <x v="3"/>
    <n v="-1591.23"/>
  </r>
  <r>
    <d v="2025-04-23T00:00:00"/>
    <s v="net sales:product 1"/>
    <n v="9.99"/>
    <x v="131"/>
    <n v="939.06000000000006"/>
    <x v="3"/>
    <x v="1"/>
    <x v="1"/>
    <x v="3"/>
    <n v="-115"/>
  </r>
  <r>
    <d v="2025-04-23T00:00:00"/>
    <s v="net sales:product 2"/>
    <n v="24.99"/>
    <x v="13"/>
    <n v="174.92999999999998"/>
    <x v="3"/>
    <x v="2"/>
    <x v="1"/>
    <x v="3"/>
    <n v="859.14"/>
  </r>
  <r>
    <d v="2025-04-23T00:00:00"/>
    <s v="net sales:product 3"/>
    <n v="12.49"/>
    <x v="139"/>
    <n v="449.64"/>
    <x v="3"/>
    <x v="3"/>
    <x v="1"/>
    <x v="3"/>
    <n v="124.94999999999999"/>
  </r>
  <r>
    <d v="2025-04-24T00:00:00"/>
    <s v="cogs:product 1"/>
    <n v="5.49"/>
    <x v="14"/>
    <n v="521.55000000000007"/>
    <x v="1"/>
    <x v="1"/>
    <x v="1"/>
    <x v="3"/>
    <n v="2210.73"/>
  </r>
  <r>
    <d v="2025-04-24T00:00:00"/>
    <s v="cogs:product 2"/>
    <n v="19.989999999999998"/>
    <x v="19"/>
    <n v="79.959999999999994"/>
    <x v="1"/>
    <x v="2"/>
    <x v="1"/>
    <x v="3"/>
    <n v="-38.43"/>
  </r>
  <r>
    <d v="2025-04-24T00:00:00"/>
    <s v="cogs:product 3"/>
    <n v="8.99"/>
    <x v="47"/>
    <n v="2211.54"/>
    <x v="1"/>
    <x v="3"/>
    <x v="1"/>
    <x v="3"/>
    <n v="-19.989999999999998"/>
  </r>
  <r>
    <d v="2025-04-24T00:00:00"/>
    <s v="marketing"/>
    <s v="NA"/>
    <x v="0"/>
    <n v="106.02"/>
    <x v="2"/>
    <x v="0"/>
    <x v="1"/>
    <x v="3"/>
    <n v="-2130.63"/>
  </r>
  <r>
    <d v="2025-04-24T00:00:00"/>
    <s v="net sales:product 1"/>
    <n v="9.99"/>
    <x v="14"/>
    <n v="949.05000000000007"/>
    <x v="3"/>
    <x v="1"/>
    <x v="1"/>
    <x v="3"/>
    <n v="-104.04"/>
  </r>
  <r>
    <d v="2025-04-24T00:00:00"/>
    <s v="net sales:product 2"/>
    <n v="24.99"/>
    <x v="19"/>
    <n v="99.96"/>
    <x v="3"/>
    <x v="2"/>
    <x v="1"/>
    <x v="3"/>
    <n v="69.930000000000007"/>
  </r>
  <r>
    <d v="2025-04-24T00:00:00"/>
    <s v="net sales:product 3"/>
    <n v="12.49"/>
    <x v="47"/>
    <n v="3072.54"/>
    <x v="3"/>
    <x v="3"/>
    <x v="1"/>
    <x v="3"/>
    <n v="24.99"/>
  </r>
  <r>
    <d v="2025-04-25T00:00:00"/>
    <s v="cogs:product 1"/>
    <n v="5.49"/>
    <x v="29"/>
    <n v="27.450000000000003"/>
    <x v="1"/>
    <x v="1"/>
    <x v="1"/>
    <x v="3"/>
    <n v="2960.13"/>
  </r>
  <r>
    <d v="2025-04-25T00:00:00"/>
    <s v="cogs:product 2"/>
    <n v="19.989999999999998"/>
    <x v="42"/>
    <n v="119.94"/>
    <x v="1"/>
    <x v="2"/>
    <x v="1"/>
    <x v="3"/>
    <n v="-477.63"/>
  </r>
  <r>
    <d v="2025-04-25T00:00:00"/>
    <s v="cogs:product 3"/>
    <n v="8.99"/>
    <x v="133"/>
    <n v="1240.6200000000001"/>
    <x v="1"/>
    <x v="3"/>
    <x v="1"/>
    <x v="3"/>
    <n v="-119.94"/>
  </r>
  <r>
    <d v="2025-04-25T00:00:00"/>
    <s v="marketing"/>
    <s v="NA"/>
    <x v="0"/>
    <n v="118"/>
    <x v="2"/>
    <x v="0"/>
    <x v="1"/>
    <x v="3"/>
    <n v="-674.25"/>
  </r>
  <r>
    <d v="2025-04-25T00:00:00"/>
    <s v="net sales:product 1"/>
    <n v="9.99"/>
    <x v="29"/>
    <n v="49.95"/>
    <x v="3"/>
    <x v="1"/>
    <x v="1"/>
    <x v="3"/>
    <n v="-109.91"/>
  </r>
  <r>
    <d v="2025-04-25T00:00:00"/>
    <s v="net sales:product 2"/>
    <n v="24.99"/>
    <x v="42"/>
    <n v="149.94"/>
    <x v="3"/>
    <x v="2"/>
    <x v="1"/>
    <x v="3"/>
    <n v="869.13"/>
  </r>
  <r>
    <d v="2025-04-25T00:00:00"/>
    <s v="net sales:product 3"/>
    <n v="12.49"/>
    <x v="133"/>
    <n v="1723.6200000000001"/>
    <x v="3"/>
    <x v="3"/>
    <x v="1"/>
    <x v="3"/>
    <n v="149.94"/>
  </r>
  <r>
    <d v="2025-04-25T00:00:00"/>
    <s v="payroll"/>
    <s v="NA"/>
    <x v="0"/>
    <n v="1200"/>
    <x v="5"/>
    <x v="0"/>
    <x v="1"/>
    <x v="3"/>
    <n v="936.75"/>
  </r>
  <r>
    <d v="2025-04-26T00:00:00"/>
    <s v="cogs:product 1"/>
    <n v="5.49"/>
    <x v="110"/>
    <n v="334.89"/>
    <x v="1"/>
    <x v="1"/>
    <x v="1"/>
    <x v="3"/>
    <n v="-351.36"/>
  </r>
  <r>
    <d v="2025-04-26T00:00:00"/>
    <s v="cogs:product 2"/>
    <n v="19.989999999999998"/>
    <x v="10"/>
    <n v="39.979999999999997"/>
    <x v="1"/>
    <x v="2"/>
    <x v="1"/>
    <x v="3"/>
    <n v="0"/>
  </r>
  <r>
    <d v="2025-04-26T00:00:00"/>
    <s v="cogs:product 3"/>
    <n v="8.99"/>
    <x v="186"/>
    <n v="2157.6"/>
    <x v="1"/>
    <x v="3"/>
    <x v="1"/>
    <x v="3"/>
    <n v="-8.99"/>
  </r>
  <r>
    <d v="2025-04-26T00:00:00"/>
    <s v="marketing"/>
    <s v="NA"/>
    <x v="0"/>
    <n v="100.01"/>
    <x v="2"/>
    <x v="0"/>
    <x v="1"/>
    <x v="3"/>
    <n v="-119.99000000000001"/>
  </r>
  <r>
    <d v="2025-04-26T00:00:00"/>
    <s v="net sales:product 1"/>
    <n v="9.99"/>
    <x v="110"/>
    <n v="609.39"/>
    <x v="3"/>
    <x v="1"/>
    <x v="1"/>
    <x v="3"/>
    <n v="639.36"/>
  </r>
  <r>
    <d v="2025-04-26T00:00:00"/>
    <s v="net sales:product 2"/>
    <n v="24.99"/>
    <x v="10"/>
    <n v="49.98"/>
    <x v="3"/>
    <x v="2"/>
    <x v="1"/>
    <x v="3"/>
    <n v="0"/>
  </r>
  <r>
    <d v="2025-04-26T00:00:00"/>
    <s v="net sales:product 3"/>
    <n v="12.49"/>
    <x v="186"/>
    <n v="2997.6"/>
    <x v="3"/>
    <x v="3"/>
    <x v="1"/>
    <x v="3"/>
    <n v="12.49"/>
  </r>
  <r>
    <d v="2025-04-27T00:00:00"/>
    <s v="cogs:product 1"/>
    <n v="5.49"/>
    <x v="92"/>
    <n v="290.97000000000003"/>
    <x v="1"/>
    <x v="1"/>
    <x v="1"/>
    <x v="3"/>
    <n v="-329.40000000000003"/>
  </r>
  <r>
    <d v="2025-04-27T00:00:00"/>
    <s v="cogs:product 2"/>
    <n v="19.989999999999998"/>
    <x v="19"/>
    <n v="79.959999999999994"/>
    <x v="1"/>
    <x v="2"/>
    <x v="1"/>
    <x v="3"/>
    <n v="-39.979999999999997"/>
  </r>
  <r>
    <d v="2025-04-27T00:00:00"/>
    <s v="cogs:product 3"/>
    <n v="8.99"/>
    <x v="145"/>
    <n v="134.85"/>
    <x v="1"/>
    <x v="3"/>
    <x v="1"/>
    <x v="3"/>
    <n v="-1932.8500000000001"/>
  </r>
  <r>
    <d v="2025-04-27T00:00:00"/>
    <s v="marketing"/>
    <s v="NA"/>
    <x v="0"/>
    <n v="115.08"/>
    <x v="2"/>
    <x v="0"/>
    <x v="1"/>
    <x v="3"/>
    <n v="-114.05"/>
  </r>
  <r>
    <d v="2025-04-27T00:00:00"/>
    <s v="net sales:product 1"/>
    <n v="9.99"/>
    <x v="92"/>
    <n v="529.47"/>
    <x v="3"/>
    <x v="1"/>
    <x v="1"/>
    <x v="3"/>
    <n v="599.4"/>
  </r>
  <r>
    <d v="2025-04-27T00:00:00"/>
    <s v="net sales:product 2"/>
    <n v="24.99"/>
    <x v="19"/>
    <n v="99.96"/>
    <x v="3"/>
    <x v="2"/>
    <x v="1"/>
    <x v="3"/>
    <n v="49.98"/>
  </r>
  <r>
    <d v="2025-04-27T00:00:00"/>
    <s v="net sales:product 3"/>
    <n v="12.49"/>
    <x v="145"/>
    <n v="187.35"/>
    <x v="3"/>
    <x v="3"/>
    <x v="1"/>
    <x v="3"/>
    <n v="2685.35"/>
  </r>
  <r>
    <d v="2025-04-28T00:00:00"/>
    <s v="cogs:product 1"/>
    <n v="5.49"/>
    <x v="140"/>
    <n v="159.21"/>
    <x v="1"/>
    <x v="1"/>
    <x v="1"/>
    <x v="3"/>
    <n v="-1200"/>
  </r>
  <r>
    <d v="2025-04-28T00:00:00"/>
    <s v="cogs:product 2"/>
    <n v="19.989999999999998"/>
    <x v="16"/>
    <n v="159.91999999999999"/>
    <x v="1"/>
    <x v="2"/>
    <x v="1"/>
    <x v="3"/>
    <n v="-104.31"/>
  </r>
  <r>
    <d v="2025-04-28T00:00:00"/>
    <s v="cogs:product 3"/>
    <n v="8.99"/>
    <x v="214"/>
    <n v="943.95"/>
    <x v="1"/>
    <x v="3"/>
    <x v="1"/>
    <x v="3"/>
    <n v="-179.91"/>
  </r>
  <r>
    <d v="2025-04-28T00:00:00"/>
    <s v="marketing"/>
    <s v="NA"/>
    <x v="0"/>
    <n v="110.93"/>
    <x v="2"/>
    <x v="0"/>
    <x v="1"/>
    <x v="3"/>
    <n v="-1878.91"/>
  </r>
  <r>
    <d v="2025-04-28T00:00:00"/>
    <s v="net sales:product 1"/>
    <n v="9.99"/>
    <x v="140"/>
    <n v="289.70999999999998"/>
    <x v="3"/>
    <x v="1"/>
    <x v="1"/>
    <x v="3"/>
    <n v="-109.07000000000001"/>
  </r>
  <r>
    <d v="2025-04-28T00:00:00"/>
    <s v="net sales:product 2"/>
    <n v="24.99"/>
    <x v="16"/>
    <n v="199.92"/>
    <x v="3"/>
    <x v="2"/>
    <x v="1"/>
    <x v="3"/>
    <n v="189.81"/>
  </r>
  <r>
    <d v="2025-04-28T00:00:00"/>
    <s v="net sales:product 3"/>
    <n v="12.49"/>
    <x v="214"/>
    <n v="1311.45"/>
    <x v="3"/>
    <x v="3"/>
    <x v="1"/>
    <x v="3"/>
    <n v="224.91"/>
  </r>
  <r>
    <d v="2025-04-29T00:00:00"/>
    <s v="cogs:product 1"/>
    <n v="5.49"/>
    <x v="69"/>
    <n v="422.73"/>
    <x v="1"/>
    <x v="1"/>
    <x v="1"/>
    <x v="3"/>
    <n v="2610.41"/>
  </r>
  <r>
    <d v="2025-04-29T00:00:00"/>
    <s v="cogs:product 2"/>
    <n v="19.989999999999998"/>
    <x v="19"/>
    <n v="79.959999999999994"/>
    <x v="1"/>
    <x v="2"/>
    <x v="1"/>
    <x v="3"/>
    <n v="-225.09"/>
  </r>
  <r>
    <d v="2025-04-29T00:00:00"/>
    <s v="cogs:product 3"/>
    <n v="8.99"/>
    <x v="23"/>
    <n v="0"/>
    <x v="1"/>
    <x v="3"/>
    <x v="1"/>
    <x v="3"/>
    <n v="-79.959999999999994"/>
  </r>
  <r>
    <d v="2025-04-29T00:00:00"/>
    <s v="marketing"/>
    <s v="NA"/>
    <x v="0"/>
    <n v="116.08"/>
    <x v="2"/>
    <x v="0"/>
    <x v="1"/>
    <x v="3"/>
    <n v="-215.76"/>
  </r>
  <r>
    <d v="2025-04-29T00:00:00"/>
    <s v="net sales:product 1"/>
    <n v="9.99"/>
    <x v="69"/>
    <n v="769.23"/>
    <x v="3"/>
    <x v="1"/>
    <x v="1"/>
    <x v="3"/>
    <n v="-112.01"/>
  </r>
  <r>
    <d v="2025-04-29T00:00:00"/>
    <s v="net sales:product 2"/>
    <n v="24.99"/>
    <x v="19"/>
    <n v="99.96"/>
    <x v="3"/>
    <x v="2"/>
    <x v="1"/>
    <x v="3"/>
    <n v="409.59000000000003"/>
  </r>
  <r>
    <d v="2025-04-29T00:00:00"/>
    <s v="net sales:product 3"/>
    <n v="12.49"/>
    <x v="23"/>
    <n v="0"/>
    <x v="3"/>
    <x v="3"/>
    <x v="1"/>
    <x v="3"/>
    <n v="99.96"/>
  </r>
  <r>
    <d v="2025-04-30T00:00:00"/>
    <s v="cogs:product 1"/>
    <n v="5.49"/>
    <x v="79"/>
    <n v="345.87"/>
    <x v="1"/>
    <x v="1"/>
    <x v="1"/>
    <x v="3"/>
    <n v="299.76"/>
  </r>
  <r>
    <d v="2025-04-30T00:00:00"/>
    <s v="cogs:product 2"/>
    <n v="19.989999999999998"/>
    <x v="19"/>
    <n v="79.959999999999994"/>
    <x v="1"/>
    <x v="2"/>
    <x v="1"/>
    <x v="3"/>
    <n v="-532.53"/>
  </r>
  <r>
    <d v="2025-04-30T00:00:00"/>
    <s v="cogs:product 3"/>
    <n v="8.99"/>
    <x v="134"/>
    <n v="575.36"/>
    <x v="1"/>
    <x v="3"/>
    <x v="1"/>
    <x v="3"/>
    <n v="-39.979999999999997"/>
  </r>
  <r>
    <d v="2025-04-30T00:00:00"/>
    <s v="marketing"/>
    <s v="NA"/>
    <x v="0"/>
    <n v="118.94"/>
    <x v="2"/>
    <x v="0"/>
    <x v="1"/>
    <x v="3"/>
    <n v="-836.07"/>
  </r>
  <r>
    <d v="2025-04-30T00:00:00"/>
    <s v="net sales:product 1"/>
    <n v="9.99"/>
    <x v="79"/>
    <n v="629.37"/>
    <x v="3"/>
    <x v="1"/>
    <x v="1"/>
    <x v="3"/>
    <n v="-109.91"/>
  </r>
  <r>
    <d v="2025-04-30T00:00:00"/>
    <s v="net sales:product 2"/>
    <n v="24.99"/>
    <x v="19"/>
    <n v="99.96"/>
    <x v="3"/>
    <x v="2"/>
    <x v="1"/>
    <x v="3"/>
    <n v="969.03"/>
  </r>
  <r>
    <d v="2025-04-30T00:00:00"/>
    <s v="net sales:product 3"/>
    <n v="12.49"/>
    <x v="134"/>
    <n v="799.36"/>
    <x v="3"/>
    <x v="3"/>
    <x v="1"/>
    <x v="3"/>
    <n v="49.98"/>
  </r>
  <r>
    <d v="2025-05-01T00:00:00"/>
    <s v="amortization"/>
    <s v="NA"/>
    <x v="0"/>
    <n v="50"/>
    <x v="0"/>
    <x v="0"/>
    <x v="1"/>
    <x v="4"/>
    <n v="1161.57"/>
  </r>
  <r>
    <d v="2025-05-01T00:00:00"/>
    <s v="cogs:product 1"/>
    <n v="5.49"/>
    <x v="95"/>
    <n v="329.40000000000003"/>
    <x v="1"/>
    <x v="1"/>
    <x v="1"/>
    <x v="4"/>
    <n v="0"/>
  </r>
  <r>
    <d v="2025-05-01T00:00:00"/>
    <s v="cogs:product 2"/>
    <n v="19.989999999999998"/>
    <x v="25"/>
    <n v="19.989999999999998"/>
    <x v="1"/>
    <x v="2"/>
    <x v="1"/>
    <x v="4"/>
    <n v="-87.84"/>
  </r>
  <r>
    <d v="2025-05-01T00:00:00"/>
    <s v="cogs:product 3"/>
    <n v="8.99"/>
    <x v="22"/>
    <n v="89.9"/>
    <x v="1"/>
    <x v="3"/>
    <x v="1"/>
    <x v="4"/>
    <n v="0"/>
  </r>
  <r>
    <d v="2025-05-01T00:00:00"/>
    <s v="marketing"/>
    <s v="NA"/>
    <x v="0"/>
    <n v="109.07000000000001"/>
    <x v="2"/>
    <x v="0"/>
    <x v="1"/>
    <x v="4"/>
    <n v="-503.44"/>
  </r>
  <r>
    <d v="2025-05-01T00:00:00"/>
    <s v="net sales:product 1"/>
    <n v="9.99"/>
    <x v="95"/>
    <n v="599.4"/>
    <x v="3"/>
    <x v="1"/>
    <x v="1"/>
    <x v="4"/>
    <n v="-110.05"/>
  </r>
  <r>
    <d v="2025-05-01T00:00:00"/>
    <s v="net sales:product 2"/>
    <n v="24.99"/>
    <x v="25"/>
    <n v="24.99"/>
    <x v="3"/>
    <x v="2"/>
    <x v="1"/>
    <x v="4"/>
    <n v="159.84"/>
  </r>
  <r>
    <d v="2025-05-01T00:00:00"/>
    <s v="net sales:product 3"/>
    <n v="12.49"/>
    <x v="22"/>
    <n v="124.9"/>
    <x v="3"/>
    <x v="3"/>
    <x v="1"/>
    <x v="4"/>
    <n v="0"/>
  </r>
  <r>
    <d v="2025-05-01T00:00:00"/>
    <s v="overhead"/>
    <s v="NA"/>
    <x v="0"/>
    <n v="2000"/>
    <x v="4"/>
    <x v="0"/>
    <x v="1"/>
    <x v="4"/>
    <n v="699.44"/>
  </r>
  <r>
    <d v="2025-05-02T00:00:00"/>
    <s v="cogs:product 1"/>
    <n v="5.49"/>
    <x v="30"/>
    <n v="93.33"/>
    <x v="1"/>
    <x v="1"/>
    <x v="1"/>
    <x v="4"/>
    <n v="-2000"/>
  </r>
  <r>
    <d v="2025-05-02T00:00:00"/>
    <s v="cogs:product 2"/>
    <n v="19.989999999999998"/>
    <x v="2"/>
    <n v="59.97"/>
    <x v="1"/>
    <x v="2"/>
    <x v="1"/>
    <x v="4"/>
    <n v="-236.07000000000002"/>
  </r>
  <r>
    <d v="2025-05-02T00:00:00"/>
    <s v="cogs:product 3"/>
    <n v="8.99"/>
    <x v="204"/>
    <n v="1438.4"/>
    <x v="1"/>
    <x v="3"/>
    <x v="1"/>
    <x v="4"/>
    <n v="-19.989999999999998"/>
  </r>
  <r>
    <d v="2025-05-02T00:00:00"/>
    <s v="marketing"/>
    <s v="NA"/>
    <x v="0"/>
    <n v="105.92"/>
    <x v="2"/>
    <x v="0"/>
    <x v="1"/>
    <x v="4"/>
    <n v="-260.70999999999998"/>
  </r>
  <r>
    <d v="2025-05-02T00:00:00"/>
    <s v="net sales:product 1"/>
    <n v="9.99"/>
    <x v="30"/>
    <n v="169.83"/>
    <x v="3"/>
    <x v="1"/>
    <x v="1"/>
    <x v="4"/>
    <n v="-119.03"/>
  </r>
  <r>
    <d v="2025-05-02T00:00:00"/>
    <s v="net sales:product 2"/>
    <n v="24.99"/>
    <x v="2"/>
    <n v="74.97"/>
    <x v="3"/>
    <x v="2"/>
    <x v="1"/>
    <x v="4"/>
    <n v="429.57"/>
  </r>
  <r>
    <d v="2025-05-02T00:00:00"/>
    <s v="net sales:product 3"/>
    <n v="12.49"/>
    <x v="204"/>
    <n v="1998.4"/>
    <x v="3"/>
    <x v="3"/>
    <x v="1"/>
    <x v="4"/>
    <n v="24.99"/>
  </r>
  <r>
    <d v="2025-05-03T00:00:00"/>
    <s v="cogs:product 1"/>
    <n v="5.49"/>
    <x v="139"/>
    <n v="197.64000000000001"/>
    <x v="1"/>
    <x v="1"/>
    <x v="1"/>
    <x v="4"/>
    <n v="362.21"/>
  </r>
  <r>
    <d v="2025-05-03T00:00:00"/>
    <s v="cogs:product 2"/>
    <n v="19.989999999999998"/>
    <x v="19"/>
    <n v="79.959999999999994"/>
    <x v="1"/>
    <x v="2"/>
    <x v="1"/>
    <x v="4"/>
    <n v="-296.46000000000004"/>
  </r>
  <r>
    <d v="2025-05-03T00:00:00"/>
    <s v="cogs:product 3"/>
    <n v="8.99"/>
    <x v="57"/>
    <n v="1537.29"/>
    <x v="1"/>
    <x v="3"/>
    <x v="1"/>
    <x v="4"/>
    <n v="0"/>
  </r>
  <r>
    <d v="2025-05-03T00:00:00"/>
    <s v="marketing"/>
    <s v="NA"/>
    <x v="0"/>
    <n v="105"/>
    <x v="2"/>
    <x v="0"/>
    <x v="1"/>
    <x v="4"/>
    <n v="-116.87"/>
  </r>
  <r>
    <d v="2025-05-03T00:00:00"/>
    <s v="net sales:product 1"/>
    <n v="9.99"/>
    <x v="139"/>
    <n v="359.64"/>
    <x v="3"/>
    <x v="1"/>
    <x v="1"/>
    <x v="4"/>
    <n v="-117.93"/>
  </r>
  <r>
    <d v="2025-05-03T00:00:00"/>
    <s v="net sales:product 2"/>
    <n v="24.99"/>
    <x v="19"/>
    <n v="99.96"/>
    <x v="3"/>
    <x v="2"/>
    <x v="1"/>
    <x v="4"/>
    <n v="539.46"/>
  </r>
  <r>
    <d v="2025-05-03T00:00:00"/>
    <s v="net sales:product 3"/>
    <n v="12.49"/>
    <x v="57"/>
    <n v="2135.79"/>
    <x v="3"/>
    <x v="3"/>
    <x v="1"/>
    <x v="4"/>
    <n v="0"/>
  </r>
  <r>
    <d v="2025-05-04T00:00:00"/>
    <s v="cogs:product 1"/>
    <n v="5.49"/>
    <x v="108"/>
    <n v="527.04"/>
    <x v="1"/>
    <x v="1"/>
    <x v="1"/>
    <x v="4"/>
    <n v="162.37"/>
  </r>
  <r>
    <d v="2025-05-04T00:00:00"/>
    <s v="cogs:product 2"/>
    <n v="19.989999999999998"/>
    <x v="16"/>
    <n v="159.91999999999999"/>
    <x v="1"/>
    <x v="2"/>
    <x v="1"/>
    <x v="4"/>
    <n v="-236.07000000000002"/>
  </r>
  <r>
    <d v="2025-05-04T00:00:00"/>
    <s v="cogs:product 3"/>
    <n v="8.99"/>
    <x v="77"/>
    <n v="1132.74"/>
    <x v="1"/>
    <x v="3"/>
    <x v="1"/>
    <x v="4"/>
    <n v="-119.94"/>
  </r>
  <r>
    <d v="2025-05-04T00:00:00"/>
    <s v="marketing"/>
    <s v="NA"/>
    <x v="0"/>
    <n v="106.92"/>
    <x v="2"/>
    <x v="0"/>
    <x v="1"/>
    <x v="4"/>
    <n v="-2058.71"/>
  </r>
  <r>
    <d v="2025-05-04T00:00:00"/>
    <s v="net sales:product 1"/>
    <n v="9.99"/>
    <x v="108"/>
    <n v="959.04"/>
    <x v="3"/>
    <x v="1"/>
    <x v="1"/>
    <x v="4"/>
    <n v="-101.96000000000001"/>
  </r>
  <r>
    <d v="2025-05-04T00:00:00"/>
    <s v="net sales:product 2"/>
    <n v="24.99"/>
    <x v="16"/>
    <n v="199.92"/>
    <x v="3"/>
    <x v="2"/>
    <x v="1"/>
    <x v="4"/>
    <n v="429.57"/>
  </r>
  <r>
    <d v="2025-05-04T00:00:00"/>
    <s v="net sales:product 3"/>
    <n v="12.49"/>
    <x v="77"/>
    <n v="1573.74"/>
    <x v="3"/>
    <x v="3"/>
    <x v="1"/>
    <x v="4"/>
    <n v="149.94"/>
  </r>
  <r>
    <d v="2025-05-05T00:00:00"/>
    <s v="cogs:product 1"/>
    <n v="5.49"/>
    <x v="7"/>
    <n v="49.410000000000004"/>
    <x v="1"/>
    <x v="1"/>
    <x v="1"/>
    <x v="4"/>
    <n v="2860.21"/>
  </r>
  <r>
    <d v="2025-05-05T00:00:00"/>
    <s v="cogs:product 2"/>
    <n v="19.989999999999998"/>
    <x v="25"/>
    <n v="19.989999999999998"/>
    <x v="1"/>
    <x v="2"/>
    <x v="1"/>
    <x v="4"/>
    <n v="-285.48"/>
  </r>
  <r>
    <d v="2025-05-05T00:00:00"/>
    <s v="cogs:product 3"/>
    <n v="8.99"/>
    <x v="23"/>
    <n v="0"/>
    <x v="1"/>
    <x v="3"/>
    <x v="1"/>
    <x v="4"/>
    <n v="-79.959999999999994"/>
  </r>
  <r>
    <d v="2025-05-05T00:00:00"/>
    <s v="marketing"/>
    <s v="NA"/>
    <x v="0"/>
    <n v="120.05"/>
    <x v="2"/>
    <x v="0"/>
    <x v="1"/>
    <x v="4"/>
    <n v="-2202.5500000000002"/>
  </r>
  <r>
    <d v="2025-05-05T00:00:00"/>
    <s v="net sales:product 1"/>
    <n v="9.99"/>
    <x v="7"/>
    <n v="89.91"/>
    <x v="3"/>
    <x v="1"/>
    <x v="1"/>
    <x v="4"/>
    <n v="-99.990000000000009"/>
  </r>
  <r>
    <d v="2025-05-05T00:00:00"/>
    <s v="net sales:product 2"/>
    <n v="24.99"/>
    <x v="25"/>
    <n v="24.99"/>
    <x v="3"/>
    <x v="2"/>
    <x v="1"/>
    <x v="4"/>
    <n v="519.48"/>
  </r>
  <r>
    <d v="2025-05-05T00:00:00"/>
    <s v="net sales:product 3"/>
    <n v="12.49"/>
    <x v="23"/>
    <n v="0"/>
    <x v="3"/>
    <x v="3"/>
    <x v="1"/>
    <x v="4"/>
    <n v="99.96"/>
  </r>
  <r>
    <d v="2025-05-06T00:00:00"/>
    <s v="cogs:product 1"/>
    <n v="5.49"/>
    <x v="124"/>
    <n v="186.66"/>
    <x v="1"/>
    <x v="1"/>
    <x v="1"/>
    <x v="4"/>
    <n v="3060.05"/>
  </r>
  <r>
    <d v="2025-05-06T00:00:00"/>
    <s v="cogs:product 2"/>
    <n v="19.989999999999998"/>
    <x v="42"/>
    <n v="119.94"/>
    <x v="1"/>
    <x v="2"/>
    <x v="1"/>
    <x v="4"/>
    <n v="-439.20000000000005"/>
  </r>
  <r>
    <d v="2025-05-06T00:00:00"/>
    <s v="cogs:product 3"/>
    <n v="8.99"/>
    <x v="124"/>
    <n v="305.66000000000003"/>
    <x v="1"/>
    <x v="3"/>
    <x v="1"/>
    <x v="4"/>
    <n v="-139.92999999999998"/>
  </r>
  <r>
    <d v="2025-05-06T00:00:00"/>
    <s v="marketing"/>
    <s v="NA"/>
    <x v="0"/>
    <n v="112.03"/>
    <x v="2"/>
    <x v="0"/>
    <x v="1"/>
    <x v="4"/>
    <n v="-1860.93"/>
  </r>
  <r>
    <d v="2025-05-06T00:00:00"/>
    <s v="net sales:product 1"/>
    <n v="9.99"/>
    <x v="124"/>
    <n v="339.66"/>
    <x v="3"/>
    <x v="1"/>
    <x v="1"/>
    <x v="4"/>
    <n v="-116"/>
  </r>
  <r>
    <d v="2025-05-06T00:00:00"/>
    <s v="net sales:product 2"/>
    <n v="24.99"/>
    <x v="42"/>
    <n v="149.94"/>
    <x v="3"/>
    <x v="2"/>
    <x v="1"/>
    <x v="4"/>
    <n v="799.2"/>
  </r>
  <r>
    <d v="2025-05-06T00:00:00"/>
    <s v="net sales:product 3"/>
    <n v="12.49"/>
    <x v="124"/>
    <n v="424.66"/>
    <x v="3"/>
    <x v="3"/>
    <x v="1"/>
    <x v="4"/>
    <n v="174.92999999999998"/>
  </r>
  <r>
    <d v="2025-05-07T00:00:00"/>
    <s v="cogs:product 1"/>
    <n v="5.49"/>
    <x v="50"/>
    <n v="494.1"/>
    <x v="1"/>
    <x v="1"/>
    <x v="1"/>
    <x v="4"/>
    <n v="2585.4299999999998"/>
  </r>
  <r>
    <d v="2025-05-07T00:00:00"/>
    <s v="cogs:product 2"/>
    <n v="19.989999999999998"/>
    <x v="16"/>
    <n v="159.91999999999999"/>
    <x v="1"/>
    <x v="2"/>
    <x v="1"/>
    <x v="4"/>
    <n v="-296.46000000000004"/>
  </r>
  <r>
    <d v="2025-05-07T00:00:00"/>
    <s v="cogs:product 3"/>
    <n v="8.99"/>
    <x v="151"/>
    <n v="1869.92"/>
    <x v="1"/>
    <x v="3"/>
    <x v="1"/>
    <x v="4"/>
    <n v="-119.94"/>
  </r>
  <r>
    <d v="2025-05-07T00:00:00"/>
    <s v="marketing"/>
    <s v="NA"/>
    <x v="0"/>
    <n v="106.09"/>
    <x v="2"/>
    <x v="0"/>
    <x v="1"/>
    <x v="4"/>
    <n v="-1024.8600000000001"/>
  </r>
  <r>
    <d v="2025-05-07T00:00:00"/>
    <s v="net sales:product 1"/>
    <n v="9.99"/>
    <x v="50"/>
    <n v="899.1"/>
    <x v="3"/>
    <x v="1"/>
    <x v="1"/>
    <x v="4"/>
    <n v="-111.07000000000001"/>
  </r>
  <r>
    <d v="2025-05-07T00:00:00"/>
    <s v="net sales:product 2"/>
    <n v="24.99"/>
    <x v="16"/>
    <n v="199.92"/>
    <x v="3"/>
    <x v="2"/>
    <x v="1"/>
    <x v="4"/>
    <n v="539.46"/>
  </r>
  <r>
    <d v="2025-05-07T00:00:00"/>
    <s v="net sales:product 3"/>
    <n v="12.49"/>
    <x v="151"/>
    <n v="2597.92"/>
    <x v="3"/>
    <x v="3"/>
    <x v="1"/>
    <x v="4"/>
    <n v="149.94"/>
  </r>
  <r>
    <d v="2025-05-08T00:00:00"/>
    <s v="cogs:product 1"/>
    <n v="5.49"/>
    <x v="120"/>
    <n v="439.20000000000005"/>
    <x v="1"/>
    <x v="1"/>
    <x v="1"/>
    <x v="4"/>
    <n v="1423.8600000000001"/>
  </r>
  <r>
    <d v="2025-05-08T00:00:00"/>
    <s v="cogs:product 2"/>
    <n v="19.989999999999998"/>
    <x v="23"/>
    <n v="0"/>
    <x v="1"/>
    <x v="2"/>
    <x v="1"/>
    <x v="4"/>
    <n v="-483.12"/>
  </r>
  <r>
    <d v="2025-05-08T00:00:00"/>
    <s v="cogs:product 3"/>
    <n v="8.99"/>
    <x v="157"/>
    <n v="2049.7200000000003"/>
    <x v="1"/>
    <x v="3"/>
    <x v="1"/>
    <x v="4"/>
    <n v="-119.94"/>
  </r>
  <r>
    <d v="2025-05-08T00:00:00"/>
    <s v="marketing"/>
    <s v="NA"/>
    <x v="0"/>
    <n v="116.10000000000001"/>
    <x v="2"/>
    <x v="0"/>
    <x v="1"/>
    <x v="4"/>
    <n v="-2031.74"/>
  </r>
  <r>
    <d v="2025-05-08T00:00:00"/>
    <s v="net sales:product 1"/>
    <n v="9.99"/>
    <x v="120"/>
    <n v="799.2"/>
    <x v="3"/>
    <x v="1"/>
    <x v="1"/>
    <x v="4"/>
    <n v="-109.96000000000001"/>
  </r>
  <r>
    <d v="2025-05-08T00:00:00"/>
    <s v="net sales:product 2"/>
    <n v="24.99"/>
    <x v="23"/>
    <n v="0"/>
    <x v="3"/>
    <x v="2"/>
    <x v="1"/>
    <x v="4"/>
    <n v="879.12"/>
  </r>
  <r>
    <d v="2025-05-08T00:00:00"/>
    <s v="net sales:product 3"/>
    <n v="12.49"/>
    <x v="157"/>
    <n v="2847.7200000000003"/>
    <x v="3"/>
    <x v="3"/>
    <x v="1"/>
    <x v="4"/>
    <n v="149.94"/>
  </r>
  <r>
    <d v="2025-05-09T00:00:00"/>
    <s v="cogs:product 1"/>
    <n v="5.49"/>
    <x v="107"/>
    <n v="181.17000000000002"/>
    <x v="1"/>
    <x v="1"/>
    <x v="1"/>
    <x v="4"/>
    <n v="2822.7400000000002"/>
  </r>
  <r>
    <d v="2025-05-09T00:00:00"/>
    <s v="cogs:product 2"/>
    <n v="19.989999999999998"/>
    <x v="25"/>
    <n v="19.989999999999998"/>
    <x v="1"/>
    <x v="2"/>
    <x v="1"/>
    <x v="4"/>
    <n v="-367.83000000000004"/>
  </r>
  <r>
    <d v="2025-05-09T00:00:00"/>
    <s v="cogs:product 3"/>
    <n v="8.99"/>
    <x v="143"/>
    <n v="1393.45"/>
    <x v="1"/>
    <x v="3"/>
    <x v="1"/>
    <x v="4"/>
    <n v="-59.97"/>
  </r>
  <r>
    <d v="2025-05-09T00:00:00"/>
    <s v="marketing"/>
    <s v="NA"/>
    <x v="0"/>
    <n v="110.03"/>
    <x v="2"/>
    <x v="0"/>
    <x v="1"/>
    <x v="4"/>
    <n v="-602.33000000000004"/>
  </r>
  <r>
    <d v="2025-05-09T00:00:00"/>
    <s v="net sales:product 1"/>
    <n v="9.99"/>
    <x v="107"/>
    <n v="329.67"/>
    <x v="3"/>
    <x v="1"/>
    <x v="1"/>
    <x v="4"/>
    <n v="-114.94"/>
  </r>
  <r>
    <d v="2025-05-09T00:00:00"/>
    <s v="net sales:product 2"/>
    <n v="24.99"/>
    <x v="25"/>
    <n v="24.99"/>
    <x v="3"/>
    <x v="2"/>
    <x v="1"/>
    <x v="4"/>
    <n v="669.33"/>
  </r>
  <r>
    <d v="2025-05-09T00:00:00"/>
    <s v="net sales:product 3"/>
    <n v="12.49"/>
    <x v="143"/>
    <n v="1935.95"/>
    <x v="3"/>
    <x v="3"/>
    <x v="1"/>
    <x v="4"/>
    <n v="74.97"/>
  </r>
  <r>
    <d v="2025-05-09T00:00:00"/>
    <s v="payroll"/>
    <s v="NA"/>
    <x v="0"/>
    <n v="1200"/>
    <x v="5"/>
    <x v="0"/>
    <x v="1"/>
    <x v="4"/>
    <n v="836.83"/>
  </r>
  <r>
    <d v="2025-05-10T00:00:00"/>
    <s v="cogs:product 1"/>
    <n v="5.49"/>
    <x v="172"/>
    <n v="296.46000000000004"/>
    <x v="1"/>
    <x v="1"/>
    <x v="1"/>
    <x v="4"/>
    <n v="-543.51"/>
  </r>
  <r>
    <d v="2025-05-10T00:00:00"/>
    <s v="cogs:product 2"/>
    <n v="19.989999999999998"/>
    <x v="25"/>
    <n v="19.989999999999998"/>
    <x v="1"/>
    <x v="2"/>
    <x v="1"/>
    <x v="4"/>
    <n v="-19.989999999999998"/>
  </r>
  <r>
    <d v="2025-05-10T00:00:00"/>
    <s v="cogs:product 3"/>
    <n v="8.99"/>
    <x v="23"/>
    <n v="0"/>
    <x v="1"/>
    <x v="3"/>
    <x v="1"/>
    <x v="4"/>
    <n v="-1456.38"/>
  </r>
  <r>
    <d v="2025-05-10T00:00:00"/>
    <s v="marketing"/>
    <s v="NA"/>
    <x v="0"/>
    <n v="109.9"/>
    <x v="2"/>
    <x v="0"/>
    <x v="1"/>
    <x v="4"/>
    <n v="-106.97"/>
  </r>
  <r>
    <d v="2025-05-10T00:00:00"/>
    <s v="net sales:product 1"/>
    <n v="9.99"/>
    <x v="172"/>
    <n v="539.46"/>
    <x v="3"/>
    <x v="1"/>
    <x v="1"/>
    <x v="4"/>
    <n v="989.01"/>
  </r>
  <r>
    <d v="2025-05-10T00:00:00"/>
    <s v="net sales:product 2"/>
    <n v="24.99"/>
    <x v="25"/>
    <n v="24.99"/>
    <x v="3"/>
    <x v="2"/>
    <x v="1"/>
    <x v="4"/>
    <n v="24.99"/>
  </r>
  <r>
    <d v="2025-05-10T00:00:00"/>
    <s v="net sales:product 3"/>
    <n v="12.49"/>
    <x v="23"/>
    <n v="0"/>
    <x v="3"/>
    <x v="3"/>
    <x v="1"/>
    <x v="4"/>
    <n v="2023.38"/>
  </r>
  <r>
    <d v="2025-05-11T00:00:00"/>
    <s v="cogs:product 1"/>
    <n v="5.49"/>
    <x v="158"/>
    <n v="395.28000000000003"/>
    <x v="1"/>
    <x v="1"/>
    <x v="1"/>
    <x v="4"/>
    <n v="-428.22"/>
  </r>
  <r>
    <d v="2025-05-11T00:00:00"/>
    <s v="cogs:product 2"/>
    <n v="19.989999999999998"/>
    <x v="29"/>
    <n v="99.949999999999989"/>
    <x v="1"/>
    <x v="2"/>
    <x v="1"/>
    <x v="4"/>
    <n v="-79.959999999999994"/>
  </r>
  <r>
    <d v="2025-05-11T00:00:00"/>
    <s v="cogs:product 3"/>
    <n v="8.99"/>
    <x v="205"/>
    <n v="1339.51"/>
    <x v="1"/>
    <x v="3"/>
    <x v="1"/>
    <x v="4"/>
    <n v="-1330.52"/>
  </r>
  <r>
    <d v="2025-05-11T00:00:00"/>
    <s v="marketing"/>
    <s v="NA"/>
    <x v="0"/>
    <n v="115.08"/>
    <x v="2"/>
    <x v="0"/>
    <x v="1"/>
    <x v="4"/>
    <n v="-103.98"/>
  </r>
  <r>
    <d v="2025-05-11T00:00:00"/>
    <s v="net sales:product 1"/>
    <n v="9.99"/>
    <x v="158"/>
    <n v="719.28"/>
    <x v="3"/>
    <x v="1"/>
    <x v="1"/>
    <x v="4"/>
    <n v="779.22"/>
  </r>
  <r>
    <d v="2025-05-11T00:00:00"/>
    <s v="net sales:product 2"/>
    <n v="24.99"/>
    <x v="29"/>
    <n v="124.94999999999999"/>
    <x v="3"/>
    <x v="2"/>
    <x v="1"/>
    <x v="4"/>
    <n v="99.96"/>
  </r>
  <r>
    <d v="2025-05-11T00:00:00"/>
    <s v="net sales:product 3"/>
    <n v="12.49"/>
    <x v="205"/>
    <n v="1861.01"/>
    <x v="3"/>
    <x v="3"/>
    <x v="1"/>
    <x v="4"/>
    <n v="1848.52"/>
  </r>
  <r>
    <d v="2025-05-12T00:00:00"/>
    <s v="cogs:product 1"/>
    <n v="5.49"/>
    <x v="98"/>
    <n v="247.05"/>
    <x v="1"/>
    <x v="1"/>
    <x v="1"/>
    <x v="4"/>
    <n v="-1200"/>
  </r>
  <r>
    <d v="2025-05-12T00:00:00"/>
    <s v="cogs:product 2"/>
    <n v="19.989999999999998"/>
    <x v="2"/>
    <n v="59.97"/>
    <x v="1"/>
    <x v="2"/>
    <x v="1"/>
    <x v="4"/>
    <n v="-120.78"/>
  </r>
  <r>
    <d v="2025-05-12T00:00:00"/>
    <s v="cogs:product 3"/>
    <n v="8.99"/>
    <x v="215"/>
    <n v="1033.8500000000001"/>
    <x v="1"/>
    <x v="3"/>
    <x v="1"/>
    <x v="4"/>
    <n v="-159.91999999999999"/>
  </r>
  <r>
    <d v="2025-05-12T00:00:00"/>
    <s v="marketing"/>
    <s v="NA"/>
    <x v="0"/>
    <n v="110.94"/>
    <x v="2"/>
    <x v="0"/>
    <x v="1"/>
    <x v="4"/>
    <n v="-116.87"/>
  </r>
  <r>
    <d v="2025-05-12T00:00:00"/>
    <s v="net sales:product 1"/>
    <n v="9.99"/>
    <x v="98"/>
    <n v="449.55"/>
    <x v="3"/>
    <x v="1"/>
    <x v="1"/>
    <x v="4"/>
    <n v="-112.98"/>
  </r>
  <r>
    <d v="2025-05-12T00:00:00"/>
    <s v="net sales:product 2"/>
    <n v="24.99"/>
    <x v="2"/>
    <n v="74.97"/>
    <x v="3"/>
    <x v="2"/>
    <x v="1"/>
    <x v="4"/>
    <n v="219.78"/>
  </r>
  <r>
    <d v="2025-05-12T00:00:00"/>
    <s v="net sales:product 3"/>
    <n v="12.49"/>
    <x v="215"/>
    <n v="1436.3500000000001"/>
    <x v="3"/>
    <x v="3"/>
    <x v="1"/>
    <x v="4"/>
    <n v="199.92"/>
  </r>
  <r>
    <d v="2025-05-13T00:00:00"/>
    <s v="cogs:product 1"/>
    <n v="5.49"/>
    <x v="15"/>
    <n v="208.62"/>
    <x v="1"/>
    <x v="1"/>
    <x v="1"/>
    <x v="4"/>
    <n v="162.37"/>
  </r>
  <r>
    <d v="2025-05-13T00:00:00"/>
    <s v="cogs:product 2"/>
    <n v="19.989999999999998"/>
    <x v="10"/>
    <n v="39.979999999999997"/>
    <x v="1"/>
    <x v="2"/>
    <x v="1"/>
    <x v="4"/>
    <n v="-175.68"/>
  </r>
  <r>
    <d v="2025-05-13T00:00:00"/>
    <s v="cogs:product 3"/>
    <n v="8.99"/>
    <x v="81"/>
    <n v="1609.21"/>
    <x v="1"/>
    <x v="3"/>
    <x v="1"/>
    <x v="4"/>
    <n v="-59.97"/>
  </r>
  <r>
    <d v="2025-05-13T00:00:00"/>
    <s v="marketing"/>
    <s v="NA"/>
    <x v="0"/>
    <n v="106.92"/>
    <x v="2"/>
    <x v="0"/>
    <x v="1"/>
    <x v="4"/>
    <n v="-611.32000000000005"/>
  </r>
  <r>
    <d v="2025-05-13T00:00:00"/>
    <s v="net sales:product 1"/>
    <n v="9.99"/>
    <x v="15"/>
    <n v="379.62"/>
    <x v="3"/>
    <x v="1"/>
    <x v="1"/>
    <x v="4"/>
    <n v="-116.08"/>
  </r>
  <r>
    <d v="2025-05-13T00:00:00"/>
    <s v="net sales:product 2"/>
    <n v="24.99"/>
    <x v="10"/>
    <n v="49.98"/>
    <x v="3"/>
    <x v="2"/>
    <x v="1"/>
    <x v="4"/>
    <n v="319.68"/>
  </r>
  <r>
    <d v="2025-05-13T00:00:00"/>
    <s v="net sales:product 3"/>
    <n v="12.49"/>
    <x v="81"/>
    <n v="2235.71"/>
    <x v="3"/>
    <x v="3"/>
    <x v="1"/>
    <x v="4"/>
    <n v="74.97"/>
  </r>
  <r>
    <d v="2025-05-14T00:00:00"/>
    <s v="cogs:product 1"/>
    <n v="5.49"/>
    <x v="13"/>
    <n v="38.43"/>
    <x v="1"/>
    <x v="1"/>
    <x v="1"/>
    <x v="4"/>
    <n v="849.32"/>
  </r>
  <r>
    <d v="2025-05-14T00:00:00"/>
    <s v="cogs:product 2"/>
    <n v="19.989999999999998"/>
    <x v="19"/>
    <n v="79.959999999999994"/>
    <x v="1"/>
    <x v="2"/>
    <x v="1"/>
    <x v="4"/>
    <n v="-384.3"/>
  </r>
  <r>
    <d v="2025-05-14T00:00:00"/>
    <s v="cogs:product 3"/>
    <n v="8.99"/>
    <x v="202"/>
    <n v="1303.55"/>
    <x v="1"/>
    <x v="3"/>
    <x v="1"/>
    <x v="4"/>
    <n v="-159.91999999999999"/>
  </r>
  <r>
    <d v="2025-05-14T00:00:00"/>
    <s v="marketing"/>
    <s v="NA"/>
    <x v="0"/>
    <n v="110.97"/>
    <x v="2"/>
    <x v="0"/>
    <x v="1"/>
    <x v="4"/>
    <n v="-125.86"/>
  </r>
  <r>
    <d v="2025-05-14T00:00:00"/>
    <s v="net sales:product 1"/>
    <n v="9.99"/>
    <x v="13"/>
    <n v="69.930000000000007"/>
    <x v="3"/>
    <x v="1"/>
    <x v="1"/>
    <x v="4"/>
    <n v="-112.92"/>
  </r>
  <r>
    <d v="2025-05-14T00:00:00"/>
    <s v="net sales:product 2"/>
    <n v="24.99"/>
    <x v="19"/>
    <n v="99.96"/>
    <x v="3"/>
    <x v="2"/>
    <x v="1"/>
    <x v="4"/>
    <n v="699.30000000000007"/>
  </r>
  <r>
    <d v="2025-05-14T00:00:00"/>
    <s v="net sales:product 3"/>
    <n v="12.49"/>
    <x v="202"/>
    <n v="1811.05"/>
    <x v="3"/>
    <x v="3"/>
    <x v="1"/>
    <x v="4"/>
    <n v="199.92"/>
  </r>
  <r>
    <d v="2025-05-15T00:00:00"/>
    <s v="cogs:product 1"/>
    <n v="5.49"/>
    <x v="100"/>
    <n v="483.12"/>
    <x v="1"/>
    <x v="1"/>
    <x v="1"/>
    <x v="4"/>
    <n v="174.86"/>
  </r>
  <r>
    <d v="2025-05-15T00:00:00"/>
    <s v="cogs:product 2"/>
    <n v="19.989999999999998"/>
    <x v="25"/>
    <n v="19.989999999999998"/>
    <x v="1"/>
    <x v="2"/>
    <x v="1"/>
    <x v="4"/>
    <n v="-543.51"/>
  </r>
  <r>
    <d v="2025-05-15T00:00:00"/>
    <s v="cogs:product 3"/>
    <n v="8.99"/>
    <x v="216"/>
    <n v="2148.61"/>
    <x v="1"/>
    <x v="3"/>
    <x v="1"/>
    <x v="4"/>
    <n v="-139.92999999999998"/>
  </r>
  <r>
    <d v="2025-05-15T00:00:00"/>
    <s v="interest"/>
    <s v="NA"/>
    <x v="0"/>
    <n v="1237.28"/>
    <x v="6"/>
    <x v="0"/>
    <x v="1"/>
    <x v="4"/>
    <n v="-2229.52"/>
  </r>
  <r>
    <d v="2025-05-15T00:00:00"/>
    <s v="marketing"/>
    <s v="NA"/>
    <x v="0"/>
    <n v="116.93"/>
    <x v="2"/>
    <x v="0"/>
    <x v="1"/>
    <x v="4"/>
    <n v="-1265.1199999999999"/>
  </r>
  <r>
    <d v="2025-05-15T00:00:00"/>
    <s v="net sales:product 1"/>
    <n v="9.99"/>
    <x v="100"/>
    <n v="879.12"/>
    <x v="3"/>
    <x v="1"/>
    <x v="1"/>
    <x v="4"/>
    <n v="-103.98"/>
  </r>
  <r>
    <d v="2025-05-15T00:00:00"/>
    <s v="net sales:product 2"/>
    <n v="24.99"/>
    <x v="25"/>
    <n v="24.99"/>
    <x v="3"/>
    <x v="2"/>
    <x v="1"/>
    <x v="4"/>
    <n v="989.01"/>
  </r>
  <r>
    <d v="2025-05-15T00:00:00"/>
    <s v="net sales:product 3"/>
    <n v="12.49"/>
    <x v="216"/>
    <n v="2985.11"/>
    <x v="3"/>
    <x v="3"/>
    <x v="1"/>
    <x v="4"/>
    <n v="174.92999999999998"/>
  </r>
  <r>
    <d v="2025-05-15T00:00:00"/>
    <s v="overhead"/>
    <s v="NA"/>
    <x v="0"/>
    <n v="309.32"/>
    <x v="4"/>
    <x v="0"/>
    <x v="1"/>
    <x v="4"/>
    <n v="3097.52"/>
  </r>
  <r>
    <d v="2025-05-16T00:00:00"/>
    <s v="cogs:product 1"/>
    <n v="5.49"/>
    <x v="158"/>
    <n v="395.28000000000003"/>
    <x v="1"/>
    <x v="1"/>
    <x v="1"/>
    <x v="4"/>
    <n v="-313.02999999999997"/>
  </r>
  <r>
    <d v="2025-05-16T00:00:00"/>
    <s v="cogs:product 2"/>
    <n v="19.989999999999998"/>
    <x v="19"/>
    <n v="79.959999999999994"/>
    <x v="1"/>
    <x v="2"/>
    <x v="1"/>
    <x v="4"/>
    <n v="-175.68"/>
  </r>
  <r>
    <d v="2025-05-16T00:00:00"/>
    <s v="cogs:product 3"/>
    <n v="8.99"/>
    <x v="27"/>
    <n v="1411.43"/>
    <x v="1"/>
    <x v="3"/>
    <x v="1"/>
    <x v="4"/>
    <n v="0"/>
  </r>
  <r>
    <d v="2025-05-16T00:00:00"/>
    <s v="marketing"/>
    <s v="NA"/>
    <x v="0"/>
    <n v="115.91"/>
    <x v="2"/>
    <x v="0"/>
    <x v="1"/>
    <x v="4"/>
    <n v="-1087.79"/>
  </r>
  <r>
    <d v="2025-05-16T00:00:00"/>
    <s v="net sales:product 1"/>
    <n v="9.99"/>
    <x v="158"/>
    <n v="719.28"/>
    <x v="3"/>
    <x v="1"/>
    <x v="1"/>
    <x v="4"/>
    <n v="-119.98"/>
  </r>
  <r>
    <d v="2025-05-16T00:00:00"/>
    <s v="net sales:product 2"/>
    <n v="24.99"/>
    <x v="19"/>
    <n v="99.96"/>
    <x v="3"/>
    <x v="2"/>
    <x v="1"/>
    <x v="4"/>
    <n v="319.68"/>
  </r>
  <r>
    <d v="2025-05-16T00:00:00"/>
    <s v="net sales:product 3"/>
    <n v="12.49"/>
    <x v="27"/>
    <n v="1960.93"/>
    <x v="3"/>
    <x v="3"/>
    <x v="1"/>
    <x v="4"/>
    <n v="0"/>
  </r>
  <r>
    <d v="2025-05-17T00:00:00"/>
    <s v="cogs:product 1"/>
    <n v="5.49"/>
    <x v="64"/>
    <n v="109.80000000000001"/>
    <x v="1"/>
    <x v="1"/>
    <x v="1"/>
    <x v="4"/>
    <n v="1511.29"/>
  </r>
  <r>
    <d v="2025-05-17T00:00:00"/>
    <s v="cogs:product 2"/>
    <n v="19.989999999999998"/>
    <x v="19"/>
    <n v="79.959999999999994"/>
    <x v="1"/>
    <x v="2"/>
    <x v="1"/>
    <x v="4"/>
    <n v="-389.79"/>
  </r>
  <r>
    <d v="2025-05-17T00:00:00"/>
    <s v="cogs:product 3"/>
    <n v="8.99"/>
    <x v="207"/>
    <n v="1330.52"/>
    <x v="1"/>
    <x v="3"/>
    <x v="1"/>
    <x v="4"/>
    <n v="-99.949999999999989"/>
  </r>
  <r>
    <d v="2025-05-17T00:00:00"/>
    <s v="marketing"/>
    <s v="NA"/>
    <x v="0"/>
    <n v="112.07000000000001"/>
    <x v="2"/>
    <x v="0"/>
    <x v="1"/>
    <x v="4"/>
    <n v="-2229.52"/>
  </r>
  <r>
    <d v="2025-05-17T00:00:00"/>
    <s v="net sales:product 1"/>
    <n v="9.99"/>
    <x v="64"/>
    <n v="199.8"/>
    <x v="3"/>
    <x v="1"/>
    <x v="1"/>
    <x v="4"/>
    <n v="-104.03"/>
  </r>
  <r>
    <d v="2025-05-17T00:00:00"/>
    <s v="net sales:product 2"/>
    <n v="24.99"/>
    <x v="19"/>
    <n v="99.96"/>
    <x v="3"/>
    <x v="2"/>
    <x v="1"/>
    <x v="4"/>
    <n v="709.29"/>
  </r>
  <r>
    <d v="2025-05-17T00:00:00"/>
    <s v="net sales:product 3"/>
    <n v="12.49"/>
    <x v="207"/>
    <n v="1848.52"/>
    <x v="3"/>
    <x v="3"/>
    <x v="1"/>
    <x v="4"/>
    <n v="124.94999999999999"/>
  </r>
  <r>
    <d v="2025-05-18T00:00:00"/>
    <s v="cogs:product 1"/>
    <n v="5.49"/>
    <x v="98"/>
    <n v="247.05"/>
    <x v="1"/>
    <x v="1"/>
    <x v="1"/>
    <x v="4"/>
    <n v="3097.52"/>
  </r>
  <r>
    <d v="2025-05-18T00:00:00"/>
    <s v="cogs:product 2"/>
    <n v="19.989999999999998"/>
    <x v="2"/>
    <n v="59.97"/>
    <x v="1"/>
    <x v="2"/>
    <x v="1"/>
    <x v="4"/>
    <n v="-516.06000000000006"/>
  </r>
  <r>
    <d v="2025-05-18T00:00:00"/>
    <s v="cogs:product 3"/>
    <n v="8.99"/>
    <x v="23"/>
    <n v="0"/>
    <x v="1"/>
    <x v="3"/>
    <x v="1"/>
    <x v="4"/>
    <n v="-19.989999999999998"/>
  </r>
  <r>
    <d v="2025-05-18T00:00:00"/>
    <s v="marketing"/>
    <s v="NA"/>
    <x v="0"/>
    <n v="101.98"/>
    <x v="2"/>
    <x v="0"/>
    <x v="1"/>
    <x v="4"/>
    <n v="-1806.99"/>
  </r>
  <r>
    <d v="2025-05-18T00:00:00"/>
    <s v="net sales:product 1"/>
    <n v="9.99"/>
    <x v="98"/>
    <n v="449.55"/>
    <x v="3"/>
    <x v="1"/>
    <x v="1"/>
    <x v="4"/>
    <n v="-111.04"/>
  </r>
  <r>
    <d v="2025-05-18T00:00:00"/>
    <s v="net sales:product 2"/>
    <n v="24.99"/>
    <x v="2"/>
    <n v="74.97"/>
    <x v="3"/>
    <x v="2"/>
    <x v="1"/>
    <x v="4"/>
    <n v="939.06000000000006"/>
  </r>
  <r>
    <d v="2025-05-18T00:00:00"/>
    <s v="net sales:product 3"/>
    <n v="12.49"/>
    <x v="23"/>
    <n v="0"/>
    <x v="3"/>
    <x v="3"/>
    <x v="1"/>
    <x v="4"/>
    <n v="24.99"/>
  </r>
  <r>
    <d v="2025-05-19T00:00:00"/>
    <s v="cogs:product 1"/>
    <n v="5.49"/>
    <x v="16"/>
    <n v="43.92"/>
    <x v="1"/>
    <x v="1"/>
    <x v="1"/>
    <x v="4"/>
    <n v="2510.4900000000002"/>
  </r>
  <r>
    <d v="2025-05-19T00:00:00"/>
    <s v="cogs:product 2"/>
    <n v="19.989999999999998"/>
    <x v="7"/>
    <n v="179.91"/>
    <x v="1"/>
    <x v="2"/>
    <x v="1"/>
    <x v="4"/>
    <n v="-274.5"/>
  </r>
  <r>
    <d v="2025-05-19T00:00:00"/>
    <s v="cogs:product 3"/>
    <n v="8.99"/>
    <x v="29"/>
    <n v="44.95"/>
    <x v="1"/>
    <x v="3"/>
    <x v="1"/>
    <x v="4"/>
    <n v="-39.979999999999997"/>
  </r>
  <r>
    <d v="2025-05-19T00:00:00"/>
    <s v="marketing"/>
    <s v="NA"/>
    <x v="0"/>
    <n v="103.01"/>
    <x v="2"/>
    <x v="0"/>
    <x v="1"/>
    <x v="4"/>
    <n v="-503.44"/>
  </r>
  <r>
    <d v="2025-05-19T00:00:00"/>
    <s v="net sales:product 1"/>
    <n v="9.99"/>
    <x v="16"/>
    <n v="79.92"/>
    <x v="3"/>
    <x v="1"/>
    <x v="1"/>
    <x v="4"/>
    <n v="-113.04"/>
  </r>
  <r>
    <d v="2025-05-19T00:00:00"/>
    <s v="net sales:product 2"/>
    <n v="24.99"/>
    <x v="7"/>
    <n v="224.91"/>
    <x v="3"/>
    <x v="2"/>
    <x v="1"/>
    <x v="4"/>
    <n v="499.5"/>
  </r>
  <r>
    <d v="2025-05-19T00:00:00"/>
    <s v="net sales:product 3"/>
    <n v="12.49"/>
    <x v="29"/>
    <n v="62.45"/>
    <x v="3"/>
    <x v="3"/>
    <x v="1"/>
    <x v="4"/>
    <n v="49.98"/>
  </r>
  <r>
    <d v="2025-05-20T00:00:00"/>
    <s v="cogs:product 1"/>
    <n v="5.49"/>
    <x v="124"/>
    <n v="186.66"/>
    <x v="1"/>
    <x v="1"/>
    <x v="1"/>
    <x v="4"/>
    <n v="699.44"/>
  </r>
  <r>
    <d v="2025-05-20T00:00:00"/>
    <s v="cogs:product 2"/>
    <n v="19.989999999999998"/>
    <x v="2"/>
    <n v="59.97"/>
    <x v="1"/>
    <x v="2"/>
    <x v="1"/>
    <x v="4"/>
    <n v="-192.15"/>
  </r>
  <r>
    <d v="2025-05-20T00:00:00"/>
    <s v="cogs:product 3"/>
    <n v="8.99"/>
    <x v="23"/>
    <n v="0"/>
    <x v="1"/>
    <x v="3"/>
    <x v="1"/>
    <x v="4"/>
    <n v="-39.979999999999997"/>
  </r>
  <r>
    <d v="2025-05-20T00:00:00"/>
    <s v="marketing"/>
    <s v="NA"/>
    <x v="0"/>
    <n v="119"/>
    <x v="2"/>
    <x v="0"/>
    <x v="1"/>
    <x v="4"/>
    <n v="-710.21"/>
  </r>
  <r>
    <d v="2025-05-20T00:00:00"/>
    <s v="net sales:product 1"/>
    <n v="9.99"/>
    <x v="124"/>
    <n v="339.66"/>
    <x v="3"/>
    <x v="1"/>
    <x v="1"/>
    <x v="4"/>
    <n v="-113.95"/>
  </r>
  <r>
    <d v="2025-05-20T00:00:00"/>
    <s v="net sales:product 2"/>
    <n v="24.99"/>
    <x v="2"/>
    <n v="74.97"/>
    <x v="3"/>
    <x v="2"/>
    <x v="1"/>
    <x v="4"/>
    <n v="349.65000000000003"/>
  </r>
  <r>
    <d v="2025-05-20T00:00:00"/>
    <s v="net sales:product 3"/>
    <n v="12.49"/>
    <x v="23"/>
    <n v="0"/>
    <x v="3"/>
    <x v="3"/>
    <x v="1"/>
    <x v="4"/>
    <n v="49.98"/>
  </r>
  <r>
    <d v="2025-05-21T00:00:00"/>
    <s v="cogs:product 1"/>
    <n v="5.49"/>
    <x v="31"/>
    <n v="98.820000000000007"/>
    <x v="1"/>
    <x v="1"/>
    <x v="1"/>
    <x v="4"/>
    <n v="986.71"/>
  </r>
  <r>
    <d v="2025-05-21T00:00:00"/>
    <s v="cogs:product 2"/>
    <n v="19.989999999999998"/>
    <x v="23"/>
    <n v="0"/>
    <x v="1"/>
    <x v="2"/>
    <x v="1"/>
    <x v="4"/>
    <n v="-263.52"/>
  </r>
  <r>
    <d v="2025-05-21T00:00:00"/>
    <s v="cogs:product 3"/>
    <n v="8.99"/>
    <x v="188"/>
    <n v="2067.7000000000003"/>
    <x v="1"/>
    <x v="3"/>
    <x v="1"/>
    <x v="4"/>
    <n v="-19.989999999999998"/>
  </r>
  <r>
    <d v="2025-05-21T00:00:00"/>
    <s v="marketing"/>
    <s v="NA"/>
    <x v="0"/>
    <n v="103.07000000000001"/>
    <x v="2"/>
    <x v="0"/>
    <x v="1"/>
    <x v="4"/>
    <n v="-1501.33"/>
  </r>
  <r>
    <d v="2025-05-21T00:00:00"/>
    <s v="net sales:product 1"/>
    <n v="9.99"/>
    <x v="31"/>
    <n v="179.82"/>
    <x v="3"/>
    <x v="1"/>
    <x v="1"/>
    <x v="4"/>
    <n v="-108"/>
  </r>
  <r>
    <d v="2025-05-21T00:00:00"/>
    <s v="net sales:product 2"/>
    <n v="24.99"/>
    <x v="23"/>
    <n v="0"/>
    <x v="3"/>
    <x v="2"/>
    <x v="1"/>
    <x v="4"/>
    <n v="479.52"/>
  </r>
  <r>
    <d v="2025-05-21T00:00:00"/>
    <s v="net sales:product 3"/>
    <n v="12.49"/>
    <x v="188"/>
    <n v="2872.7000000000003"/>
    <x v="3"/>
    <x v="3"/>
    <x v="1"/>
    <x v="4"/>
    <n v="24.99"/>
  </r>
  <r>
    <d v="2025-05-22T00:00:00"/>
    <s v="cogs:product 1"/>
    <n v="5.49"/>
    <x v="26"/>
    <n v="115.29"/>
    <x v="1"/>
    <x v="1"/>
    <x v="1"/>
    <x v="4"/>
    <n v="2085.83"/>
  </r>
  <r>
    <d v="2025-05-22T00:00:00"/>
    <s v="cogs:product 2"/>
    <n v="19.989999999999998"/>
    <x v="13"/>
    <n v="139.92999999999998"/>
    <x v="1"/>
    <x v="2"/>
    <x v="1"/>
    <x v="4"/>
    <n v="-527.04"/>
  </r>
  <r>
    <d v="2025-05-22T00:00:00"/>
    <s v="cogs:product 3"/>
    <n v="8.99"/>
    <x v="69"/>
    <n v="692.23"/>
    <x v="1"/>
    <x v="3"/>
    <x v="1"/>
    <x v="4"/>
    <n v="-139.92999999999998"/>
  </r>
  <r>
    <d v="2025-05-22T00:00:00"/>
    <s v="marketing"/>
    <s v="NA"/>
    <x v="0"/>
    <n v="117.07000000000001"/>
    <x v="2"/>
    <x v="0"/>
    <x v="1"/>
    <x v="4"/>
    <n v="-305.66000000000003"/>
  </r>
  <r>
    <d v="2025-05-22T00:00:00"/>
    <s v="net sales:product 1"/>
    <n v="9.99"/>
    <x v="26"/>
    <n v="209.79"/>
    <x v="3"/>
    <x v="1"/>
    <x v="1"/>
    <x v="4"/>
    <n v="-118.04"/>
  </r>
  <r>
    <d v="2025-05-22T00:00:00"/>
    <s v="net sales:product 2"/>
    <n v="24.99"/>
    <x v="13"/>
    <n v="174.92999999999998"/>
    <x v="3"/>
    <x v="2"/>
    <x v="1"/>
    <x v="4"/>
    <n v="959.04"/>
  </r>
  <r>
    <d v="2025-05-22T00:00:00"/>
    <s v="net sales:product 3"/>
    <n v="12.49"/>
    <x v="69"/>
    <n v="961.73"/>
    <x v="3"/>
    <x v="3"/>
    <x v="1"/>
    <x v="4"/>
    <n v="174.92999999999998"/>
  </r>
  <r>
    <d v="2025-05-23T00:00:00"/>
    <s v="cogs:product 1"/>
    <n v="5.49"/>
    <x v="18"/>
    <n v="466.65000000000003"/>
    <x v="1"/>
    <x v="1"/>
    <x v="1"/>
    <x v="4"/>
    <n v="424.66"/>
  </r>
  <r>
    <d v="2025-05-23T00:00:00"/>
    <s v="cogs:product 2"/>
    <n v="19.989999999999998"/>
    <x v="13"/>
    <n v="139.92999999999998"/>
    <x v="1"/>
    <x v="2"/>
    <x v="1"/>
    <x v="4"/>
    <n v="-516.06000000000006"/>
  </r>
  <r>
    <d v="2025-05-23T00:00:00"/>
    <s v="cogs:product 3"/>
    <n v="8.99"/>
    <x v="33"/>
    <n v="728.19"/>
    <x v="1"/>
    <x v="3"/>
    <x v="1"/>
    <x v="4"/>
    <n v="-139.92999999999998"/>
  </r>
  <r>
    <d v="2025-05-23T00:00:00"/>
    <s v="marketing"/>
    <s v="NA"/>
    <x v="0"/>
    <n v="117.99000000000001"/>
    <x v="2"/>
    <x v="0"/>
    <x v="1"/>
    <x v="4"/>
    <n v="-323.64"/>
  </r>
  <r>
    <d v="2025-05-23T00:00:00"/>
    <s v="net sales:product 1"/>
    <n v="9.99"/>
    <x v="18"/>
    <n v="849.15"/>
    <x v="3"/>
    <x v="1"/>
    <x v="1"/>
    <x v="4"/>
    <n v="-110.02"/>
  </r>
  <r>
    <d v="2025-05-23T00:00:00"/>
    <s v="net sales:product 2"/>
    <n v="24.99"/>
    <x v="13"/>
    <n v="174.92999999999998"/>
    <x v="3"/>
    <x v="2"/>
    <x v="1"/>
    <x v="4"/>
    <n v="939.06000000000006"/>
  </r>
  <r>
    <d v="2025-05-23T00:00:00"/>
    <s v="net sales:product 3"/>
    <n v="12.49"/>
    <x v="33"/>
    <n v="1011.69"/>
    <x v="3"/>
    <x v="3"/>
    <x v="1"/>
    <x v="4"/>
    <n v="174.92999999999998"/>
  </r>
  <r>
    <d v="2025-05-23T00:00:00"/>
    <s v="payroll"/>
    <s v="NA"/>
    <x v="0"/>
    <n v="1200"/>
    <x v="5"/>
    <x v="0"/>
    <x v="1"/>
    <x v="4"/>
    <n v="449.64"/>
  </r>
  <r>
    <d v="2025-05-24T00:00:00"/>
    <s v="cogs:product 1"/>
    <n v="5.49"/>
    <x v="101"/>
    <n v="433.71000000000004"/>
    <x v="1"/>
    <x v="1"/>
    <x v="1"/>
    <x v="4"/>
    <n v="-521.55000000000007"/>
  </r>
  <r>
    <d v="2025-05-24T00:00:00"/>
    <s v="cogs:product 2"/>
    <n v="19.989999999999998"/>
    <x v="42"/>
    <n v="119.94"/>
    <x v="1"/>
    <x v="2"/>
    <x v="1"/>
    <x v="4"/>
    <n v="-79.959999999999994"/>
  </r>
  <r>
    <d v="2025-05-24T00:00:00"/>
    <s v="cogs:product 3"/>
    <n v="8.99"/>
    <x v="114"/>
    <n v="431.52"/>
    <x v="1"/>
    <x v="3"/>
    <x v="1"/>
    <x v="4"/>
    <n v="-2211.54"/>
  </r>
  <r>
    <d v="2025-05-24T00:00:00"/>
    <s v="marketing"/>
    <s v="NA"/>
    <x v="0"/>
    <n v="114.09"/>
    <x v="2"/>
    <x v="0"/>
    <x v="1"/>
    <x v="4"/>
    <n v="-106.02"/>
  </r>
  <r>
    <d v="2025-05-24T00:00:00"/>
    <s v="net sales:product 1"/>
    <n v="9.99"/>
    <x v="101"/>
    <n v="789.21"/>
    <x v="3"/>
    <x v="1"/>
    <x v="1"/>
    <x v="4"/>
    <n v="949.05000000000007"/>
  </r>
  <r>
    <d v="2025-05-24T00:00:00"/>
    <s v="net sales:product 2"/>
    <n v="24.99"/>
    <x v="42"/>
    <n v="149.94"/>
    <x v="3"/>
    <x v="2"/>
    <x v="1"/>
    <x v="4"/>
    <n v="99.96"/>
  </r>
  <r>
    <d v="2025-05-24T00:00:00"/>
    <s v="net sales:product 3"/>
    <n v="12.49"/>
    <x v="114"/>
    <n v="599.52"/>
    <x v="3"/>
    <x v="3"/>
    <x v="1"/>
    <x v="4"/>
    <n v="3072.54"/>
  </r>
  <r>
    <d v="2025-05-25T00:00:00"/>
    <s v="cogs:product 1"/>
    <n v="5.49"/>
    <x v="26"/>
    <n v="115.29"/>
    <x v="1"/>
    <x v="1"/>
    <x v="1"/>
    <x v="4"/>
    <n v="-27.450000000000003"/>
  </r>
  <r>
    <d v="2025-05-25T00:00:00"/>
    <s v="cogs:product 2"/>
    <n v="19.989999999999998"/>
    <x v="19"/>
    <n v="79.959999999999994"/>
    <x v="1"/>
    <x v="2"/>
    <x v="1"/>
    <x v="4"/>
    <n v="-119.94"/>
  </r>
  <r>
    <d v="2025-05-25T00:00:00"/>
    <s v="cogs:product 3"/>
    <n v="8.99"/>
    <x v="47"/>
    <n v="2211.54"/>
    <x v="1"/>
    <x v="3"/>
    <x v="1"/>
    <x v="4"/>
    <n v="-1240.6200000000001"/>
  </r>
  <r>
    <d v="2025-05-25T00:00:00"/>
    <s v="marketing"/>
    <s v="NA"/>
    <x v="0"/>
    <n v="118.04"/>
    <x v="2"/>
    <x v="0"/>
    <x v="1"/>
    <x v="4"/>
    <n v="-118"/>
  </r>
  <r>
    <d v="2025-05-25T00:00:00"/>
    <s v="net sales:product 1"/>
    <n v="9.99"/>
    <x v="26"/>
    <n v="209.79"/>
    <x v="3"/>
    <x v="1"/>
    <x v="1"/>
    <x v="4"/>
    <n v="49.95"/>
  </r>
  <r>
    <d v="2025-05-25T00:00:00"/>
    <s v="net sales:product 2"/>
    <n v="24.99"/>
    <x v="19"/>
    <n v="99.96"/>
    <x v="3"/>
    <x v="2"/>
    <x v="1"/>
    <x v="4"/>
    <n v="149.94"/>
  </r>
  <r>
    <d v="2025-05-25T00:00:00"/>
    <s v="net sales:product 3"/>
    <n v="12.49"/>
    <x v="47"/>
    <n v="3072.54"/>
    <x v="3"/>
    <x v="3"/>
    <x v="1"/>
    <x v="4"/>
    <n v="1723.6200000000001"/>
  </r>
  <r>
    <d v="2025-05-26T00:00:00"/>
    <s v="cogs:product 1"/>
    <n v="5.49"/>
    <x v="7"/>
    <n v="49.410000000000004"/>
    <x v="1"/>
    <x v="1"/>
    <x v="1"/>
    <x v="4"/>
    <n v="-1200"/>
  </r>
  <r>
    <d v="2025-05-26T00:00:00"/>
    <s v="cogs:product 2"/>
    <n v="19.989999999999998"/>
    <x v="10"/>
    <n v="39.979999999999997"/>
    <x v="1"/>
    <x v="2"/>
    <x v="1"/>
    <x v="4"/>
    <n v="-334.89"/>
  </r>
  <r>
    <d v="2025-05-26T00:00:00"/>
    <s v="cogs:product 3"/>
    <n v="8.99"/>
    <x v="180"/>
    <n v="1932.8500000000001"/>
    <x v="1"/>
    <x v="3"/>
    <x v="1"/>
    <x v="4"/>
    <n v="-39.979999999999997"/>
  </r>
  <r>
    <d v="2025-05-26T00:00:00"/>
    <s v="marketing"/>
    <s v="NA"/>
    <x v="0"/>
    <n v="100.96000000000001"/>
    <x v="2"/>
    <x v="0"/>
    <x v="1"/>
    <x v="4"/>
    <n v="-2157.6"/>
  </r>
  <r>
    <d v="2025-05-26T00:00:00"/>
    <s v="net sales:product 1"/>
    <n v="9.99"/>
    <x v="7"/>
    <n v="89.91"/>
    <x v="3"/>
    <x v="1"/>
    <x v="1"/>
    <x v="4"/>
    <n v="-100.01"/>
  </r>
  <r>
    <d v="2025-05-26T00:00:00"/>
    <s v="net sales:product 2"/>
    <n v="24.99"/>
    <x v="10"/>
    <n v="49.98"/>
    <x v="3"/>
    <x v="2"/>
    <x v="1"/>
    <x v="4"/>
    <n v="609.39"/>
  </r>
  <r>
    <d v="2025-05-26T00:00:00"/>
    <s v="net sales:product 3"/>
    <n v="12.49"/>
    <x v="180"/>
    <n v="2685.35"/>
    <x v="3"/>
    <x v="3"/>
    <x v="1"/>
    <x v="4"/>
    <n v="49.98"/>
  </r>
  <r>
    <d v="2025-05-27T00:00:00"/>
    <s v="cogs:product 1"/>
    <n v="5.49"/>
    <x v="100"/>
    <n v="483.12"/>
    <x v="1"/>
    <x v="1"/>
    <x v="1"/>
    <x v="4"/>
    <n v="2997.6"/>
  </r>
  <r>
    <d v="2025-05-27T00:00:00"/>
    <s v="cogs:product 2"/>
    <n v="19.989999999999998"/>
    <x v="19"/>
    <n v="79.959999999999994"/>
    <x v="1"/>
    <x v="2"/>
    <x v="1"/>
    <x v="4"/>
    <n v="-290.97000000000003"/>
  </r>
  <r>
    <d v="2025-05-27T00:00:00"/>
    <s v="cogs:product 3"/>
    <n v="8.99"/>
    <x v="217"/>
    <n v="1375.47"/>
    <x v="1"/>
    <x v="3"/>
    <x v="1"/>
    <x v="4"/>
    <n v="-79.959999999999994"/>
  </r>
  <r>
    <d v="2025-05-27T00:00:00"/>
    <s v="marketing"/>
    <s v="NA"/>
    <x v="0"/>
    <n v="111.02"/>
    <x v="2"/>
    <x v="0"/>
    <x v="1"/>
    <x v="4"/>
    <n v="-134.85"/>
  </r>
  <r>
    <d v="2025-05-27T00:00:00"/>
    <s v="net sales:product 1"/>
    <n v="9.99"/>
    <x v="100"/>
    <n v="879.12"/>
    <x v="3"/>
    <x v="1"/>
    <x v="1"/>
    <x v="4"/>
    <n v="-115.08"/>
  </r>
  <r>
    <d v="2025-05-27T00:00:00"/>
    <s v="net sales:product 2"/>
    <n v="24.99"/>
    <x v="19"/>
    <n v="99.96"/>
    <x v="3"/>
    <x v="2"/>
    <x v="1"/>
    <x v="4"/>
    <n v="529.47"/>
  </r>
  <r>
    <d v="2025-05-27T00:00:00"/>
    <s v="net sales:product 3"/>
    <n v="12.49"/>
    <x v="217"/>
    <n v="1910.97"/>
    <x v="3"/>
    <x v="3"/>
    <x v="1"/>
    <x v="4"/>
    <n v="99.96"/>
  </r>
  <r>
    <d v="2025-05-28T00:00:00"/>
    <s v="cogs:product 1"/>
    <n v="5.49"/>
    <x v="7"/>
    <n v="49.410000000000004"/>
    <x v="1"/>
    <x v="1"/>
    <x v="1"/>
    <x v="4"/>
    <n v="187.35"/>
  </r>
  <r>
    <d v="2025-05-28T00:00:00"/>
    <s v="cogs:product 2"/>
    <n v="19.989999999999998"/>
    <x v="29"/>
    <n v="99.949999999999989"/>
    <x v="1"/>
    <x v="2"/>
    <x v="1"/>
    <x v="4"/>
    <n v="-159.21"/>
  </r>
  <r>
    <d v="2025-05-28T00:00:00"/>
    <s v="cogs:product 3"/>
    <n v="8.99"/>
    <x v="5"/>
    <n v="2031.74"/>
    <x v="1"/>
    <x v="3"/>
    <x v="1"/>
    <x v="4"/>
    <n v="-159.91999999999999"/>
  </r>
  <r>
    <d v="2025-05-28T00:00:00"/>
    <s v="marketing"/>
    <s v="NA"/>
    <x v="0"/>
    <n v="103.91"/>
    <x v="2"/>
    <x v="0"/>
    <x v="1"/>
    <x v="4"/>
    <n v="-943.95"/>
  </r>
  <r>
    <d v="2025-05-28T00:00:00"/>
    <s v="net sales:product 1"/>
    <n v="9.99"/>
    <x v="7"/>
    <n v="89.91"/>
    <x v="3"/>
    <x v="1"/>
    <x v="1"/>
    <x v="4"/>
    <n v="-110.93"/>
  </r>
  <r>
    <d v="2025-05-28T00:00:00"/>
    <s v="net sales:product 2"/>
    <n v="24.99"/>
    <x v="29"/>
    <n v="124.94999999999999"/>
    <x v="3"/>
    <x v="2"/>
    <x v="1"/>
    <x v="4"/>
    <n v="289.70999999999998"/>
  </r>
  <r>
    <d v="2025-05-28T00:00:00"/>
    <s v="net sales:product 3"/>
    <n v="12.49"/>
    <x v="5"/>
    <n v="2822.7400000000002"/>
    <x v="3"/>
    <x v="3"/>
    <x v="1"/>
    <x v="4"/>
    <n v="199.92"/>
  </r>
  <r>
    <d v="2025-05-29T00:00:00"/>
    <s v="cogs:product 1"/>
    <n v="5.49"/>
    <x v="64"/>
    <n v="109.80000000000001"/>
    <x v="1"/>
    <x v="1"/>
    <x v="1"/>
    <x v="4"/>
    <n v="1311.45"/>
  </r>
  <r>
    <d v="2025-05-29T00:00:00"/>
    <s v="cogs:product 2"/>
    <n v="19.989999999999998"/>
    <x v="16"/>
    <n v="159.91999999999999"/>
    <x v="1"/>
    <x v="2"/>
    <x v="1"/>
    <x v="4"/>
    <n v="-422.73"/>
  </r>
  <r>
    <d v="2025-05-29T00:00:00"/>
    <s v="cogs:product 3"/>
    <n v="8.99"/>
    <x v="78"/>
    <n v="503.44"/>
    <x v="1"/>
    <x v="3"/>
    <x v="1"/>
    <x v="4"/>
    <n v="-79.959999999999994"/>
  </r>
  <r>
    <d v="2025-05-29T00:00:00"/>
    <s v="marketing"/>
    <s v="NA"/>
    <x v="0"/>
    <n v="118.98"/>
    <x v="2"/>
    <x v="0"/>
    <x v="1"/>
    <x v="4"/>
    <n v="0"/>
  </r>
  <r>
    <d v="2025-05-29T00:00:00"/>
    <s v="net sales:product 1"/>
    <n v="9.99"/>
    <x v="64"/>
    <n v="199.8"/>
    <x v="3"/>
    <x v="1"/>
    <x v="1"/>
    <x v="4"/>
    <n v="-116.08"/>
  </r>
  <r>
    <d v="2025-05-29T00:00:00"/>
    <s v="net sales:product 2"/>
    <n v="24.99"/>
    <x v="16"/>
    <n v="199.92"/>
    <x v="3"/>
    <x v="2"/>
    <x v="1"/>
    <x v="4"/>
    <n v="769.23"/>
  </r>
  <r>
    <d v="2025-05-29T00:00:00"/>
    <s v="net sales:product 3"/>
    <n v="12.49"/>
    <x v="78"/>
    <n v="699.44"/>
    <x v="3"/>
    <x v="3"/>
    <x v="1"/>
    <x v="4"/>
    <n v="99.96"/>
  </r>
  <r>
    <d v="2025-05-30T00:00:00"/>
    <s v="cogs:product 1"/>
    <n v="5.49"/>
    <x v="78"/>
    <n v="307.44"/>
    <x v="1"/>
    <x v="1"/>
    <x v="1"/>
    <x v="4"/>
    <n v="0"/>
  </r>
  <r>
    <d v="2025-05-30T00:00:00"/>
    <s v="cogs:product 2"/>
    <n v="19.989999999999998"/>
    <x v="25"/>
    <n v="19.989999999999998"/>
    <x v="1"/>
    <x v="2"/>
    <x v="1"/>
    <x v="4"/>
    <n v="-345.87"/>
  </r>
  <r>
    <d v="2025-05-30T00:00:00"/>
    <s v="cogs:product 3"/>
    <n v="8.99"/>
    <x v="83"/>
    <n v="413.54"/>
    <x v="1"/>
    <x v="3"/>
    <x v="1"/>
    <x v="4"/>
    <n v="-79.959999999999994"/>
  </r>
  <r>
    <d v="2025-05-30T00:00:00"/>
    <s v="marketing"/>
    <s v="NA"/>
    <x v="0"/>
    <n v="117.07000000000001"/>
    <x v="2"/>
    <x v="0"/>
    <x v="1"/>
    <x v="4"/>
    <n v="-575.36"/>
  </r>
  <r>
    <d v="2025-05-30T00:00:00"/>
    <s v="net sales:product 1"/>
    <n v="9.99"/>
    <x v="78"/>
    <n v="559.44000000000005"/>
    <x v="3"/>
    <x v="1"/>
    <x v="1"/>
    <x v="4"/>
    <n v="-118.94"/>
  </r>
  <r>
    <d v="2025-05-30T00:00:00"/>
    <s v="net sales:product 2"/>
    <n v="24.99"/>
    <x v="25"/>
    <n v="24.99"/>
    <x v="3"/>
    <x v="2"/>
    <x v="1"/>
    <x v="4"/>
    <n v="629.37"/>
  </r>
  <r>
    <d v="2025-05-30T00:00:00"/>
    <s v="net sales:product 3"/>
    <n v="12.49"/>
    <x v="83"/>
    <n v="574.54"/>
    <x v="3"/>
    <x v="3"/>
    <x v="1"/>
    <x v="4"/>
    <n v="99.96"/>
  </r>
  <r>
    <d v="2025-05-31T00:00:00"/>
    <s v="cogs:product 1"/>
    <n v="5.49"/>
    <x v="166"/>
    <n v="71.37"/>
    <x v="1"/>
    <x v="1"/>
    <x v="1"/>
    <x v="4"/>
    <n v="799.36"/>
  </r>
  <r>
    <d v="2025-05-31T00:00:00"/>
    <s v="cogs:product 2"/>
    <n v="19.989999999999998"/>
    <x v="23"/>
    <n v="0"/>
    <x v="1"/>
    <x v="2"/>
    <x v="1"/>
    <x v="4"/>
    <n v="0"/>
  </r>
  <r>
    <d v="2025-05-31T00:00:00"/>
    <s v="cogs:product 3"/>
    <n v="8.99"/>
    <x v="55"/>
    <n v="2022.75"/>
    <x v="1"/>
    <x v="3"/>
    <x v="1"/>
    <x v="4"/>
    <n v="-329.40000000000003"/>
  </r>
  <r>
    <d v="2025-05-31T00:00:00"/>
    <s v="marketing"/>
    <s v="NA"/>
    <x v="0"/>
    <n v="111.96000000000001"/>
    <x v="2"/>
    <x v="0"/>
    <x v="1"/>
    <x v="4"/>
    <n v="-19.989999999999998"/>
  </r>
  <r>
    <d v="2025-05-31T00:00:00"/>
    <s v="net sales:product 1"/>
    <n v="9.99"/>
    <x v="166"/>
    <n v="129.87"/>
    <x v="3"/>
    <x v="1"/>
    <x v="1"/>
    <x v="4"/>
    <n v="-89.9"/>
  </r>
  <r>
    <d v="2025-05-31T00:00:00"/>
    <s v="net sales:product 2"/>
    <n v="24.99"/>
    <x v="23"/>
    <n v="0"/>
    <x v="3"/>
    <x v="2"/>
    <x v="1"/>
    <x v="4"/>
    <n v="-109.07000000000001"/>
  </r>
  <r>
    <d v="2025-05-31T00:00:00"/>
    <s v="net sales:product 3"/>
    <n v="12.49"/>
    <x v="55"/>
    <n v="2810.25"/>
    <x v="3"/>
    <x v="3"/>
    <x v="1"/>
    <x v="4"/>
    <n v="599.4"/>
  </r>
  <r>
    <d v="2025-06-01T00:00:00"/>
    <s v="amortization"/>
    <s v="NA"/>
    <x v="0"/>
    <n v="50"/>
    <x v="0"/>
    <x v="0"/>
    <x v="1"/>
    <x v="5"/>
    <n v="24.99"/>
  </r>
  <r>
    <d v="2025-06-01T00:00:00"/>
    <s v="cogs:product 1"/>
    <n v="5.49"/>
    <x v="130"/>
    <n v="219.60000000000002"/>
    <x v="1"/>
    <x v="1"/>
    <x v="1"/>
    <x v="5"/>
    <n v="124.9"/>
  </r>
  <r>
    <d v="2025-06-01T00:00:00"/>
    <s v="cogs:product 2"/>
    <n v="19.989999999999998"/>
    <x v="23"/>
    <n v="0"/>
    <x v="1"/>
    <x v="2"/>
    <x v="1"/>
    <x v="5"/>
    <n v="-2000"/>
  </r>
  <r>
    <d v="2025-06-01T00:00:00"/>
    <s v="cogs:product 3"/>
    <n v="8.99"/>
    <x v="104"/>
    <n v="620.31000000000006"/>
    <x v="1"/>
    <x v="3"/>
    <x v="1"/>
    <x v="5"/>
    <n v="-93.33"/>
  </r>
  <r>
    <d v="2025-06-01T00:00:00"/>
    <s v="marketing"/>
    <s v="NA"/>
    <x v="0"/>
    <n v="105.08"/>
    <x v="2"/>
    <x v="0"/>
    <x v="1"/>
    <x v="5"/>
    <n v="-59.97"/>
  </r>
  <r>
    <d v="2025-06-01T00:00:00"/>
    <s v="net sales:product 1"/>
    <n v="9.99"/>
    <x v="130"/>
    <n v="399.6"/>
    <x v="3"/>
    <x v="1"/>
    <x v="1"/>
    <x v="5"/>
    <n v="-1438.4"/>
  </r>
  <r>
    <d v="2025-06-01T00:00:00"/>
    <s v="net sales:product 2"/>
    <n v="24.99"/>
    <x v="23"/>
    <n v="0"/>
    <x v="3"/>
    <x v="2"/>
    <x v="1"/>
    <x v="5"/>
    <n v="-105.92"/>
  </r>
  <r>
    <d v="2025-06-01T00:00:00"/>
    <s v="net sales:product 3"/>
    <n v="12.49"/>
    <x v="104"/>
    <n v="861.81000000000006"/>
    <x v="3"/>
    <x v="3"/>
    <x v="1"/>
    <x v="5"/>
    <n v="169.83"/>
  </r>
  <r>
    <d v="2025-06-01T00:00:00"/>
    <s v="overhead"/>
    <s v="NA"/>
    <x v="0"/>
    <n v="2000"/>
    <x v="4"/>
    <x v="0"/>
    <x v="1"/>
    <x v="5"/>
    <n v="74.97"/>
  </r>
  <r>
    <d v="2025-06-02T00:00:00"/>
    <s v="cogs:product 1"/>
    <n v="5.49"/>
    <x v="61"/>
    <n v="532.53"/>
    <x v="1"/>
    <x v="1"/>
    <x v="1"/>
    <x v="5"/>
    <n v="1998.4"/>
  </r>
  <r>
    <d v="2025-06-02T00:00:00"/>
    <s v="cogs:product 2"/>
    <n v="19.989999999999998"/>
    <x v="19"/>
    <n v="79.959999999999994"/>
    <x v="1"/>
    <x v="2"/>
    <x v="1"/>
    <x v="5"/>
    <n v="-197.64000000000001"/>
  </r>
  <r>
    <d v="2025-06-02T00:00:00"/>
    <s v="cogs:product 3"/>
    <n v="8.99"/>
    <x v="24"/>
    <n v="890.01"/>
    <x v="1"/>
    <x v="3"/>
    <x v="1"/>
    <x v="5"/>
    <n v="-79.959999999999994"/>
  </r>
  <r>
    <d v="2025-06-02T00:00:00"/>
    <s v="marketing"/>
    <s v="NA"/>
    <x v="0"/>
    <n v="106.04"/>
    <x v="2"/>
    <x v="0"/>
    <x v="1"/>
    <x v="5"/>
    <n v="-1537.29"/>
  </r>
  <r>
    <d v="2025-06-02T00:00:00"/>
    <s v="net sales:product 1"/>
    <n v="9.99"/>
    <x v="61"/>
    <n v="969.03"/>
    <x v="3"/>
    <x v="1"/>
    <x v="1"/>
    <x v="5"/>
    <n v="-105"/>
  </r>
  <r>
    <d v="2025-06-02T00:00:00"/>
    <s v="net sales:product 2"/>
    <n v="24.99"/>
    <x v="19"/>
    <n v="99.96"/>
    <x v="3"/>
    <x v="2"/>
    <x v="1"/>
    <x v="5"/>
    <n v="359.64"/>
  </r>
  <r>
    <d v="2025-06-02T00:00:00"/>
    <s v="net sales:product 3"/>
    <n v="12.49"/>
    <x v="24"/>
    <n v="1236.51"/>
    <x v="3"/>
    <x v="3"/>
    <x v="1"/>
    <x v="5"/>
    <n v="99.96"/>
  </r>
  <r>
    <d v="2025-06-03T00:00:00"/>
    <s v="cogs:product 1"/>
    <n v="5.49"/>
    <x v="166"/>
    <n v="71.37"/>
    <x v="1"/>
    <x v="1"/>
    <x v="1"/>
    <x v="5"/>
    <n v="2135.79"/>
  </r>
  <r>
    <d v="2025-06-03T00:00:00"/>
    <s v="cogs:product 2"/>
    <n v="19.989999999999998"/>
    <x v="10"/>
    <n v="39.979999999999997"/>
    <x v="1"/>
    <x v="2"/>
    <x v="1"/>
    <x v="5"/>
    <n v="-527.04"/>
  </r>
  <r>
    <d v="2025-06-03T00:00:00"/>
    <s v="cogs:product 3"/>
    <n v="8.99"/>
    <x v="167"/>
    <n v="2229.52"/>
    <x v="1"/>
    <x v="3"/>
    <x v="1"/>
    <x v="5"/>
    <n v="-159.91999999999999"/>
  </r>
  <r>
    <d v="2025-06-03T00:00:00"/>
    <s v="marketing"/>
    <s v="NA"/>
    <x v="0"/>
    <n v="111.94"/>
    <x v="2"/>
    <x v="0"/>
    <x v="1"/>
    <x v="5"/>
    <n v="-1132.74"/>
  </r>
  <r>
    <d v="2025-06-03T00:00:00"/>
    <s v="net sales:product 1"/>
    <n v="9.99"/>
    <x v="166"/>
    <n v="129.87"/>
    <x v="3"/>
    <x v="1"/>
    <x v="1"/>
    <x v="5"/>
    <n v="-106.92"/>
  </r>
  <r>
    <d v="2025-06-03T00:00:00"/>
    <s v="net sales:product 2"/>
    <n v="24.99"/>
    <x v="10"/>
    <n v="49.98"/>
    <x v="3"/>
    <x v="2"/>
    <x v="1"/>
    <x v="5"/>
    <n v="959.04"/>
  </r>
  <r>
    <d v="2025-06-03T00:00:00"/>
    <s v="net sales:product 3"/>
    <n v="12.49"/>
    <x v="167"/>
    <n v="3097.52"/>
    <x v="3"/>
    <x v="3"/>
    <x v="1"/>
    <x v="5"/>
    <n v="199.92"/>
  </r>
  <r>
    <d v="2025-06-04T00:00:00"/>
    <s v="cogs:product 1"/>
    <n v="5.49"/>
    <x v="39"/>
    <n v="137.25"/>
    <x v="1"/>
    <x v="1"/>
    <x v="1"/>
    <x v="5"/>
    <n v="1573.74"/>
  </r>
  <r>
    <d v="2025-06-04T00:00:00"/>
    <s v="cogs:product 2"/>
    <n v="19.989999999999998"/>
    <x v="2"/>
    <n v="59.97"/>
    <x v="1"/>
    <x v="2"/>
    <x v="1"/>
    <x v="5"/>
    <n v="-49.410000000000004"/>
  </r>
  <r>
    <d v="2025-06-04T00:00:00"/>
    <s v="cogs:product 3"/>
    <n v="8.99"/>
    <x v="72"/>
    <n v="215.76"/>
    <x v="1"/>
    <x v="3"/>
    <x v="1"/>
    <x v="5"/>
    <n v="-19.989999999999998"/>
  </r>
  <r>
    <d v="2025-06-04T00:00:00"/>
    <s v="marketing"/>
    <s v="NA"/>
    <x v="0"/>
    <n v="118.98"/>
    <x v="2"/>
    <x v="0"/>
    <x v="1"/>
    <x v="5"/>
    <n v="0"/>
  </r>
  <r>
    <d v="2025-06-04T00:00:00"/>
    <s v="net sales:product 1"/>
    <n v="9.99"/>
    <x v="39"/>
    <n v="249.75"/>
    <x v="3"/>
    <x v="1"/>
    <x v="1"/>
    <x v="5"/>
    <n v="-120.05"/>
  </r>
  <r>
    <d v="2025-06-04T00:00:00"/>
    <s v="net sales:product 2"/>
    <n v="24.99"/>
    <x v="2"/>
    <n v="74.97"/>
    <x v="3"/>
    <x v="2"/>
    <x v="1"/>
    <x v="5"/>
    <n v="89.91"/>
  </r>
  <r>
    <d v="2025-06-04T00:00:00"/>
    <s v="net sales:product 3"/>
    <n v="12.49"/>
    <x v="72"/>
    <n v="299.76"/>
    <x v="3"/>
    <x v="3"/>
    <x v="1"/>
    <x v="5"/>
    <n v="24.99"/>
  </r>
  <r>
    <d v="2025-06-05T00:00:00"/>
    <s v="cogs:product 1"/>
    <n v="5.49"/>
    <x v="139"/>
    <n v="197.64000000000001"/>
    <x v="1"/>
    <x v="1"/>
    <x v="1"/>
    <x v="5"/>
    <n v="0"/>
  </r>
  <r>
    <d v="2025-06-05T00:00:00"/>
    <s v="cogs:product 2"/>
    <n v="19.989999999999998"/>
    <x v="29"/>
    <n v="99.949999999999989"/>
    <x v="1"/>
    <x v="2"/>
    <x v="1"/>
    <x v="5"/>
    <n v="-186.66"/>
  </r>
  <r>
    <d v="2025-06-05T00:00:00"/>
    <s v="cogs:product 3"/>
    <n v="8.99"/>
    <x v="218"/>
    <n v="1896.89"/>
    <x v="1"/>
    <x v="3"/>
    <x v="1"/>
    <x v="5"/>
    <n v="-119.94"/>
  </r>
  <r>
    <d v="2025-06-05T00:00:00"/>
    <s v="marketing"/>
    <s v="NA"/>
    <x v="0"/>
    <n v="116.99000000000001"/>
    <x v="2"/>
    <x v="0"/>
    <x v="1"/>
    <x v="5"/>
    <n v="-305.66000000000003"/>
  </r>
  <r>
    <d v="2025-06-05T00:00:00"/>
    <s v="net sales:product 1"/>
    <n v="9.99"/>
    <x v="139"/>
    <n v="359.64"/>
    <x v="3"/>
    <x v="1"/>
    <x v="1"/>
    <x v="5"/>
    <n v="-112.03"/>
  </r>
  <r>
    <d v="2025-06-05T00:00:00"/>
    <s v="net sales:product 2"/>
    <n v="24.99"/>
    <x v="29"/>
    <n v="124.94999999999999"/>
    <x v="3"/>
    <x v="2"/>
    <x v="1"/>
    <x v="5"/>
    <n v="339.66"/>
  </r>
  <r>
    <d v="2025-06-05T00:00:00"/>
    <s v="net sales:product 3"/>
    <n v="12.49"/>
    <x v="218"/>
    <n v="2635.39"/>
    <x v="3"/>
    <x v="3"/>
    <x v="1"/>
    <x v="5"/>
    <n v="149.94"/>
  </r>
  <r>
    <d v="2025-06-06T00:00:00"/>
    <s v="cogs:product 1"/>
    <n v="5.49"/>
    <x v="134"/>
    <n v="351.36"/>
    <x v="1"/>
    <x v="1"/>
    <x v="1"/>
    <x v="5"/>
    <n v="424.66"/>
  </r>
  <r>
    <d v="2025-06-06T00:00:00"/>
    <s v="cogs:product 2"/>
    <n v="19.989999999999998"/>
    <x v="19"/>
    <n v="79.959999999999994"/>
    <x v="1"/>
    <x v="2"/>
    <x v="1"/>
    <x v="5"/>
    <n v="-494.1"/>
  </r>
  <r>
    <d v="2025-06-06T00:00:00"/>
    <s v="cogs:product 3"/>
    <n v="8.99"/>
    <x v="212"/>
    <n v="1024.8600000000001"/>
    <x v="1"/>
    <x v="3"/>
    <x v="1"/>
    <x v="5"/>
    <n v="-159.91999999999999"/>
  </r>
  <r>
    <d v="2025-06-06T00:00:00"/>
    <s v="marketing"/>
    <s v="NA"/>
    <x v="0"/>
    <n v="110.92"/>
    <x v="2"/>
    <x v="0"/>
    <x v="1"/>
    <x v="5"/>
    <n v="-1869.92"/>
  </r>
  <r>
    <d v="2025-06-06T00:00:00"/>
    <s v="net sales:product 1"/>
    <n v="9.99"/>
    <x v="134"/>
    <n v="639.36"/>
    <x v="3"/>
    <x v="1"/>
    <x v="1"/>
    <x v="5"/>
    <n v="-106.09"/>
  </r>
  <r>
    <d v="2025-06-06T00:00:00"/>
    <s v="net sales:product 2"/>
    <n v="24.99"/>
    <x v="19"/>
    <n v="99.96"/>
    <x v="3"/>
    <x v="2"/>
    <x v="1"/>
    <x v="5"/>
    <n v="899.1"/>
  </r>
  <r>
    <d v="2025-06-06T00:00:00"/>
    <s v="net sales:product 3"/>
    <n v="12.49"/>
    <x v="212"/>
    <n v="1423.8600000000001"/>
    <x v="3"/>
    <x v="3"/>
    <x v="1"/>
    <x v="5"/>
    <n v="199.92"/>
  </r>
  <r>
    <d v="2025-06-06T00:00:00"/>
    <s v="payroll"/>
    <s v="NA"/>
    <x v="0"/>
    <n v="1200"/>
    <x v="5"/>
    <x v="0"/>
    <x v="1"/>
    <x v="5"/>
    <n v="2597.92"/>
  </r>
  <r>
    <d v="2025-06-07T00:00:00"/>
    <s v="cogs:product 1"/>
    <n v="5.49"/>
    <x v="16"/>
    <n v="43.92"/>
    <x v="1"/>
    <x v="1"/>
    <x v="1"/>
    <x v="5"/>
    <n v="-439.20000000000005"/>
  </r>
  <r>
    <d v="2025-06-07T00:00:00"/>
    <s v="cogs:product 2"/>
    <n v="19.989999999999998"/>
    <x v="29"/>
    <n v="99.949999999999989"/>
    <x v="1"/>
    <x v="2"/>
    <x v="1"/>
    <x v="5"/>
    <n v="0"/>
  </r>
  <r>
    <d v="2025-06-07T00:00:00"/>
    <s v="cogs:product 3"/>
    <n v="8.99"/>
    <x v="59"/>
    <n v="530.41"/>
    <x v="1"/>
    <x v="3"/>
    <x v="1"/>
    <x v="5"/>
    <n v="-2049.7200000000003"/>
  </r>
  <r>
    <d v="2025-06-07T00:00:00"/>
    <s v="marketing"/>
    <s v="NA"/>
    <x v="0"/>
    <n v="111.95"/>
    <x v="2"/>
    <x v="0"/>
    <x v="1"/>
    <x v="5"/>
    <n v="-116.10000000000001"/>
  </r>
  <r>
    <d v="2025-06-07T00:00:00"/>
    <s v="net sales:product 1"/>
    <n v="9.99"/>
    <x v="16"/>
    <n v="79.92"/>
    <x v="3"/>
    <x v="1"/>
    <x v="1"/>
    <x v="5"/>
    <n v="799.2"/>
  </r>
  <r>
    <d v="2025-06-07T00:00:00"/>
    <s v="net sales:product 2"/>
    <n v="24.99"/>
    <x v="29"/>
    <n v="124.94999999999999"/>
    <x v="3"/>
    <x v="2"/>
    <x v="1"/>
    <x v="5"/>
    <n v="0"/>
  </r>
  <r>
    <d v="2025-06-07T00:00:00"/>
    <s v="net sales:product 3"/>
    <n v="12.49"/>
    <x v="59"/>
    <n v="736.91"/>
    <x v="3"/>
    <x v="3"/>
    <x v="1"/>
    <x v="5"/>
    <n v="2847.7200000000003"/>
  </r>
  <r>
    <d v="2025-06-08T00:00:00"/>
    <s v="cogs:product 1"/>
    <n v="5.49"/>
    <x v="98"/>
    <n v="247.05"/>
    <x v="1"/>
    <x v="1"/>
    <x v="1"/>
    <x v="5"/>
    <n v="-181.17000000000002"/>
  </r>
  <r>
    <d v="2025-06-08T00:00:00"/>
    <s v="cogs:product 2"/>
    <n v="19.989999999999998"/>
    <x v="25"/>
    <n v="19.989999999999998"/>
    <x v="1"/>
    <x v="2"/>
    <x v="1"/>
    <x v="5"/>
    <n v="-19.989999999999998"/>
  </r>
  <r>
    <d v="2025-06-08T00:00:00"/>
    <s v="cogs:product 3"/>
    <n v="8.99"/>
    <x v="30"/>
    <n v="152.83000000000001"/>
    <x v="1"/>
    <x v="3"/>
    <x v="1"/>
    <x v="5"/>
    <n v="-1393.45"/>
  </r>
  <r>
    <d v="2025-06-08T00:00:00"/>
    <s v="marketing"/>
    <s v="NA"/>
    <x v="0"/>
    <n v="120.08"/>
    <x v="2"/>
    <x v="0"/>
    <x v="1"/>
    <x v="5"/>
    <n v="-110.03"/>
  </r>
  <r>
    <d v="2025-06-08T00:00:00"/>
    <s v="net sales:product 1"/>
    <n v="9.99"/>
    <x v="98"/>
    <n v="449.55"/>
    <x v="3"/>
    <x v="1"/>
    <x v="1"/>
    <x v="5"/>
    <n v="329.67"/>
  </r>
  <r>
    <d v="2025-06-08T00:00:00"/>
    <s v="net sales:product 2"/>
    <n v="24.99"/>
    <x v="25"/>
    <n v="24.99"/>
    <x v="3"/>
    <x v="2"/>
    <x v="1"/>
    <x v="5"/>
    <n v="24.99"/>
  </r>
  <r>
    <d v="2025-06-08T00:00:00"/>
    <s v="net sales:product 3"/>
    <n v="12.49"/>
    <x v="30"/>
    <n v="212.33"/>
    <x v="3"/>
    <x v="3"/>
    <x v="1"/>
    <x v="5"/>
    <n v="1935.95"/>
  </r>
  <r>
    <d v="2025-06-09T00:00:00"/>
    <s v="cogs:product 1"/>
    <n v="5.49"/>
    <x v="35"/>
    <n v="104.31"/>
    <x v="1"/>
    <x v="1"/>
    <x v="1"/>
    <x v="5"/>
    <n v="-1200"/>
  </r>
  <r>
    <d v="2025-06-09T00:00:00"/>
    <s v="cogs:product 2"/>
    <n v="19.989999999999998"/>
    <x v="10"/>
    <n v="39.979999999999997"/>
    <x v="1"/>
    <x v="2"/>
    <x v="1"/>
    <x v="5"/>
    <n v="-296.46000000000004"/>
  </r>
  <r>
    <d v="2025-06-09T00:00:00"/>
    <s v="cogs:product 3"/>
    <n v="8.99"/>
    <x v="17"/>
    <n v="925.97"/>
    <x v="1"/>
    <x v="3"/>
    <x v="1"/>
    <x v="5"/>
    <n v="-19.989999999999998"/>
  </r>
  <r>
    <d v="2025-06-09T00:00:00"/>
    <s v="marketing"/>
    <s v="NA"/>
    <x v="0"/>
    <n v="107"/>
    <x v="2"/>
    <x v="0"/>
    <x v="1"/>
    <x v="5"/>
    <n v="0"/>
  </r>
  <r>
    <d v="2025-06-09T00:00:00"/>
    <s v="net sales:product 1"/>
    <n v="9.99"/>
    <x v="35"/>
    <n v="189.81"/>
    <x v="3"/>
    <x v="1"/>
    <x v="1"/>
    <x v="5"/>
    <n v="-109.9"/>
  </r>
  <r>
    <d v="2025-06-09T00:00:00"/>
    <s v="net sales:product 2"/>
    <n v="24.99"/>
    <x v="10"/>
    <n v="49.98"/>
    <x v="3"/>
    <x v="2"/>
    <x v="1"/>
    <x v="5"/>
    <n v="539.46"/>
  </r>
  <r>
    <d v="2025-06-09T00:00:00"/>
    <s v="net sales:product 3"/>
    <n v="12.49"/>
    <x v="17"/>
    <n v="1286.47"/>
    <x v="3"/>
    <x v="3"/>
    <x v="1"/>
    <x v="5"/>
    <n v="24.99"/>
  </r>
  <r>
    <d v="2025-06-10T00:00:00"/>
    <s v="cogs:product 1"/>
    <n v="5.49"/>
    <x v="66"/>
    <n v="258.03000000000003"/>
    <x v="1"/>
    <x v="1"/>
    <x v="1"/>
    <x v="5"/>
    <n v="0"/>
  </r>
  <r>
    <d v="2025-06-10T00:00:00"/>
    <s v="cogs:product 2"/>
    <n v="19.989999999999998"/>
    <x v="42"/>
    <n v="119.94"/>
    <x v="1"/>
    <x v="2"/>
    <x v="1"/>
    <x v="5"/>
    <n v="-395.28000000000003"/>
  </r>
  <r>
    <d v="2025-06-10T00:00:00"/>
    <s v="cogs:product 3"/>
    <n v="8.99"/>
    <x v="76"/>
    <n v="665.26"/>
    <x v="1"/>
    <x v="3"/>
    <x v="1"/>
    <x v="5"/>
    <n v="-99.949999999999989"/>
  </r>
  <r>
    <d v="2025-06-10T00:00:00"/>
    <s v="marketing"/>
    <s v="NA"/>
    <x v="0"/>
    <n v="105.09"/>
    <x v="2"/>
    <x v="0"/>
    <x v="1"/>
    <x v="5"/>
    <n v="-1339.51"/>
  </r>
  <r>
    <d v="2025-06-10T00:00:00"/>
    <s v="net sales:product 1"/>
    <n v="9.99"/>
    <x v="66"/>
    <n v="469.53000000000003"/>
    <x v="3"/>
    <x v="1"/>
    <x v="1"/>
    <x v="5"/>
    <n v="-115.08"/>
  </r>
  <r>
    <d v="2025-06-10T00:00:00"/>
    <s v="net sales:product 2"/>
    <n v="24.99"/>
    <x v="42"/>
    <n v="149.94"/>
    <x v="3"/>
    <x v="2"/>
    <x v="1"/>
    <x v="5"/>
    <n v="719.28"/>
  </r>
  <r>
    <d v="2025-06-10T00:00:00"/>
    <s v="net sales:product 3"/>
    <n v="12.49"/>
    <x v="76"/>
    <n v="924.26"/>
    <x v="3"/>
    <x v="3"/>
    <x v="1"/>
    <x v="5"/>
    <n v="124.94999999999999"/>
  </r>
  <r>
    <d v="2025-06-11T00:00:00"/>
    <s v="cogs:product 1"/>
    <n v="5.49"/>
    <x v="115"/>
    <n v="417.24"/>
    <x v="1"/>
    <x v="1"/>
    <x v="1"/>
    <x v="5"/>
    <n v="1861.01"/>
  </r>
  <r>
    <d v="2025-06-11T00:00:00"/>
    <s v="cogs:product 2"/>
    <n v="19.989999999999998"/>
    <x v="2"/>
    <n v="59.97"/>
    <x v="1"/>
    <x v="2"/>
    <x v="1"/>
    <x v="5"/>
    <n v="-247.05"/>
  </r>
  <r>
    <d v="2025-06-11T00:00:00"/>
    <s v="cogs:product 3"/>
    <n v="8.99"/>
    <x v="32"/>
    <n v="1006.88"/>
    <x v="1"/>
    <x v="3"/>
    <x v="1"/>
    <x v="5"/>
    <n v="-59.97"/>
  </r>
  <r>
    <d v="2025-06-11T00:00:00"/>
    <s v="marketing"/>
    <s v="NA"/>
    <x v="0"/>
    <n v="116.91"/>
    <x v="2"/>
    <x v="0"/>
    <x v="1"/>
    <x v="5"/>
    <n v="-1033.8500000000001"/>
  </r>
  <r>
    <d v="2025-06-11T00:00:00"/>
    <s v="net sales:product 1"/>
    <n v="9.99"/>
    <x v="115"/>
    <n v="759.24"/>
    <x v="3"/>
    <x v="1"/>
    <x v="1"/>
    <x v="5"/>
    <n v="-110.94"/>
  </r>
  <r>
    <d v="2025-06-11T00:00:00"/>
    <s v="net sales:product 2"/>
    <n v="24.99"/>
    <x v="2"/>
    <n v="74.97"/>
    <x v="3"/>
    <x v="2"/>
    <x v="1"/>
    <x v="5"/>
    <n v="449.55"/>
  </r>
  <r>
    <d v="2025-06-11T00:00:00"/>
    <s v="net sales:product 3"/>
    <n v="12.49"/>
    <x v="32"/>
    <n v="1398.88"/>
    <x v="3"/>
    <x v="3"/>
    <x v="1"/>
    <x v="5"/>
    <n v="74.97"/>
  </r>
  <r>
    <d v="2025-06-12T00:00:00"/>
    <s v="cogs:product 1"/>
    <n v="5.49"/>
    <x v="80"/>
    <n v="236.07000000000002"/>
    <x v="1"/>
    <x v="1"/>
    <x v="1"/>
    <x v="5"/>
    <n v="1436.3500000000001"/>
  </r>
  <r>
    <d v="2025-06-12T00:00:00"/>
    <s v="cogs:product 2"/>
    <n v="19.989999999999998"/>
    <x v="16"/>
    <n v="159.91999999999999"/>
    <x v="1"/>
    <x v="2"/>
    <x v="1"/>
    <x v="5"/>
    <n v="-208.62"/>
  </r>
  <r>
    <d v="2025-06-12T00:00:00"/>
    <s v="cogs:product 3"/>
    <n v="8.99"/>
    <x v="150"/>
    <n v="1708.1000000000001"/>
    <x v="1"/>
    <x v="3"/>
    <x v="1"/>
    <x v="5"/>
    <n v="-39.979999999999997"/>
  </r>
  <r>
    <d v="2025-06-12T00:00:00"/>
    <s v="marketing"/>
    <s v="NA"/>
    <x v="0"/>
    <n v="106.08"/>
    <x v="2"/>
    <x v="0"/>
    <x v="1"/>
    <x v="5"/>
    <n v="-1609.21"/>
  </r>
  <r>
    <d v="2025-06-12T00:00:00"/>
    <s v="net sales:product 1"/>
    <n v="9.99"/>
    <x v="80"/>
    <n v="429.57"/>
    <x v="3"/>
    <x v="1"/>
    <x v="1"/>
    <x v="5"/>
    <n v="-106.92"/>
  </r>
  <r>
    <d v="2025-06-12T00:00:00"/>
    <s v="net sales:product 2"/>
    <n v="24.99"/>
    <x v="16"/>
    <n v="199.92"/>
    <x v="3"/>
    <x v="2"/>
    <x v="1"/>
    <x v="5"/>
    <n v="379.62"/>
  </r>
  <r>
    <d v="2025-06-12T00:00:00"/>
    <s v="net sales:product 3"/>
    <n v="12.49"/>
    <x v="150"/>
    <n v="2373.1"/>
    <x v="3"/>
    <x v="3"/>
    <x v="1"/>
    <x v="5"/>
    <n v="49.98"/>
  </r>
  <r>
    <d v="2025-06-13T00:00:00"/>
    <s v="cogs:product 1"/>
    <n v="5.49"/>
    <x v="76"/>
    <n v="406.26"/>
    <x v="1"/>
    <x v="1"/>
    <x v="1"/>
    <x v="5"/>
    <n v="2235.71"/>
  </r>
  <r>
    <d v="2025-06-13T00:00:00"/>
    <s v="cogs:product 2"/>
    <n v="19.989999999999998"/>
    <x v="2"/>
    <n v="59.97"/>
    <x v="1"/>
    <x v="2"/>
    <x v="1"/>
    <x v="5"/>
    <n v="-38.43"/>
  </r>
  <r>
    <d v="2025-06-13T00:00:00"/>
    <s v="cogs:product 3"/>
    <n v="8.99"/>
    <x v="23"/>
    <n v="0"/>
    <x v="1"/>
    <x v="3"/>
    <x v="1"/>
    <x v="5"/>
    <n v="-79.959999999999994"/>
  </r>
  <r>
    <d v="2025-06-13T00:00:00"/>
    <s v="marketing"/>
    <s v="NA"/>
    <x v="0"/>
    <n v="110.08"/>
    <x v="2"/>
    <x v="0"/>
    <x v="1"/>
    <x v="5"/>
    <n v="-1303.55"/>
  </r>
  <r>
    <d v="2025-06-13T00:00:00"/>
    <s v="net sales:product 1"/>
    <n v="9.99"/>
    <x v="76"/>
    <n v="739.26"/>
    <x v="3"/>
    <x v="1"/>
    <x v="1"/>
    <x v="5"/>
    <n v="-110.97"/>
  </r>
  <r>
    <d v="2025-06-13T00:00:00"/>
    <s v="net sales:product 2"/>
    <n v="24.99"/>
    <x v="2"/>
    <n v="74.97"/>
    <x v="3"/>
    <x v="2"/>
    <x v="1"/>
    <x v="5"/>
    <n v="69.930000000000007"/>
  </r>
  <r>
    <d v="2025-06-13T00:00:00"/>
    <s v="net sales:product 3"/>
    <n v="12.49"/>
    <x v="23"/>
    <n v="0"/>
    <x v="3"/>
    <x v="3"/>
    <x v="1"/>
    <x v="5"/>
    <n v="99.96"/>
  </r>
  <r>
    <d v="2025-06-14T00:00:00"/>
    <s v="cogs:product 1"/>
    <n v="5.49"/>
    <x v="107"/>
    <n v="181.17000000000002"/>
    <x v="1"/>
    <x v="1"/>
    <x v="1"/>
    <x v="5"/>
    <n v="1811.05"/>
  </r>
  <r>
    <d v="2025-06-14T00:00:00"/>
    <s v="cogs:product 2"/>
    <n v="19.989999999999998"/>
    <x v="25"/>
    <n v="19.989999999999998"/>
    <x v="1"/>
    <x v="2"/>
    <x v="1"/>
    <x v="5"/>
    <n v="-483.12"/>
  </r>
  <r>
    <d v="2025-06-14T00:00:00"/>
    <s v="cogs:product 3"/>
    <n v="8.99"/>
    <x v="69"/>
    <n v="692.23"/>
    <x v="1"/>
    <x v="3"/>
    <x v="1"/>
    <x v="5"/>
    <n v="-19.989999999999998"/>
  </r>
  <r>
    <d v="2025-06-14T00:00:00"/>
    <s v="marketing"/>
    <s v="NA"/>
    <x v="0"/>
    <n v="114.07000000000001"/>
    <x v="2"/>
    <x v="0"/>
    <x v="1"/>
    <x v="5"/>
    <n v="-2148.61"/>
  </r>
  <r>
    <d v="2025-06-14T00:00:00"/>
    <s v="net sales:product 1"/>
    <n v="9.99"/>
    <x v="107"/>
    <n v="329.67"/>
    <x v="3"/>
    <x v="1"/>
    <x v="1"/>
    <x v="5"/>
    <n v="-1237.28"/>
  </r>
  <r>
    <d v="2025-06-14T00:00:00"/>
    <s v="net sales:product 2"/>
    <n v="24.99"/>
    <x v="25"/>
    <n v="24.99"/>
    <x v="3"/>
    <x v="2"/>
    <x v="1"/>
    <x v="5"/>
    <n v="-116.93"/>
  </r>
  <r>
    <d v="2025-06-14T00:00:00"/>
    <s v="net sales:product 3"/>
    <n v="12.49"/>
    <x v="69"/>
    <n v="961.73"/>
    <x v="3"/>
    <x v="3"/>
    <x v="1"/>
    <x v="5"/>
    <n v="879.12"/>
  </r>
  <r>
    <d v="2025-06-15T00:00:00"/>
    <s v="cogs:product 1"/>
    <n v="5.49"/>
    <x v="6"/>
    <n v="203.13"/>
    <x v="1"/>
    <x v="1"/>
    <x v="1"/>
    <x v="5"/>
    <n v="24.99"/>
  </r>
  <r>
    <d v="2025-06-15T00:00:00"/>
    <s v="cogs:product 2"/>
    <n v="19.989999999999998"/>
    <x v="25"/>
    <n v="19.989999999999998"/>
    <x v="1"/>
    <x v="2"/>
    <x v="1"/>
    <x v="5"/>
    <n v="2985.11"/>
  </r>
  <r>
    <d v="2025-06-15T00:00:00"/>
    <s v="cogs:product 3"/>
    <n v="8.99"/>
    <x v="21"/>
    <n v="107.88"/>
    <x v="1"/>
    <x v="3"/>
    <x v="1"/>
    <x v="5"/>
    <n v="-309.32"/>
  </r>
  <r>
    <d v="2025-06-15T00:00:00"/>
    <s v="interest"/>
    <s v="NA"/>
    <x v="0"/>
    <n v="1260.8"/>
    <x v="6"/>
    <x v="0"/>
    <x v="1"/>
    <x v="5"/>
    <n v="-395.28000000000003"/>
  </r>
  <r>
    <d v="2025-06-15T00:00:00"/>
    <s v="marketing"/>
    <s v="NA"/>
    <x v="0"/>
    <n v="105.93"/>
    <x v="2"/>
    <x v="0"/>
    <x v="1"/>
    <x v="5"/>
    <n v="-79.959999999999994"/>
  </r>
  <r>
    <d v="2025-06-15T00:00:00"/>
    <s v="net sales:product 1"/>
    <n v="9.99"/>
    <x v="6"/>
    <n v="369.63"/>
    <x v="3"/>
    <x v="1"/>
    <x v="1"/>
    <x v="5"/>
    <n v="-1411.43"/>
  </r>
  <r>
    <d v="2025-06-15T00:00:00"/>
    <s v="net sales:product 2"/>
    <n v="24.99"/>
    <x v="25"/>
    <n v="24.99"/>
    <x v="3"/>
    <x v="2"/>
    <x v="1"/>
    <x v="5"/>
    <n v="-115.91"/>
  </r>
  <r>
    <d v="2025-06-15T00:00:00"/>
    <s v="net sales:product 3"/>
    <n v="12.49"/>
    <x v="21"/>
    <n v="149.88"/>
    <x v="3"/>
    <x v="3"/>
    <x v="1"/>
    <x v="5"/>
    <n v="719.28"/>
  </r>
  <r>
    <d v="2025-06-15T00:00:00"/>
    <s v="overhead"/>
    <s v="NA"/>
    <x v="0"/>
    <n v="320.56"/>
    <x v="4"/>
    <x v="0"/>
    <x v="1"/>
    <x v="5"/>
    <n v="99.96"/>
  </r>
  <r>
    <d v="2025-06-16T00:00:00"/>
    <s v="cogs:product 1"/>
    <n v="5.49"/>
    <x v="101"/>
    <n v="433.71000000000004"/>
    <x v="1"/>
    <x v="1"/>
    <x v="1"/>
    <x v="5"/>
    <n v="1960.93"/>
  </r>
  <r>
    <d v="2025-06-16T00:00:00"/>
    <s v="cogs:product 2"/>
    <n v="19.989999999999998"/>
    <x v="29"/>
    <n v="99.949999999999989"/>
    <x v="1"/>
    <x v="2"/>
    <x v="1"/>
    <x v="5"/>
    <n v="-109.80000000000001"/>
  </r>
  <r>
    <d v="2025-06-16T00:00:00"/>
    <s v="cogs:product 3"/>
    <n v="8.99"/>
    <x v="162"/>
    <n v="2139.62"/>
    <x v="1"/>
    <x v="3"/>
    <x v="1"/>
    <x v="5"/>
    <n v="-79.959999999999994"/>
  </r>
  <r>
    <d v="2025-06-16T00:00:00"/>
    <s v="marketing"/>
    <s v="NA"/>
    <x v="0"/>
    <n v="104.91"/>
    <x v="2"/>
    <x v="0"/>
    <x v="1"/>
    <x v="5"/>
    <n v="-1330.52"/>
  </r>
  <r>
    <d v="2025-06-16T00:00:00"/>
    <s v="net sales:product 1"/>
    <n v="9.99"/>
    <x v="101"/>
    <n v="789.21"/>
    <x v="3"/>
    <x v="1"/>
    <x v="1"/>
    <x v="5"/>
    <n v="-112.07000000000001"/>
  </r>
  <r>
    <d v="2025-06-16T00:00:00"/>
    <s v="net sales:product 2"/>
    <n v="24.99"/>
    <x v="29"/>
    <n v="124.94999999999999"/>
    <x v="3"/>
    <x v="2"/>
    <x v="1"/>
    <x v="5"/>
    <n v="199.8"/>
  </r>
  <r>
    <d v="2025-06-16T00:00:00"/>
    <s v="net sales:product 3"/>
    <n v="12.49"/>
    <x v="162"/>
    <n v="2972.62"/>
    <x v="3"/>
    <x v="3"/>
    <x v="1"/>
    <x v="5"/>
    <n v="99.96"/>
  </r>
  <r>
    <d v="2025-06-17T00:00:00"/>
    <s v="cogs:product 1"/>
    <n v="5.49"/>
    <x v="23"/>
    <n v="0"/>
    <x v="1"/>
    <x v="1"/>
    <x v="1"/>
    <x v="5"/>
    <n v="1848.52"/>
  </r>
  <r>
    <d v="2025-06-17T00:00:00"/>
    <s v="cogs:product 2"/>
    <n v="19.989999999999998"/>
    <x v="42"/>
    <n v="119.94"/>
    <x v="1"/>
    <x v="2"/>
    <x v="1"/>
    <x v="5"/>
    <n v="-247.05"/>
  </r>
  <r>
    <d v="2025-06-17T00:00:00"/>
    <s v="cogs:product 3"/>
    <n v="8.99"/>
    <x v="126"/>
    <n v="1510.32"/>
    <x v="1"/>
    <x v="3"/>
    <x v="1"/>
    <x v="5"/>
    <n v="-59.97"/>
  </r>
  <r>
    <d v="2025-06-17T00:00:00"/>
    <s v="marketing"/>
    <s v="NA"/>
    <x v="0"/>
    <n v="114.91"/>
    <x v="2"/>
    <x v="0"/>
    <x v="1"/>
    <x v="5"/>
    <n v="0"/>
  </r>
  <r>
    <d v="2025-06-17T00:00:00"/>
    <s v="net sales:product 1"/>
    <n v="9.99"/>
    <x v="23"/>
    <n v="0"/>
    <x v="3"/>
    <x v="1"/>
    <x v="1"/>
    <x v="5"/>
    <n v="-101.98"/>
  </r>
  <r>
    <d v="2025-06-17T00:00:00"/>
    <s v="net sales:product 2"/>
    <n v="24.99"/>
    <x v="42"/>
    <n v="149.94"/>
    <x v="3"/>
    <x v="2"/>
    <x v="1"/>
    <x v="5"/>
    <n v="449.55"/>
  </r>
  <r>
    <d v="2025-06-17T00:00:00"/>
    <s v="net sales:product 3"/>
    <n v="12.49"/>
    <x v="126"/>
    <n v="2098.3200000000002"/>
    <x v="3"/>
    <x v="3"/>
    <x v="1"/>
    <x v="5"/>
    <n v="74.97"/>
  </r>
  <r>
    <d v="2025-06-18T00:00:00"/>
    <s v="cogs:product 1"/>
    <n v="5.49"/>
    <x v="86"/>
    <n v="153.72"/>
    <x v="1"/>
    <x v="1"/>
    <x v="1"/>
    <x v="5"/>
    <n v="0"/>
  </r>
  <r>
    <d v="2025-06-18T00:00:00"/>
    <s v="cogs:product 2"/>
    <n v="19.989999999999998"/>
    <x v="2"/>
    <n v="59.97"/>
    <x v="1"/>
    <x v="2"/>
    <x v="1"/>
    <x v="5"/>
    <n v="-43.92"/>
  </r>
  <r>
    <d v="2025-06-18T00:00:00"/>
    <s v="cogs:product 3"/>
    <n v="8.99"/>
    <x v="132"/>
    <n v="2085.6799999999998"/>
    <x v="1"/>
    <x v="3"/>
    <x v="1"/>
    <x v="5"/>
    <n v="-179.91"/>
  </r>
  <r>
    <d v="2025-06-18T00:00:00"/>
    <s v="marketing"/>
    <s v="NA"/>
    <x v="0"/>
    <n v="109.03"/>
    <x v="2"/>
    <x v="0"/>
    <x v="1"/>
    <x v="5"/>
    <n v="-44.95"/>
  </r>
  <r>
    <d v="2025-06-18T00:00:00"/>
    <s v="net sales:product 1"/>
    <n v="9.99"/>
    <x v="86"/>
    <n v="279.72000000000003"/>
    <x v="3"/>
    <x v="1"/>
    <x v="1"/>
    <x v="5"/>
    <n v="-103.01"/>
  </r>
  <r>
    <d v="2025-06-18T00:00:00"/>
    <s v="net sales:product 2"/>
    <n v="24.99"/>
    <x v="2"/>
    <n v="74.97"/>
    <x v="3"/>
    <x v="2"/>
    <x v="1"/>
    <x v="5"/>
    <n v="79.92"/>
  </r>
  <r>
    <d v="2025-06-18T00:00:00"/>
    <s v="net sales:product 3"/>
    <n v="12.49"/>
    <x v="132"/>
    <n v="2897.68"/>
    <x v="3"/>
    <x v="3"/>
    <x v="1"/>
    <x v="5"/>
    <n v="224.91"/>
  </r>
  <r>
    <d v="2025-06-19T00:00:00"/>
    <s v="cogs:product 1"/>
    <n v="5.49"/>
    <x v="131"/>
    <n v="516.06000000000006"/>
    <x v="1"/>
    <x v="1"/>
    <x v="1"/>
    <x v="5"/>
    <n v="62.45"/>
  </r>
  <r>
    <d v="2025-06-19T00:00:00"/>
    <s v="cogs:product 2"/>
    <n v="19.989999999999998"/>
    <x v="25"/>
    <n v="19.989999999999998"/>
    <x v="1"/>
    <x v="2"/>
    <x v="1"/>
    <x v="5"/>
    <n v="-186.66"/>
  </r>
  <r>
    <d v="2025-06-19T00:00:00"/>
    <s v="cogs:product 3"/>
    <n v="8.99"/>
    <x v="83"/>
    <n v="413.54"/>
    <x v="1"/>
    <x v="3"/>
    <x v="1"/>
    <x v="5"/>
    <n v="-59.97"/>
  </r>
  <r>
    <d v="2025-06-19T00:00:00"/>
    <s v="marketing"/>
    <s v="NA"/>
    <x v="0"/>
    <n v="116.03"/>
    <x v="2"/>
    <x v="0"/>
    <x v="1"/>
    <x v="5"/>
    <n v="0"/>
  </r>
  <r>
    <d v="2025-06-19T00:00:00"/>
    <s v="net sales:product 1"/>
    <n v="9.99"/>
    <x v="131"/>
    <n v="939.06000000000006"/>
    <x v="3"/>
    <x v="1"/>
    <x v="1"/>
    <x v="5"/>
    <n v="-119"/>
  </r>
  <r>
    <d v="2025-06-19T00:00:00"/>
    <s v="net sales:product 2"/>
    <n v="24.99"/>
    <x v="25"/>
    <n v="24.99"/>
    <x v="3"/>
    <x v="2"/>
    <x v="1"/>
    <x v="5"/>
    <n v="339.66"/>
  </r>
  <r>
    <d v="2025-06-19T00:00:00"/>
    <s v="net sales:product 3"/>
    <n v="12.49"/>
    <x v="83"/>
    <n v="574.54"/>
    <x v="3"/>
    <x v="3"/>
    <x v="1"/>
    <x v="5"/>
    <n v="74.97"/>
  </r>
  <r>
    <d v="2025-06-20T00:00:00"/>
    <s v="cogs:product 1"/>
    <n v="5.49"/>
    <x v="85"/>
    <n v="192.15"/>
    <x v="1"/>
    <x v="1"/>
    <x v="1"/>
    <x v="5"/>
    <n v="0"/>
  </r>
  <r>
    <d v="2025-06-20T00:00:00"/>
    <s v="cogs:product 2"/>
    <n v="19.989999999999998"/>
    <x v="13"/>
    <n v="139.92999999999998"/>
    <x v="1"/>
    <x v="2"/>
    <x v="1"/>
    <x v="5"/>
    <n v="-98.820000000000007"/>
  </r>
  <r>
    <d v="2025-06-20T00:00:00"/>
    <s v="cogs:product 3"/>
    <n v="8.99"/>
    <x v="110"/>
    <n v="548.39"/>
    <x v="1"/>
    <x v="3"/>
    <x v="1"/>
    <x v="5"/>
    <n v="0"/>
  </r>
  <r>
    <d v="2025-06-20T00:00:00"/>
    <s v="marketing"/>
    <s v="NA"/>
    <x v="0"/>
    <n v="100.91"/>
    <x v="2"/>
    <x v="0"/>
    <x v="1"/>
    <x v="5"/>
    <n v="-2067.7000000000003"/>
  </r>
  <r>
    <d v="2025-06-20T00:00:00"/>
    <s v="net sales:product 1"/>
    <n v="9.99"/>
    <x v="85"/>
    <n v="349.65000000000003"/>
    <x v="3"/>
    <x v="1"/>
    <x v="1"/>
    <x v="5"/>
    <n v="-103.07000000000001"/>
  </r>
  <r>
    <d v="2025-06-20T00:00:00"/>
    <s v="net sales:product 2"/>
    <n v="24.99"/>
    <x v="13"/>
    <n v="174.92999999999998"/>
    <x v="3"/>
    <x v="2"/>
    <x v="1"/>
    <x v="5"/>
    <n v="179.82"/>
  </r>
  <r>
    <d v="2025-06-20T00:00:00"/>
    <s v="net sales:product 3"/>
    <n v="12.49"/>
    <x v="110"/>
    <n v="761.89"/>
    <x v="3"/>
    <x v="3"/>
    <x v="1"/>
    <x v="5"/>
    <n v="0"/>
  </r>
  <r>
    <d v="2025-06-20T00:00:00"/>
    <s v="payroll"/>
    <s v="NA"/>
    <x v="0"/>
    <n v="1200"/>
    <x v="5"/>
    <x v="0"/>
    <x v="1"/>
    <x v="5"/>
    <n v="2872.7000000000003"/>
  </r>
  <r>
    <d v="2025-06-21T00:00:00"/>
    <s v="cogs:product 1"/>
    <n v="5.49"/>
    <x v="86"/>
    <n v="153.72"/>
    <x v="1"/>
    <x v="1"/>
    <x v="1"/>
    <x v="5"/>
    <n v="-115.29"/>
  </r>
  <r>
    <d v="2025-06-21T00:00:00"/>
    <s v="cogs:product 2"/>
    <n v="19.989999999999998"/>
    <x v="23"/>
    <n v="0"/>
    <x v="1"/>
    <x v="2"/>
    <x v="1"/>
    <x v="5"/>
    <n v="-139.92999999999998"/>
  </r>
  <r>
    <d v="2025-06-21T00:00:00"/>
    <s v="cogs:product 3"/>
    <n v="8.99"/>
    <x v="34"/>
    <n v="1204.6600000000001"/>
    <x v="1"/>
    <x v="3"/>
    <x v="1"/>
    <x v="5"/>
    <n v="-692.23"/>
  </r>
  <r>
    <d v="2025-06-21T00:00:00"/>
    <s v="marketing"/>
    <s v="NA"/>
    <x v="0"/>
    <n v="110.93"/>
    <x v="2"/>
    <x v="0"/>
    <x v="1"/>
    <x v="5"/>
    <n v="-117.07000000000001"/>
  </r>
  <r>
    <d v="2025-06-21T00:00:00"/>
    <s v="net sales:product 1"/>
    <n v="9.99"/>
    <x v="86"/>
    <n v="279.72000000000003"/>
    <x v="3"/>
    <x v="1"/>
    <x v="1"/>
    <x v="5"/>
    <n v="209.79"/>
  </r>
  <r>
    <d v="2025-06-21T00:00:00"/>
    <s v="net sales:product 2"/>
    <n v="24.99"/>
    <x v="23"/>
    <n v="0"/>
    <x v="3"/>
    <x v="2"/>
    <x v="1"/>
    <x v="5"/>
    <n v="174.92999999999998"/>
  </r>
  <r>
    <d v="2025-06-21T00:00:00"/>
    <s v="net sales:product 3"/>
    <n v="12.49"/>
    <x v="34"/>
    <n v="1673.66"/>
    <x v="3"/>
    <x v="3"/>
    <x v="1"/>
    <x v="5"/>
    <n v="961.73"/>
  </r>
  <r>
    <d v="2025-06-22T00:00:00"/>
    <s v="cogs:product 1"/>
    <n v="5.49"/>
    <x v="111"/>
    <n v="120.78"/>
    <x v="1"/>
    <x v="1"/>
    <x v="1"/>
    <x v="5"/>
    <n v="-466.65000000000003"/>
  </r>
  <r>
    <d v="2025-06-22T00:00:00"/>
    <s v="cogs:product 2"/>
    <n v="19.989999999999998"/>
    <x v="16"/>
    <n v="159.91999999999999"/>
    <x v="1"/>
    <x v="2"/>
    <x v="1"/>
    <x v="5"/>
    <n v="-139.92999999999998"/>
  </r>
  <r>
    <d v="2025-06-22T00:00:00"/>
    <s v="cogs:product 3"/>
    <n v="8.99"/>
    <x v="51"/>
    <n v="1231.6300000000001"/>
    <x v="1"/>
    <x v="3"/>
    <x v="1"/>
    <x v="5"/>
    <n v="-728.19"/>
  </r>
  <r>
    <d v="2025-06-22T00:00:00"/>
    <s v="marketing"/>
    <s v="NA"/>
    <x v="0"/>
    <n v="118.05"/>
    <x v="2"/>
    <x v="0"/>
    <x v="1"/>
    <x v="5"/>
    <n v="-117.99000000000001"/>
  </r>
  <r>
    <d v="2025-06-22T00:00:00"/>
    <s v="net sales:product 1"/>
    <n v="9.99"/>
    <x v="111"/>
    <n v="219.78"/>
    <x v="3"/>
    <x v="1"/>
    <x v="1"/>
    <x v="5"/>
    <n v="849.15"/>
  </r>
  <r>
    <d v="2025-06-22T00:00:00"/>
    <s v="net sales:product 2"/>
    <n v="24.99"/>
    <x v="16"/>
    <n v="199.92"/>
    <x v="3"/>
    <x v="2"/>
    <x v="1"/>
    <x v="5"/>
    <n v="174.92999999999998"/>
  </r>
  <r>
    <d v="2025-06-22T00:00:00"/>
    <s v="net sales:product 3"/>
    <n v="12.49"/>
    <x v="51"/>
    <n v="1711.13"/>
    <x v="3"/>
    <x v="3"/>
    <x v="1"/>
    <x v="5"/>
    <n v="1011.69"/>
  </r>
  <r>
    <d v="2025-06-23T00:00:00"/>
    <s v="cogs:product 1"/>
    <n v="5.49"/>
    <x v="29"/>
    <n v="27.450000000000003"/>
    <x v="1"/>
    <x v="1"/>
    <x v="1"/>
    <x v="5"/>
    <n v="-1200"/>
  </r>
  <r>
    <d v="2025-06-23T00:00:00"/>
    <s v="cogs:product 2"/>
    <n v="19.989999999999998"/>
    <x v="2"/>
    <n v="59.97"/>
    <x v="1"/>
    <x v="2"/>
    <x v="1"/>
    <x v="5"/>
    <n v="-433.71000000000004"/>
  </r>
  <r>
    <d v="2025-06-23T00:00:00"/>
    <s v="cogs:product 3"/>
    <n v="8.99"/>
    <x v="52"/>
    <n v="818.09"/>
    <x v="1"/>
    <x v="3"/>
    <x v="1"/>
    <x v="5"/>
    <n v="-119.94"/>
  </r>
  <r>
    <d v="2025-06-23T00:00:00"/>
    <s v="marketing"/>
    <s v="NA"/>
    <x v="0"/>
    <n v="117.02"/>
    <x v="2"/>
    <x v="0"/>
    <x v="1"/>
    <x v="5"/>
    <n v="-431.52"/>
  </r>
  <r>
    <d v="2025-06-23T00:00:00"/>
    <s v="net sales:product 1"/>
    <n v="9.99"/>
    <x v="29"/>
    <n v="49.95"/>
    <x v="3"/>
    <x v="1"/>
    <x v="1"/>
    <x v="5"/>
    <n v="-114.09"/>
  </r>
  <r>
    <d v="2025-06-23T00:00:00"/>
    <s v="net sales:product 2"/>
    <n v="24.99"/>
    <x v="2"/>
    <n v="74.97"/>
    <x v="3"/>
    <x v="2"/>
    <x v="1"/>
    <x v="5"/>
    <n v="789.21"/>
  </r>
  <r>
    <d v="2025-06-23T00:00:00"/>
    <s v="net sales:product 3"/>
    <n v="12.49"/>
    <x v="52"/>
    <n v="1136.5899999999999"/>
    <x v="3"/>
    <x v="3"/>
    <x v="1"/>
    <x v="5"/>
    <n v="149.94"/>
  </r>
  <r>
    <d v="2025-06-24T00:00:00"/>
    <s v="cogs:product 1"/>
    <n v="5.49"/>
    <x v="107"/>
    <n v="181.17000000000002"/>
    <x v="1"/>
    <x v="1"/>
    <x v="1"/>
    <x v="5"/>
    <n v="599.52"/>
  </r>
  <r>
    <d v="2025-06-24T00:00:00"/>
    <s v="cogs:product 2"/>
    <n v="19.989999999999998"/>
    <x v="25"/>
    <n v="19.989999999999998"/>
    <x v="1"/>
    <x v="2"/>
    <x v="1"/>
    <x v="5"/>
    <n v="-115.29"/>
  </r>
  <r>
    <d v="2025-06-24T00:00:00"/>
    <s v="cogs:product 3"/>
    <n v="8.99"/>
    <x v="54"/>
    <n v="395.56"/>
    <x v="1"/>
    <x v="3"/>
    <x v="1"/>
    <x v="5"/>
    <n v="-79.959999999999994"/>
  </r>
  <r>
    <d v="2025-06-24T00:00:00"/>
    <s v="marketing"/>
    <s v="NA"/>
    <x v="0"/>
    <n v="116.91"/>
    <x v="2"/>
    <x v="0"/>
    <x v="1"/>
    <x v="5"/>
    <n v="-2211.54"/>
  </r>
  <r>
    <d v="2025-06-24T00:00:00"/>
    <s v="net sales:product 1"/>
    <n v="9.99"/>
    <x v="107"/>
    <n v="329.67"/>
    <x v="3"/>
    <x v="1"/>
    <x v="1"/>
    <x v="5"/>
    <n v="-118.04"/>
  </r>
  <r>
    <d v="2025-06-24T00:00:00"/>
    <s v="net sales:product 2"/>
    <n v="24.99"/>
    <x v="25"/>
    <n v="24.99"/>
    <x v="3"/>
    <x v="2"/>
    <x v="1"/>
    <x v="5"/>
    <n v="209.79"/>
  </r>
  <r>
    <d v="2025-06-24T00:00:00"/>
    <s v="net sales:product 3"/>
    <n v="12.49"/>
    <x v="54"/>
    <n v="549.56000000000006"/>
    <x v="3"/>
    <x v="3"/>
    <x v="1"/>
    <x v="5"/>
    <n v="99.96"/>
  </r>
  <r>
    <d v="2025-06-25T00:00:00"/>
    <s v="cogs:product 1"/>
    <n v="5.49"/>
    <x v="134"/>
    <n v="351.36"/>
    <x v="1"/>
    <x v="1"/>
    <x v="1"/>
    <x v="5"/>
    <n v="3072.54"/>
  </r>
  <r>
    <d v="2025-06-25T00:00:00"/>
    <s v="cogs:product 2"/>
    <n v="19.989999999999998"/>
    <x v="13"/>
    <n v="139.92999999999998"/>
    <x v="1"/>
    <x v="2"/>
    <x v="1"/>
    <x v="5"/>
    <n v="-49.410000000000004"/>
  </r>
  <r>
    <d v="2025-06-25T00:00:00"/>
    <s v="cogs:product 3"/>
    <n v="8.99"/>
    <x v="217"/>
    <n v="1375.47"/>
    <x v="1"/>
    <x v="3"/>
    <x v="1"/>
    <x v="5"/>
    <n v="-39.979999999999997"/>
  </r>
  <r>
    <d v="2025-06-25T00:00:00"/>
    <s v="marketing"/>
    <s v="NA"/>
    <x v="0"/>
    <n v="106.10000000000001"/>
    <x v="2"/>
    <x v="0"/>
    <x v="1"/>
    <x v="5"/>
    <n v="-1932.8500000000001"/>
  </r>
  <r>
    <d v="2025-06-25T00:00:00"/>
    <s v="net sales:product 1"/>
    <n v="9.99"/>
    <x v="134"/>
    <n v="639.36"/>
    <x v="3"/>
    <x v="1"/>
    <x v="1"/>
    <x v="5"/>
    <n v="-100.96000000000001"/>
  </r>
  <r>
    <d v="2025-06-25T00:00:00"/>
    <s v="net sales:product 2"/>
    <n v="24.99"/>
    <x v="13"/>
    <n v="174.92999999999998"/>
    <x v="3"/>
    <x v="2"/>
    <x v="1"/>
    <x v="5"/>
    <n v="89.91"/>
  </r>
  <r>
    <d v="2025-06-25T00:00:00"/>
    <s v="net sales:product 3"/>
    <n v="12.49"/>
    <x v="217"/>
    <n v="1910.97"/>
    <x v="3"/>
    <x v="3"/>
    <x v="1"/>
    <x v="5"/>
    <n v="49.98"/>
  </r>
  <r>
    <d v="2025-06-26T00:00:00"/>
    <s v="cogs:product 1"/>
    <n v="5.49"/>
    <x v="44"/>
    <n v="175.68"/>
    <x v="1"/>
    <x v="1"/>
    <x v="1"/>
    <x v="5"/>
    <n v="2685.35"/>
  </r>
  <r>
    <d v="2025-06-26T00:00:00"/>
    <s v="cogs:product 2"/>
    <n v="19.989999999999998"/>
    <x v="16"/>
    <n v="159.91999999999999"/>
    <x v="1"/>
    <x v="2"/>
    <x v="1"/>
    <x v="5"/>
    <n v="-483.12"/>
  </r>
  <r>
    <d v="2025-06-26T00:00:00"/>
    <s v="cogs:product 3"/>
    <n v="8.99"/>
    <x v="147"/>
    <n v="1519.31"/>
    <x v="1"/>
    <x v="3"/>
    <x v="1"/>
    <x v="5"/>
    <n v="-79.959999999999994"/>
  </r>
  <r>
    <d v="2025-06-26T00:00:00"/>
    <s v="marketing"/>
    <s v="NA"/>
    <x v="0"/>
    <n v="104.01"/>
    <x v="2"/>
    <x v="0"/>
    <x v="1"/>
    <x v="5"/>
    <n v="-1375.47"/>
  </r>
  <r>
    <d v="2025-06-26T00:00:00"/>
    <s v="net sales:product 1"/>
    <n v="9.99"/>
    <x v="44"/>
    <n v="319.68"/>
    <x v="3"/>
    <x v="1"/>
    <x v="1"/>
    <x v="5"/>
    <n v="-111.02"/>
  </r>
  <r>
    <d v="2025-06-26T00:00:00"/>
    <s v="net sales:product 2"/>
    <n v="24.99"/>
    <x v="16"/>
    <n v="199.92"/>
    <x v="3"/>
    <x v="2"/>
    <x v="1"/>
    <x v="5"/>
    <n v="879.12"/>
  </r>
  <r>
    <d v="2025-06-26T00:00:00"/>
    <s v="net sales:product 3"/>
    <n v="12.49"/>
    <x v="147"/>
    <n v="2110.81"/>
    <x v="3"/>
    <x v="3"/>
    <x v="1"/>
    <x v="5"/>
    <n v="99.96"/>
  </r>
  <r>
    <d v="2025-06-27T00:00:00"/>
    <s v="cogs:product 1"/>
    <n v="5.49"/>
    <x v="35"/>
    <n v="104.31"/>
    <x v="1"/>
    <x v="1"/>
    <x v="1"/>
    <x v="5"/>
    <n v="1910.97"/>
  </r>
  <r>
    <d v="2025-06-27T00:00:00"/>
    <s v="cogs:product 2"/>
    <n v="19.989999999999998"/>
    <x v="25"/>
    <n v="19.989999999999998"/>
    <x v="1"/>
    <x v="2"/>
    <x v="1"/>
    <x v="5"/>
    <n v="-49.410000000000004"/>
  </r>
  <r>
    <d v="2025-06-27T00:00:00"/>
    <s v="cogs:product 3"/>
    <n v="8.99"/>
    <x v="75"/>
    <n v="674.25"/>
    <x v="1"/>
    <x v="3"/>
    <x v="1"/>
    <x v="5"/>
    <n v="-99.949999999999989"/>
  </r>
  <r>
    <d v="2025-06-27T00:00:00"/>
    <s v="marketing"/>
    <s v="NA"/>
    <x v="0"/>
    <n v="116.99000000000001"/>
    <x v="2"/>
    <x v="0"/>
    <x v="1"/>
    <x v="5"/>
    <n v="-2031.74"/>
  </r>
  <r>
    <d v="2025-06-27T00:00:00"/>
    <s v="net sales:product 1"/>
    <n v="9.99"/>
    <x v="35"/>
    <n v="189.81"/>
    <x v="3"/>
    <x v="1"/>
    <x v="1"/>
    <x v="5"/>
    <n v="-103.91"/>
  </r>
  <r>
    <d v="2025-06-27T00:00:00"/>
    <s v="net sales:product 2"/>
    <n v="24.99"/>
    <x v="25"/>
    <n v="24.99"/>
    <x v="3"/>
    <x v="2"/>
    <x v="1"/>
    <x v="5"/>
    <n v="89.91"/>
  </r>
  <r>
    <d v="2025-06-27T00:00:00"/>
    <s v="net sales:product 3"/>
    <n v="12.49"/>
    <x v="75"/>
    <n v="936.75"/>
    <x v="3"/>
    <x v="3"/>
    <x v="1"/>
    <x v="5"/>
    <n v="124.94999999999999"/>
  </r>
  <r>
    <d v="2025-06-28T00:00:00"/>
    <s v="cogs:product 1"/>
    <n v="5.49"/>
    <x v="79"/>
    <n v="345.87"/>
    <x v="1"/>
    <x v="1"/>
    <x v="1"/>
    <x v="5"/>
    <n v="2822.7400000000002"/>
  </r>
  <r>
    <d v="2025-06-28T00:00:00"/>
    <s v="cogs:product 2"/>
    <n v="19.989999999999998"/>
    <x v="7"/>
    <n v="179.91"/>
    <x v="1"/>
    <x v="2"/>
    <x v="1"/>
    <x v="5"/>
    <n v="-109.80000000000001"/>
  </r>
  <r>
    <d v="2025-06-28T00:00:00"/>
    <s v="cogs:product 3"/>
    <n v="8.99"/>
    <x v="194"/>
    <n v="1600.22"/>
    <x v="1"/>
    <x v="3"/>
    <x v="1"/>
    <x v="5"/>
    <n v="-159.91999999999999"/>
  </r>
  <r>
    <d v="2025-06-28T00:00:00"/>
    <s v="marketing"/>
    <s v="NA"/>
    <x v="0"/>
    <n v="114.92"/>
    <x v="2"/>
    <x v="0"/>
    <x v="1"/>
    <x v="5"/>
    <n v="-503.44"/>
  </r>
  <r>
    <d v="2025-06-28T00:00:00"/>
    <s v="net sales:product 1"/>
    <n v="9.99"/>
    <x v="79"/>
    <n v="629.37"/>
    <x v="3"/>
    <x v="1"/>
    <x v="1"/>
    <x v="5"/>
    <n v="-118.98"/>
  </r>
  <r>
    <d v="2025-06-28T00:00:00"/>
    <s v="net sales:product 2"/>
    <n v="24.99"/>
    <x v="7"/>
    <n v="224.91"/>
    <x v="3"/>
    <x v="2"/>
    <x v="1"/>
    <x v="5"/>
    <n v="199.8"/>
  </r>
  <r>
    <d v="2025-06-28T00:00:00"/>
    <s v="net sales:product 3"/>
    <n v="12.49"/>
    <x v="194"/>
    <n v="2223.2200000000003"/>
    <x v="3"/>
    <x v="3"/>
    <x v="1"/>
    <x v="5"/>
    <n v="199.92"/>
  </r>
  <r>
    <d v="2025-06-29T00:00:00"/>
    <s v="cogs:product 1"/>
    <n v="5.49"/>
    <x v="128"/>
    <n v="225.09"/>
    <x v="1"/>
    <x v="1"/>
    <x v="1"/>
    <x v="5"/>
    <n v="699.44"/>
  </r>
  <r>
    <d v="2025-06-29T00:00:00"/>
    <s v="cogs:product 2"/>
    <n v="19.989999999999998"/>
    <x v="25"/>
    <n v="19.989999999999998"/>
    <x v="1"/>
    <x v="2"/>
    <x v="1"/>
    <x v="5"/>
    <n v="-307.44"/>
  </r>
  <r>
    <d v="2025-06-29T00:00:00"/>
    <s v="cogs:product 3"/>
    <n v="8.99"/>
    <x v="85"/>
    <n v="314.65000000000003"/>
    <x v="1"/>
    <x v="3"/>
    <x v="1"/>
    <x v="5"/>
    <n v="-19.989999999999998"/>
  </r>
  <r>
    <d v="2025-06-29T00:00:00"/>
    <s v="marketing"/>
    <s v="NA"/>
    <x v="0"/>
    <n v="112.95"/>
    <x v="2"/>
    <x v="0"/>
    <x v="1"/>
    <x v="5"/>
    <n v="-413.54"/>
  </r>
  <r>
    <d v="2025-06-29T00:00:00"/>
    <s v="net sales:product 1"/>
    <n v="9.99"/>
    <x v="128"/>
    <n v="409.59000000000003"/>
    <x v="3"/>
    <x v="1"/>
    <x v="1"/>
    <x v="5"/>
    <n v="-117.07000000000001"/>
  </r>
  <r>
    <d v="2025-06-29T00:00:00"/>
    <s v="net sales:product 2"/>
    <n v="24.99"/>
    <x v="25"/>
    <n v="24.99"/>
    <x v="3"/>
    <x v="2"/>
    <x v="1"/>
    <x v="5"/>
    <n v="559.44000000000005"/>
  </r>
  <r>
    <d v="2025-06-29T00:00:00"/>
    <s v="net sales:product 3"/>
    <n v="12.49"/>
    <x v="85"/>
    <n v="437.15000000000003"/>
    <x v="3"/>
    <x v="3"/>
    <x v="1"/>
    <x v="5"/>
    <n v="24.99"/>
  </r>
  <r>
    <d v="2025-06-30T00:00:00"/>
    <s v="cogs:product 1"/>
    <n v="5.49"/>
    <x v="60"/>
    <n v="126.27000000000001"/>
    <x v="1"/>
    <x v="1"/>
    <x v="1"/>
    <x v="5"/>
    <n v="574.54"/>
  </r>
  <r>
    <d v="2025-06-30T00:00:00"/>
    <s v="cogs:product 2"/>
    <n v="19.989999999999998"/>
    <x v="23"/>
    <n v="0"/>
    <x v="1"/>
    <x v="2"/>
    <x v="1"/>
    <x v="5"/>
    <n v="-71.37"/>
  </r>
  <r>
    <d v="2025-06-30T00:00:00"/>
    <s v="cogs:product 3"/>
    <n v="8.99"/>
    <x v="178"/>
    <n v="1735.07"/>
    <x v="1"/>
    <x v="3"/>
    <x v="1"/>
    <x v="5"/>
    <n v="0"/>
  </r>
  <r>
    <d v="2025-06-30T00:00:00"/>
    <s v="marketing"/>
    <s v="NA"/>
    <x v="0"/>
    <n v="101.93"/>
    <x v="2"/>
    <x v="0"/>
    <x v="1"/>
    <x v="5"/>
    <n v="-2022.75"/>
  </r>
  <r>
    <d v="2025-06-30T00:00:00"/>
    <s v="net sales:product 1"/>
    <n v="9.99"/>
    <x v="60"/>
    <n v="229.77"/>
    <x v="3"/>
    <x v="1"/>
    <x v="1"/>
    <x v="5"/>
    <n v="-111.96000000000001"/>
  </r>
  <r>
    <d v="2025-06-30T00:00:00"/>
    <s v="net sales:product 2"/>
    <n v="24.99"/>
    <x v="23"/>
    <n v="0"/>
    <x v="3"/>
    <x v="2"/>
    <x v="1"/>
    <x v="5"/>
    <n v="129.87"/>
  </r>
  <r>
    <d v="2025-06-30T00:00:00"/>
    <s v="net sales:product 3"/>
    <n v="12.49"/>
    <x v="178"/>
    <n v="2410.5700000000002"/>
    <x v="3"/>
    <x v="3"/>
    <x v="1"/>
    <x v="5"/>
    <n v="0"/>
  </r>
  <r>
    <d v="2025-07-01T00:00:00"/>
    <s v="amortization"/>
    <s v="NA"/>
    <x v="0"/>
    <n v="50"/>
    <x v="0"/>
    <x v="0"/>
    <x v="1"/>
    <x v="6"/>
    <n v="2810.25"/>
  </r>
  <r>
    <d v="2025-07-01T00:00:00"/>
    <s v="cogs:product 1"/>
    <n v="5.49"/>
    <x v="100"/>
    <n v="483.12"/>
    <x v="1"/>
    <x v="1"/>
    <x v="1"/>
    <x v="6"/>
    <n v="0"/>
  </r>
  <r>
    <d v="2025-07-01T00:00:00"/>
    <s v="cogs:product 2"/>
    <n v="19.989999999999998"/>
    <x v="29"/>
    <n v="99.949999999999989"/>
    <x v="1"/>
    <x v="2"/>
    <x v="1"/>
    <x v="6"/>
    <n v="-219.60000000000002"/>
  </r>
  <r>
    <d v="2025-07-01T00:00:00"/>
    <s v="cogs:product 3"/>
    <n v="8.99"/>
    <x v="49"/>
    <n v="2094.67"/>
    <x v="1"/>
    <x v="3"/>
    <x v="1"/>
    <x v="6"/>
    <n v="0"/>
  </r>
  <r>
    <d v="2025-07-01T00:00:00"/>
    <s v="marketing"/>
    <s v="NA"/>
    <x v="0"/>
    <n v="110.91"/>
    <x v="2"/>
    <x v="0"/>
    <x v="1"/>
    <x v="6"/>
    <n v="-620.31000000000006"/>
  </r>
  <r>
    <d v="2025-07-01T00:00:00"/>
    <s v="net sales:product 1"/>
    <n v="9.99"/>
    <x v="100"/>
    <n v="879.12"/>
    <x v="3"/>
    <x v="1"/>
    <x v="1"/>
    <x v="6"/>
    <n v="-105.08"/>
  </r>
  <r>
    <d v="2025-07-01T00:00:00"/>
    <s v="net sales:product 2"/>
    <n v="24.99"/>
    <x v="29"/>
    <n v="124.94999999999999"/>
    <x v="3"/>
    <x v="2"/>
    <x v="1"/>
    <x v="6"/>
    <n v="399.6"/>
  </r>
  <r>
    <d v="2025-07-01T00:00:00"/>
    <s v="net sales:product 3"/>
    <n v="12.49"/>
    <x v="49"/>
    <n v="2910.17"/>
    <x v="3"/>
    <x v="3"/>
    <x v="1"/>
    <x v="6"/>
    <n v="0"/>
  </r>
  <r>
    <d v="2025-07-01T00:00:00"/>
    <s v="overhead"/>
    <s v="NA"/>
    <x v="0"/>
    <n v="2000"/>
    <x v="4"/>
    <x v="0"/>
    <x v="1"/>
    <x v="6"/>
    <n v="861.81000000000006"/>
  </r>
  <r>
    <d v="2025-07-02T00:00:00"/>
    <s v="cogs:product 1"/>
    <n v="5.49"/>
    <x v="39"/>
    <n v="137.25"/>
    <x v="1"/>
    <x v="1"/>
    <x v="1"/>
    <x v="6"/>
    <n v="-2000"/>
  </r>
  <r>
    <d v="2025-07-02T00:00:00"/>
    <s v="cogs:product 2"/>
    <n v="19.989999999999998"/>
    <x v="19"/>
    <n v="79.959999999999994"/>
    <x v="1"/>
    <x v="2"/>
    <x v="1"/>
    <x v="6"/>
    <n v="-532.53"/>
  </r>
  <r>
    <d v="2025-07-02T00:00:00"/>
    <s v="cogs:product 3"/>
    <n v="8.99"/>
    <x v="210"/>
    <n v="1878.91"/>
    <x v="1"/>
    <x v="3"/>
    <x v="1"/>
    <x v="6"/>
    <n v="-79.959999999999994"/>
  </r>
  <r>
    <d v="2025-07-02T00:00:00"/>
    <s v="marketing"/>
    <s v="NA"/>
    <x v="0"/>
    <n v="120.03"/>
    <x v="2"/>
    <x v="0"/>
    <x v="1"/>
    <x v="6"/>
    <n v="-890.01"/>
  </r>
  <r>
    <d v="2025-07-02T00:00:00"/>
    <s v="net sales:product 1"/>
    <n v="9.99"/>
    <x v="39"/>
    <n v="249.75"/>
    <x v="3"/>
    <x v="1"/>
    <x v="1"/>
    <x v="6"/>
    <n v="-106.04"/>
  </r>
  <r>
    <d v="2025-07-02T00:00:00"/>
    <s v="net sales:product 2"/>
    <n v="24.99"/>
    <x v="19"/>
    <n v="99.96"/>
    <x v="3"/>
    <x v="2"/>
    <x v="1"/>
    <x v="6"/>
    <n v="969.03"/>
  </r>
  <r>
    <d v="2025-07-02T00:00:00"/>
    <s v="net sales:product 3"/>
    <n v="12.49"/>
    <x v="210"/>
    <n v="2610.41"/>
    <x v="3"/>
    <x v="3"/>
    <x v="1"/>
    <x v="6"/>
    <n v="99.96"/>
  </r>
  <r>
    <d v="2025-07-03T00:00:00"/>
    <s v="cogs:product 1"/>
    <n v="5.49"/>
    <x v="140"/>
    <n v="159.21"/>
    <x v="1"/>
    <x v="1"/>
    <x v="1"/>
    <x v="6"/>
    <n v="1236.51"/>
  </r>
  <r>
    <d v="2025-07-03T00:00:00"/>
    <s v="cogs:product 2"/>
    <n v="19.989999999999998"/>
    <x v="2"/>
    <n v="59.97"/>
    <x v="1"/>
    <x v="2"/>
    <x v="1"/>
    <x v="6"/>
    <n v="-71.37"/>
  </r>
  <r>
    <d v="2025-07-03T00:00:00"/>
    <s v="cogs:product 3"/>
    <n v="8.99"/>
    <x v="28"/>
    <n v="521.41999999999996"/>
    <x v="1"/>
    <x v="3"/>
    <x v="1"/>
    <x v="6"/>
    <n v="-39.979999999999997"/>
  </r>
  <r>
    <d v="2025-07-03T00:00:00"/>
    <s v="marketing"/>
    <s v="NA"/>
    <x v="0"/>
    <n v="115.04"/>
    <x v="2"/>
    <x v="0"/>
    <x v="1"/>
    <x v="6"/>
    <n v="-2229.52"/>
  </r>
  <r>
    <d v="2025-07-03T00:00:00"/>
    <s v="net sales:product 1"/>
    <n v="9.99"/>
    <x v="140"/>
    <n v="289.70999999999998"/>
    <x v="3"/>
    <x v="1"/>
    <x v="1"/>
    <x v="6"/>
    <n v="-111.94"/>
  </r>
  <r>
    <d v="2025-07-03T00:00:00"/>
    <s v="net sales:product 2"/>
    <n v="24.99"/>
    <x v="2"/>
    <n v="74.97"/>
    <x v="3"/>
    <x v="2"/>
    <x v="1"/>
    <x v="6"/>
    <n v="129.87"/>
  </r>
  <r>
    <d v="2025-07-03T00:00:00"/>
    <s v="net sales:product 3"/>
    <n v="12.49"/>
    <x v="28"/>
    <n v="724.42"/>
    <x v="3"/>
    <x v="3"/>
    <x v="1"/>
    <x v="6"/>
    <n v="49.98"/>
  </r>
  <r>
    <d v="2025-07-04T00:00:00"/>
    <s v="cogs:product 1"/>
    <n v="5.49"/>
    <x v="29"/>
    <n v="27.450000000000003"/>
    <x v="1"/>
    <x v="1"/>
    <x v="1"/>
    <x v="6"/>
    <n v="3097.52"/>
  </r>
  <r>
    <d v="2025-07-04T00:00:00"/>
    <s v="cogs:product 2"/>
    <n v="19.989999999999998"/>
    <x v="23"/>
    <n v="0"/>
    <x v="1"/>
    <x v="2"/>
    <x v="1"/>
    <x v="6"/>
    <n v="-137.25"/>
  </r>
  <r>
    <d v="2025-07-04T00:00:00"/>
    <s v="cogs:product 3"/>
    <n v="8.99"/>
    <x v="49"/>
    <n v="2094.67"/>
    <x v="1"/>
    <x v="3"/>
    <x v="1"/>
    <x v="6"/>
    <n v="-59.97"/>
  </r>
  <r>
    <d v="2025-07-04T00:00:00"/>
    <s v="marketing"/>
    <s v="NA"/>
    <x v="0"/>
    <n v="115.10000000000001"/>
    <x v="2"/>
    <x v="0"/>
    <x v="1"/>
    <x v="6"/>
    <n v="-215.76"/>
  </r>
  <r>
    <d v="2025-07-04T00:00:00"/>
    <s v="net sales:product 1"/>
    <n v="9.99"/>
    <x v="29"/>
    <n v="49.95"/>
    <x v="3"/>
    <x v="1"/>
    <x v="1"/>
    <x v="6"/>
    <n v="-118.98"/>
  </r>
  <r>
    <d v="2025-07-04T00:00:00"/>
    <s v="net sales:product 2"/>
    <n v="24.99"/>
    <x v="23"/>
    <n v="0"/>
    <x v="3"/>
    <x v="2"/>
    <x v="1"/>
    <x v="6"/>
    <n v="249.75"/>
  </r>
  <r>
    <d v="2025-07-04T00:00:00"/>
    <s v="net sales:product 3"/>
    <n v="12.49"/>
    <x v="49"/>
    <n v="2910.17"/>
    <x v="3"/>
    <x v="3"/>
    <x v="1"/>
    <x v="6"/>
    <n v="74.97"/>
  </r>
  <r>
    <d v="2025-07-04T00:00:00"/>
    <s v="payroll"/>
    <s v="NA"/>
    <x v="0"/>
    <n v="1200"/>
    <x v="5"/>
    <x v="0"/>
    <x v="1"/>
    <x v="6"/>
    <n v="299.76"/>
  </r>
  <r>
    <d v="2025-07-05T00:00:00"/>
    <s v="cogs:product 1"/>
    <n v="5.49"/>
    <x v="106"/>
    <n v="538.02"/>
    <x v="1"/>
    <x v="1"/>
    <x v="1"/>
    <x v="6"/>
    <n v="-197.64000000000001"/>
  </r>
  <r>
    <d v="2025-07-05T00:00:00"/>
    <s v="cogs:product 2"/>
    <n v="19.989999999999998"/>
    <x v="42"/>
    <n v="119.94"/>
    <x v="1"/>
    <x v="2"/>
    <x v="1"/>
    <x v="6"/>
    <n v="-99.949999999999989"/>
  </r>
  <r>
    <d v="2025-07-05T00:00:00"/>
    <s v="cogs:product 3"/>
    <n v="8.99"/>
    <x v="153"/>
    <n v="1087.79"/>
    <x v="1"/>
    <x v="3"/>
    <x v="1"/>
    <x v="6"/>
    <n v="-1896.89"/>
  </r>
  <r>
    <d v="2025-07-05T00:00:00"/>
    <s v="marketing"/>
    <s v="NA"/>
    <x v="0"/>
    <n v="101.05"/>
    <x v="2"/>
    <x v="0"/>
    <x v="1"/>
    <x v="6"/>
    <n v="-116.99000000000001"/>
  </r>
  <r>
    <d v="2025-07-05T00:00:00"/>
    <s v="net sales:product 1"/>
    <n v="9.99"/>
    <x v="106"/>
    <n v="979.02"/>
    <x v="3"/>
    <x v="1"/>
    <x v="1"/>
    <x v="6"/>
    <n v="359.64"/>
  </r>
  <r>
    <d v="2025-07-05T00:00:00"/>
    <s v="net sales:product 2"/>
    <n v="24.99"/>
    <x v="42"/>
    <n v="149.94"/>
    <x v="3"/>
    <x v="2"/>
    <x v="1"/>
    <x v="6"/>
    <n v="124.94999999999999"/>
  </r>
  <r>
    <d v="2025-07-05T00:00:00"/>
    <s v="net sales:product 3"/>
    <n v="12.49"/>
    <x v="153"/>
    <n v="1511.29"/>
    <x v="3"/>
    <x v="3"/>
    <x v="1"/>
    <x v="6"/>
    <n v="2635.39"/>
  </r>
  <r>
    <d v="2025-07-06T00:00:00"/>
    <s v="cogs:product 1"/>
    <n v="5.49"/>
    <x v="88"/>
    <n v="148.23000000000002"/>
    <x v="1"/>
    <x v="1"/>
    <x v="1"/>
    <x v="6"/>
    <n v="-351.36"/>
  </r>
  <r>
    <d v="2025-07-06T00:00:00"/>
    <s v="cogs:product 2"/>
    <n v="19.989999999999998"/>
    <x v="16"/>
    <n v="159.91999999999999"/>
    <x v="1"/>
    <x v="2"/>
    <x v="1"/>
    <x v="6"/>
    <n v="-79.959999999999994"/>
  </r>
  <r>
    <d v="2025-07-06T00:00:00"/>
    <s v="cogs:product 3"/>
    <n v="8.99"/>
    <x v="43"/>
    <n v="1950.8300000000002"/>
    <x v="1"/>
    <x v="3"/>
    <x v="1"/>
    <x v="6"/>
    <n v="-1024.8600000000001"/>
  </r>
  <r>
    <d v="2025-07-06T00:00:00"/>
    <s v="marketing"/>
    <s v="NA"/>
    <x v="0"/>
    <n v="116.06"/>
    <x v="2"/>
    <x v="0"/>
    <x v="1"/>
    <x v="6"/>
    <n v="-110.92"/>
  </r>
  <r>
    <d v="2025-07-06T00:00:00"/>
    <s v="net sales:product 1"/>
    <n v="9.99"/>
    <x v="88"/>
    <n v="269.73"/>
    <x v="3"/>
    <x v="1"/>
    <x v="1"/>
    <x v="6"/>
    <n v="639.36"/>
  </r>
  <r>
    <d v="2025-07-06T00:00:00"/>
    <s v="net sales:product 2"/>
    <n v="24.99"/>
    <x v="16"/>
    <n v="199.92"/>
    <x v="3"/>
    <x v="2"/>
    <x v="1"/>
    <x v="6"/>
    <n v="99.96"/>
  </r>
  <r>
    <d v="2025-07-06T00:00:00"/>
    <s v="net sales:product 3"/>
    <n v="12.49"/>
    <x v="43"/>
    <n v="2710.33"/>
    <x v="3"/>
    <x v="3"/>
    <x v="1"/>
    <x v="6"/>
    <n v="1423.8600000000001"/>
  </r>
  <r>
    <d v="2025-07-07T00:00:00"/>
    <s v="cogs:product 1"/>
    <n v="5.49"/>
    <x v="3"/>
    <n v="428.22"/>
    <x v="1"/>
    <x v="1"/>
    <x v="1"/>
    <x v="6"/>
    <n v="-1200"/>
  </r>
  <r>
    <d v="2025-07-07T00:00:00"/>
    <s v="cogs:product 2"/>
    <n v="19.989999999999998"/>
    <x v="19"/>
    <n v="79.959999999999994"/>
    <x v="1"/>
    <x v="2"/>
    <x v="1"/>
    <x v="6"/>
    <n v="-43.92"/>
  </r>
  <r>
    <d v="2025-07-07T00:00:00"/>
    <s v="cogs:product 3"/>
    <n v="8.99"/>
    <x v="14"/>
    <n v="854.05000000000007"/>
    <x v="1"/>
    <x v="3"/>
    <x v="1"/>
    <x v="6"/>
    <n v="-99.949999999999989"/>
  </r>
  <r>
    <d v="2025-07-07T00:00:00"/>
    <s v="marketing"/>
    <s v="NA"/>
    <x v="0"/>
    <n v="114.91"/>
    <x v="2"/>
    <x v="0"/>
    <x v="1"/>
    <x v="6"/>
    <n v="-530.41"/>
  </r>
  <r>
    <d v="2025-07-07T00:00:00"/>
    <s v="net sales:product 1"/>
    <n v="9.99"/>
    <x v="3"/>
    <n v="779.22"/>
    <x v="3"/>
    <x v="1"/>
    <x v="1"/>
    <x v="6"/>
    <n v="-111.95"/>
  </r>
  <r>
    <d v="2025-07-07T00:00:00"/>
    <s v="net sales:product 2"/>
    <n v="24.99"/>
    <x v="19"/>
    <n v="99.96"/>
    <x v="3"/>
    <x v="2"/>
    <x v="1"/>
    <x v="6"/>
    <n v="79.92"/>
  </r>
  <r>
    <d v="2025-07-07T00:00:00"/>
    <s v="net sales:product 3"/>
    <n v="12.49"/>
    <x v="14"/>
    <n v="1186.55"/>
    <x v="3"/>
    <x v="3"/>
    <x v="1"/>
    <x v="6"/>
    <n v="124.94999999999999"/>
  </r>
  <r>
    <d v="2025-07-08T00:00:00"/>
    <s v="cogs:product 1"/>
    <n v="5.49"/>
    <x v="48"/>
    <n v="340.38"/>
    <x v="1"/>
    <x v="1"/>
    <x v="1"/>
    <x v="6"/>
    <n v="736.91"/>
  </r>
  <r>
    <d v="2025-07-08T00:00:00"/>
    <s v="cogs:product 2"/>
    <n v="19.989999999999998"/>
    <x v="42"/>
    <n v="119.94"/>
    <x v="1"/>
    <x v="2"/>
    <x v="1"/>
    <x v="6"/>
    <n v="-247.05"/>
  </r>
  <r>
    <d v="2025-07-08T00:00:00"/>
    <s v="cogs:product 3"/>
    <n v="8.99"/>
    <x v="219"/>
    <n v="1150.72"/>
    <x v="1"/>
    <x v="3"/>
    <x v="1"/>
    <x v="6"/>
    <n v="-19.989999999999998"/>
  </r>
  <r>
    <d v="2025-07-08T00:00:00"/>
    <s v="marketing"/>
    <s v="NA"/>
    <x v="0"/>
    <n v="111.99000000000001"/>
    <x v="2"/>
    <x v="0"/>
    <x v="1"/>
    <x v="6"/>
    <n v="-152.83000000000001"/>
  </r>
  <r>
    <d v="2025-07-08T00:00:00"/>
    <s v="net sales:product 1"/>
    <n v="9.99"/>
    <x v="48"/>
    <n v="619.38"/>
    <x v="3"/>
    <x v="1"/>
    <x v="1"/>
    <x v="6"/>
    <n v="-120.08"/>
  </r>
  <r>
    <d v="2025-07-08T00:00:00"/>
    <s v="net sales:product 2"/>
    <n v="24.99"/>
    <x v="42"/>
    <n v="149.94"/>
    <x v="3"/>
    <x v="2"/>
    <x v="1"/>
    <x v="6"/>
    <n v="449.55"/>
  </r>
  <r>
    <d v="2025-07-08T00:00:00"/>
    <s v="net sales:product 3"/>
    <n v="12.49"/>
    <x v="219"/>
    <n v="1598.72"/>
    <x v="3"/>
    <x v="3"/>
    <x v="1"/>
    <x v="6"/>
    <n v="24.99"/>
  </r>
  <r>
    <d v="2025-07-09T00:00:00"/>
    <s v="cogs:product 1"/>
    <n v="5.49"/>
    <x v="137"/>
    <n v="274.5"/>
    <x v="1"/>
    <x v="1"/>
    <x v="1"/>
    <x v="6"/>
    <n v="212.33"/>
  </r>
  <r>
    <d v="2025-07-09T00:00:00"/>
    <s v="cogs:product 2"/>
    <n v="19.989999999999998"/>
    <x v="29"/>
    <n v="99.949999999999989"/>
    <x v="1"/>
    <x v="2"/>
    <x v="1"/>
    <x v="6"/>
    <n v="-104.31"/>
  </r>
  <r>
    <d v="2025-07-09T00:00:00"/>
    <s v="cogs:product 3"/>
    <n v="8.99"/>
    <x v="37"/>
    <n v="1833.96"/>
    <x v="1"/>
    <x v="3"/>
    <x v="1"/>
    <x v="6"/>
    <n v="-39.979999999999997"/>
  </r>
  <r>
    <d v="2025-07-09T00:00:00"/>
    <s v="marketing"/>
    <s v="NA"/>
    <x v="0"/>
    <n v="107.99000000000001"/>
    <x v="2"/>
    <x v="0"/>
    <x v="1"/>
    <x v="6"/>
    <n v="-925.97"/>
  </r>
  <r>
    <d v="2025-07-09T00:00:00"/>
    <s v="net sales:product 1"/>
    <n v="9.99"/>
    <x v="137"/>
    <n v="499.5"/>
    <x v="3"/>
    <x v="1"/>
    <x v="1"/>
    <x v="6"/>
    <n v="-107"/>
  </r>
  <r>
    <d v="2025-07-09T00:00:00"/>
    <s v="net sales:product 2"/>
    <n v="24.99"/>
    <x v="29"/>
    <n v="124.94999999999999"/>
    <x v="3"/>
    <x v="2"/>
    <x v="1"/>
    <x v="6"/>
    <n v="189.81"/>
  </r>
  <r>
    <d v="2025-07-09T00:00:00"/>
    <s v="net sales:product 3"/>
    <n v="12.49"/>
    <x v="37"/>
    <n v="2547.96"/>
    <x v="3"/>
    <x v="3"/>
    <x v="1"/>
    <x v="6"/>
    <n v="49.98"/>
  </r>
  <r>
    <d v="2025-07-10T00:00:00"/>
    <s v="cogs:product 1"/>
    <n v="5.49"/>
    <x v="138"/>
    <n v="285.48"/>
    <x v="1"/>
    <x v="1"/>
    <x v="1"/>
    <x v="6"/>
    <n v="1286.47"/>
  </r>
  <r>
    <d v="2025-07-10T00:00:00"/>
    <s v="cogs:product 2"/>
    <n v="19.989999999999998"/>
    <x v="42"/>
    <n v="119.94"/>
    <x v="1"/>
    <x v="2"/>
    <x v="1"/>
    <x v="6"/>
    <n v="-258.03000000000003"/>
  </r>
  <r>
    <d v="2025-07-10T00:00:00"/>
    <s v="cogs:product 3"/>
    <n v="8.99"/>
    <x v="23"/>
    <n v="0"/>
    <x v="1"/>
    <x v="3"/>
    <x v="1"/>
    <x v="6"/>
    <n v="-119.94"/>
  </r>
  <r>
    <d v="2025-07-10T00:00:00"/>
    <s v="marketing"/>
    <s v="NA"/>
    <x v="0"/>
    <n v="100.02"/>
    <x v="2"/>
    <x v="0"/>
    <x v="1"/>
    <x v="6"/>
    <n v="-665.26"/>
  </r>
  <r>
    <d v="2025-07-10T00:00:00"/>
    <s v="net sales:product 1"/>
    <n v="9.99"/>
    <x v="138"/>
    <n v="519.48"/>
    <x v="3"/>
    <x v="1"/>
    <x v="1"/>
    <x v="6"/>
    <n v="-105.09"/>
  </r>
  <r>
    <d v="2025-07-10T00:00:00"/>
    <s v="net sales:product 2"/>
    <n v="24.99"/>
    <x v="42"/>
    <n v="149.94"/>
    <x v="3"/>
    <x v="2"/>
    <x v="1"/>
    <x v="6"/>
    <n v="469.53000000000003"/>
  </r>
  <r>
    <d v="2025-07-10T00:00:00"/>
    <s v="net sales:product 3"/>
    <n v="12.49"/>
    <x v="23"/>
    <n v="0"/>
    <x v="3"/>
    <x v="3"/>
    <x v="1"/>
    <x v="6"/>
    <n v="149.94"/>
  </r>
  <r>
    <d v="2025-07-11T00:00:00"/>
    <s v="cogs:product 1"/>
    <n v="5.49"/>
    <x v="21"/>
    <n v="65.88"/>
    <x v="1"/>
    <x v="1"/>
    <x v="1"/>
    <x v="6"/>
    <n v="924.26"/>
  </r>
  <r>
    <d v="2025-07-11T00:00:00"/>
    <s v="cogs:product 2"/>
    <n v="19.989999999999998"/>
    <x v="42"/>
    <n v="119.94"/>
    <x v="1"/>
    <x v="2"/>
    <x v="1"/>
    <x v="6"/>
    <n v="-417.24"/>
  </r>
  <r>
    <d v="2025-07-11T00:00:00"/>
    <s v="cogs:product 3"/>
    <n v="8.99"/>
    <x v="145"/>
    <n v="134.85"/>
    <x v="1"/>
    <x v="3"/>
    <x v="1"/>
    <x v="6"/>
    <n v="-59.97"/>
  </r>
  <r>
    <d v="2025-07-11T00:00:00"/>
    <s v="marketing"/>
    <s v="NA"/>
    <x v="0"/>
    <n v="106.93"/>
    <x v="2"/>
    <x v="0"/>
    <x v="1"/>
    <x v="6"/>
    <n v="-1006.88"/>
  </r>
  <r>
    <d v="2025-07-11T00:00:00"/>
    <s v="net sales:product 1"/>
    <n v="9.99"/>
    <x v="21"/>
    <n v="119.88"/>
    <x v="3"/>
    <x v="1"/>
    <x v="1"/>
    <x v="6"/>
    <n v="-116.91"/>
  </r>
  <r>
    <d v="2025-07-11T00:00:00"/>
    <s v="net sales:product 2"/>
    <n v="24.99"/>
    <x v="42"/>
    <n v="149.94"/>
    <x v="3"/>
    <x v="2"/>
    <x v="1"/>
    <x v="6"/>
    <n v="759.24"/>
  </r>
  <r>
    <d v="2025-07-11T00:00:00"/>
    <s v="net sales:product 3"/>
    <n v="12.49"/>
    <x v="145"/>
    <n v="187.35"/>
    <x v="3"/>
    <x v="3"/>
    <x v="1"/>
    <x v="6"/>
    <n v="74.97"/>
  </r>
  <r>
    <d v="2025-07-12T00:00:00"/>
    <s v="cogs:product 1"/>
    <n v="5.49"/>
    <x v="115"/>
    <n v="417.24"/>
    <x v="1"/>
    <x v="1"/>
    <x v="1"/>
    <x v="6"/>
    <n v="1398.88"/>
  </r>
  <r>
    <d v="2025-07-12T00:00:00"/>
    <s v="cogs:product 2"/>
    <n v="19.989999999999998"/>
    <x v="25"/>
    <n v="19.989999999999998"/>
    <x v="1"/>
    <x v="2"/>
    <x v="1"/>
    <x v="6"/>
    <n v="-236.07000000000002"/>
  </r>
  <r>
    <d v="2025-07-12T00:00:00"/>
    <s v="cogs:product 3"/>
    <n v="8.99"/>
    <x v="43"/>
    <n v="1950.8300000000002"/>
    <x v="1"/>
    <x v="3"/>
    <x v="1"/>
    <x v="6"/>
    <n v="-159.91999999999999"/>
  </r>
  <r>
    <d v="2025-07-12T00:00:00"/>
    <s v="marketing"/>
    <s v="NA"/>
    <x v="0"/>
    <n v="117.92"/>
    <x v="2"/>
    <x v="0"/>
    <x v="1"/>
    <x v="6"/>
    <n v="-1708.1000000000001"/>
  </r>
  <r>
    <d v="2025-07-12T00:00:00"/>
    <s v="net sales:product 1"/>
    <n v="9.99"/>
    <x v="115"/>
    <n v="759.24"/>
    <x v="3"/>
    <x v="1"/>
    <x v="1"/>
    <x v="6"/>
    <n v="-106.08"/>
  </r>
  <r>
    <d v="2025-07-12T00:00:00"/>
    <s v="net sales:product 2"/>
    <n v="24.99"/>
    <x v="25"/>
    <n v="24.99"/>
    <x v="3"/>
    <x v="2"/>
    <x v="1"/>
    <x v="6"/>
    <n v="429.57"/>
  </r>
  <r>
    <d v="2025-07-12T00:00:00"/>
    <s v="net sales:product 3"/>
    <n v="12.49"/>
    <x v="43"/>
    <n v="2710.33"/>
    <x v="3"/>
    <x v="3"/>
    <x v="1"/>
    <x v="6"/>
    <n v="199.92"/>
  </r>
  <r>
    <d v="2025-07-13T00:00:00"/>
    <s v="cogs:product 1"/>
    <n v="5.49"/>
    <x v="46"/>
    <n v="373.32"/>
    <x v="1"/>
    <x v="1"/>
    <x v="1"/>
    <x v="6"/>
    <n v="2373.1"/>
  </r>
  <r>
    <d v="2025-07-13T00:00:00"/>
    <s v="cogs:product 2"/>
    <n v="19.989999999999998"/>
    <x v="13"/>
    <n v="139.92999999999998"/>
    <x v="1"/>
    <x v="2"/>
    <x v="1"/>
    <x v="6"/>
    <n v="-406.26"/>
  </r>
  <r>
    <d v="2025-07-13T00:00:00"/>
    <s v="cogs:product 3"/>
    <n v="8.99"/>
    <x v="127"/>
    <n v="125.86"/>
    <x v="1"/>
    <x v="3"/>
    <x v="1"/>
    <x v="6"/>
    <n v="-59.97"/>
  </r>
  <r>
    <d v="2025-07-13T00:00:00"/>
    <s v="marketing"/>
    <s v="NA"/>
    <x v="0"/>
    <n v="106.09"/>
    <x v="2"/>
    <x v="0"/>
    <x v="1"/>
    <x v="6"/>
    <n v="0"/>
  </r>
  <r>
    <d v="2025-07-13T00:00:00"/>
    <s v="net sales:product 1"/>
    <n v="9.99"/>
    <x v="46"/>
    <n v="679.32"/>
    <x v="3"/>
    <x v="1"/>
    <x v="1"/>
    <x v="6"/>
    <n v="-110.08"/>
  </r>
  <r>
    <d v="2025-07-13T00:00:00"/>
    <s v="net sales:product 2"/>
    <n v="24.99"/>
    <x v="13"/>
    <n v="174.92999999999998"/>
    <x v="3"/>
    <x v="2"/>
    <x v="1"/>
    <x v="6"/>
    <n v="739.26"/>
  </r>
  <r>
    <d v="2025-07-13T00:00:00"/>
    <s v="net sales:product 3"/>
    <n v="12.49"/>
    <x v="127"/>
    <n v="174.86"/>
    <x v="3"/>
    <x v="3"/>
    <x v="1"/>
    <x v="6"/>
    <n v="74.97"/>
  </r>
  <r>
    <d v="2025-07-14T00:00:00"/>
    <s v="cogs:product 1"/>
    <n v="5.49"/>
    <x v="117"/>
    <n v="472.14000000000004"/>
    <x v="1"/>
    <x v="1"/>
    <x v="1"/>
    <x v="6"/>
    <n v="0"/>
  </r>
  <r>
    <d v="2025-07-14T00:00:00"/>
    <s v="cogs:product 2"/>
    <n v="19.989999999999998"/>
    <x v="29"/>
    <n v="99.949999999999989"/>
    <x v="1"/>
    <x v="2"/>
    <x v="1"/>
    <x v="6"/>
    <n v="-181.17000000000002"/>
  </r>
  <r>
    <d v="2025-07-14T00:00:00"/>
    <s v="cogs:product 3"/>
    <n v="8.99"/>
    <x v="220"/>
    <n v="899"/>
    <x v="1"/>
    <x v="3"/>
    <x v="1"/>
    <x v="6"/>
    <n v="-19.989999999999998"/>
  </r>
  <r>
    <d v="2025-07-14T00:00:00"/>
    <s v="marketing"/>
    <s v="NA"/>
    <x v="0"/>
    <n v="103.10000000000001"/>
    <x v="2"/>
    <x v="0"/>
    <x v="1"/>
    <x v="6"/>
    <n v="-692.23"/>
  </r>
  <r>
    <d v="2025-07-14T00:00:00"/>
    <s v="net sales:product 1"/>
    <n v="9.99"/>
    <x v="117"/>
    <n v="859.14"/>
    <x v="3"/>
    <x v="1"/>
    <x v="1"/>
    <x v="6"/>
    <n v="-114.07000000000001"/>
  </r>
  <r>
    <d v="2025-07-14T00:00:00"/>
    <s v="net sales:product 2"/>
    <n v="24.99"/>
    <x v="29"/>
    <n v="124.94999999999999"/>
    <x v="3"/>
    <x v="2"/>
    <x v="1"/>
    <x v="6"/>
    <n v="329.67"/>
  </r>
  <r>
    <d v="2025-07-14T00:00:00"/>
    <s v="net sales:product 3"/>
    <n v="12.49"/>
    <x v="220"/>
    <n v="1249"/>
    <x v="3"/>
    <x v="3"/>
    <x v="1"/>
    <x v="6"/>
    <n v="24.99"/>
  </r>
  <r>
    <d v="2025-07-15T00:00:00"/>
    <s v="cogs:product 1"/>
    <n v="5.49"/>
    <x v="31"/>
    <n v="98.820000000000007"/>
    <x v="1"/>
    <x v="1"/>
    <x v="1"/>
    <x v="6"/>
    <n v="961.73"/>
  </r>
  <r>
    <d v="2025-07-15T00:00:00"/>
    <s v="cogs:product 2"/>
    <n v="19.989999999999998"/>
    <x v="19"/>
    <n v="79.959999999999994"/>
    <x v="1"/>
    <x v="2"/>
    <x v="1"/>
    <x v="6"/>
    <n v="-203.13"/>
  </r>
  <r>
    <d v="2025-07-15T00:00:00"/>
    <s v="cogs:product 3"/>
    <n v="8.99"/>
    <x v="60"/>
    <n v="206.77"/>
    <x v="1"/>
    <x v="3"/>
    <x v="1"/>
    <x v="6"/>
    <n v="-19.989999999999998"/>
  </r>
  <r>
    <d v="2025-07-15T00:00:00"/>
    <s v="interest"/>
    <s v="NA"/>
    <x v="0"/>
    <n v="1233"/>
    <x v="6"/>
    <x v="0"/>
    <x v="1"/>
    <x v="6"/>
    <n v="-107.88"/>
  </r>
  <r>
    <d v="2025-07-15T00:00:00"/>
    <s v="marketing"/>
    <s v="NA"/>
    <x v="0"/>
    <n v="108.02"/>
    <x v="2"/>
    <x v="0"/>
    <x v="1"/>
    <x v="6"/>
    <n v="-1260.8"/>
  </r>
  <r>
    <d v="2025-07-15T00:00:00"/>
    <s v="net sales:product 1"/>
    <n v="9.99"/>
    <x v="31"/>
    <n v="179.82"/>
    <x v="3"/>
    <x v="1"/>
    <x v="1"/>
    <x v="6"/>
    <n v="-105.93"/>
  </r>
  <r>
    <d v="2025-07-15T00:00:00"/>
    <s v="net sales:product 2"/>
    <n v="24.99"/>
    <x v="19"/>
    <n v="99.96"/>
    <x v="3"/>
    <x v="2"/>
    <x v="1"/>
    <x v="6"/>
    <n v="369.63"/>
  </r>
  <r>
    <d v="2025-07-15T00:00:00"/>
    <s v="net sales:product 3"/>
    <n v="12.49"/>
    <x v="60"/>
    <n v="287.27"/>
    <x v="3"/>
    <x v="3"/>
    <x v="1"/>
    <x v="6"/>
    <n v="24.99"/>
  </r>
  <r>
    <d v="2025-07-15T00:00:00"/>
    <s v="overhead"/>
    <s v="NA"/>
    <x v="0"/>
    <n v="308.25"/>
    <x v="4"/>
    <x v="0"/>
    <x v="1"/>
    <x v="6"/>
    <n v="149.88"/>
  </r>
  <r>
    <d v="2025-07-16T00:00:00"/>
    <s v="cogs:product 1"/>
    <n v="5.49"/>
    <x v="119"/>
    <n v="269.01"/>
    <x v="1"/>
    <x v="1"/>
    <x v="1"/>
    <x v="6"/>
    <n v="-320.56"/>
  </r>
  <r>
    <d v="2025-07-16T00:00:00"/>
    <s v="cogs:product 2"/>
    <n v="19.989999999999998"/>
    <x v="23"/>
    <n v="0"/>
    <x v="1"/>
    <x v="2"/>
    <x v="1"/>
    <x v="6"/>
    <n v="-433.71000000000004"/>
  </r>
  <r>
    <d v="2025-07-16T00:00:00"/>
    <s v="cogs:product 3"/>
    <n v="8.99"/>
    <x v="221"/>
    <n v="1186.68"/>
    <x v="1"/>
    <x v="3"/>
    <x v="1"/>
    <x v="6"/>
    <n v="-99.949999999999989"/>
  </r>
  <r>
    <d v="2025-07-16T00:00:00"/>
    <s v="marketing"/>
    <s v="NA"/>
    <x v="0"/>
    <n v="116.94"/>
    <x v="2"/>
    <x v="0"/>
    <x v="1"/>
    <x v="6"/>
    <n v="-2139.62"/>
  </r>
  <r>
    <d v="2025-07-16T00:00:00"/>
    <s v="net sales:product 1"/>
    <n v="9.99"/>
    <x v="119"/>
    <n v="489.51"/>
    <x v="3"/>
    <x v="1"/>
    <x v="1"/>
    <x v="6"/>
    <n v="-104.91"/>
  </r>
  <r>
    <d v="2025-07-16T00:00:00"/>
    <s v="net sales:product 2"/>
    <n v="24.99"/>
    <x v="23"/>
    <n v="0"/>
    <x v="3"/>
    <x v="2"/>
    <x v="1"/>
    <x v="6"/>
    <n v="789.21"/>
  </r>
  <r>
    <d v="2025-07-16T00:00:00"/>
    <s v="net sales:product 3"/>
    <n v="12.49"/>
    <x v="221"/>
    <n v="1648.68"/>
    <x v="3"/>
    <x v="3"/>
    <x v="1"/>
    <x v="6"/>
    <n v="124.94999999999999"/>
  </r>
  <r>
    <d v="2025-07-17T00:00:00"/>
    <s v="cogs:product 1"/>
    <n v="5.49"/>
    <x v="88"/>
    <n v="148.23000000000002"/>
    <x v="1"/>
    <x v="1"/>
    <x v="1"/>
    <x v="6"/>
    <n v="2972.62"/>
  </r>
  <r>
    <d v="2025-07-17T00:00:00"/>
    <s v="cogs:product 2"/>
    <n v="19.989999999999998"/>
    <x v="10"/>
    <n v="39.979999999999997"/>
    <x v="1"/>
    <x v="2"/>
    <x v="1"/>
    <x v="6"/>
    <n v="0"/>
  </r>
  <r>
    <d v="2025-07-17T00:00:00"/>
    <s v="cogs:product 3"/>
    <n v="8.99"/>
    <x v="125"/>
    <n v="1483.3500000000001"/>
    <x v="1"/>
    <x v="3"/>
    <x v="1"/>
    <x v="6"/>
    <n v="-119.94"/>
  </r>
  <r>
    <d v="2025-07-17T00:00:00"/>
    <s v="marketing"/>
    <s v="NA"/>
    <x v="0"/>
    <n v="118.06"/>
    <x v="2"/>
    <x v="0"/>
    <x v="1"/>
    <x v="6"/>
    <n v="-1510.32"/>
  </r>
  <r>
    <d v="2025-07-17T00:00:00"/>
    <s v="net sales:product 1"/>
    <n v="9.99"/>
    <x v="88"/>
    <n v="269.73"/>
    <x v="3"/>
    <x v="1"/>
    <x v="1"/>
    <x v="6"/>
    <n v="-114.91"/>
  </r>
  <r>
    <d v="2025-07-17T00:00:00"/>
    <s v="net sales:product 2"/>
    <n v="24.99"/>
    <x v="10"/>
    <n v="49.98"/>
    <x v="3"/>
    <x v="2"/>
    <x v="1"/>
    <x v="6"/>
    <n v="0"/>
  </r>
  <r>
    <d v="2025-07-17T00:00:00"/>
    <s v="net sales:product 3"/>
    <n v="12.49"/>
    <x v="125"/>
    <n v="2060.85"/>
    <x v="3"/>
    <x v="3"/>
    <x v="1"/>
    <x v="6"/>
    <n v="149.94"/>
  </r>
  <r>
    <d v="2025-07-18T00:00:00"/>
    <s v="cogs:product 1"/>
    <n v="5.49"/>
    <x v="24"/>
    <n v="543.51"/>
    <x v="1"/>
    <x v="1"/>
    <x v="1"/>
    <x v="6"/>
    <n v="2098.3200000000002"/>
  </r>
  <r>
    <d v="2025-07-18T00:00:00"/>
    <s v="cogs:product 2"/>
    <n v="19.989999999999998"/>
    <x v="23"/>
    <n v="0"/>
    <x v="1"/>
    <x v="2"/>
    <x v="1"/>
    <x v="6"/>
    <n v="-153.72"/>
  </r>
  <r>
    <d v="2025-07-18T00:00:00"/>
    <s v="cogs:product 3"/>
    <n v="8.99"/>
    <x v="151"/>
    <n v="1869.92"/>
    <x v="1"/>
    <x v="3"/>
    <x v="1"/>
    <x v="6"/>
    <n v="-59.97"/>
  </r>
  <r>
    <d v="2025-07-18T00:00:00"/>
    <s v="marketing"/>
    <s v="NA"/>
    <x v="0"/>
    <n v="109.09"/>
    <x v="2"/>
    <x v="0"/>
    <x v="1"/>
    <x v="6"/>
    <n v="-2085.6799999999998"/>
  </r>
  <r>
    <d v="2025-07-18T00:00:00"/>
    <s v="net sales:product 1"/>
    <n v="9.99"/>
    <x v="24"/>
    <n v="989.01"/>
    <x v="3"/>
    <x v="1"/>
    <x v="1"/>
    <x v="6"/>
    <n v="-109.03"/>
  </r>
  <r>
    <d v="2025-07-18T00:00:00"/>
    <s v="net sales:product 2"/>
    <n v="24.99"/>
    <x v="23"/>
    <n v="0"/>
    <x v="3"/>
    <x v="2"/>
    <x v="1"/>
    <x v="6"/>
    <n v="279.72000000000003"/>
  </r>
  <r>
    <d v="2025-07-18T00:00:00"/>
    <s v="net sales:product 3"/>
    <n v="12.49"/>
    <x v="151"/>
    <n v="2597.92"/>
    <x v="3"/>
    <x v="3"/>
    <x v="1"/>
    <x v="6"/>
    <n v="74.97"/>
  </r>
  <r>
    <d v="2025-07-18T00:00:00"/>
    <s v="payroll"/>
    <s v="NA"/>
    <x v="0"/>
    <n v="1200"/>
    <x v="5"/>
    <x v="0"/>
    <x v="1"/>
    <x v="6"/>
    <n v="2897.68"/>
  </r>
  <r>
    <d v="2025-07-19T00:00:00"/>
    <s v="cogs:product 1"/>
    <n v="5.49"/>
    <x v="138"/>
    <n v="285.48"/>
    <x v="1"/>
    <x v="1"/>
    <x v="1"/>
    <x v="6"/>
    <n v="-516.06000000000006"/>
  </r>
  <r>
    <d v="2025-07-19T00:00:00"/>
    <s v="cogs:product 2"/>
    <n v="19.989999999999998"/>
    <x v="29"/>
    <n v="99.949999999999989"/>
    <x v="1"/>
    <x v="2"/>
    <x v="1"/>
    <x v="6"/>
    <n v="-19.989999999999998"/>
  </r>
  <r>
    <d v="2025-07-19T00:00:00"/>
    <s v="cogs:product 3"/>
    <n v="8.99"/>
    <x v="197"/>
    <n v="1357.49"/>
    <x v="1"/>
    <x v="3"/>
    <x v="1"/>
    <x v="6"/>
    <n v="-413.54"/>
  </r>
  <r>
    <d v="2025-07-19T00:00:00"/>
    <s v="marketing"/>
    <s v="NA"/>
    <x v="0"/>
    <n v="118.06"/>
    <x v="2"/>
    <x v="0"/>
    <x v="1"/>
    <x v="6"/>
    <n v="-116.03"/>
  </r>
  <r>
    <d v="2025-07-19T00:00:00"/>
    <s v="net sales:product 1"/>
    <n v="9.99"/>
    <x v="138"/>
    <n v="519.48"/>
    <x v="3"/>
    <x v="1"/>
    <x v="1"/>
    <x v="6"/>
    <n v="939.06000000000006"/>
  </r>
  <r>
    <d v="2025-07-19T00:00:00"/>
    <s v="net sales:product 2"/>
    <n v="24.99"/>
    <x v="29"/>
    <n v="124.94999999999999"/>
    <x v="3"/>
    <x v="2"/>
    <x v="1"/>
    <x v="6"/>
    <n v="24.99"/>
  </r>
  <r>
    <d v="2025-07-19T00:00:00"/>
    <s v="net sales:product 3"/>
    <n v="12.49"/>
    <x v="197"/>
    <n v="1885.99"/>
    <x v="3"/>
    <x v="3"/>
    <x v="1"/>
    <x v="6"/>
    <n v="574.54"/>
  </r>
  <r>
    <d v="2025-07-20T00:00:00"/>
    <s v="cogs:product 1"/>
    <n v="5.49"/>
    <x v="22"/>
    <n v="54.900000000000006"/>
    <x v="1"/>
    <x v="1"/>
    <x v="1"/>
    <x v="6"/>
    <n v="-192.15"/>
  </r>
  <r>
    <d v="2025-07-20T00:00:00"/>
    <s v="cogs:product 2"/>
    <n v="19.989999999999998"/>
    <x v="13"/>
    <n v="139.92999999999998"/>
    <x v="1"/>
    <x v="2"/>
    <x v="1"/>
    <x v="6"/>
    <n v="-139.92999999999998"/>
  </r>
  <r>
    <d v="2025-07-20T00:00:00"/>
    <s v="cogs:product 3"/>
    <n v="8.99"/>
    <x v="197"/>
    <n v="1357.49"/>
    <x v="1"/>
    <x v="3"/>
    <x v="1"/>
    <x v="6"/>
    <n v="-548.39"/>
  </r>
  <r>
    <d v="2025-07-20T00:00:00"/>
    <s v="marketing"/>
    <s v="NA"/>
    <x v="0"/>
    <n v="111.93"/>
    <x v="2"/>
    <x v="0"/>
    <x v="1"/>
    <x v="6"/>
    <n v="-100.91"/>
  </r>
  <r>
    <d v="2025-07-20T00:00:00"/>
    <s v="net sales:product 1"/>
    <n v="9.99"/>
    <x v="22"/>
    <n v="99.9"/>
    <x v="3"/>
    <x v="1"/>
    <x v="1"/>
    <x v="6"/>
    <n v="349.65000000000003"/>
  </r>
  <r>
    <d v="2025-07-20T00:00:00"/>
    <s v="net sales:product 2"/>
    <n v="24.99"/>
    <x v="13"/>
    <n v="174.92999999999998"/>
    <x v="3"/>
    <x v="2"/>
    <x v="1"/>
    <x v="6"/>
    <n v="174.92999999999998"/>
  </r>
  <r>
    <d v="2025-07-20T00:00:00"/>
    <s v="net sales:product 3"/>
    <n v="12.49"/>
    <x v="197"/>
    <n v="1885.99"/>
    <x v="3"/>
    <x v="3"/>
    <x v="1"/>
    <x v="6"/>
    <n v="761.89"/>
  </r>
  <r>
    <d v="2025-07-21T00:00:00"/>
    <s v="cogs:product 1"/>
    <n v="5.49"/>
    <x v="117"/>
    <n v="472.14000000000004"/>
    <x v="1"/>
    <x v="1"/>
    <x v="1"/>
    <x v="6"/>
    <n v="-1200"/>
  </r>
  <r>
    <d v="2025-07-21T00:00:00"/>
    <s v="cogs:product 2"/>
    <n v="19.989999999999998"/>
    <x v="19"/>
    <n v="79.959999999999994"/>
    <x v="1"/>
    <x v="2"/>
    <x v="1"/>
    <x v="6"/>
    <n v="-153.72"/>
  </r>
  <r>
    <d v="2025-07-21T00:00:00"/>
    <s v="cogs:product 3"/>
    <n v="8.99"/>
    <x v="155"/>
    <n v="1447.39"/>
    <x v="1"/>
    <x v="3"/>
    <x v="1"/>
    <x v="6"/>
    <n v="0"/>
  </r>
  <r>
    <d v="2025-07-21T00:00:00"/>
    <s v="marketing"/>
    <s v="NA"/>
    <x v="0"/>
    <n v="111.97"/>
    <x v="2"/>
    <x v="0"/>
    <x v="1"/>
    <x v="6"/>
    <n v="-1204.6600000000001"/>
  </r>
  <r>
    <d v="2025-07-21T00:00:00"/>
    <s v="net sales:product 1"/>
    <n v="9.99"/>
    <x v="117"/>
    <n v="859.14"/>
    <x v="3"/>
    <x v="1"/>
    <x v="1"/>
    <x v="6"/>
    <n v="-110.93"/>
  </r>
  <r>
    <d v="2025-07-21T00:00:00"/>
    <s v="net sales:product 2"/>
    <n v="24.99"/>
    <x v="19"/>
    <n v="99.96"/>
    <x v="3"/>
    <x v="2"/>
    <x v="1"/>
    <x v="6"/>
    <n v="279.72000000000003"/>
  </r>
  <r>
    <d v="2025-07-21T00:00:00"/>
    <s v="net sales:product 3"/>
    <n v="12.49"/>
    <x v="155"/>
    <n v="2010.89"/>
    <x v="3"/>
    <x v="3"/>
    <x v="1"/>
    <x v="6"/>
    <n v="0"/>
  </r>
  <r>
    <d v="2025-07-22T00:00:00"/>
    <s v="cogs:product 1"/>
    <n v="5.49"/>
    <x v="13"/>
    <n v="38.43"/>
    <x v="1"/>
    <x v="1"/>
    <x v="1"/>
    <x v="6"/>
    <n v="1673.66"/>
  </r>
  <r>
    <d v="2025-07-22T00:00:00"/>
    <s v="cogs:product 2"/>
    <n v="19.989999999999998"/>
    <x v="7"/>
    <n v="179.91"/>
    <x v="1"/>
    <x v="2"/>
    <x v="1"/>
    <x v="6"/>
    <n v="-120.78"/>
  </r>
  <r>
    <d v="2025-07-22T00:00:00"/>
    <s v="cogs:product 3"/>
    <n v="8.99"/>
    <x v="185"/>
    <n v="1771.03"/>
    <x v="1"/>
    <x v="3"/>
    <x v="1"/>
    <x v="6"/>
    <n v="-159.91999999999999"/>
  </r>
  <r>
    <d v="2025-07-22T00:00:00"/>
    <s v="marketing"/>
    <s v="NA"/>
    <x v="0"/>
    <n v="119"/>
    <x v="2"/>
    <x v="0"/>
    <x v="1"/>
    <x v="6"/>
    <n v="-1231.6300000000001"/>
  </r>
  <r>
    <d v="2025-07-22T00:00:00"/>
    <s v="net sales:product 1"/>
    <n v="9.99"/>
    <x v="13"/>
    <n v="69.930000000000007"/>
    <x v="3"/>
    <x v="1"/>
    <x v="1"/>
    <x v="6"/>
    <n v="-118.05"/>
  </r>
  <r>
    <d v="2025-07-22T00:00:00"/>
    <s v="net sales:product 2"/>
    <n v="24.99"/>
    <x v="7"/>
    <n v="224.91"/>
    <x v="3"/>
    <x v="2"/>
    <x v="1"/>
    <x v="6"/>
    <n v="219.78"/>
  </r>
  <r>
    <d v="2025-07-22T00:00:00"/>
    <s v="net sales:product 3"/>
    <n v="12.49"/>
    <x v="185"/>
    <n v="2460.5300000000002"/>
    <x v="3"/>
    <x v="3"/>
    <x v="1"/>
    <x v="6"/>
    <n v="199.92"/>
  </r>
  <r>
    <d v="2025-07-23T00:00:00"/>
    <s v="cogs:product 1"/>
    <n v="5.49"/>
    <x v="95"/>
    <n v="329.40000000000003"/>
    <x v="1"/>
    <x v="1"/>
    <x v="1"/>
    <x v="6"/>
    <n v="1711.13"/>
  </r>
  <r>
    <d v="2025-07-23T00:00:00"/>
    <s v="cogs:product 2"/>
    <n v="19.989999999999998"/>
    <x v="29"/>
    <n v="99.949999999999989"/>
    <x v="1"/>
    <x v="2"/>
    <x v="1"/>
    <x v="6"/>
    <n v="-27.450000000000003"/>
  </r>
  <r>
    <d v="2025-07-23T00:00:00"/>
    <s v="cogs:product 3"/>
    <n v="8.99"/>
    <x v="66"/>
    <n v="422.53000000000003"/>
    <x v="1"/>
    <x v="3"/>
    <x v="1"/>
    <x v="6"/>
    <n v="-59.97"/>
  </r>
  <r>
    <d v="2025-07-23T00:00:00"/>
    <s v="marketing"/>
    <s v="NA"/>
    <x v="0"/>
    <n v="112.06"/>
    <x v="2"/>
    <x v="0"/>
    <x v="1"/>
    <x v="6"/>
    <n v="-818.09"/>
  </r>
  <r>
    <d v="2025-07-23T00:00:00"/>
    <s v="net sales:product 1"/>
    <n v="9.99"/>
    <x v="95"/>
    <n v="599.4"/>
    <x v="3"/>
    <x v="1"/>
    <x v="1"/>
    <x v="6"/>
    <n v="-117.02"/>
  </r>
  <r>
    <d v="2025-07-23T00:00:00"/>
    <s v="net sales:product 2"/>
    <n v="24.99"/>
    <x v="29"/>
    <n v="124.94999999999999"/>
    <x v="3"/>
    <x v="2"/>
    <x v="1"/>
    <x v="6"/>
    <n v="49.95"/>
  </r>
  <r>
    <d v="2025-07-23T00:00:00"/>
    <s v="net sales:product 3"/>
    <n v="12.49"/>
    <x v="66"/>
    <n v="587.03"/>
    <x v="3"/>
    <x v="3"/>
    <x v="1"/>
    <x v="6"/>
    <n v="74.97"/>
  </r>
  <r>
    <d v="2025-07-24T00:00:00"/>
    <s v="cogs:product 1"/>
    <n v="5.49"/>
    <x v="19"/>
    <n v="21.96"/>
    <x v="1"/>
    <x v="1"/>
    <x v="1"/>
    <x v="6"/>
    <n v="1136.5899999999999"/>
  </r>
  <r>
    <d v="2025-07-24T00:00:00"/>
    <s v="cogs:product 2"/>
    <n v="19.989999999999998"/>
    <x v="19"/>
    <n v="79.959999999999994"/>
    <x v="1"/>
    <x v="2"/>
    <x v="1"/>
    <x v="6"/>
    <n v="-181.17000000000002"/>
  </r>
  <r>
    <d v="2025-07-24T00:00:00"/>
    <s v="cogs:product 3"/>
    <n v="8.99"/>
    <x v="36"/>
    <n v="1348.5"/>
    <x v="1"/>
    <x v="3"/>
    <x v="1"/>
    <x v="6"/>
    <n v="-19.989999999999998"/>
  </r>
  <r>
    <d v="2025-07-24T00:00:00"/>
    <s v="marketing"/>
    <s v="NA"/>
    <x v="0"/>
    <n v="104.95"/>
    <x v="2"/>
    <x v="0"/>
    <x v="1"/>
    <x v="6"/>
    <n v="-395.56"/>
  </r>
  <r>
    <d v="2025-07-24T00:00:00"/>
    <s v="net sales:product 1"/>
    <n v="9.99"/>
    <x v="19"/>
    <n v="39.96"/>
    <x v="3"/>
    <x v="1"/>
    <x v="1"/>
    <x v="6"/>
    <n v="-116.91"/>
  </r>
  <r>
    <d v="2025-07-24T00:00:00"/>
    <s v="net sales:product 2"/>
    <n v="24.99"/>
    <x v="19"/>
    <n v="99.96"/>
    <x v="3"/>
    <x v="2"/>
    <x v="1"/>
    <x v="6"/>
    <n v="329.67"/>
  </r>
  <r>
    <d v="2025-07-24T00:00:00"/>
    <s v="net sales:product 3"/>
    <n v="12.49"/>
    <x v="36"/>
    <n v="1873.5"/>
    <x v="3"/>
    <x v="3"/>
    <x v="1"/>
    <x v="6"/>
    <n v="24.99"/>
  </r>
  <r>
    <d v="2025-07-25T00:00:00"/>
    <s v="cogs:product 1"/>
    <n v="5.49"/>
    <x v="114"/>
    <n v="263.52"/>
    <x v="1"/>
    <x v="1"/>
    <x v="1"/>
    <x v="6"/>
    <n v="549.56000000000006"/>
  </r>
  <r>
    <d v="2025-07-25T00:00:00"/>
    <s v="cogs:product 2"/>
    <n v="19.989999999999998"/>
    <x v="13"/>
    <n v="139.92999999999998"/>
    <x v="1"/>
    <x v="2"/>
    <x v="1"/>
    <x v="6"/>
    <n v="-351.36"/>
  </r>
  <r>
    <d v="2025-07-25T00:00:00"/>
    <s v="cogs:product 3"/>
    <n v="8.99"/>
    <x v="175"/>
    <n v="1429.41"/>
    <x v="1"/>
    <x v="3"/>
    <x v="1"/>
    <x v="6"/>
    <n v="-139.92999999999998"/>
  </r>
  <r>
    <d v="2025-07-25T00:00:00"/>
    <s v="marketing"/>
    <s v="NA"/>
    <x v="0"/>
    <n v="117.95"/>
    <x v="2"/>
    <x v="0"/>
    <x v="1"/>
    <x v="6"/>
    <n v="-1375.47"/>
  </r>
  <r>
    <d v="2025-07-25T00:00:00"/>
    <s v="net sales:product 1"/>
    <n v="9.99"/>
    <x v="114"/>
    <n v="479.52"/>
    <x v="3"/>
    <x v="1"/>
    <x v="1"/>
    <x v="6"/>
    <n v="-106.10000000000001"/>
  </r>
  <r>
    <d v="2025-07-25T00:00:00"/>
    <s v="net sales:product 2"/>
    <n v="24.99"/>
    <x v="13"/>
    <n v="174.92999999999998"/>
    <x v="3"/>
    <x v="2"/>
    <x v="1"/>
    <x v="6"/>
    <n v="639.36"/>
  </r>
  <r>
    <d v="2025-07-25T00:00:00"/>
    <s v="net sales:product 3"/>
    <n v="12.49"/>
    <x v="175"/>
    <n v="1985.91"/>
    <x v="3"/>
    <x v="3"/>
    <x v="1"/>
    <x v="6"/>
    <n v="174.92999999999998"/>
  </r>
  <r>
    <d v="2025-07-26T00:00:00"/>
    <s v="cogs:product 1"/>
    <n v="5.49"/>
    <x v="87"/>
    <n v="87.84"/>
    <x v="1"/>
    <x v="1"/>
    <x v="1"/>
    <x v="6"/>
    <n v="1910.97"/>
  </r>
  <r>
    <d v="2025-07-26T00:00:00"/>
    <s v="cogs:product 2"/>
    <n v="19.989999999999998"/>
    <x v="29"/>
    <n v="99.949999999999989"/>
    <x v="1"/>
    <x v="2"/>
    <x v="1"/>
    <x v="6"/>
    <n v="-175.68"/>
  </r>
  <r>
    <d v="2025-07-26T00:00:00"/>
    <s v="cogs:product 3"/>
    <n v="8.99"/>
    <x v="222"/>
    <n v="916.98"/>
    <x v="1"/>
    <x v="3"/>
    <x v="1"/>
    <x v="6"/>
    <n v="-159.91999999999999"/>
  </r>
  <r>
    <d v="2025-07-26T00:00:00"/>
    <s v="marketing"/>
    <s v="NA"/>
    <x v="0"/>
    <n v="120.08"/>
    <x v="2"/>
    <x v="0"/>
    <x v="1"/>
    <x v="6"/>
    <n v="-1519.31"/>
  </r>
  <r>
    <d v="2025-07-26T00:00:00"/>
    <s v="net sales:product 1"/>
    <n v="9.99"/>
    <x v="87"/>
    <n v="159.84"/>
    <x v="3"/>
    <x v="1"/>
    <x v="1"/>
    <x v="6"/>
    <n v="-104.01"/>
  </r>
  <r>
    <d v="2025-07-26T00:00:00"/>
    <s v="net sales:product 2"/>
    <n v="24.99"/>
    <x v="29"/>
    <n v="124.94999999999999"/>
    <x v="3"/>
    <x v="2"/>
    <x v="1"/>
    <x v="6"/>
    <n v="319.68"/>
  </r>
  <r>
    <d v="2025-07-26T00:00:00"/>
    <s v="net sales:product 3"/>
    <n v="12.49"/>
    <x v="222"/>
    <n v="1273.98"/>
    <x v="3"/>
    <x v="3"/>
    <x v="1"/>
    <x v="6"/>
    <n v="199.92"/>
  </r>
  <r>
    <d v="2025-07-27T00:00:00"/>
    <s v="cogs:product 1"/>
    <n v="5.49"/>
    <x v="117"/>
    <n v="472.14000000000004"/>
    <x v="1"/>
    <x v="1"/>
    <x v="1"/>
    <x v="6"/>
    <n v="2110.81"/>
  </r>
  <r>
    <d v="2025-07-27T00:00:00"/>
    <s v="cogs:product 2"/>
    <n v="19.989999999999998"/>
    <x v="19"/>
    <n v="79.959999999999994"/>
    <x v="1"/>
    <x v="2"/>
    <x v="1"/>
    <x v="6"/>
    <n v="-104.31"/>
  </r>
  <r>
    <d v="2025-07-27T00:00:00"/>
    <s v="cogs:product 3"/>
    <n v="8.99"/>
    <x v="159"/>
    <n v="1726.08"/>
    <x v="1"/>
    <x v="3"/>
    <x v="1"/>
    <x v="6"/>
    <n v="-19.989999999999998"/>
  </r>
  <r>
    <d v="2025-07-27T00:00:00"/>
    <s v="marketing"/>
    <s v="NA"/>
    <x v="0"/>
    <n v="118.09"/>
    <x v="2"/>
    <x v="0"/>
    <x v="1"/>
    <x v="6"/>
    <n v="-674.25"/>
  </r>
  <r>
    <d v="2025-07-27T00:00:00"/>
    <s v="net sales:product 1"/>
    <n v="9.99"/>
    <x v="117"/>
    <n v="859.14"/>
    <x v="3"/>
    <x v="1"/>
    <x v="1"/>
    <x v="6"/>
    <n v="-116.99000000000001"/>
  </r>
  <r>
    <d v="2025-07-27T00:00:00"/>
    <s v="net sales:product 2"/>
    <n v="24.99"/>
    <x v="19"/>
    <n v="99.96"/>
    <x v="3"/>
    <x v="2"/>
    <x v="1"/>
    <x v="6"/>
    <n v="189.81"/>
  </r>
  <r>
    <d v="2025-07-27T00:00:00"/>
    <s v="net sales:product 3"/>
    <n v="12.49"/>
    <x v="159"/>
    <n v="2398.08"/>
    <x v="3"/>
    <x v="3"/>
    <x v="1"/>
    <x v="6"/>
    <n v="24.99"/>
  </r>
  <r>
    <d v="2025-07-28T00:00:00"/>
    <s v="cogs:product 1"/>
    <n v="5.49"/>
    <x v="6"/>
    <n v="203.13"/>
    <x v="1"/>
    <x v="1"/>
    <x v="1"/>
    <x v="6"/>
    <n v="936.75"/>
  </r>
  <r>
    <d v="2025-07-28T00:00:00"/>
    <s v="cogs:product 2"/>
    <n v="19.989999999999998"/>
    <x v="19"/>
    <n v="79.959999999999994"/>
    <x v="1"/>
    <x v="2"/>
    <x v="1"/>
    <x v="6"/>
    <n v="-345.87"/>
  </r>
  <r>
    <d v="2025-07-28T00:00:00"/>
    <s v="cogs:product 3"/>
    <n v="8.99"/>
    <x v="91"/>
    <n v="1582.24"/>
    <x v="1"/>
    <x v="3"/>
    <x v="1"/>
    <x v="6"/>
    <n v="-179.91"/>
  </r>
  <r>
    <d v="2025-07-28T00:00:00"/>
    <s v="marketing"/>
    <s v="NA"/>
    <x v="0"/>
    <n v="106.02"/>
    <x v="2"/>
    <x v="0"/>
    <x v="1"/>
    <x v="6"/>
    <n v="-1600.22"/>
  </r>
  <r>
    <d v="2025-07-28T00:00:00"/>
    <s v="net sales:product 1"/>
    <n v="9.99"/>
    <x v="6"/>
    <n v="369.63"/>
    <x v="3"/>
    <x v="1"/>
    <x v="1"/>
    <x v="6"/>
    <n v="-114.92"/>
  </r>
  <r>
    <d v="2025-07-28T00:00:00"/>
    <s v="net sales:product 2"/>
    <n v="24.99"/>
    <x v="19"/>
    <n v="99.96"/>
    <x v="3"/>
    <x v="2"/>
    <x v="1"/>
    <x v="6"/>
    <n v="629.37"/>
  </r>
  <r>
    <d v="2025-07-28T00:00:00"/>
    <s v="net sales:product 3"/>
    <n v="12.49"/>
    <x v="91"/>
    <n v="2198.2400000000002"/>
    <x v="3"/>
    <x v="3"/>
    <x v="1"/>
    <x v="6"/>
    <n v="224.91"/>
  </r>
  <r>
    <d v="2025-07-29T00:00:00"/>
    <s v="cogs:product 1"/>
    <n v="5.49"/>
    <x v="198"/>
    <n v="510.57"/>
    <x v="1"/>
    <x v="1"/>
    <x v="1"/>
    <x v="6"/>
    <n v="2223.2200000000003"/>
  </r>
  <r>
    <d v="2025-07-29T00:00:00"/>
    <s v="cogs:product 2"/>
    <n v="19.989999999999998"/>
    <x v="19"/>
    <n v="79.959999999999994"/>
    <x v="1"/>
    <x v="2"/>
    <x v="1"/>
    <x v="6"/>
    <n v="-225.09"/>
  </r>
  <r>
    <d v="2025-07-29T00:00:00"/>
    <s v="cogs:product 3"/>
    <n v="8.99"/>
    <x v="55"/>
    <n v="2022.75"/>
    <x v="1"/>
    <x v="3"/>
    <x v="1"/>
    <x v="6"/>
    <n v="-19.989999999999998"/>
  </r>
  <r>
    <d v="2025-07-29T00:00:00"/>
    <s v="marketing"/>
    <s v="NA"/>
    <x v="0"/>
    <n v="114.02"/>
    <x v="2"/>
    <x v="0"/>
    <x v="1"/>
    <x v="6"/>
    <n v="-314.65000000000003"/>
  </r>
  <r>
    <d v="2025-07-29T00:00:00"/>
    <s v="net sales:product 1"/>
    <n v="9.99"/>
    <x v="198"/>
    <n v="929.07"/>
    <x v="3"/>
    <x v="1"/>
    <x v="1"/>
    <x v="6"/>
    <n v="-112.95"/>
  </r>
  <r>
    <d v="2025-07-29T00:00:00"/>
    <s v="net sales:product 2"/>
    <n v="24.99"/>
    <x v="19"/>
    <n v="99.96"/>
    <x v="3"/>
    <x v="2"/>
    <x v="1"/>
    <x v="6"/>
    <n v="409.59000000000003"/>
  </r>
  <r>
    <d v="2025-07-29T00:00:00"/>
    <s v="net sales:product 3"/>
    <n v="12.49"/>
    <x v="55"/>
    <n v="2810.25"/>
    <x v="3"/>
    <x v="3"/>
    <x v="1"/>
    <x v="6"/>
    <n v="24.99"/>
  </r>
  <r>
    <d v="2025-07-30T00:00:00"/>
    <s v="cogs:product 1"/>
    <n v="5.49"/>
    <x v="105"/>
    <n v="450.18"/>
    <x v="1"/>
    <x v="1"/>
    <x v="1"/>
    <x v="6"/>
    <n v="437.15000000000003"/>
  </r>
  <r>
    <d v="2025-07-30T00:00:00"/>
    <s v="cogs:product 2"/>
    <n v="19.989999999999998"/>
    <x v="29"/>
    <n v="99.949999999999989"/>
    <x v="1"/>
    <x v="2"/>
    <x v="1"/>
    <x v="6"/>
    <n v="-126.27000000000001"/>
  </r>
  <r>
    <d v="2025-07-30T00:00:00"/>
    <s v="cogs:product 3"/>
    <n v="8.99"/>
    <x v="136"/>
    <n v="1285.57"/>
    <x v="1"/>
    <x v="3"/>
    <x v="1"/>
    <x v="6"/>
    <n v="0"/>
  </r>
  <r>
    <d v="2025-07-30T00:00:00"/>
    <s v="marketing"/>
    <s v="NA"/>
    <x v="0"/>
    <n v="116.07000000000001"/>
    <x v="2"/>
    <x v="0"/>
    <x v="1"/>
    <x v="6"/>
    <n v="-1735.07"/>
  </r>
  <r>
    <d v="2025-07-30T00:00:00"/>
    <s v="net sales:product 1"/>
    <n v="9.99"/>
    <x v="105"/>
    <n v="819.18000000000006"/>
    <x v="3"/>
    <x v="1"/>
    <x v="1"/>
    <x v="6"/>
    <n v="-101.93"/>
  </r>
  <r>
    <d v="2025-07-30T00:00:00"/>
    <s v="net sales:product 2"/>
    <n v="24.99"/>
    <x v="29"/>
    <n v="124.94999999999999"/>
    <x v="3"/>
    <x v="2"/>
    <x v="1"/>
    <x v="6"/>
    <n v="229.77"/>
  </r>
  <r>
    <d v="2025-07-30T00:00:00"/>
    <s v="net sales:product 3"/>
    <n v="12.49"/>
    <x v="136"/>
    <n v="1786.07"/>
    <x v="3"/>
    <x v="3"/>
    <x v="1"/>
    <x v="6"/>
    <n v="0"/>
  </r>
  <r>
    <d v="2025-07-31T00:00:00"/>
    <s v="cogs:product 1"/>
    <n v="5.49"/>
    <x v="198"/>
    <n v="510.57"/>
    <x v="1"/>
    <x v="1"/>
    <x v="1"/>
    <x v="6"/>
    <n v="2410.5700000000002"/>
  </r>
  <r>
    <d v="2025-07-31T00:00:00"/>
    <s v="cogs:product 2"/>
    <n v="19.989999999999998"/>
    <x v="16"/>
    <n v="159.91999999999999"/>
    <x v="1"/>
    <x v="2"/>
    <x v="1"/>
    <x v="6"/>
    <n v="0"/>
  </r>
  <r>
    <d v="2025-07-31T00:00:00"/>
    <s v="cogs:product 3"/>
    <n v="8.99"/>
    <x v="62"/>
    <n v="629.30000000000007"/>
    <x v="1"/>
    <x v="3"/>
    <x v="1"/>
    <x v="6"/>
    <n v="-483.12"/>
  </r>
  <r>
    <d v="2025-07-31T00:00:00"/>
    <s v="marketing"/>
    <s v="NA"/>
    <x v="0"/>
    <n v="104.9"/>
    <x v="2"/>
    <x v="0"/>
    <x v="1"/>
    <x v="6"/>
    <n v="-99.949999999999989"/>
  </r>
  <r>
    <d v="2025-07-31T00:00:00"/>
    <s v="net sales:product 1"/>
    <n v="9.99"/>
    <x v="198"/>
    <n v="929.07"/>
    <x v="3"/>
    <x v="1"/>
    <x v="1"/>
    <x v="6"/>
    <n v="-2094.67"/>
  </r>
  <r>
    <d v="2025-07-31T00:00:00"/>
    <s v="net sales:product 2"/>
    <n v="24.99"/>
    <x v="16"/>
    <n v="199.92"/>
    <x v="3"/>
    <x v="2"/>
    <x v="1"/>
    <x v="6"/>
    <n v="-110.91"/>
  </r>
  <r>
    <d v="2025-07-31T00:00:00"/>
    <s v="net sales:product 3"/>
    <n v="12.49"/>
    <x v="62"/>
    <n v="874.30000000000007"/>
    <x v="3"/>
    <x v="3"/>
    <x v="1"/>
    <x v="6"/>
    <n v="879.12"/>
  </r>
  <r>
    <d v="2025-08-01T00:00:00"/>
    <s v="amortization"/>
    <s v="NA"/>
    <x v="0"/>
    <n v="50"/>
    <x v="0"/>
    <x v="0"/>
    <x v="1"/>
    <x v="7"/>
    <n v="124.94999999999999"/>
  </r>
  <r>
    <d v="2025-08-01T00:00:00"/>
    <s v="cogs:product 1"/>
    <n v="5.49"/>
    <x v="48"/>
    <n v="340.38"/>
    <x v="1"/>
    <x v="1"/>
    <x v="1"/>
    <x v="7"/>
    <n v="2910.17"/>
  </r>
  <r>
    <d v="2025-08-01T00:00:00"/>
    <s v="cogs:product 2"/>
    <n v="19.989999999999998"/>
    <x v="19"/>
    <n v="79.959999999999994"/>
    <x v="1"/>
    <x v="2"/>
    <x v="1"/>
    <x v="7"/>
    <n v="-2000"/>
  </r>
  <r>
    <d v="2025-08-01T00:00:00"/>
    <s v="cogs:product 3"/>
    <n v="8.99"/>
    <x v="102"/>
    <n v="458.49"/>
    <x v="1"/>
    <x v="3"/>
    <x v="1"/>
    <x v="7"/>
    <n v="-137.25"/>
  </r>
  <r>
    <d v="2025-08-01T00:00:00"/>
    <s v="marketing"/>
    <s v="NA"/>
    <x v="0"/>
    <n v="118.97"/>
    <x v="2"/>
    <x v="0"/>
    <x v="1"/>
    <x v="7"/>
    <n v="-79.959999999999994"/>
  </r>
  <r>
    <d v="2025-08-01T00:00:00"/>
    <s v="net sales:product 1"/>
    <n v="9.99"/>
    <x v="48"/>
    <n v="619.38"/>
    <x v="3"/>
    <x v="1"/>
    <x v="1"/>
    <x v="7"/>
    <n v="-1878.91"/>
  </r>
  <r>
    <d v="2025-08-01T00:00:00"/>
    <s v="net sales:product 2"/>
    <n v="24.99"/>
    <x v="19"/>
    <n v="99.96"/>
    <x v="3"/>
    <x v="2"/>
    <x v="1"/>
    <x v="7"/>
    <n v="-120.03"/>
  </r>
  <r>
    <d v="2025-08-01T00:00:00"/>
    <s v="net sales:product 3"/>
    <n v="12.49"/>
    <x v="102"/>
    <n v="636.99"/>
    <x v="3"/>
    <x v="3"/>
    <x v="1"/>
    <x v="7"/>
    <n v="249.75"/>
  </r>
  <r>
    <d v="2025-08-01T00:00:00"/>
    <s v="overhead"/>
    <s v="NA"/>
    <x v="0"/>
    <n v="2000"/>
    <x v="4"/>
    <x v="0"/>
    <x v="1"/>
    <x v="7"/>
    <n v="99.96"/>
  </r>
  <r>
    <d v="2025-08-01T00:00:00"/>
    <s v="payroll"/>
    <s v="NA"/>
    <x v="0"/>
    <n v="1200"/>
    <x v="5"/>
    <x v="0"/>
    <x v="1"/>
    <x v="7"/>
    <n v="2610.41"/>
  </r>
  <r>
    <d v="2025-08-02T00:00:00"/>
    <s v="cogs:product 1"/>
    <n v="5.49"/>
    <x v="198"/>
    <n v="510.57"/>
    <x v="1"/>
    <x v="1"/>
    <x v="1"/>
    <x v="7"/>
    <n v="-159.21"/>
  </r>
  <r>
    <d v="2025-08-02T00:00:00"/>
    <s v="cogs:product 2"/>
    <n v="19.989999999999998"/>
    <x v="25"/>
    <n v="19.989999999999998"/>
    <x v="1"/>
    <x v="2"/>
    <x v="1"/>
    <x v="7"/>
    <n v="-59.97"/>
  </r>
  <r>
    <d v="2025-08-02T00:00:00"/>
    <s v="cogs:product 3"/>
    <n v="8.99"/>
    <x v="111"/>
    <n v="197.78"/>
    <x v="1"/>
    <x v="3"/>
    <x v="1"/>
    <x v="7"/>
    <n v="-521.41999999999996"/>
  </r>
  <r>
    <d v="2025-08-02T00:00:00"/>
    <s v="marketing"/>
    <s v="NA"/>
    <x v="0"/>
    <n v="109.09"/>
    <x v="2"/>
    <x v="0"/>
    <x v="1"/>
    <x v="7"/>
    <n v="-115.04"/>
  </r>
  <r>
    <d v="2025-08-02T00:00:00"/>
    <s v="net sales:product 1"/>
    <n v="9.99"/>
    <x v="198"/>
    <n v="929.07"/>
    <x v="3"/>
    <x v="1"/>
    <x v="1"/>
    <x v="7"/>
    <n v="289.70999999999998"/>
  </r>
  <r>
    <d v="2025-08-02T00:00:00"/>
    <s v="net sales:product 2"/>
    <n v="24.99"/>
    <x v="25"/>
    <n v="24.99"/>
    <x v="3"/>
    <x v="2"/>
    <x v="1"/>
    <x v="7"/>
    <n v="74.97"/>
  </r>
  <r>
    <d v="2025-08-02T00:00:00"/>
    <s v="net sales:product 3"/>
    <n v="12.49"/>
    <x v="111"/>
    <n v="274.78000000000003"/>
    <x v="3"/>
    <x v="3"/>
    <x v="1"/>
    <x v="7"/>
    <n v="724.42"/>
  </r>
  <r>
    <d v="2025-08-03T00:00:00"/>
    <s v="cogs:product 1"/>
    <n v="5.49"/>
    <x v="12"/>
    <n v="400.77000000000004"/>
    <x v="1"/>
    <x v="1"/>
    <x v="1"/>
    <x v="7"/>
    <n v="-27.450000000000003"/>
  </r>
  <r>
    <d v="2025-08-03T00:00:00"/>
    <s v="cogs:product 2"/>
    <n v="19.989999999999998"/>
    <x v="25"/>
    <n v="19.989999999999998"/>
    <x v="1"/>
    <x v="2"/>
    <x v="1"/>
    <x v="7"/>
    <n v="0"/>
  </r>
  <r>
    <d v="2025-08-03T00:00:00"/>
    <s v="cogs:product 3"/>
    <n v="8.99"/>
    <x v="72"/>
    <n v="215.76"/>
    <x v="1"/>
    <x v="3"/>
    <x v="1"/>
    <x v="7"/>
    <n v="-2094.67"/>
  </r>
  <r>
    <d v="2025-08-03T00:00:00"/>
    <s v="marketing"/>
    <s v="NA"/>
    <x v="0"/>
    <n v="107.94"/>
    <x v="2"/>
    <x v="0"/>
    <x v="1"/>
    <x v="7"/>
    <n v="-115.10000000000001"/>
  </r>
  <r>
    <d v="2025-08-03T00:00:00"/>
    <s v="net sales:product 1"/>
    <n v="9.99"/>
    <x v="12"/>
    <n v="729.27"/>
    <x v="3"/>
    <x v="1"/>
    <x v="1"/>
    <x v="7"/>
    <n v="49.95"/>
  </r>
  <r>
    <d v="2025-08-03T00:00:00"/>
    <s v="net sales:product 2"/>
    <n v="24.99"/>
    <x v="25"/>
    <n v="24.99"/>
    <x v="3"/>
    <x v="2"/>
    <x v="1"/>
    <x v="7"/>
    <n v="0"/>
  </r>
  <r>
    <d v="2025-08-03T00:00:00"/>
    <s v="net sales:product 3"/>
    <n v="12.49"/>
    <x v="72"/>
    <n v="299.76"/>
    <x v="3"/>
    <x v="3"/>
    <x v="1"/>
    <x v="7"/>
    <n v="2910.17"/>
  </r>
  <r>
    <d v="2025-08-04T00:00:00"/>
    <s v="cogs:product 1"/>
    <n v="5.49"/>
    <x v="33"/>
    <n v="444.69"/>
    <x v="1"/>
    <x v="1"/>
    <x v="1"/>
    <x v="7"/>
    <n v="-1200"/>
  </r>
  <r>
    <d v="2025-08-04T00:00:00"/>
    <s v="cogs:product 2"/>
    <n v="19.989999999999998"/>
    <x v="13"/>
    <n v="139.92999999999998"/>
    <x v="1"/>
    <x v="2"/>
    <x v="1"/>
    <x v="7"/>
    <n v="-538.02"/>
  </r>
  <r>
    <d v="2025-08-04T00:00:00"/>
    <s v="cogs:product 3"/>
    <n v="8.99"/>
    <x v="42"/>
    <n v="53.94"/>
    <x v="1"/>
    <x v="3"/>
    <x v="1"/>
    <x v="7"/>
    <n v="-119.94"/>
  </r>
  <r>
    <d v="2025-08-04T00:00:00"/>
    <s v="marketing"/>
    <s v="NA"/>
    <x v="0"/>
    <n v="116.94"/>
    <x v="2"/>
    <x v="0"/>
    <x v="1"/>
    <x v="7"/>
    <n v="-1087.79"/>
  </r>
  <r>
    <d v="2025-08-04T00:00:00"/>
    <s v="net sales:product 1"/>
    <n v="9.99"/>
    <x v="33"/>
    <n v="809.19"/>
    <x v="3"/>
    <x v="1"/>
    <x v="1"/>
    <x v="7"/>
    <n v="-101.05"/>
  </r>
  <r>
    <d v="2025-08-04T00:00:00"/>
    <s v="net sales:product 2"/>
    <n v="24.99"/>
    <x v="13"/>
    <n v="174.92999999999998"/>
    <x v="3"/>
    <x v="2"/>
    <x v="1"/>
    <x v="7"/>
    <n v="979.02"/>
  </r>
  <r>
    <d v="2025-08-04T00:00:00"/>
    <s v="net sales:product 3"/>
    <n v="12.49"/>
    <x v="42"/>
    <n v="74.94"/>
    <x v="3"/>
    <x v="3"/>
    <x v="1"/>
    <x v="7"/>
    <n v="149.94"/>
  </r>
  <r>
    <d v="2025-08-05T00:00:00"/>
    <s v="cogs:product 1"/>
    <n v="5.49"/>
    <x v="198"/>
    <n v="510.57"/>
    <x v="1"/>
    <x v="1"/>
    <x v="1"/>
    <x v="7"/>
    <n v="1511.29"/>
  </r>
  <r>
    <d v="2025-08-05T00:00:00"/>
    <s v="cogs:product 2"/>
    <n v="19.989999999999998"/>
    <x v="7"/>
    <n v="179.91"/>
    <x v="1"/>
    <x v="2"/>
    <x v="1"/>
    <x v="7"/>
    <n v="-148.23000000000002"/>
  </r>
  <r>
    <d v="2025-08-05T00:00:00"/>
    <s v="cogs:product 3"/>
    <n v="8.99"/>
    <x v="23"/>
    <n v="0"/>
    <x v="1"/>
    <x v="3"/>
    <x v="1"/>
    <x v="7"/>
    <n v="-159.91999999999999"/>
  </r>
  <r>
    <d v="2025-08-05T00:00:00"/>
    <s v="marketing"/>
    <s v="NA"/>
    <x v="0"/>
    <n v="108.93"/>
    <x v="2"/>
    <x v="0"/>
    <x v="1"/>
    <x v="7"/>
    <n v="-1950.8300000000002"/>
  </r>
  <r>
    <d v="2025-08-05T00:00:00"/>
    <s v="net sales:product 1"/>
    <n v="9.99"/>
    <x v="198"/>
    <n v="929.07"/>
    <x v="3"/>
    <x v="1"/>
    <x v="1"/>
    <x v="7"/>
    <n v="-116.06"/>
  </r>
  <r>
    <d v="2025-08-05T00:00:00"/>
    <s v="net sales:product 2"/>
    <n v="24.99"/>
    <x v="7"/>
    <n v="224.91"/>
    <x v="3"/>
    <x v="2"/>
    <x v="1"/>
    <x v="7"/>
    <n v="269.73"/>
  </r>
  <r>
    <d v="2025-08-05T00:00:00"/>
    <s v="net sales:product 3"/>
    <n v="12.49"/>
    <x v="23"/>
    <n v="0"/>
    <x v="3"/>
    <x v="3"/>
    <x v="1"/>
    <x v="7"/>
    <n v="199.92"/>
  </r>
  <r>
    <d v="2025-08-06T00:00:00"/>
    <s v="cogs:product 1"/>
    <n v="5.49"/>
    <x v="18"/>
    <n v="466.65000000000003"/>
    <x v="1"/>
    <x v="1"/>
    <x v="1"/>
    <x v="7"/>
    <n v="2710.33"/>
  </r>
  <r>
    <d v="2025-08-06T00:00:00"/>
    <s v="cogs:product 2"/>
    <n v="19.989999999999998"/>
    <x v="23"/>
    <n v="0"/>
    <x v="1"/>
    <x v="2"/>
    <x v="1"/>
    <x v="7"/>
    <n v="-428.22"/>
  </r>
  <r>
    <d v="2025-08-06T00:00:00"/>
    <s v="cogs:product 3"/>
    <n v="8.99"/>
    <x v="174"/>
    <n v="1986.79"/>
    <x v="1"/>
    <x v="3"/>
    <x v="1"/>
    <x v="7"/>
    <n v="-79.959999999999994"/>
  </r>
  <r>
    <d v="2025-08-06T00:00:00"/>
    <s v="marketing"/>
    <s v="NA"/>
    <x v="0"/>
    <n v="113.91"/>
    <x v="2"/>
    <x v="0"/>
    <x v="1"/>
    <x v="7"/>
    <n v="-854.05000000000007"/>
  </r>
  <r>
    <d v="2025-08-06T00:00:00"/>
    <s v="net sales:product 1"/>
    <n v="9.99"/>
    <x v="18"/>
    <n v="849.15"/>
    <x v="3"/>
    <x v="1"/>
    <x v="1"/>
    <x v="7"/>
    <n v="-114.91"/>
  </r>
  <r>
    <d v="2025-08-06T00:00:00"/>
    <s v="net sales:product 2"/>
    <n v="24.99"/>
    <x v="23"/>
    <n v="0"/>
    <x v="3"/>
    <x v="2"/>
    <x v="1"/>
    <x v="7"/>
    <n v="779.22"/>
  </r>
  <r>
    <d v="2025-08-06T00:00:00"/>
    <s v="net sales:product 3"/>
    <n v="12.49"/>
    <x v="174"/>
    <n v="2760.29"/>
    <x v="3"/>
    <x v="3"/>
    <x v="1"/>
    <x v="7"/>
    <n v="99.96"/>
  </r>
  <r>
    <d v="2025-08-07T00:00:00"/>
    <s v="cogs:product 1"/>
    <n v="5.49"/>
    <x v="44"/>
    <n v="175.68"/>
    <x v="1"/>
    <x v="1"/>
    <x v="1"/>
    <x v="7"/>
    <n v="1186.55"/>
  </r>
  <r>
    <d v="2025-08-07T00:00:00"/>
    <s v="cogs:product 2"/>
    <n v="19.989999999999998"/>
    <x v="19"/>
    <n v="79.959999999999994"/>
    <x v="1"/>
    <x v="2"/>
    <x v="1"/>
    <x v="7"/>
    <n v="-340.38"/>
  </r>
  <r>
    <d v="2025-08-07T00:00:00"/>
    <s v="cogs:product 3"/>
    <n v="8.99"/>
    <x v="133"/>
    <n v="1240.6200000000001"/>
    <x v="1"/>
    <x v="3"/>
    <x v="1"/>
    <x v="7"/>
    <n v="-119.94"/>
  </r>
  <r>
    <d v="2025-08-07T00:00:00"/>
    <s v="marketing"/>
    <s v="NA"/>
    <x v="0"/>
    <n v="112.94"/>
    <x v="2"/>
    <x v="0"/>
    <x v="1"/>
    <x v="7"/>
    <n v="-1150.72"/>
  </r>
  <r>
    <d v="2025-08-07T00:00:00"/>
    <s v="net sales:product 1"/>
    <n v="9.99"/>
    <x v="44"/>
    <n v="319.68"/>
    <x v="3"/>
    <x v="1"/>
    <x v="1"/>
    <x v="7"/>
    <n v="-111.99000000000001"/>
  </r>
  <r>
    <d v="2025-08-07T00:00:00"/>
    <s v="net sales:product 2"/>
    <n v="24.99"/>
    <x v="19"/>
    <n v="99.96"/>
    <x v="3"/>
    <x v="2"/>
    <x v="1"/>
    <x v="7"/>
    <n v="619.38"/>
  </r>
  <r>
    <d v="2025-08-07T00:00:00"/>
    <s v="net sales:product 3"/>
    <n v="12.49"/>
    <x v="133"/>
    <n v="1723.6200000000001"/>
    <x v="3"/>
    <x v="3"/>
    <x v="1"/>
    <x v="7"/>
    <n v="149.94"/>
  </r>
  <r>
    <d v="2025-08-08T00:00:00"/>
    <s v="cogs:product 1"/>
    <n v="5.49"/>
    <x v="19"/>
    <n v="21.96"/>
    <x v="1"/>
    <x v="1"/>
    <x v="1"/>
    <x v="7"/>
    <n v="1598.72"/>
  </r>
  <r>
    <d v="2025-08-08T00:00:00"/>
    <s v="cogs:product 2"/>
    <n v="19.989999999999998"/>
    <x v="42"/>
    <n v="119.94"/>
    <x v="1"/>
    <x v="2"/>
    <x v="1"/>
    <x v="7"/>
    <n v="-274.5"/>
  </r>
  <r>
    <d v="2025-08-08T00:00:00"/>
    <s v="cogs:product 3"/>
    <n v="8.99"/>
    <x v="5"/>
    <n v="2031.74"/>
    <x v="1"/>
    <x v="3"/>
    <x v="1"/>
    <x v="7"/>
    <n v="-99.949999999999989"/>
  </r>
  <r>
    <d v="2025-08-08T00:00:00"/>
    <s v="marketing"/>
    <s v="NA"/>
    <x v="0"/>
    <n v="103.02"/>
    <x v="2"/>
    <x v="0"/>
    <x v="1"/>
    <x v="7"/>
    <n v="-1833.96"/>
  </r>
  <r>
    <d v="2025-08-08T00:00:00"/>
    <s v="net sales:product 1"/>
    <n v="9.99"/>
    <x v="19"/>
    <n v="39.96"/>
    <x v="3"/>
    <x v="1"/>
    <x v="1"/>
    <x v="7"/>
    <n v="-107.99000000000001"/>
  </r>
  <r>
    <d v="2025-08-08T00:00:00"/>
    <s v="net sales:product 2"/>
    <n v="24.99"/>
    <x v="42"/>
    <n v="149.94"/>
    <x v="3"/>
    <x v="2"/>
    <x v="1"/>
    <x v="7"/>
    <n v="499.5"/>
  </r>
  <r>
    <d v="2025-08-08T00:00:00"/>
    <s v="net sales:product 3"/>
    <n v="12.49"/>
    <x v="5"/>
    <n v="2822.7400000000002"/>
    <x v="3"/>
    <x v="3"/>
    <x v="1"/>
    <x v="7"/>
    <n v="124.94999999999999"/>
  </r>
  <r>
    <d v="2025-08-09T00:00:00"/>
    <s v="cogs:product 1"/>
    <n v="5.49"/>
    <x v="117"/>
    <n v="472.14000000000004"/>
    <x v="1"/>
    <x v="1"/>
    <x v="1"/>
    <x v="7"/>
    <n v="2547.96"/>
  </r>
  <r>
    <d v="2025-08-09T00:00:00"/>
    <s v="cogs:product 2"/>
    <n v="19.989999999999998"/>
    <x v="25"/>
    <n v="19.989999999999998"/>
    <x v="1"/>
    <x v="2"/>
    <x v="1"/>
    <x v="7"/>
    <n v="-285.48"/>
  </r>
  <r>
    <d v="2025-08-09T00:00:00"/>
    <s v="cogs:product 3"/>
    <n v="8.99"/>
    <x v="37"/>
    <n v="1833.96"/>
    <x v="1"/>
    <x v="3"/>
    <x v="1"/>
    <x v="7"/>
    <n v="-119.94"/>
  </r>
  <r>
    <d v="2025-08-09T00:00:00"/>
    <s v="marketing"/>
    <s v="NA"/>
    <x v="0"/>
    <n v="105.06"/>
    <x v="2"/>
    <x v="0"/>
    <x v="1"/>
    <x v="7"/>
    <n v="0"/>
  </r>
  <r>
    <d v="2025-08-09T00:00:00"/>
    <s v="net sales:product 1"/>
    <n v="9.99"/>
    <x v="117"/>
    <n v="859.14"/>
    <x v="3"/>
    <x v="1"/>
    <x v="1"/>
    <x v="7"/>
    <n v="-100.02"/>
  </r>
  <r>
    <d v="2025-08-09T00:00:00"/>
    <s v="net sales:product 2"/>
    <n v="24.99"/>
    <x v="25"/>
    <n v="24.99"/>
    <x v="3"/>
    <x v="2"/>
    <x v="1"/>
    <x v="7"/>
    <n v="519.48"/>
  </r>
  <r>
    <d v="2025-08-09T00:00:00"/>
    <s v="net sales:product 3"/>
    <n v="12.49"/>
    <x v="37"/>
    <n v="2547.96"/>
    <x v="3"/>
    <x v="3"/>
    <x v="1"/>
    <x v="7"/>
    <n v="149.94"/>
  </r>
  <r>
    <d v="2025-08-10T00:00:00"/>
    <s v="cogs:product 1"/>
    <n v="5.49"/>
    <x v="12"/>
    <n v="400.77000000000004"/>
    <x v="1"/>
    <x v="1"/>
    <x v="1"/>
    <x v="7"/>
    <n v="0"/>
  </r>
  <r>
    <d v="2025-08-10T00:00:00"/>
    <s v="cogs:product 2"/>
    <n v="19.989999999999998"/>
    <x v="13"/>
    <n v="139.92999999999998"/>
    <x v="1"/>
    <x v="2"/>
    <x v="1"/>
    <x v="7"/>
    <n v="-65.88"/>
  </r>
  <r>
    <d v="2025-08-10T00:00:00"/>
    <s v="cogs:product 3"/>
    <n v="8.99"/>
    <x v="26"/>
    <n v="188.79"/>
    <x v="1"/>
    <x v="3"/>
    <x v="1"/>
    <x v="7"/>
    <n v="-119.94"/>
  </r>
  <r>
    <d v="2025-08-10T00:00:00"/>
    <s v="marketing"/>
    <s v="NA"/>
    <x v="0"/>
    <n v="102.91"/>
    <x v="2"/>
    <x v="0"/>
    <x v="1"/>
    <x v="7"/>
    <n v="-134.85"/>
  </r>
  <r>
    <d v="2025-08-10T00:00:00"/>
    <s v="net sales:product 1"/>
    <n v="9.99"/>
    <x v="12"/>
    <n v="729.27"/>
    <x v="3"/>
    <x v="1"/>
    <x v="1"/>
    <x v="7"/>
    <n v="-106.93"/>
  </r>
  <r>
    <d v="2025-08-10T00:00:00"/>
    <s v="net sales:product 2"/>
    <n v="24.99"/>
    <x v="13"/>
    <n v="174.92999999999998"/>
    <x v="3"/>
    <x v="2"/>
    <x v="1"/>
    <x v="7"/>
    <n v="119.88"/>
  </r>
  <r>
    <d v="2025-08-10T00:00:00"/>
    <s v="net sales:product 3"/>
    <n v="12.49"/>
    <x v="26"/>
    <n v="262.29000000000002"/>
    <x v="3"/>
    <x v="3"/>
    <x v="1"/>
    <x v="7"/>
    <n v="149.94"/>
  </r>
  <r>
    <d v="2025-08-11T00:00:00"/>
    <s v="cogs:product 1"/>
    <n v="5.49"/>
    <x v="4"/>
    <n v="356.85"/>
    <x v="1"/>
    <x v="1"/>
    <x v="1"/>
    <x v="7"/>
    <n v="187.35"/>
  </r>
  <r>
    <d v="2025-08-11T00:00:00"/>
    <s v="cogs:product 2"/>
    <n v="19.989999999999998"/>
    <x v="25"/>
    <n v="19.989999999999998"/>
    <x v="1"/>
    <x v="2"/>
    <x v="1"/>
    <x v="7"/>
    <n v="-417.24"/>
  </r>
  <r>
    <d v="2025-08-11T00:00:00"/>
    <s v="cogs:product 3"/>
    <n v="8.99"/>
    <x v="131"/>
    <n v="845.06000000000006"/>
    <x v="1"/>
    <x v="3"/>
    <x v="1"/>
    <x v="7"/>
    <n v="-19.989999999999998"/>
  </r>
  <r>
    <d v="2025-08-11T00:00:00"/>
    <s v="marketing"/>
    <s v="NA"/>
    <x v="0"/>
    <n v="113"/>
    <x v="2"/>
    <x v="0"/>
    <x v="1"/>
    <x v="7"/>
    <n v="-1950.8300000000002"/>
  </r>
  <r>
    <d v="2025-08-11T00:00:00"/>
    <s v="net sales:product 1"/>
    <n v="9.99"/>
    <x v="4"/>
    <n v="649.35"/>
    <x v="3"/>
    <x v="1"/>
    <x v="1"/>
    <x v="7"/>
    <n v="-117.92"/>
  </r>
  <r>
    <d v="2025-08-11T00:00:00"/>
    <s v="net sales:product 2"/>
    <n v="24.99"/>
    <x v="25"/>
    <n v="24.99"/>
    <x v="3"/>
    <x v="2"/>
    <x v="1"/>
    <x v="7"/>
    <n v="759.24"/>
  </r>
  <r>
    <d v="2025-08-11T00:00:00"/>
    <s v="net sales:product 3"/>
    <n v="12.49"/>
    <x v="131"/>
    <n v="1174.06"/>
    <x v="3"/>
    <x v="3"/>
    <x v="1"/>
    <x v="7"/>
    <n v="24.99"/>
  </r>
  <r>
    <d v="2025-08-12T00:00:00"/>
    <s v="cogs:product 1"/>
    <n v="5.49"/>
    <x v="38"/>
    <n v="362.34000000000003"/>
    <x v="1"/>
    <x v="1"/>
    <x v="1"/>
    <x v="7"/>
    <n v="2710.33"/>
  </r>
  <r>
    <d v="2025-08-12T00:00:00"/>
    <s v="cogs:product 2"/>
    <n v="19.989999999999998"/>
    <x v="23"/>
    <n v="0"/>
    <x v="1"/>
    <x v="2"/>
    <x v="1"/>
    <x v="7"/>
    <n v="-373.32"/>
  </r>
  <r>
    <d v="2025-08-12T00:00:00"/>
    <s v="cogs:product 3"/>
    <n v="8.99"/>
    <x v="41"/>
    <n v="827.08"/>
    <x v="1"/>
    <x v="3"/>
    <x v="1"/>
    <x v="7"/>
    <n v="-139.92999999999998"/>
  </r>
  <r>
    <d v="2025-08-12T00:00:00"/>
    <s v="marketing"/>
    <s v="NA"/>
    <x v="0"/>
    <n v="114.91"/>
    <x v="2"/>
    <x v="0"/>
    <x v="1"/>
    <x v="7"/>
    <n v="-125.86"/>
  </r>
  <r>
    <d v="2025-08-12T00:00:00"/>
    <s v="net sales:product 1"/>
    <n v="9.99"/>
    <x v="38"/>
    <n v="659.34"/>
    <x v="3"/>
    <x v="1"/>
    <x v="1"/>
    <x v="7"/>
    <n v="-106.09"/>
  </r>
  <r>
    <d v="2025-08-12T00:00:00"/>
    <s v="net sales:product 2"/>
    <n v="24.99"/>
    <x v="23"/>
    <n v="0"/>
    <x v="3"/>
    <x v="2"/>
    <x v="1"/>
    <x v="7"/>
    <n v="679.32"/>
  </r>
  <r>
    <d v="2025-08-12T00:00:00"/>
    <s v="net sales:product 3"/>
    <n v="12.49"/>
    <x v="41"/>
    <n v="1149.08"/>
    <x v="3"/>
    <x v="3"/>
    <x v="1"/>
    <x v="7"/>
    <n v="174.92999999999998"/>
  </r>
  <r>
    <d v="2025-08-13T00:00:00"/>
    <s v="cogs:product 1"/>
    <n v="5.49"/>
    <x v="120"/>
    <n v="439.20000000000005"/>
    <x v="1"/>
    <x v="1"/>
    <x v="1"/>
    <x v="7"/>
    <n v="174.86"/>
  </r>
  <r>
    <d v="2025-08-13T00:00:00"/>
    <s v="cogs:product 2"/>
    <n v="19.989999999999998"/>
    <x v="2"/>
    <n v="59.97"/>
    <x v="1"/>
    <x v="2"/>
    <x v="1"/>
    <x v="7"/>
    <n v="-472.14000000000004"/>
  </r>
  <r>
    <d v="2025-08-13T00:00:00"/>
    <s v="cogs:product 3"/>
    <n v="8.99"/>
    <x v="19"/>
    <n v="35.96"/>
    <x v="1"/>
    <x v="3"/>
    <x v="1"/>
    <x v="7"/>
    <n v="-99.949999999999989"/>
  </r>
  <r>
    <d v="2025-08-13T00:00:00"/>
    <s v="marketing"/>
    <s v="NA"/>
    <x v="0"/>
    <n v="102.06"/>
    <x v="2"/>
    <x v="0"/>
    <x v="1"/>
    <x v="7"/>
    <n v="-899"/>
  </r>
  <r>
    <d v="2025-08-13T00:00:00"/>
    <s v="net sales:product 1"/>
    <n v="9.99"/>
    <x v="120"/>
    <n v="799.2"/>
    <x v="3"/>
    <x v="1"/>
    <x v="1"/>
    <x v="7"/>
    <n v="-103.10000000000001"/>
  </r>
  <r>
    <d v="2025-08-13T00:00:00"/>
    <s v="net sales:product 2"/>
    <n v="24.99"/>
    <x v="2"/>
    <n v="74.97"/>
    <x v="3"/>
    <x v="2"/>
    <x v="1"/>
    <x v="7"/>
    <n v="859.14"/>
  </r>
  <r>
    <d v="2025-08-13T00:00:00"/>
    <s v="net sales:product 3"/>
    <n v="12.49"/>
    <x v="19"/>
    <n v="49.96"/>
    <x v="3"/>
    <x v="3"/>
    <x v="1"/>
    <x v="7"/>
    <n v="124.94999999999999"/>
  </r>
  <r>
    <d v="2025-08-14T00:00:00"/>
    <s v="cogs:product 1"/>
    <n v="5.49"/>
    <x v="127"/>
    <n v="76.86"/>
    <x v="1"/>
    <x v="1"/>
    <x v="1"/>
    <x v="7"/>
    <n v="1249"/>
  </r>
  <r>
    <d v="2025-08-14T00:00:00"/>
    <s v="cogs:product 2"/>
    <n v="19.989999999999998"/>
    <x v="42"/>
    <n v="119.94"/>
    <x v="1"/>
    <x v="2"/>
    <x v="1"/>
    <x v="7"/>
    <n v="-98.820000000000007"/>
  </r>
  <r>
    <d v="2025-08-14T00:00:00"/>
    <s v="cogs:product 3"/>
    <n v="8.99"/>
    <x v="55"/>
    <n v="2022.75"/>
    <x v="1"/>
    <x v="3"/>
    <x v="1"/>
    <x v="7"/>
    <n v="-79.959999999999994"/>
  </r>
  <r>
    <d v="2025-08-14T00:00:00"/>
    <s v="marketing"/>
    <s v="NA"/>
    <x v="0"/>
    <n v="103.07000000000001"/>
    <x v="2"/>
    <x v="0"/>
    <x v="1"/>
    <x v="7"/>
    <n v="-206.77"/>
  </r>
  <r>
    <d v="2025-08-14T00:00:00"/>
    <s v="net sales:product 1"/>
    <n v="9.99"/>
    <x v="127"/>
    <n v="139.86000000000001"/>
    <x v="3"/>
    <x v="1"/>
    <x v="1"/>
    <x v="7"/>
    <n v="-1233"/>
  </r>
  <r>
    <d v="2025-08-14T00:00:00"/>
    <s v="net sales:product 2"/>
    <n v="24.99"/>
    <x v="42"/>
    <n v="149.94"/>
    <x v="3"/>
    <x v="2"/>
    <x v="1"/>
    <x v="7"/>
    <n v="-108.02"/>
  </r>
  <r>
    <d v="2025-08-14T00:00:00"/>
    <s v="net sales:product 3"/>
    <n v="12.49"/>
    <x v="55"/>
    <n v="2810.25"/>
    <x v="3"/>
    <x v="3"/>
    <x v="1"/>
    <x v="7"/>
    <n v="179.82"/>
  </r>
  <r>
    <d v="2025-08-15T00:00:00"/>
    <s v="cogs:product 1"/>
    <n v="5.49"/>
    <x v="33"/>
    <n v="444.69"/>
    <x v="1"/>
    <x v="1"/>
    <x v="1"/>
    <x v="7"/>
    <n v="99.96"/>
  </r>
  <r>
    <d v="2025-08-15T00:00:00"/>
    <s v="cogs:product 2"/>
    <n v="19.989999999999998"/>
    <x v="25"/>
    <n v="19.989999999999998"/>
    <x v="1"/>
    <x v="2"/>
    <x v="1"/>
    <x v="7"/>
    <n v="287.27"/>
  </r>
  <r>
    <d v="2025-08-15T00:00:00"/>
    <s v="cogs:product 3"/>
    <n v="8.99"/>
    <x v="168"/>
    <n v="1114.76"/>
    <x v="1"/>
    <x v="3"/>
    <x v="1"/>
    <x v="7"/>
    <n v="-308.25"/>
  </r>
  <r>
    <d v="2025-08-15T00:00:00"/>
    <s v="interest"/>
    <s v="NA"/>
    <x v="0"/>
    <n v="1256.4000000000001"/>
    <x v="6"/>
    <x v="0"/>
    <x v="1"/>
    <x v="7"/>
    <n v="-269.01"/>
  </r>
  <r>
    <d v="2025-08-15T00:00:00"/>
    <s v="marketing"/>
    <s v="NA"/>
    <x v="0"/>
    <n v="117.92"/>
    <x v="2"/>
    <x v="0"/>
    <x v="1"/>
    <x v="7"/>
    <n v="0"/>
  </r>
  <r>
    <d v="2025-08-15T00:00:00"/>
    <s v="net sales:product 1"/>
    <n v="9.99"/>
    <x v="33"/>
    <n v="809.19"/>
    <x v="3"/>
    <x v="1"/>
    <x v="1"/>
    <x v="7"/>
    <n v="-1186.68"/>
  </r>
  <r>
    <d v="2025-08-15T00:00:00"/>
    <s v="net sales:product 2"/>
    <n v="24.99"/>
    <x v="25"/>
    <n v="24.99"/>
    <x v="3"/>
    <x v="2"/>
    <x v="1"/>
    <x v="7"/>
    <n v="-116.94"/>
  </r>
  <r>
    <d v="2025-08-15T00:00:00"/>
    <s v="net sales:product 3"/>
    <n v="12.49"/>
    <x v="168"/>
    <n v="1548.76"/>
    <x v="3"/>
    <x v="3"/>
    <x v="1"/>
    <x v="7"/>
    <n v="489.51"/>
  </r>
  <r>
    <d v="2025-08-15T00:00:00"/>
    <s v="overhead"/>
    <s v="NA"/>
    <x v="0"/>
    <n v="321.61"/>
    <x v="4"/>
    <x v="0"/>
    <x v="1"/>
    <x v="7"/>
    <n v="0"/>
  </r>
  <r>
    <d v="2025-08-15T00:00:00"/>
    <s v="payroll"/>
    <s v="NA"/>
    <x v="0"/>
    <n v="1200"/>
    <x v="5"/>
    <x v="0"/>
    <x v="1"/>
    <x v="7"/>
    <n v="1648.68"/>
  </r>
  <r>
    <d v="2025-08-16T00:00:00"/>
    <s v="cogs:product 1"/>
    <n v="5.49"/>
    <x v="30"/>
    <n v="93.33"/>
    <x v="1"/>
    <x v="1"/>
    <x v="1"/>
    <x v="7"/>
    <n v="-148.23000000000002"/>
  </r>
  <r>
    <d v="2025-08-16T00:00:00"/>
    <s v="cogs:product 2"/>
    <n v="19.989999999999998"/>
    <x v="13"/>
    <n v="139.92999999999998"/>
    <x v="1"/>
    <x v="2"/>
    <x v="1"/>
    <x v="7"/>
    <n v="-39.979999999999997"/>
  </r>
  <r>
    <d v="2025-08-16T00:00:00"/>
    <s v="cogs:product 3"/>
    <n v="8.99"/>
    <x v="16"/>
    <n v="71.92"/>
    <x v="1"/>
    <x v="3"/>
    <x v="1"/>
    <x v="7"/>
    <n v="-1483.3500000000001"/>
  </r>
  <r>
    <d v="2025-08-16T00:00:00"/>
    <s v="marketing"/>
    <s v="NA"/>
    <x v="0"/>
    <n v="117.94"/>
    <x v="2"/>
    <x v="0"/>
    <x v="1"/>
    <x v="7"/>
    <n v="-118.06"/>
  </r>
  <r>
    <d v="2025-08-16T00:00:00"/>
    <s v="net sales:product 1"/>
    <n v="9.99"/>
    <x v="30"/>
    <n v="169.83"/>
    <x v="3"/>
    <x v="1"/>
    <x v="1"/>
    <x v="7"/>
    <n v="269.73"/>
  </r>
  <r>
    <d v="2025-08-16T00:00:00"/>
    <s v="net sales:product 2"/>
    <n v="24.99"/>
    <x v="13"/>
    <n v="174.92999999999998"/>
    <x v="3"/>
    <x v="2"/>
    <x v="1"/>
    <x v="7"/>
    <n v="49.98"/>
  </r>
  <r>
    <d v="2025-08-16T00:00:00"/>
    <s v="net sales:product 3"/>
    <n v="12.49"/>
    <x v="16"/>
    <n v="99.92"/>
    <x v="3"/>
    <x v="3"/>
    <x v="1"/>
    <x v="7"/>
    <n v="2060.85"/>
  </r>
  <r>
    <d v="2025-08-17T00:00:00"/>
    <s v="cogs:product 1"/>
    <n v="5.49"/>
    <x v="111"/>
    <n v="120.78"/>
    <x v="1"/>
    <x v="1"/>
    <x v="1"/>
    <x v="7"/>
    <n v="-543.51"/>
  </r>
  <r>
    <d v="2025-08-17T00:00:00"/>
    <s v="cogs:product 2"/>
    <n v="19.989999999999998"/>
    <x v="10"/>
    <n v="39.979999999999997"/>
    <x v="1"/>
    <x v="2"/>
    <x v="1"/>
    <x v="7"/>
    <n v="0"/>
  </r>
  <r>
    <d v="2025-08-17T00:00:00"/>
    <s v="cogs:product 3"/>
    <n v="8.99"/>
    <x v="141"/>
    <n v="1762.04"/>
    <x v="1"/>
    <x v="3"/>
    <x v="1"/>
    <x v="7"/>
    <n v="-1869.92"/>
  </r>
  <r>
    <d v="2025-08-17T00:00:00"/>
    <s v="marketing"/>
    <s v="NA"/>
    <x v="0"/>
    <n v="105.06"/>
    <x v="2"/>
    <x v="0"/>
    <x v="1"/>
    <x v="7"/>
    <n v="-109.09"/>
  </r>
  <r>
    <d v="2025-08-17T00:00:00"/>
    <s v="net sales:product 1"/>
    <n v="9.99"/>
    <x v="111"/>
    <n v="219.78"/>
    <x v="3"/>
    <x v="1"/>
    <x v="1"/>
    <x v="7"/>
    <n v="989.01"/>
  </r>
  <r>
    <d v="2025-08-17T00:00:00"/>
    <s v="net sales:product 2"/>
    <n v="24.99"/>
    <x v="10"/>
    <n v="49.98"/>
    <x v="3"/>
    <x v="2"/>
    <x v="1"/>
    <x v="7"/>
    <n v="0"/>
  </r>
  <r>
    <d v="2025-08-17T00:00:00"/>
    <s v="net sales:product 3"/>
    <n v="12.49"/>
    <x v="141"/>
    <n v="2448.04"/>
    <x v="3"/>
    <x v="3"/>
    <x v="1"/>
    <x v="7"/>
    <n v="2597.92"/>
  </r>
  <r>
    <d v="2025-08-18T00:00:00"/>
    <s v="cogs:product 1"/>
    <n v="5.49"/>
    <x v="62"/>
    <n v="384.3"/>
    <x v="1"/>
    <x v="1"/>
    <x v="1"/>
    <x v="7"/>
    <n v="-1200"/>
  </r>
  <r>
    <d v="2025-08-18T00:00:00"/>
    <s v="cogs:product 2"/>
    <n v="19.989999999999998"/>
    <x v="13"/>
    <n v="139.92999999999998"/>
    <x v="1"/>
    <x v="2"/>
    <x v="1"/>
    <x v="7"/>
    <n v="-285.48"/>
  </r>
  <r>
    <d v="2025-08-18T00:00:00"/>
    <s v="cogs:product 3"/>
    <n v="8.99"/>
    <x v="14"/>
    <n v="854.05000000000007"/>
    <x v="1"/>
    <x v="3"/>
    <x v="1"/>
    <x v="7"/>
    <n v="-99.949999999999989"/>
  </r>
  <r>
    <d v="2025-08-18T00:00:00"/>
    <s v="marketing"/>
    <s v="NA"/>
    <x v="0"/>
    <n v="108.05"/>
    <x v="2"/>
    <x v="0"/>
    <x v="1"/>
    <x v="7"/>
    <n v="-1357.49"/>
  </r>
  <r>
    <d v="2025-08-18T00:00:00"/>
    <s v="net sales:product 1"/>
    <n v="9.99"/>
    <x v="62"/>
    <n v="699.30000000000007"/>
    <x v="3"/>
    <x v="1"/>
    <x v="1"/>
    <x v="7"/>
    <n v="-118.06"/>
  </r>
  <r>
    <d v="2025-08-18T00:00:00"/>
    <s v="net sales:product 2"/>
    <n v="24.99"/>
    <x v="13"/>
    <n v="174.92999999999998"/>
    <x v="3"/>
    <x v="2"/>
    <x v="1"/>
    <x v="7"/>
    <n v="519.48"/>
  </r>
  <r>
    <d v="2025-08-18T00:00:00"/>
    <s v="net sales:product 3"/>
    <n v="12.49"/>
    <x v="14"/>
    <n v="1186.55"/>
    <x v="3"/>
    <x v="3"/>
    <x v="1"/>
    <x v="7"/>
    <n v="124.94999999999999"/>
  </r>
  <r>
    <d v="2025-08-19T00:00:00"/>
    <s v="cogs:product 1"/>
    <n v="5.49"/>
    <x v="60"/>
    <n v="126.27000000000001"/>
    <x v="1"/>
    <x v="1"/>
    <x v="1"/>
    <x v="7"/>
    <n v="1885.99"/>
  </r>
  <r>
    <d v="2025-08-19T00:00:00"/>
    <s v="cogs:product 2"/>
    <n v="19.989999999999998"/>
    <x v="10"/>
    <n v="39.979999999999997"/>
    <x v="1"/>
    <x v="2"/>
    <x v="1"/>
    <x v="7"/>
    <n v="-54.900000000000006"/>
  </r>
  <r>
    <d v="2025-08-19T00:00:00"/>
    <s v="cogs:product 3"/>
    <n v="8.99"/>
    <x v="55"/>
    <n v="2022.75"/>
    <x v="1"/>
    <x v="3"/>
    <x v="1"/>
    <x v="7"/>
    <n v="-139.92999999999998"/>
  </r>
  <r>
    <d v="2025-08-19T00:00:00"/>
    <s v="marketing"/>
    <s v="NA"/>
    <x v="0"/>
    <n v="114.03"/>
    <x v="2"/>
    <x v="0"/>
    <x v="1"/>
    <x v="7"/>
    <n v="-1357.49"/>
  </r>
  <r>
    <d v="2025-08-19T00:00:00"/>
    <s v="net sales:product 1"/>
    <n v="9.99"/>
    <x v="60"/>
    <n v="229.77"/>
    <x v="3"/>
    <x v="1"/>
    <x v="1"/>
    <x v="7"/>
    <n v="-111.93"/>
  </r>
  <r>
    <d v="2025-08-19T00:00:00"/>
    <s v="net sales:product 2"/>
    <n v="24.99"/>
    <x v="10"/>
    <n v="49.98"/>
    <x v="3"/>
    <x v="2"/>
    <x v="1"/>
    <x v="7"/>
    <n v="99.9"/>
  </r>
  <r>
    <d v="2025-08-19T00:00:00"/>
    <s v="net sales:product 3"/>
    <n v="12.49"/>
    <x v="55"/>
    <n v="2810.25"/>
    <x v="3"/>
    <x v="3"/>
    <x v="1"/>
    <x v="7"/>
    <n v="174.92999999999998"/>
  </r>
  <r>
    <d v="2025-08-20T00:00:00"/>
    <s v="cogs:product 1"/>
    <n v="5.49"/>
    <x v="29"/>
    <n v="27.450000000000003"/>
    <x v="1"/>
    <x v="1"/>
    <x v="1"/>
    <x v="7"/>
    <n v="1885.99"/>
  </r>
  <r>
    <d v="2025-08-20T00:00:00"/>
    <s v="cogs:product 2"/>
    <n v="19.989999999999998"/>
    <x v="2"/>
    <n v="59.97"/>
    <x v="1"/>
    <x v="2"/>
    <x v="1"/>
    <x v="7"/>
    <n v="-472.14000000000004"/>
  </r>
  <r>
    <d v="2025-08-20T00:00:00"/>
    <s v="cogs:product 3"/>
    <n v="8.99"/>
    <x v="131"/>
    <n v="845.06000000000006"/>
    <x v="1"/>
    <x v="3"/>
    <x v="1"/>
    <x v="7"/>
    <n v="-79.959999999999994"/>
  </r>
  <r>
    <d v="2025-08-20T00:00:00"/>
    <s v="marketing"/>
    <s v="NA"/>
    <x v="0"/>
    <n v="107.01"/>
    <x v="2"/>
    <x v="0"/>
    <x v="1"/>
    <x v="7"/>
    <n v="-1447.39"/>
  </r>
  <r>
    <d v="2025-08-20T00:00:00"/>
    <s v="net sales:product 1"/>
    <n v="9.99"/>
    <x v="29"/>
    <n v="49.95"/>
    <x v="3"/>
    <x v="1"/>
    <x v="1"/>
    <x v="7"/>
    <n v="-111.97"/>
  </r>
  <r>
    <d v="2025-08-20T00:00:00"/>
    <s v="net sales:product 2"/>
    <n v="24.99"/>
    <x v="2"/>
    <n v="74.97"/>
    <x v="3"/>
    <x v="2"/>
    <x v="1"/>
    <x v="7"/>
    <n v="859.14"/>
  </r>
  <r>
    <d v="2025-08-20T00:00:00"/>
    <s v="net sales:product 3"/>
    <n v="12.49"/>
    <x v="131"/>
    <n v="1174.06"/>
    <x v="3"/>
    <x v="3"/>
    <x v="1"/>
    <x v="7"/>
    <n v="99.96"/>
  </r>
  <r>
    <d v="2025-08-21T00:00:00"/>
    <s v="cogs:product 1"/>
    <n v="5.49"/>
    <x v="114"/>
    <n v="263.52"/>
    <x v="1"/>
    <x v="1"/>
    <x v="1"/>
    <x v="7"/>
    <n v="2010.89"/>
  </r>
  <r>
    <d v="2025-08-21T00:00:00"/>
    <s v="cogs:product 2"/>
    <n v="19.989999999999998"/>
    <x v="10"/>
    <n v="39.979999999999997"/>
    <x v="1"/>
    <x v="2"/>
    <x v="1"/>
    <x v="7"/>
    <n v="-38.43"/>
  </r>
  <r>
    <d v="2025-08-21T00:00:00"/>
    <s v="cogs:product 3"/>
    <n v="8.99"/>
    <x v="84"/>
    <n v="2166.59"/>
    <x v="1"/>
    <x v="3"/>
    <x v="1"/>
    <x v="7"/>
    <n v="-179.91"/>
  </r>
  <r>
    <d v="2025-08-21T00:00:00"/>
    <s v="marketing"/>
    <s v="NA"/>
    <x v="0"/>
    <n v="116.99000000000001"/>
    <x v="2"/>
    <x v="0"/>
    <x v="1"/>
    <x v="7"/>
    <n v="-1771.03"/>
  </r>
  <r>
    <d v="2025-08-21T00:00:00"/>
    <s v="net sales:product 1"/>
    <n v="9.99"/>
    <x v="114"/>
    <n v="479.52"/>
    <x v="3"/>
    <x v="1"/>
    <x v="1"/>
    <x v="7"/>
    <n v="-119"/>
  </r>
  <r>
    <d v="2025-08-21T00:00:00"/>
    <s v="net sales:product 2"/>
    <n v="24.99"/>
    <x v="10"/>
    <n v="49.98"/>
    <x v="3"/>
    <x v="2"/>
    <x v="1"/>
    <x v="7"/>
    <n v="69.930000000000007"/>
  </r>
  <r>
    <d v="2025-08-21T00:00:00"/>
    <s v="net sales:product 3"/>
    <n v="12.49"/>
    <x v="84"/>
    <n v="3010.09"/>
    <x v="3"/>
    <x v="3"/>
    <x v="1"/>
    <x v="7"/>
    <n v="224.91"/>
  </r>
  <r>
    <d v="2025-08-22T00:00:00"/>
    <s v="cogs:product 1"/>
    <n v="5.49"/>
    <x v="119"/>
    <n v="269.01"/>
    <x v="1"/>
    <x v="1"/>
    <x v="1"/>
    <x v="7"/>
    <n v="2460.5300000000002"/>
  </r>
  <r>
    <d v="2025-08-22T00:00:00"/>
    <s v="cogs:product 2"/>
    <n v="19.989999999999998"/>
    <x v="23"/>
    <n v="0"/>
    <x v="1"/>
    <x v="2"/>
    <x v="1"/>
    <x v="7"/>
    <n v="-329.40000000000003"/>
  </r>
  <r>
    <d v="2025-08-22T00:00:00"/>
    <s v="cogs:product 3"/>
    <n v="8.99"/>
    <x v="42"/>
    <n v="53.94"/>
    <x v="1"/>
    <x v="3"/>
    <x v="1"/>
    <x v="7"/>
    <n v="-99.949999999999989"/>
  </r>
  <r>
    <d v="2025-08-22T00:00:00"/>
    <s v="marketing"/>
    <s v="NA"/>
    <x v="0"/>
    <n v="117.02"/>
    <x v="2"/>
    <x v="0"/>
    <x v="1"/>
    <x v="7"/>
    <n v="-422.53000000000003"/>
  </r>
  <r>
    <d v="2025-08-22T00:00:00"/>
    <s v="net sales:product 1"/>
    <n v="9.99"/>
    <x v="119"/>
    <n v="489.51"/>
    <x v="3"/>
    <x v="1"/>
    <x v="1"/>
    <x v="7"/>
    <n v="-112.06"/>
  </r>
  <r>
    <d v="2025-08-22T00:00:00"/>
    <s v="net sales:product 2"/>
    <n v="24.99"/>
    <x v="23"/>
    <n v="0"/>
    <x v="3"/>
    <x v="2"/>
    <x v="1"/>
    <x v="7"/>
    <n v="599.4"/>
  </r>
  <r>
    <d v="2025-08-22T00:00:00"/>
    <s v="net sales:product 3"/>
    <n v="12.49"/>
    <x v="42"/>
    <n v="74.94"/>
    <x v="3"/>
    <x v="3"/>
    <x v="1"/>
    <x v="7"/>
    <n v="124.94999999999999"/>
  </r>
  <r>
    <d v="2025-08-23T00:00:00"/>
    <s v="cogs:product 1"/>
    <n v="5.49"/>
    <x v="82"/>
    <n v="488.61"/>
    <x v="1"/>
    <x v="1"/>
    <x v="1"/>
    <x v="7"/>
    <n v="587.03"/>
  </r>
  <r>
    <d v="2025-08-23T00:00:00"/>
    <s v="cogs:product 2"/>
    <n v="19.989999999999998"/>
    <x v="2"/>
    <n v="59.97"/>
    <x v="1"/>
    <x v="2"/>
    <x v="1"/>
    <x v="7"/>
    <n v="-21.96"/>
  </r>
  <r>
    <d v="2025-08-23T00:00:00"/>
    <s v="cogs:product 3"/>
    <n v="8.99"/>
    <x v="4"/>
    <n v="584.35"/>
    <x v="1"/>
    <x v="3"/>
    <x v="1"/>
    <x v="7"/>
    <n v="-79.959999999999994"/>
  </r>
  <r>
    <d v="2025-08-23T00:00:00"/>
    <s v="marketing"/>
    <s v="NA"/>
    <x v="0"/>
    <n v="113.98"/>
    <x v="2"/>
    <x v="0"/>
    <x v="1"/>
    <x v="7"/>
    <n v="-1348.5"/>
  </r>
  <r>
    <d v="2025-08-23T00:00:00"/>
    <s v="net sales:product 1"/>
    <n v="9.99"/>
    <x v="82"/>
    <n v="889.11"/>
    <x v="3"/>
    <x v="1"/>
    <x v="1"/>
    <x v="7"/>
    <n v="-104.95"/>
  </r>
  <r>
    <d v="2025-08-23T00:00:00"/>
    <s v="net sales:product 2"/>
    <n v="24.99"/>
    <x v="2"/>
    <n v="74.97"/>
    <x v="3"/>
    <x v="2"/>
    <x v="1"/>
    <x v="7"/>
    <n v="39.96"/>
  </r>
  <r>
    <d v="2025-08-23T00:00:00"/>
    <s v="net sales:product 3"/>
    <n v="12.49"/>
    <x v="4"/>
    <n v="811.85"/>
    <x v="3"/>
    <x v="3"/>
    <x v="1"/>
    <x v="7"/>
    <n v="99.96"/>
  </r>
  <r>
    <d v="2025-08-24T00:00:00"/>
    <s v="cogs:product 1"/>
    <n v="5.49"/>
    <x v="3"/>
    <n v="428.22"/>
    <x v="1"/>
    <x v="1"/>
    <x v="1"/>
    <x v="7"/>
    <n v="1873.5"/>
  </r>
  <r>
    <d v="2025-08-24T00:00:00"/>
    <s v="cogs:product 2"/>
    <n v="19.989999999999998"/>
    <x v="7"/>
    <n v="179.91"/>
    <x v="1"/>
    <x v="2"/>
    <x v="1"/>
    <x v="7"/>
    <n v="-263.52"/>
  </r>
  <r>
    <d v="2025-08-24T00:00:00"/>
    <s v="cogs:product 3"/>
    <n v="8.99"/>
    <x v="211"/>
    <n v="1860.93"/>
    <x v="1"/>
    <x v="3"/>
    <x v="1"/>
    <x v="7"/>
    <n v="-139.92999999999998"/>
  </r>
  <r>
    <d v="2025-08-24T00:00:00"/>
    <s v="marketing"/>
    <s v="NA"/>
    <x v="0"/>
    <n v="118.98"/>
    <x v="2"/>
    <x v="0"/>
    <x v="1"/>
    <x v="7"/>
    <n v="-1429.41"/>
  </r>
  <r>
    <d v="2025-08-24T00:00:00"/>
    <s v="net sales:product 1"/>
    <n v="9.99"/>
    <x v="3"/>
    <n v="779.22"/>
    <x v="3"/>
    <x v="1"/>
    <x v="1"/>
    <x v="7"/>
    <n v="-117.95"/>
  </r>
  <r>
    <d v="2025-08-24T00:00:00"/>
    <s v="net sales:product 2"/>
    <n v="24.99"/>
    <x v="7"/>
    <n v="224.91"/>
    <x v="3"/>
    <x v="2"/>
    <x v="1"/>
    <x v="7"/>
    <n v="479.52"/>
  </r>
  <r>
    <d v="2025-08-24T00:00:00"/>
    <s v="net sales:product 3"/>
    <n v="12.49"/>
    <x v="211"/>
    <n v="2585.4299999999998"/>
    <x v="3"/>
    <x v="3"/>
    <x v="1"/>
    <x v="7"/>
    <n v="174.92999999999998"/>
  </r>
  <r>
    <d v="2025-08-25T00:00:00"/>
    <s v="cogs:product 1"/>
    <n v="5.49"/>
    <x v="41"/>
    <n v="505.08000000000004"/>
    <x v="1"/>
    <x v="1"/>
    <x v="1"/>
    <x v="7"/>
    <n v="1985.91"/>
  </r>
  <r>
    <d v="2025-08-25T00:00:00"/>
    <s v="cogs:product 2"/>
    <n v="19.989999999999998"/>
    <x v="16"/>
    <n v="159.91999999999999"/>
    <x v="1"/>
    <x v="2"/>
    <x v="1"/>
    <x v="7"/>
    <n v="-87.84"/>
  </r>
  <r>
    <d v="2025-08-25T00:00:00"/>
    <s v="cogs:product 3"/>
    <n v="8.99"/>
    <x v="10"/>
    <n v="17.98"/>
    <x v="1"/>
    <x v="3"/>
    <x v="1"/>
    <x v="7"/>
    <n v="-99.949999999999989"/>
  </r>
  <r>
    <d v="2025-08-25T00:00:00"/>
    <s v="marketing"/>
    <s v="NA"/>
    <x v="0"/>
    <n v="110.93"/>
    <x v="2"/>
    <x v="0"/>
    <x v="1"/>
    <x v="7"/>
    <n v="-916.98"/>
  </r>
  <r>
    <d v="2025-08-25T00:00:00"/>
    <s v="net sales:product 1"/>
    <n v="9.99"/>
    <x v="41"/>
    <n v="919.08"/>
    <x v="3"/>
    <x v="1"/>
    <x v="1"/>
    <x v="7"/>
    <n v="-120.08"/>
  </r>
  <r>
    <d v="2025-08-25T00:00:00"/>
    <s v="net sales:product 2"/>
    <n v="24.99"/>
    <x v="16"/>
    <n v="199.92"/>
    <x v="3"/>
    <x v="2"/>
    <x v="1"/>
    <x v="7"/>
    <n v="159.84"/>
  </r>
  <r>
    <d v="2025-08-25T00:00:00"/>
    <s v="net sales:product 3"/>
    <n v="12.49"/>
    <x v="10"/>
    <n v="24.98"/>
    <x v="3"/>
    <x v="3"/>
    <x v="1"/>
    <x v="7"/>
    <n v="124.94999999999999"/>
  </r>
  <r>
    <d v="2025-08-26T00:00:00"/>
    <s v="cogs:product 1"/>
    <n v="5.49"/>
    <x v="105"/>
    <n v="450.18"/>
    <x v="1"/>
    <x v="1"/>
    <x v="1"/>
    <x v="7"/>
    <n v="1273.98"/>
  </r>
  <r>
    <d v="2025-08-26T00:00:00"/>
    <s v="cogs:product 2"/>
    <n v="19.989999999999998"/>
    <x v="10"/>
    <n v="39.979999999999997"/>
    <x v="1"/>
    <x v="2"/>
    <x v="1"/>
    <x v="7"/>
    <n v="-472.14000000000004"/>
  </r>
  <r>
    <d v="2025-08-26T00:00:00"/>
    <s v="cogs:product 3"/>
    <n v="8.99"/>
    <x v="99"/>
    <n v="1195.67"/>
    <x v="1"/>
    <x v="3"/>
    <x v="1"/>
    <x v="7"/>
    <n v="-79.959999999999994"/>
  </r>
  <r>
    <d v="2025-08-26T00:00:00"/>
    <s v="marketing"/>
    <s v="NA"/>
    <x v="0"/>
    <n v="113.94"/>
    <x v="2"/>
    <x v="0"/>
    <x v="1"/>
    <x v="7"/>
    <n v="-1726.08"/>
  </r>
  <r>
    <d v="2025-08-26T00:00:00"/>
    <s v="net sales:product 1"/>
    <n v="9.99"/>
    <x v="105"/>
    <n v="819.18000000000006"/>
    <x v="3"/>
    <x v="1"/>
    <x v="1"/>
    <x v="7"/>
    <n v="-118.09"/>
  </r>
  <r>
    <d v="2025-08-26T00:00:00"/>
    <s v="net sales:product 2"/>
    <n v="24.99"/>
    <x v="10"/>
    <n v="49.98"/>
    <x v="3"/>
    <x v="2"/>
    <x v="1"/>
    <x v="7"/>
    <n v="859.14"/>
  </r>
  <r>
    <d v="2025-08-26T00:00:00"/>
    <s v="net sales:product 3"/>
    <n v="12.49"/>
    <x v="99"/>
    <n v="1661.17"/>
    <x v="3"/>
    <x v="3"/>
    <x v="1"/>
    <x v="7"/>
    <n v="99.96"/>
  </r>
  <r>
    <d v="2025-08-27T00:00:00"/>
    <s v="cogs:product 1"/>
    <n v="5.49"/>
    <x v="1"/>
    <n v="389.79"/>
    <x v="1"/>
    <x v="1"/>
    <x v="1"/>
    <x v="7"/>
    <n v="2398.08"/>
  </r>
  <r>
    <d v="2025-08-27T00:00:00"/>
    <s v="cogs:product 2"/>
    <n v="19.989999999999998"/>
    <x v="23"/>
    <n v="0"/>
    <x v="1"/>
    <x v="2"/>
    <x v="1"/>
    <x v="7"/>
    <n v="-203.13"/>
  </r>
  <r>
    <d v="2025-08-27T00:00:00"/>
    <s v="cogs:product 3"/>
    <n v="8.99"/>
    <x v="164"/>
    <n v="970.92000000000007"/>
    <x v="1"/>
    <x v="3"/>
    <x v="1"/>
    <x v="7"/>
    <n v="-79.959999999999994"/>
  </r>
  <r>
    <d v="2025-08-27T00:00:00"/>
    <s v="marketing"/>
    <s v="NA"/>
    <x v="0"/>
    <n v="119.94"/>
    <x v="2"/>
    <x v="0"/>
    <x v="1"/>
    <x v="7"/>
    <n v="-1582.24"/>
  </r>
  <r>
    <d v="2025-08-27T00:00:00"/>
    <s v="net sales:product 1"/>
    <n v="9.99"/>
    <x v="1"/>
    <n v="709.29"/>
    <x v="3"/>
    <x v="1"/>
    <x v="1"/>
    <x v="7"/>
    <n v="-106.02"/>
  </r>
  <r>
    <d v="2025-08-27T00:00:00"/>
    <s v="net sales:product 2"/>
    <n v="24.99"/>
    <x v="23"/>
    <n v="0"/>
    <x v="3"/>
    <x v="2"/>
    <x v="1"/>
    <x v="7"/>
    <n v="369.63"/>
  </r>
  <r>
    <d v="2025-08-27T00:00:00"/>
    <s v="net sales:product 3"/>
    <n v="12.49"/>
    <x v="164"/>
    <n v="1348.92"/>
    <x v="3"/>
    <x v="3"/>
    <x v="1"/>
    <x v="7"/>
    <n v="99.96"/>
  </r>
  <r>
    <d v="2025-08-28T00:00:00"/>
    <s v="cogs:product 1"/>
    <n v="5.49"/>
    <x v="127"/>
    <n v="76.86"/>
    <x v="1"/>
    <x v="1"/>
    <x v="1"/>
    <x v="7"/>
    <n v="2198.2400000000002"/>
  </r>
  <r>
    <d v="2025-08-28T00:00:00"/>
    <s v="cogs:product 2"/>
    <n v="19.989999999999998"/>
    <x v="10"/>
    <n v="39.979999999999997"/>
    <x v="1"/>
    <x v="2"/>
    <x v="1"/>
    <x v="7"/>
    <n v="-510.57"/>
  </r>
  <r>
    <d v="2025-08-28T00:00:00"/>
    <s v="cogs:product 3"/>
    <n v="8.99"/>
    <x v="196"/>
    <n v="2076.69"/>
    <x v="1"/>
    <x v="3"/>
    <x v="1"/>
    <x v="7"/>
    <n v="-79.959999999999994"/>
  </r>
  <r>
    <d v="2025-08-28T00:00:00"/>
    <s v="marketing"/>
    <s v="NA"/>
    <x v="0"/>
    <n v="103.01"/>
    <x v="2"/>
    <x v="0"/>
    <x v="1"/>
    <x v="7"/>
    <n v="-2022.75"/>
  </r>
  <r>
    <d v="2025-08-28T00:00:00"/>
    <s v="net sales:product 1"/>
    <n v="9.99"/>
    <x v="127"/>
    <n v="139.86000000000001"/>
    <x v="3"/>
    <x v="1"/>
    <x v="1"/>
    <x v="7"/>
    <n v="-114.02"/>
  </r>
  <r>
    <d v="2025-08-28T00:00:00"/>
    <s v="net sales:product 2"/>
    <n v="24.99"/>
    <x v="10"/>
    <n v="49.98"/>
    <x v="3"/>
    <x v="2"/>
    <x v="1"/>
    <x v="7"/>
    <n v="929.07"/>
  </r>
  <r>
    <d v="2025-08-28T00:00:00"/>
    <s v="net sales:product 3"/>
    <n v="12.49"/>
    <x v="196"/>
    <n v="2885.19"/>
    <x v="3"/>
    <x v="3"/>
    <x v="1"/>
    <x v="7"/>
    <n v="99.96"/>
  </r>
  <r>
    <d v="2025-08-29T00:00:00"/>
    <s v="cogs:product 1"/>
    <n v="5.49"/>
    <x v="6"/>
    <n v="203.13"/>
    <x v="1"/>
    <x v="1"/>
    <x v="1"/>
    <x v="7"/>
    <n v="2810.25"/>
  </r>
  <r>
    <d v="2025-08-29T00:00:00"/>
    <s v="cogs:product 2"/>
    <n v="19.989999999999998"/>
    <x v="2"/>
    <n v="59.97"/>
    <x v="1"/>
    <x v="2"/>
    <x v="1"/>
    <x v="7"/>
    <n v="-450.18"/>
  </r>
  <r>
    <d v="2025-08-29T00:00:00"/>
    <s v="cogs:product 3"/>
    <n v="8.99"/>
    <x v="223"/>
    <n v="988.9"/>
    <x v="1"/>
    <x v="3"/>
    <x v="1"/>
    <x v="7"/>
    <n v="-99.949999999999989"/>
  </r>
  <r>
    <d v="2025-08-29T00:00:00"/>
    <s v="marketing"/>
    <s v="NA"/>
    <x v="0"/>
    <n v="108.92"/>
    <x v="2"/>
    <x v="0"/>
    <x v="1"/>
    <x v="7"/>
    <n v="-1285.57"/>
  </r>
  <r>
    <d v="2025-08-29T00:00:00"/>
    <s v="net sales:product 1"/>
    <n v="9.99"/>
    <x v="6"/>
    <n v="369.63"/>
    <x v="3"/>
    <x v="1"/>
    <x v="1"/>
    <x v="7"/>
    <n v="-116.07000000000001"/>
  </r>
  <r>
    <d v="2025-08-29T00:00:00"/>
    <s v="net sales:product 2"/>
    <n v="24.99"/>
    <x v="2"/>
    <n v="74.97"/>
    <x v="3"/>
    <x v="2"/>
    <x v="1"/>
    <x v="7"/>
    <n v="819.18000000000006"/>
  </r>
  <r>
    <d v="2025-08-29T00:00:00"/>
    <s v="net sales:product 3"/>
    <n v="12.49"/>
    <x v="223"/>
    <n v="1373.9"/>
    <x v="3"/>
    <x v="3"/>
    <x v="1"/>
    <x v="7"/>
    <n v="124.94999999999999"/>
  </r>
  <r>
    <d v="2025-08-29T00:00:00"/>
    <s v="payroll"/>
    <s v="NA"/>
    <x v="0"/>
    <n v="1200"/>
    <x v="5"/>
    <x v="0"/>
    <x v="1"/>
    <x v="7"/>
    <n v="1786.07"/>
  </r>
  <r>
    <d v="2025-08-30T00:00:00"/>
    <s v="cogs:product 1"/>
    <n v="5.49"/>
    <x v="101"/>
    <n v="433.71000000000004"/>
    <x v="1"/>
    <x v="1"/>
    <x v="1"/>
    <x v="7"/>
    <n v="-510.57"/>
  </r>
  <r>
    <d v="2025-08-30T00:00:00"/>
    <s v="cogs:product 2"/>
    <n v="19.989999999999998"/>
    <x v="29"/>
    <n v="99.949999999999989"/>
    <x v="1"/>
    <x v="2"/>
    <x v="1"/>
    <x v="7"/>
    <n v="-159.91999999999999"/>
  </r>
  <r>
    <d v="2025-08-30T00:00:00"/>
    <s v="cogs:product 3"/>
    <n v="8.99"/>
    <x v="23"/>
    <n v="0"/>
    <x v="1"/>
    <x v="3"/>
    <x v="1"/>
    <x v="7"/>
    <n v="-629.30000000000007"/>
  </r>
  <r>
    <d v="2025-08-30T00:00:00"/>
    <s v="marketing"/>
    <s v="NA"/>
    <x v="0"/>
    <n v="111.97"/>
    <x v="2"/>
    <x v="0"/>
    <x v="1"/>
    <x v="7"/>
    <n v="-104.9"/>
  </r>
  <r>
    <d v="2025-08-30T00:00:00"/>
    <s v="net sales:product 1"/>
    <n v="9.99"/>
    <x v="101"/>
    <n v="789.21"/>
    <x v="3"/>
    <x v="1"/>
    <x v="1"/>
    <x v="7"/>
    <n v="929.07"/>
  </r>
  <r>
    <d v="2025-08-30T00:00:00"/>
    <s v="net sales:product 2"/>
    <n v="24.99"/>
    <x v="29"/>
    <n v="124.94999999999999"/>
    <x v="3"/>
    <x v="2"/>
    <x v="1"/>
    <x v="7"/>
    <n v="199.92"/>
  </r>
  <r>
    <d v="2025-08-30T00:00:00"/>
    <s v="net sales:product 3"/>
    <n v="12.49"/>
    <x v="23"/>
    <n v="0"/>
    <x v="3"/>
    <x v="3"/>
    <x v="1"/>
    <x v="7"/>
    <n v="874.30000000000007"/>
  </r>
  <r>
    <d v="2025-08-31T00:00:00"/>
    <s v="cogs:product 1"/>
    <n v="5.49"/>
    <x v="138"/>
    <n v="285.48"/>
    <x v="1"/>
    <x v="1"/>
    <x v="1"/>
    <x v="7"/>
    <n v="0"/>
  </r>
  <r>
    <d v="2025-08-31T00:00:00"/>
    <s v="cogs:product 2"/>
    <n v="19.989999999999998"/>
    <x v="2"/>
    <n v="59.97"/>
    <x v="1"/>
    <x v="2"/>
    <x v="1"/>
    <x v="7"/>
    <n v="-340.38"/>
  </r>
  <r>
    <d v="2025-08-31T00:00:00"/>
    <s v="cogs:product 3"/>
    <n v="8.99"/>
    <x v="163"/>
    <n v="1123.75"/>
    <x v="1"/>
    <x v="3"/>
    <x v="1"/>
    <x v="7"/>
    <n v="-79.959999999999994"/>
  </r>
  <r>
    <d v="2025-08-31T00:00:00"/>
    <s v="marketing"/>
    <s v="NA"/>
    <x v="0"/>
    <n v="117.99000000000001"/>
    <x v="2"/>
    <x v="0"/>
    <x v="1"/>
    <x v="7"/>
    <n v="-458.49"/>
  </r>
  <r>
    <d v="2025-08-31T00:00:00"/>
    <s v="net sales:product 1"/>
    <n v="9.99"/>
    <x v="138"/>
    <n v="519.48"/>
    <x v="3"/>
    <x v="1"/>
    <x v="1"/>
    <x v="7"/>
    <n v="-118.97"/>
  </r>
  <r>
    <d v="2025-08-31T00:00:00"/>
    <s v="net sales:product 2"/>
    <n v="24.99"/>
    <x v="2"/>
    <n v="74.97"/>
    <x v="3"/>
    <x v="2"/>
    <x v="1"/>
    <x v="7"/>
    <n v="619.38"/>
  </r>
  <r>
    <d v="2025-08-31T00:00:00"/>
    <s v="net sales:product 3"/>
    <n v="12.49"/>
    <x v="163"/>
    <n v="1561.25"/>
    <x v="3"/>
    <x v="3"/>
    <x v="1"/>
    <x v="7"/>
    <n v="99.96"/>
  </r>
  <r>
    <d v="2025-09-01T00:00:00"/>
    <s v="amortization"/>
    <s v="NA"/>
    <x v="0"/>
    <n v="50"/>
    <x v="0"/>
    <x v="0"/>
    <x v="1"/>
    <x v="8"/>
    <n v="636.99"/>
  </r>
  <r>
    <d v="2025-09-01T00:00:00"/>
    <s v="cogs:product 1"/>
    <n v="5.49"/>
    <x v="98"/>
    <n v="247.05"/>
    <x v="1"/>
    <x v="1"/>
    <x v="1"/>
    <x v="8"/>
    <n v="-2000"/>
  </r>
  <r>
    <d v="2025-09-01T00:00:00"/>
    <s v="cogs:product 2"/>
    <n v="21.49"/>
    <x v="25"/>
    <n v="21.49"/>
    <x v="1"/>
    <x v="2"/>
    <x v="1"/>
    <x v="8"/>
    <n v="-1200"/>
  </r>
  <r>
    <d v="2025-09-01T00:00:00"/>
    <s v="cogs:product 3"/>
    <n v="8.99"/>
    <x v="159"/>
    <n v="1726.08"/>
    <x v="1"/>
    <x v="3"/>
    <x v="1"/>
    <x v="8"/>
    <n v="-510.57"/>
  </r>
  <r>
    <d v="2025-09-01T00:00:00"/>
    <s v="marketing"/>
    <s v="NA"/>
    <x v="0"/>
    <n v="117.94"/>
    <x v="2"/>
    <x v="0"/>
    <x v="1"/>
    <x v="8"/>
    <n v="-19.989999999999998"/>
  </r>
  <r>
    <d v="2025-09-01T00:00:00"/>
    <s v="net sales:product 1"/>
    <n v="9.99"/>
    <x v="98"/>
    <n v="449.55"/>
    <x v="3"/>
    <x v="1"/>
    <x v="1"/>
    <x v="8"/>
    <n v="-197.78"/>
  </r>
  <r>
    <d v="2025-09-01T00:00:00"/>
    <s v="net sales:product 2"/>
    <n v="24.99"/>
    <x v="25"/>
    <n v="24.99"/>
    <x v="3"/>
    <x v="2"/>
    <x v="1"/>
    <x v="8"/>
    <n v="-109.09"/>
  </r>
  <r>
    <d v="2025-09-01T00:00:00"/>
    <s v="net sales:product 3"/>
    <n v="12.49"/>
    <x v="159"/>
    <n v="2398.08"/>
    <x v="3"/>
    <x v="3"/>
    <x v="1"/>
    <x v="8"/>
    <n v="929.07"/>
  </r>
  <r>
    <d v="2025-09-01T00:00:00"/>
    <s v="overhead"/>
    <s v="NA"/>
    <x v="0"/>
    <n v="2000"/>
    <x v="4"/>
    <x v="0"/>
    <x v="1"/>
    <x v="8"/>
    <n v="24.99"/>
  </r>
  <r>
    <d v="2025-09-02T00:00:00"/>
    <s v="cogs:product 1"/>
    <n v="5.49"/>
    <x v="106"/>
    <n v="538.02"/>
    <x v="1"/>
    <x v="1"/>
    <x v="1"/>
    <x v="8"/>
    <n v="274.78000000000003"/>
  </r>
  <r>
    <d v="2025-09-02T00:00:00"/>
    <s v="cogs:product 2"/>
    <n v="21.49"/>
    <x v="13"/>
    <n v="150.42999999999998"/>
    <x v="1"/>
    <x v="2"/>
    <x v="1"/>
    <x v="8"/>
    <n v="-400.77000000000004"/>
  </r>
  <r>
    <d v="2025-09-02T00:00:00"/>
    <s v="cogs:product 3"/>
    <n v="8.99"/>
    <x v="121"/>
    <n v="1815.98"/>
    <x v="1"/>
    <x v="3"/>
    <x v="1"/>
    <x v="8"/>
    <n v="-19.989999999999998"/>
  </r>
  <r>
    <d v="2025-09-02T00:00:00"/>
    <s v="marketing"/>
    <s v="NA"/>
    <x v="0"/>
    <n v="103.01"/>
    <x v="2"/>
    <x v="0"/>
    <x v="1"/>
    <x v="8"/>
    <n v="-215.76"/>
  </r>
  <r>
    <d v="2025-09-02T00:00:00"/>
    <s v="net sales:product 1"/>
    <n v="9.99"/>
    <x v="106"/>
    <n v="979.02"/>
    <x v="3"/>
    <x v="1"/>
    <x v="1"/>
    <x v="8"/>
    <n v="-107.94"/>
  </r>
  <r>
    <d v="2025-09-02T00:00:00"/>
    <s v="net sales:product 2"/>
    <n v="24.99"/>
    <x v="13"/>
    <n v="174.92999999999998"/>
    <x v="3"/>
    <x v="2"/>
    <x v="1"/>
    <x v="8"/>
    <n v="729.27"/>
  </r>
  <r>
    <d v="2025-09-02T00:00:00"/>
    <s v="net sales:product 3"/>
    <n v="12.49"/>
    <x v="121"/>
    <n v="2522.98"/>
    <x v="3"/>
    <x v="3"/>
    <x v="1"/>
    <x v="8"/>
    <n v="24.99"/>
  </r>
  <r>
    <d v="2025-09-03T00:00:00"/>
    <s v="cogs:product 1"/>
    <n v="5.49"/>
    <x v="102"/>
    <n v="279.99"/>
    <x v="1"/>
    <x v="1"/>
    <x v="1"/>
    <x v="8"/>
    <n v="299.76"/>
  </r>
  <r>
    <d v="2025-09-03T00:00:00"/>
    <s v="cogs:product 2"/>
    <n v="21.49"/>
    <x v="25"/>
    <n v="21.49"/>
    <x v="1"/>
    <x v="2"/>
    <x v="1"/>
    <x v="8"/>
    <n v="-444.69"/>
  </r>
  <r>
    <d v="2025-09-03T00:00:00"/>
    <s v="cogs:product 3"/>
    <n v="8.99"/>
    <x v="107"/>
    <n v="296.67"/>
    <x v="1"/>
    <x v="3"/>
    <x v="1"/>
    <x v="8"/>
    <n v="-139.92999999999998"/>
  </r>
  <r>
    <d v="2025-09-03T00:00:00"/>
    <s v="marketing"/>
    <s v="NA"/>
    <x v="0"/>
    <n v="108.01"/>
    <x v="2"/>
    <x v="0"/>
    <x v="1"/>
    <x v="8"/>
    <n v="-53.94"/>
  </r>
  <r>
    <d v="2025-09-03T00:00:00"/>
    <s v="net sales:product 1"/>
    <n v="9.99"/>
    <x v="102"/>
    <n v="509.49"/>
    <x v="3"/>
    <x v="1"/>
    <x v="1"/>
    <x v="8"/>
    <n v="-116.94"/>
  </r>
  <r>
    <d v="2025-09-03T00:00:00"/>
    <s v="net sales:product 2"/>
    <n v="24.99"/>
    <x v="25"/>
    <n v="24.99"/>
    <x v="3"/>
    <x v="2"/>
    <x v="1"/>
    <x v="8"/>
    <n v="809.19"/>
  </r>
  <r>
    <d v="2025-09-03T00:00:00"/>
    <s v="net sales:product 3"/>
    <n v="12.49"/>
    <x v="107"/>
    <n v="412.17"/>
    <x v="3"/>
    <x v="3"/>
    <x v="1"/>
    <x v="8"/>
    <n v="174.92999999999998"/>
  </r>
  <r>
    <d v="2025-09-04T00:00:00"/>
    <s v="cogs:product 1"/>
    <n v="5.49"/>
    <x v="87"/>
    <n v="87.84"/>
    <x v="1"/>
    <x v="1"/>
    <x v="1"/>
    <x v="8"/>
    <n v="74.94"/>
  </r>
  <r>
    <d v="2025-09-04T00:00:00"/>
    <s v="cogs:product 2"/>
    <n v="21.49"/>
    <x v="23"/>
    <n v="0"/>
    <x v="1"/>
    <x v="2"/>
    <x v="1"/>
    <x v="8"/>
    <n v="-510.57"/>
  </r>
  <r>
    <d v="2025-09-04T00:00:00"/>
    <s v="cogs:product 3"/>
    <n v="8.99"/>
    <x v="128"/>
    <n v="368.59000000000003"/>
    <x v="1"/>
    <x v="3"/>
    <x v="1"/>
    <x v="8"/>
    <n v="-179.91"/>
  </r>
  <r>
    <d v="2025-09-04T00:00:00"/>
    <s v="marketing"/>
    <s v="NA"/>
    <x v="0"/>
    <n v="102.04"/>
    <x v="2"/>
    <x v="0"/>
    <x v="1"/>
    <x v="8"/>
    <n v="0"/>
  </r>
  <r>
    <d v="2025-09-04T00:00:00"/>
    <s v="net sales:product 1"/>
    <n v="9.99"/>
    <x v="87"/>
    <n v="159.84"/>
    <x v="3"/>
    <x v="1"/>
    <x v="1"/>
    <x v="8"/>
    <n v="-108.93"/>
  </r>
  <r>
    <d v="2025-09-04T00:00:00"/>
    <s v="net sales:product 2"/>
    <n v="24.99"/>
    <x v="23"/>
    <n v="0"/>
    <x v="3"/>
    <x v="2"/>
    <x v="1"/>
    <x v="8"/>
    <n v="929.07"/>
  </r>
  <r>
    <d v="2025-09-04T00:00:00"/>
    <s v="net sales:product 3"/>
    <n v="12.49"/>
    <x v="128"/>
    <n v="512.09"/>
    <x v="3"/>
    <x v="3"/>
    <x v="1"/>
    <x v="8"/>
    <n v="224.91"/>
  </r>
  <r>
    <d v="2025-09-05T00:00:00"/>
    <s v="cogs:product 1"/>
    <n v="5.49"/>
    <x v="45"/>
    <n v="60.39"/>
    <x v="1"/>
    <x v="1"/>
    <x v="1"/>
    <x v="8"/>
    <n v="0"/>
  </r>
  <r>
    <d v="2025-09-05T00:00:00"/>
    <s v="cogs:product 2"/>
    <n v="21.49"/>
    <x v="23"/>
    <n v="0"/>
    <x v="1"/>
    <x v="2"/>
    <x v="1"/>
    <x v="8"/>
    <n v="-466.65000000000003"/>
  </r>
  <r>
    <d v="2025-09-05T00:00:00"/>
    <s v="cogs:product 3"/>
    <n v="8.99"/>
    <x v="100"/>
    <n v="791.12"/>
    <x v="1"/>
    <x v="3"/>
    <x v="1"/>
    <x v="8"/>
    <n v="0"/>
  </r>
  <r>
    <d v="2025-09-05T00:00:00"/>
    <s v="marketing"/>
    <s v="NA"/>
    <x v="0"/>
    <n v="116.07000000000001"/>
    <x v="2"/>
    <x v="0"/>
    <x v="1"/>
    <x v="8"/>
    <n v="-1986.79"/>
  </r>
  <r>
    <d v="2025-09-05T00:00:00"/>
    <s v="net sales:product 1"/>
    <n v="9.99"/>
    <x v="45"/>
    <n v="109.89"/>
    <x v="3"/>
    <x v="1"/>
    <x v="1"/>
    <x v="8"/>
    <n v="-113.91"/>
  </r>
  <r>
    <d v="2025-09-05T00:00:00"/>
    <s v="net sales:product 2"/>
    <n v="24.99"/>
    <x v="23"/>
    <n v="0"/>
    <x v="3"/>
    <x v="2"/>
    <x v="1"/>
    <x v="8"/>
    <n v="849.15"/>
  </r>
  <r>
    <d v="2025-09-05T00:00:00"/>
    <s v="net sales:product 3"/>
    <n v="12.49"/>
    <x v="100"/>
    <n v="1099.1200000000001"/>
    <x v="3"/>
    <x v="3"/>
    <x v="1"/>
    <x v="8"/>
    <n v="0"/>
  </r>
  <r>
    <d v="2025-09-06T00:00:00"/>
    <s v="cogs:product 1"/>
    <n v="5.49"/>
    <x v="139"/>
    <n v="197.64000000000001"/>
    <x v="1"/>
    <x v="1"/>
    <x v="1"/>
    <x v="8"/>
    <n v="2760.29"/>
  </r>
  <r>
    <d v="2025-09-06T00:00:00"/>
    <s v="cogs:product 2"/>
    <n v="21.49"/>
    <x v="13"/>
    <n v="150.42999999999998"/>
    <x v="1"/>
    <x v="2"/>
    <x v="1"/>
    <x v="8"/>
    <n v="-175.68"/>
  </r>
  <r>
    <d v="2025-09-06T00:00:00"/>
    <s v="cogs:product 3"/>
    <n v="8.99"/>
    <x v="53"/>
    <n v="1321.53"/>
    <x v="1"/>
    <x v="3"/>
    <x v="1"/>
    <x v="8"/>
    <n v="-79.959999999999994"/>
  </r>
  <r>
    <d v="2025-09-06T00:00:00"/>
    <s v="marketing"/>
    <s v="NA"/>
    <x v="0"/>
    <n v="113.03"/>
    <x v="2"/>
    <x v="0"/>
    <x v="1"/>
    <x v="8"/>
    <n v="-1240.6200000000001"/>
  </r>
  <r>
    <d v="2025-09-06T00:00:00"/>
    <s v="net sales:product 1"/>
    <n v="9.99"/>
    <x v="139"/>
    <n v="359.64"/>
    <x v="3"/>
    <x v="1"/>
    <x v="1"/>
    <x v="8"/>
    <n v="-112.94"/>
  </r>
  <r>
    <d v="2025-09-06T00:00:00"/>
    <s v="net sales:product 2"/>
    <n v="24.99"/>
    <x v="13"/>
    <n v="174.92999999999998"/>
    <x v="3"/>
    <x v="2"/>
    <x v="1"/>
    <x v="8"/>
    <n v="319.68"/>
  </r>
  <r>
    <d v="2025-09-06T00:00:00"/>
    <s v="net sales:product 3"/>
    <n v="12.49"/>
    <x v="53"/>
    <n v="1836.03"/>
    <x v="3"/>
    <x v="3"/>
    <x v="1"/>
    <x v="8"/>
    <n v="99.96"/>
  </r>
  <r>
    <d v="2025-09-07T00:00:00"/>
    <s v="cogs:product 1"/>
    <n v="5.49"/>
    <x v="31"/>
    <n v="98.820000000000007"/>
    <x v="1"/>
    <x v="1"/>
    <x v="1"/>
    <x v="8"/>
    <n v="1723.6200000000001"/>
  </r>
  <r>
    <d v="2025-09-07T00:00:00"/>
    <s v="cogs:product 2"/>
    <n v="21.49"/>
    <x v="19"/>
    <n v="85.96"/>
    <x v="1"/>
    <x v="2"/>
    <x v="1"/>
    <x v="8"/>
    <n v="-21.96"/>
  </r>
  <r>
    <d v="2025-09-07T00:00:00"/>
    <s v="cogs:product 3"/>
    <n v="8.99"/>
    <x v="72"/>
    <n v="215.76"/>
    <x v="1"/>
    <x v="3"/>
    <x v="1"/>
    <x v="8"/>
    <n v="-119.94"/>
  </r>
  <r>
    <d v="2025-09-07T00:00:00"/>
    <s v="marketing"/>
    <s v="NA"/>
    <x v="0"/>
    <n v="104.91"/>
    <x v="2"/>
    <x v="0"/>
    <x v="1"/>
    <x v="8"/>
    <n v="-2031.74"/>
  </r>
  <r>
    <d v="2025-09-07T00:00:00"/>
    <s v="net sales:product 1"/>
    <n v="9.99"/>
    <x v="31"/>
    <n v="179.82"/>
    <x v="3"/>
    <x v="1"/>
    <x v="1"/>
    <x v="8"/>
    <n v="-103.02"/>
  </r>
  <r>
    <d v="2025-09-07T00:00:00"/>
    <s v="net sales:product 2"/>
    <n v="24.99"/>
    <x v="19"/>
    <n v="99.96"/>
    <x v="3"/>
    <x v="2"/>
    <x v="1"/>
    <x v="8"/>
    <n v="39.96"/>
  </r>
  <r>
    <d v="2025-09-07T00:00:00"/>
    <s v="net sales:product 3"/>
    <n v="12.49"/>
    <x v="72"/>
    <n v="299.76"/>
    <x v="3"/>
    <x v="3"/>
    <x v="1"/>
    <x v="8"/>
    <n v="149.94"/>
  </r>
  <r>
    <d v="2025-09-08T00:00:00"/>
    <s v="cogs:product 1"/>
    <n v="5.49"/>
    <x v="139"/>
    <n v="197.64000000000001"/>
    <x v="1"/>
    <x v="1"/>
    <x v="1"/>
    <x v="8"/>
    <n v="2822.7400000000002"/>
  </r>
  <r>
    <d v="2025-09-08T00:00:00"/>
    <s v="cogs:product 2"/>
    <n v="21.49"/>
    <x v="29"/>
    <n v="107.44999999999999"/>
    <x v="1"/>
    <x v="2"/>
    <x v="1"/>
    <x v="8"/>
    <n v="-472.14000000000004"/>
  </r>
  <r>
    <d v="2025-09-08T00:00:00"/>
    <s v="cogs:product 3"/>
    <n v="8.99"/>
    <x v="117"/>
    <n v="773.14"/>
    <x v="1"/>
    <x v="3"/>
    <x v="1"/>
    <x v="8"/>
    <n v="-19.989999999999998"/>
  </r>
  <r>
    <d v="2025-09-08T00:00:00"/>
    <s v="marketing"/>
    <s v="NA"/>
    <x v="0"/>
    <n v="101.04"/>
    <x v="2"/>
    <x v="0"/>
    <x v="1"/>
    <x v="8"/>
    <n v="-1833.96"/>
  </r>
  <r>
    <d v="2025-09-08T00:00:00"/>
    <s v="net sales:product 1"/>
    <n v="9.99"/>
    <x v="139"/>
    <n v="359.64"/>
    <x v="3"/>
    <x v="1"/>
    <x v="1"/>
    <x v="8"/>
    <n v="-105.06"/>
  </r>
  <r>
    <d v="2025-09-08T00:00:00"/>
    <s v="net sales:product 2"/>
    <n v="24.99"/>
    <x v="29"/>
    <n v="124.94999999999999"/>
    <x v="3"/>
    <x v="2"/>
    <x v="1"/>
    <x v="8"/>
    <n v="859.14"/>
  </r>
  <r>
    <d v="2025-09-08T00:00:00"/>
    <s v="net sales:product 3"/>
    <n v="12.49"/>
    <x v="117"/>
    <n v="1074.1400000000001"/>
    <x v="3"/>
    <x v="3"/>
    <x v="1"/>
    <x v="8"/>
    <n v="24.99"/>
  </r>
  <r>
    <d v="2025-09-09T00:00:00"/>
    <s v="cogs:product 1"/>
    <n v="5.49"/>
    <x v="58"/>
    <n v="230.58"/>
    <x v="1"/>
    <x v="1"/>
    <x v="1"/>
    <x v="8"/>
    <n v="2547.96"/>
  </r>
  <r>
    <d v="2025-09-09T00:00:00"/>
    <s v="cogs:product 2"/>
    <n v="21.49"/>
    <x v="2"/>
    <n v="64.47"/>
    <x v="1"/>
    <x v="2"/>
    <x v="1"/>
    <x v="8"/>
    <n v="-400.77000000000004"/>
  </r>
  <r>
    <d v="2025-09-09T00:00:00"/>
    <s v="cogs:product 3"/>
    <n v="8.99"/>
    <x v="197"/>
    <n v="1357.49"/>
    <x v="1"/>
    <x v="3"/>
    <x v="1"/>
    <x v="8"/>
    <n v="-139.92999999999998"/>
  </r>
  <r>
    <d v="2025-09-09T00:00:00"/>
    <s v="marketing"/>
    <s v="NA"/>
    <x v="0"/>
    <n v="108.04"/>
    <x v="2"/>
    <x v="0"/>
    <x v="1"/>
    <x v="8"/>
    <n v="-188.79"/>
  </r>
  <r>
    <d v="2025-09-09T00:00:00"/>
    <s v="net sales:product 1"/>
    <n v="9.99"/>
    <x v="58"/>
    <n v="419.58"/>
    <x v="3"/>
    <x v="1"/>
    <x v="1"/>
    <x v="8"/>
    <n v="-102.91"/>
  </r>
  <r>
    <d v="2025-09-09T00:00:00"/>
    <s v="net sales:product 2"/>
    <n v="24.99"/>
    <x v="2"/>
    <n v="74.97"/>
    <x v="3"/>
    <x v="2"/>
    <x v="1"/>
    <x v="8"/>
    <n v="729.27"/>
  </r>
  <r>
    <d v="2025-09-09T00:00:00"/>
    <s v="net sales:product 3"/>
    <n v="12.49"/>
    <x v="197"/>
    <n v="1885.99"/>
    <x v="3"/>
    <x v="3"/>
    <x v="1"/>
    <x v="8"/>
    <n v="174.92999999999998"/>
  </r>
  <r>
    <d v="2025-09-10T00:00:00"/>
    <s v="cogs:product 1"/>
    <n v="5.49"/>
    <x v="117"/>
    <n v="472.14000000000004"/>
    <x v="1"/>
    <x v="1"/>
    <x v="1"/>
    <x v="8"/>
    <n v="262.29000000000002"/>
  </r>
  <r>
    <d v="2025-09-10T00:00:00"/>
    <s v="cogs:product 2"/>
    <n v="21.49"/>
    <x v="19"/>
    <n v="85.96"/>
    <x v="1"/>
    <x v="2"/>
    <x v="1"/>
    <x v="8"/>
    <n v="-356.85"/>
  </r>
  <r>
    <d v="2025-09-10T00:00:00"/>
    <s v="cogs:product 3"/>
    <n v="8.99"/>
    <x v="23"/>
    <n v="0"/>
    <x v="1"/>
    <x v="3"/>
    <x v="1"/>
    <x v="8"/>
    <n v="-19.989999999999998"/>
  </r>
  <r>
    <d v="2025-09-10T00:00:00"/>
    <s v="marketing"/>
    <s v="NA"/>
    <x v="0"/>
    <n v="111.99000000000001"/>
    <x v="2"/>
    <x v="0"/>
    <x v="1"/>
    <x v="8"/>
    <n v="-845.06000000000006"/>
  </r>
  <r>
    <d v="2025-09-10T00:00:00"/>
    <s v="net sales:product 1"/>
    <n v="9.99"/>
    <x v="117"/>
    <n v="859.14"/>
    <x v="3"/>
    <x v="1"/>
    <x v="1"/>
    <x v="8"/>
    <n v="-113"/>
  </r>
  <r>
    <d v="2025-09-10T00:00:00"/>
    <s v="net sales:product 2"/>
    <n v="24.99"/>
    <x v="19"/>
    <n v="99.96"/>
    <x v="3"/>
    <x v="2"/>
    <x v="1"/>
    <x v="8"/>
    <n v="649.35"/>
  </r>
  <r>
    <d v="2025-09-10T00:00:00"/>
    <s v="net sales:product 3"/>
    <n v="12.49"/>
    <x v="23"/>
    <n v="0"/>
    <x v="3"/>
    <x v="3"/>
    <x v="1"/>
    <x v="8"/>
    <n v="24.99"/>
  </r>
  <r>
    <d v="2025-09-11T00:00:00"/>
    <s v="cogs:product 1"/>
    <n v="5.49"/>
    <x v="117"/>
    <n v="472.14000000000004"/>
    <x v="1"/>
    <x v="1"/>
    <x v="1"/>
    <x v="8"/>
    <n v="1174.06"/>
  </r>
  <r>
    <d v="2025-09-11T00:00:00"/>
    <s v="cogs:product 2"/>
    <n v="21.49"/>
    <x v="23"/>
    <n v="0"/>
    <x v="1"/>
    <x v="2"/>
    <x v="1"/>
    <x v="8"/>
    <n v="-362.34000000000003"/>
  </r>
  <r>
    <d v="2025-09-11T00:00:00"/>
    <s v="cogs:product 3"/>
    <n v="8.99"/>
    <x v="224"/>
    <n v="979.91"/>
    <x v="1"/>
    <x v="3"/>
    <x v="1"/>
    <x v="8"/>
    <n v="0"/>
  </r>
  <r>
    <d v="2025-09-11T00:00:00"/>
    <s v="marketing"/>
    <s v="NA"/>
    <x v="0"/>
    <n v="118.07000000000001"/>
    <x v="2"/>
    <x v="0"/>
    <x v="1"/>
    <x v="8"/>
    <n v="-827.08"/>
  </r>
  <r>
    <d v="2025-09-11T00:00:00"/>
    <s v="net sales:product 1"/>
    <n v="9.99"/>
    <x v="117"/>
    <n v="859.14"/>
    <x v="3"/>
    <x v="1"/>
    <x v="1"/>
    <x v="8"/>
    <n v="-114.91"/>
  </r>
  <r>
    <d v="2025-09-11T00:00:00"/>
    <s v="net sales:product 2"/>
    <n v="24.99"/>
    <x v="23"/>
    <n v="0"/>
    <x v="3"/>
    <x v="2"/>
    <x v="1"/>
    <x v="8"/>
    <n v="659.34"/>
  </r>
  <r>
    <d v="2025-09-11T00:00:00"/>
    <s v="net sales:product 3"/>
    <n v="12.49"/>
    <x v="224"/>
    <n v="1361.41"/>
    <x v="3"/>
    <x v="3"/>
    <x v="1"/>
    <x v="8"/>
    <n v="0"/>
  </r>
  <r>
    <d v="2025-09-12T00:00:00"/>
    <s v="cogs:product 1"/>
    <n v="5.49"/>
    <x v="69"/>
    <n v="422.73"/>
    <x v="1"/>
    <x v="1"/>
    <x v="1"/>
    <x v="8"/>
    <n v="1149.08"/>
  </r>
  <r>
    <d v="2025-09-12T00:00:00"/>
    <s v="cogs:product 2"/>
    <n v="21.49"/>
    <x v="25"/>
    <n v="21.49"/>
    <x v="1"/>
    <x v="2"/>
    <x v="1"/>
    <x v="8"/>
    <n v="-439.20000000000005"/>
  </r>
  <r>
    <d v="2025-09-12T00:00:00"/>
    <s v="cogs:product 3"/>
    <n v="8.99"/>
    <x v="220"/>
    <n v="899"/>
    <x v="1"/>
    <x v="3"/>
    <x v="1"/>
    <x v="8"/>
    <n v="-59.97"/>
  </r>
  <r>
    <d v="2025-09-12T00:00:00"/>
    <s v="marketing"/>
    <s v="NA"/>
    <x v="0"/>
    <n v="107.96000000000001"/>
    <x v="2"/>
    <x v="0"/>
    <x v="1"/>
    <x v="8"/>
    <n v="-35.96"/>
  </r>
  <r>
    <d v="2025-09-12T00:00:00"/>
    <s v="net sales:product 1"/>
    <n v="9.99"/>
    <x v="69"/>
    <n v="769.23"/>
    <x v="3"/>
    <x v="1"/>
    <x v="1"/>
    <x v="8"/>
    <n v="-102.06"/>
  </r>
  <r>
    <d v="2025-09-12T00:00:00"/>
    <s v="net sales:product 2"/>
    <n v="24.99"/>
    <x v="25"/>
    <n v="24.99"/>
    <x v="3"/>
    <x v="2"/>
    <x v="1"/>
    <x v="8"/>
    <n v="799.2"/>
  </r>
  <r>
    <d v="2025-09-12T00:00:00"/>
    <s v="net sales:product 3"/>
    <n v="12.49"/>
    <x v="220"/>
    <n v="1249"/>
    <x v="3"/>
    <x v="3"/>
    <x v="1"/>
    <x v="8"/>
    <n v="74.97"/>
  </r>
  <r>
    <d v="2025-09-12T00:00:00"/>
    <s v="payroll"/>
    <s v="NA"/>
    <x v="0"/>
    <n v="1200"/>
    <x v="5"/>
    <x v="0"/>
    <x v="1"/>
    <x v="8"/>
    <n v="49.96"/>
  </r>
  <r>
    <d v="2025-09-13T00:00:00"/>
    <s v="cogs:product 1"/>
    <n v="5.49"/>
    <x v="66"/>
    <n v="258.03000000000003"/>
    <x v="1"/>
    <x v="1"/>
    <x v="1"/>
    <x v="8"/>
    <n v="-76.86"/>
  </r>
  <r>
    <d v="2025-09-13T00:00:00"/>
    <s v="cogs:product 2"/>
    <n v="21.49"/>
    <x v="2"/>
    <n v="64.47"/>
    <x v="1"/>
    <x v="2"/>
    <x v="1"/>
    <x v="8"/>
    <n v="-119.94"/>
  </r>
  <r>
    <d v="2025-09-13T00:00:00"/>
    <s v="cogs:product 3"/>
    <n v="8.99"/>
    <x v="113"/>
    <n v="278.69"/>
    <x v="1"/>
    <x v="3"/>
    <x v="1"/>
    <x v="8"/>
    <n v="-2022.75"/>
  </r>
  <r>
    <d v="2025-09-13T00:00:00"/>
    <s v="marketing"/>
    <s v="NA"/>
    <x v="0"/>
    <n v="112.9"/>
    <x v="2"/>
    <x v="0"/>
    <x v="1"/>
    <x v="8"/>
    <n v="-103.07000000000001"/>
  </r>
  <r>
    <d v="2025-09-13T00:00:00"/>
    <s v="net sales:product 1"/>
    <n v="9.99"/>
    <x v="66"/>
    <n v="469.53000000000003"/>
    <x v="3"/>
    <x v="1"/>
    <x v="1"/>
    <x v="8"/>
    <n v="139.86000000000001"/>
  </r>
  <r>
    <d v="2025-09-13T00:00:00"/>
    <s v="net sales:product 2"/>
    <n v="24.99"/>
    <x v="2"/>
    <n v="74.97"/>
    <x v="3"/>
    <x v="2"/>
    <x v="1"/>
    <x v="8"/>
    <n v="149.94"/>
  </r>
  <r>
    <d v="2025-09-13T00:00:00"/>
    <s v="net sales:product 3"/>
    <n v="12.49"/>
    <x v="113"/>
    <n v="387.19"/>
    <x v="3"/>
    <x v="3"/>
    <x v="1"/>
    <x v="8"/>
    <n v="2810.25"/>
  </r>
  <r>
    <d v="2025-09-14T00:00:00"/>
    <s v="cogs:product 1"/>
    <n v="5.49"/>
    <x v="138"/>
    <n v="285.48"/>
    <x v="1"/>
    <x v="1"/>
    <x v="1"/>
    <x v="8"/>
    <n v="-444.69"/>
  </r>
  <r>
    <d v="2025-09-14T00:00:00"/>
    <s v="cogs:product 2"/>
    <n v="21.49"/>
    <x v="2"/>
    <n v="64.47"/>
    <x v="1"/>
    <x v="2"/>
    <x v="1"/>
    <x v="8"/>
    <n v="-19.989999999999998"/>
  </r>
  <r>
    <d v="2025-09-14T00:00:00"/>
    <s v="cogs:product 3"/>
    <n v="8.99"/>
    <x v="23"/>
    <n v="0"/>
    <x v="1"/>
    <x v="3"/>
    <x v="1"/>
    <x v="8"/>
    <n v="-1114.76"/>
  </r>
  <r>
    <d v="2025-09-14T00:00:00"/>
    <s v="marketing"/>
    <s v="NA"/>
    <x v="0"/>
    <n v="107.09"/>
    <x v="2"/>
    <x v="0"/>
    <x v="1"/>
    <x v="8"/>
    <n v="-1256.4000000000001"/>
  </r>
  <r>
    <d v="2025-09-14T00:00:00"/>
    <s v="net sales:product 1"/>
    <n v="9.99"/>
    <x v="138"/>
    <n v="519.48"/>
    <x v="3"/>
    <x v="1"/>
    <x v="1"/>
    <x v="8"/>
    <n v="-117.92"/>
  </r>
  <r>
    <d v="2025-09-14T00:00:00"/>
    <s v="net sales:product 2"/>
    <n v="24.99"/>
    <x v="2"/>
    <n v="74.97"/>
    <x v="3"/>
    <x v="2"/>
    <x v="1"/>
    <x v="8"/>
    <n v="809.19"/>
  </r>
  <r>
    <d v="2025-09-14T00:00:00"/>
    <s v="net sales:product 3"/>
    <n v="12.49"/>
    <x v="23"/>
    <n v="0"/>
    <x v="3"/>
    <x v="3"/>
    <x v="1"/>
    <x v="8"/>
    <n v="24.99"/>
  </r>
  <r>
    <d v="2025-09-15T00:00:00"/>
    <s v="cogs:product 1"/>
    <n v="5.49"/>
    <x v="73"/>
    <n v="367.83000000000004"/>
    <x v="1"/>
    <x v="1"/>
    <x v="1"/>
    <x v="8"/>
    <n v="1548.76"/>
  </r>
  <r>
    <d v="2025-09-15T00:00:00"/>
    <s v="cogs:product 2"/>
    <n v="21.49"/>
    <x v="23"/>
    <n v="0"/>
    <x v="1"/>
    <x v="2"/>
    <x v="1"/>
    <x v="8"/>
    <n v="-321.61"/>
  </r>
  <r>
    <d v="2025-09-15T00:00:00"/>
    <s v="cogs:product 3"/>
    <n v="8.99"/>
    <x v="31"/>
    <n v="161.82"/>
    <x v="1"/>
    <x v="3"/>
    <x v="1"/>
    <x v="8"/>
    <n v="-1200"/>
  </r>
  <r>
    <d v="2025-09-15T00:00:00"/>
    <s v="interest"/>
    <s v="NA"/>
    <x v="0"/>
    <n v="1254.28"/>
    <x v="6"/>
    <x v="0"/>
    <x v="1"/>
    <x v="8"/>
    <n v="-93.33"/>
  </r>
  <r>
    <d v="2025-09-15T00:00:00"/>
    <s v="marketing"/>
    <s v="NA"/>
    <x v="0"/>
    <n v="119.06"/>
    <x v="2"/>
    <x v="0"/>
    <x v="1"/>
    <x v="8"/>
    <n v="-139.92999999999998"/>
  </r>
  <r>
    <d v="2025-09-15T00:00:00"/>
    <s v="net sales:product 1"/>
    <n v="9.99"/>
    <x v="73"/>
    <n v="669.33"/>
    <x v="3"/>
    <x v="1"/>
    <x v="1"/>
    <x v="8"/>
    <n v="-71.92"/>
  </r>
  <r>
    <d v="2025-09-15T00:00:00"/>
    <s v="net sales:product 2"/>
    <n v="24.99"/>
    <x v="23"/>
    <n v="0"/>
    <x v="3"/>
    <x v="2"/>
    <x v="1"/>
    <x v="8"/>
    <n v="-117.94"/>
  </r>
  <r>
    <d v="2025-09-15T00:00:00"/>
    <s v="net sales:product 3"/>
    <n v="12.49"/>
    <x v="31"/>
    <n v="224.82"/>
    <x v="3"/>
    <x v="3"/>
    <x v="1"/>
    <x v="8"/>
    <n v="169.83"/>
  </r>
  <r>
    <d v="2025-09-15T00:00:00"/>
    <s v="overhead"/>
    <s v="NA"/>
    <x v="0"/>
    <n v="313.57"/>
    <x v="4"/>
    <x v="0"/>
    <x v="1"/>
    <x v="8"/>
    <n v="174.92999999999998"/>
  </r>
  <r>
    <d v="2025-09-16T00:00:00"/>
    <s v="cogs:product 1"/>
    <n v="5.49"/>
    <x v="3"/>
    <n v="428.22"/>
    <x v="1"/>
    <x v="1"/>
    <x v="1"/>
    <x v="8"/>
    <n v="99.92"/>
  </r>
  <r>
    <d v="2025-09-16T00:00:00"/>
    <s v="cogs:product 2"/>
    <n v="21.49"/>
    <x v="25"/>
    <n v="21.49"/>
    <x v="1"/>
    <x v="2"/>
    <x v="1"/>
    <x v="8"/>
    <n v="-120.78"/>
  </r>
  <r>
    <d v="2025-09-16T00:00:00"/>
    <s v="cogs:product 3"/>
    <n v="8.99"/>
    <x v="213"/>
    <n v="1501.33"/>
    <x v="1"/>
    <x v="3"/>
    <x v="1"/>
    <x v="8"/>
    <n v="-39.979999999999997"/>
  </r>
  <r>
    <d v="2025-09-16T00:00:00"/>
    <s v="marketing"/>
    <s v="NA"/>
    <x v="0"/>
    <n v="109.03"/>
    <x v="2"/>
    <x v="0"/>
    <x v="1"/>
    <x v="8"/>
    <n v="-1762.04"/>
  </r>
  <r>
    <d v="2025-09-16T00:00:00"/>
    <s v="net sales:product 1"/>
    <n v="9.99"/>
    <x v="3"/>
    <n v="779.22"/>
    <x v="3"/>
    <x v="1"/>
    <x v="1"/>
    <x v="8"/>
    <n v="-105.06"/>
  </r>
  <r>
    <d v="2025-09-16T00:00:00"/>
    <s v="net sales:product 2"/>
    <n v="24.99"/>
    <x v="25"/>
    <n v="24.99"/>
    <x v="3"/>
    <x v="2"/>
    <x v="1"/>
    <x v="8"/>
    <n v="219.78"/>
  </r>
  <r>
    <d v="2025-09-16T00:00:00"/>
    <s v="net sales:product 3"/>
    <n v="12.49"/>
    <x v="213"/>
    <n v="2085.83"/>
    <x v="3"/>
    <x v="3"/>
    <x v="1"/>
    <x v="8"/>
    <n v="49.98"/>
  </r>
  <r>
    <d v="2025-09-17T00:00:00"/>
    <s v="cogs:product 1"/>
    <n v="5.49"/>
    <x v="115"/>
    <n v="417.24"/>
    <x v="1"/>
    <x v="1"/>
    <x v="1"/>
    <x v="8"/>
    <n v="2448.04"/>
  </r>
  <r>
    <d v="2025-09-17T00:00:00"/>
    <s v="cogs:product 2"/>
    <n v="21.49"/>
    <x v="42"/>
    <n v="128.94"/>
    <x v="1"/>
    <x v="2"/>
    <x v="1"/>
    <x v="8"/>
    <n v="-384.3"/>
  </r>
  <r>
    <d v="2025-09-17T00:00:00"/>
    <s v="cogs:product 3"/>
    <n v="8.99"/>
    <x v="121"/>
    <n v="1815.98"/>
    <x v="1"/>
    <x v="3"/>
    <x v="1"/>
    <x v="8"/>
    <n v="-139.92999999999998"/>
  </r>
  <r>
    <d v="2025-09-17T00:00:00"/>
    <s v="marketing"/>
    <s v="NA"/>
    <x v="0"/>
    <n v="102.97"/>
    <x v="2"/>
    <x v="0"/>
    <x v="1"/>
    <x v="8"/>
    <n v="-854.05000000000007"/>
  </r>
  <r>
    <d v="2025-09-17T00:00:00"/>
    <s v="net sales:product 1"/>
    <n v="9.99"/>
    <x v="115"/>
    <n v="759.24"/>
    <x v="3"/>
    <x v="1"/>
    <x v="1"/>
    <x v="8"/>
    <n v="-108.05"/>
  </r>
  <r>
    <d v="2025-09-17T00:00:00"/>
    <s v="net sales:product 2"/>
    <n v="24.99"/>
    <x v="42"/>
    <n v="149.94"/>
    <x v="3"/>
    <x v="2"/>
    <x v="1"/>
    <x v="8"/>
    <n v="699.30000000000007"/>
  </r>
  <r>
    <d v="2025-09-17T00:00:00"/>
    <s v="net sales:product 3"/>
    <n v="12.49"/>
    <x v="121"/>
    <n v="2522.98"/>
    <x v="3"/>
    <x v="3"/>
    <x v="1"/>
    <x v="8"/>
    <n v="174.92999999999998"/>
  </r>
  <r>
    <d v="2025-09-18T00:00:00"/>
    <s v="cogs:product 1"/>
    <n v="5.49"/>
    <x v="61"/>
    <n v="532.53"/>
    <x v="1"/>
    <x v="1"/>
    <x v="1"/>
    <x v="8"/>
    <n v="1186.55"/>
  </r>
  <r>
    <d v="2025-09-18T00:00:00"/>
    <s v="cogs:product 2"/>
    <n v="21.49"/>
    <x v="19"/>
    <n v="85.96"/>
    <x v="1"/>
    <x v="2"/>
    <x v="1"/>
    <x v="8"/>
    <n v="-126.27000000000001"/>
  </r>
  <r>
    <d v="2025-09-18T00:00:00"/>
    <s v="cogs:product 3"/>
    <n v="8.99"/>
    <x v="217"/>
    <n v="1375.47"/>
    <x v="1"/>
    <x v="3"/>
    <x v="1"/>
    <x v="8"/>
    <n v="-39.979999999999997"/>
  </r>
  <r>
    <d v="2025-09-18T00:00:00"/>
    <s v="marketing"/>
    <s v="NA"/>
    <x v="0"/>
    <n v="101.08"/>
    <x v="2"/>
    <x v="0"/>
    <x v="1"/>
    <x v="8"/>
    <n v="-2022.75"/>
  </r>
  <r>
    <d v="2025-09-18T00:00:00"/>
    <s v="net sales:product 1"/>
    <n v="9.99"/>
    <x v="61"/>
    <n v="969.03"/>
    <x v="3"/>
    <x v="1"/>
    <x v="1"/>
    <x v="8"/>
    <n v="-114.03"/>
  </r>
  <r>
    <d v="2025-09-18T00:00:00"/>
    <s v="net sales:product 2"/>
    <n v="24.99"/>
    <x v="19"/>
    <n v="99.96"/>
    <x v="3"/>
    <x v="2"/>
    <x v="1"/>
    <x v="8"/>
    <n v="229.77"/>
  </r>
  <r>
    <d v="2025-09-18T00:00:00"/>
    <s v="net sales:product 3"/>
    <n v="12.49"/>
    <x v="217"/>
    <n v="1910.97"/>
    <x v="3"/>
    <x v="3"/>
    <x v="1"/>
    <x v="8"/>
    <n v="49.98"/>
  </r>
  <r>
    <d v="2025-09-19T00:00:00"/>
    <s v="cogs:product 1"/>
    <n v="5.49"/>
    <x v="18"/>
    <n v="466.65000000000003"/>
    <x v="1"/>
    <x v="1"/>
    <x v="1"/>
    <x v="8"/>
    <n v="2810.25"/>
  </r>
  <r>
    <d v="2025-09-19T00:00:00"/>
    <s v="cogs:product 2"/>
    <n v="21.49"/>
    <x v="2"/>
    <n v="64.47"/>
    <x v="1"/>
    <x v="2"/>
    <x v="1"/>
    <x v="8"/>
    <n v="-27.450000000000003"/>
  </r>
  <r>
    <d v="2025-09-19T00:00:00"/>
    <s v="cogs:product 3"/>
    <n v="8.99"/>
    <x v="211"/>
    <n v="1860.93"/>
    <x v="1"/>
    <x v="3"/>
    <x v="1"/>
    <x v="8"/>
    <n v="-59.97"/>
  </r>
  <r>
    <d v="2025-09-19T00:00:00"/>
    <s v="marketing"/>
    <s v="NA"/>
    <x v="0"/>
    <n v="104.08"/>
    <x v="2"/>
    <x v="0"/>
    <x v="1"/>
    <x v="8"/>
    <n v="-845.06000000000006"/>
  </r>
  <r>
    <d v="2025-09-19T00:00:00"/>
    <s v="net sales:product 1"/>
    <n v="9.99"/>
    <x v="18"/>
    <n v="849.15"/>
    <x v="3"/>
    <x v="1"/>
    <x v="1"/>
    <x v="8"/>
    <n v="-107.01"/>
  </r>
  <r>
    <d v="2025-09-19T00:00:00"/>
    <s v="net sales:product 2"/>
    <n v="24.99"/>
    <x v="2"/>
    <n v="74.97"/>
    <x v="3"/>
    <x v="2"/>
    <x v="1"/>
    <x v="8"/>
    <n v="49.95"/>
  </r>
  <r>
    <d v="2025-09-19T00:00:00"/>
    <s v="net sales:product 3"/>
    <n v="12.49"/>
    <x v="211"/>
    <n v="2585.4299999999998"/>
    <x v="3"/>
    <x v="3"/>
    <x v="1"/>
    <x v="8"/>
    <n v="74.97"/>
  </r>
  <r>
    <d v="2025-09-20T00:00:00"/>
    <s v="cogs:product 1"/>
    <n v="5.49"/>
    <x v="12"/>
    <n v="400.77000000000004"/>
    <x v="1"/>
    <x v="1"/>
    <x v="1"/>
    <x v="8"/>
    <n v="1174.06"/>
  </r>
  <r>
    <d v="2025-09-20T00:00:00"/>
    <s v="cogs:product 2"/>
    <n v="21.49"/>
    <x v="23"/>
    <n v="0"/>
    <x v="1"/>
    <x v="2"/>
    <x v="1"/>
    <x v="8"/>
    <n v="-263.52"/>
  </r>
  <r>
    <d v="2025-09-20T00:00:00"/>
    <s v="cogs:product 3"/>
    <n v="8.99"/>
    <x v="5"/>
    <n v="2031.74"/>
    <x v="1"/>
    <x v="3"/>
    <x v="1"/>
    <x v="8"/>
    <n v="-39.979999999999997"/>
  </r>
  <r>
    <d v="2025-09-20T00:00:00"/>
    <s v="marketing"/>
    <s v="NA"/>
    <x v="0"/>
    <n v="115.06"/>
    <x v="2"/>
    <x v="0"/>
    <x v="1"/>
    <x v="8"/>
    <n v="-2166.59"/>
  </r>
  <r>
    <d v="2025-09-20T00:00:00"/>
    <s v="net sales:product 1"/>
    <n v="9.99"/>
    <x v="12"/>
    <n v="729.27"/>
    <x v="3"/>
    <x v="1"/>
    <x v="1"/>
    <x v="8"/>
    <n v="-116.99000000000001"/>
  </r>
  <r>
    <d v="2025-09-20T00:00:00"/>
    <s v="net sales:product 2"/>
    <n v="24.99"/>
    <x v="23"/>
    <n v="0"/>
    <x v="3"/>
    <x v="2"/>
    <x v="1"/>
    <x v="8"/>
    <n v="479.52"/>
  </r>
  <r>
    <d v="2025-09-20T00:00:00"/>
    <s v="net sales:product 3"/>
    <n v="12.49"/>
    <x v="5"/>
    <n v="2822.7400000000002"/>
    <x v="3"/>
    <x v="3"/>
    <x v="1"/>
    <x v="8"/>
    <n v="49.98"/>
  </r>
  <r>
    <d v="2025-09-21T00:00:00"/>
    <s v="cogs:product 1"/>
    <n v="5.49"/>
    <x v="38"/>
    <n v="362.34000000000003"/>
    <x v="1"/>
    <x v="1"/>
    <x v="1"/>
    <x v="8"/>
    <n v="3010.09"/>
  </r>
  <r>
    <d v="2025-09-21T00:00:00"/>
    <s v="cogs:product 2"/>
    <n v="21.49"/>
    <x v="29"/>
    <n v="107.44999999999999"/>
    <x v="1"/>
    <x v="2"/>
    <x v="1"/>
    <x v="8"/>
    <n v="-269.01"/>
  </r>
  <r>
    <d v="2025-09-21T00:00:00"/>
    <s v="cogs:product 3"/>
    <n v="8.99"/>
    <x v="75"/>
    <n v="674.25"/>
    <x v="1"/>
    <x v="3"/>
    <x v="1"/>
    <x v="8"/>
    <n v="0"/>
  </r>
  <r>
    <d v="2025-09-21T00:00:00"/>
    <s v="marketing"/>
    <s v="NA"/>
    <x v="0"/>
    <n v="111"/>
    <x v="2"/>
    <x v="0"/>
    <x v="1"/>
    <x v="8"/>
    <n v="-53.94"/>
  </r>
  <r>
    <d v="2025-09-21T00:00:00"/>
    <s v="net sales:product 1"/>
    <n v="9.99"/>
    <x v="38"/>
    <n v="659.34"/>
    <x v="3"/>
    <x v="1"/>
    <x v="1"/>
    <x v="8"/>
    <n v="-117.02"/>
  </r>
  <r>
    <d v="2025-09-21T00:00:00"/>
    <s v="net sales:product 2"/>
    <n v="24.99"/>
    <x v="29"/>
    <n v="124.94999999999999"/>
    <x v="3"/>
    <x v="2"/>
    <x v="1"/>
    <x v="8"/>
    <n v="489.51"/>
  </r>
  <r>
    <d v="2025-09-21T00:00:00"/>
    <s v="net sales:product 3"/>
    <n v="12.49"/>
    <x v="75"/>
    <n v="936.75"/>
    <x v="3"/>
    <x v="3"/>
    <x v="1"/>
    <x v="8"/>
    <n v="0"/>
  </r>
  <r>
    <d v="2025-09-22T00:00:00"/>
    <s v="cogs:product 1"/>
    <n v="5.49"/>
    <x v="17"/>
    <n v="565.47"/>
    <x v="1"/>
    <x v="1"/>
    <x v="1"/>
    <x v="8"/>
    <n v="74.94"/>
  </r>
  <r>
    <d v="2025-09-22T00:00:00"/>
    <s v="cogs:product 2"/>
    <n v="21.49"/>
    <x v="23"/>
    <n v="0"/>
    <x v="1"/>
    <x v="2"/>
    <x v="1"/>
    <x v="8"/>
    <n v="-488.61"/>
  </r>
  <r>
    <d v="2025-09-22T00:00:00"/>
    <s v="cogs:product 3"/>
    <n v="8.99"/>
    <x v="179"/>
    <n v="1977.8"/>
    <x v="1"/>
    <x v="3"/>
    <x v="1"/>
    <x v="8"/>
    <n v="-59.97"/>
  </r>
  <r>
    <d v="2025-09-22T00:00:00"/>
    <s v="marketing"/>
    <s v="NA"/>
    <x v="0"/>
    <n v="101.06"/>
    <x v="2"/>
    <x v="0"/>
    <x v="1"/>
    <x v="8"/>
    <n v="-584.35"/>
  </r>
  <r>
    <d v="2025-09-22T00:00:00"/>
    <s v="net sales:product 1"/>
    <n v="9.99"/>
    <x v="17"/>
    <n v="1028.97"/>
    <x v="3"/>
    <x v="1"/>
    <x v="1"/>
    <x v="8"/>
    <n v="-113.98"/>
  </r>
  <r>
    <d v="2025-09-22T00:00:00"/>
    <s v="net sales:product 2"/>
    <n v="24.99"/>
    <x v="23"/>
    <n v="0"/>
    <x v="3"/>
    <x v="2"/>
    <x v="1"/>
    <x v="8"/>
    <n v="889.11"/>
  </r>
  <r>
    <d v="2025-09-22T00:00:00"/>
    <s v="net sales:product 3"/>
    <n v="12.49"/>
    <x v="179"/>
    <n v="2747.8"/>
    <x v="3"/>
    <x v="3"/>
    <x v="1"/>
    <x v="8"/>
    <n v="74.97"/>
  </r>
  <r>
    <d v="2025-09-23T00:00:00"/>
    <s v="cogs:product 1"/>
    <n v="5.49"/>
    <x v="122"/>
    <n v="142.74"/>
    <x v="1"/>
    <x v="1"/>
    <x v="1"/>
    <x v="8"/>
    <n v="811.85"/>
  </r>
  <r>
    <d v="2025-09-23T00:00:00"/>
    <s v="cogs:product 2"/>
    <n v="21.49"/>
    <x v="10"/>
    <n v="42.98"/>
    <x v="1"/>
    <x v="2"/>
    <x v="1"/>
    <x v="8"/>
    <n v="-428.22"/>
  </r>
  <r>
    <d v="2025-09-23T00:00:00"/>
    <s v="cogs:product 3"/>
    <n v="8.99"/>
    <x v="180"/>
    <n v="1932.8500000000001"/>
    <x v="1"/>
    <x v="3"/>
    <x v="1"/>
    <x v="8"/>
    <n v="-179.91"/>
  </r>
  <r>
    <d v="2025-09-23T00:00:00"/>
    <s v="marketing"/>
    <s v="NA"/>
    <x v="0"/>
    <n v="114.98"/>
    <x v="2"/>
    <x v="0"/>
    <x v="1"/>
    <x v="8"/>
    <n v="-1860.93"/>
  </r>
  <r>
    <d v="2025-09-23T00:00:00"/>
    <s v="net sales:product 1"/>
    <n v="9.99"/>
    <x v="122"/>
    <n v="259.74"/>
    <x v="3"/>
    <x v="1"/>
    <x v="1"/>
    <x v="8"/>
    <n v="-118.98"/>
  </r>
  <r>
    <d v="2025-09-23T00:00:00"/>
    <s v="net sales:product 2"/>
    <n v="24.99"/>
    <x v="10"/>
    <n v="49.98"/>
    <x v="3"/>
    <x v="2"/>
    <x v="1"/>
    <x v="8"/>
    <n v="779.22"/>
  </r>
  <r>
    <d v="2025-09-23T00:00:00"/>
    <s v="net sales:product 3"/>
    <n v="12.49"/>
    <x v="180"/>
    <n v="2685.35"/>
    <x v="3"/>
    <x v="3"/>
    <x v="1"/>
    <x v="8"/>
    <n v="224.91"/>
  </r>
  <r>
    <d v="2025-09-24T00:00:00"/>
    <s v="cogs:product 1"/>
    <n v="5.49"/>
    <x v="120"/>
    <n v="439.20000000000005"/>
    <x v="1"/>
    <x v="1"/>
    <x v="1"/>
    <x v="8"/>
    <n v="2585.4299999999998"/>
  </r>
  <r>
    <d v="2025-09-24T00:00:00"/>
    <s v="cogs:product 2"/>
    <n v="21.49"/>
    <x v="13"/>
    <n v="150.42999999999998"/>
    <x v="1"/>
    <x v="2"/>
    <x v="1"/>
    <x v="8"/>
    <n v="-505.08000000000004"/>
  </r>
  <r>
    <d v="2025-09-24T00:00:00"/>
    <s v="cogs:product 3"/>
    <n v="8.99"/>
    <x v="189"/>
    <n v="1959.82"/>
    <x v="1"/>
    <x v="3"/>
    <x v="1"/>
    <x v="8"/>
    <n v="-159.91999999999999"/>
  </r>
  <r>
    <d v="2025-09-24T00:00:00"/>
    <s v="marketing"/>
    <s v="NA"/>
    <x v="0"/>
    <n v="112.92"/>
    <x v="2"/>
    <x v="0"/>
    <x v="1"/>
    <x v="8"/>
    <n v="-17.98"/>
  </r>
  <r>
    <d v="2025-09-24T00:00:00"/>
    <s v="net sales:product 1"/>
    <n v="9.99"/>
    <x v="120"/>
    <n v="799.2"/>
    <x v="3"/>
    <x v="1"/>
    <x v="1"/>
    <x v="8"/>
    <n v="-110.93"/>
  </r>
  <r>
    <d v="2025-09-24T00:00:00"/>
    <s v="net sales:product 2"/>
    <n v="24.99"/>
    <x v="13"/>
    <n v="174.92999999999998"/>
    <x v="3"/>
    <x v="2"/>
    <x v="1"/>
    <x v="8"/>
    <n v="919.08"/>
  </r>
  <r>
    <d v="2025-09-24T00:00:00"/>
    <s v="net sales:product 3"/>
    <n v="12.49"/>
    <x v="189"/>
    <n v="2722.82"/>
    <x v="3"/>
    <x v="3"/>
    <x v="1"/>
    <x v="8"/>
    <n v="199.92"/>
  </r>
  <r>
    <d v="2025-09-25T00:00:00"/>
    <s v="cogs:product 1"/>
    <n v="5.49"/>
    <x v="58"/>
    <n v="230.58"/>
    <x v="1"/>
    <x v="1"/>
    <x v="1"/>
    <x v="8"/>
    <n v="24.98"/>
  </r>
  <r>
    <d v="2025-09-25T00:00:00"/>
    <s v="cogs:product 2"/>
    <n v="21.49"/>
    <x v="10"/>
    <n v="42.98"/>
    <x v="1"/>
    <x v="2"/>
    <x v="1"/>
    <x v="8"/>
    <n v="-450.18"/>
  </r>
  <r>
    <d v="2025-09-25T00:00:00"/>
    <s v="cogs:product 3"/>
    <n v="8.99"/>
    <x v="89"/>
    <n v="1015.87"/>
    <x v="1"/>
    <x v="3"/>
    <x v="1"/>
    <x v="8"/>
    <n v="-39.979999999999997"/>
  </r>
  <r>
    <d v="2025-09-25T00:00:00"/>
    <s v="marketing"/>
    <s v="NA"/>
    <x v="0"/>
    <n v="107.97"/>
    <x v="2"/>
    <x v="0"/>
    <x v="1"/>
    <x v="8"/>
    <n v="-1195.67"/>
  </r>
  <r>
    <d v="2025-09-25T00:00:00"/>
    <s v="net sales:product 1"/>
    <n v="9.99"/>
    <x v="58"/>
    <n v="419.58"/>
    <x v="3"/>
    <x v="1"/>
    <x v="1"/>
    <x v="8"/>
    <n v="-113.94"/>
  </r>
  <r>
    <d v="2025-09-25T00:00:00"/>
    <s v="net sales:product 2"/>
    <n v="24.99"/>
    <x v="10"/>
    <n v="49.98"/>
    <x v="3"/>
    <x v="2"/>
    <x v="1"/>
    <x v="8"/>
    <n v="819.18000000000006"/>
  </r>
  <r>
    <d v="2025-09-25T00:00:00"/>
    <s v="net sales:product 3"/>
    <n v="12.49"/>
    <x v="89"/>
    <n v="1411.3700000000001"/>
    <x v="3"/>
    <x v="3"/>
    <x v="1"/>
    <x v="8"/>
    <n v="49.98"/>
  </r>
  <r>
    <d v="2025-09-26T00:00:00"/>
    <s v="cogs:product 1"/>
    <n v="5.49"/>
    <x v="23"/>
    <n v="0"/>
    <x v="1"/>
    <x v="1"/>
    <x v="1"/>
    <x v="8"/>
    <n v="1661.17"/>
  </r>
  <r>
    <d v="2025-09-26T00:00:00"/>
    <s v="cogs:product 2"/>
    <n v="21.49"/>
    <x v="16"/>
    <n v="171.92"/>
    <x v="1"/>
    <x v="2"/>
    <x v="1"/>
    <x v="8"/>
    <n v="-389.79"/>
  </r>
  <r>
    <d v="2025-09-26T00:00:00"/>
    <s v="cogs:product 3"/>
    <n v="8.99"/>
    <x v="177"/>
    <n v="1753.05"/>
    <x v="1"/>
    <x v="3"/>
    <x v="1"/>
    <x v="8"/>
    <n v="0"/>
  </r>
  <r>
    <d v="2025-09-26T00:00:00"/>
    <s v="marketing"/>
    <s v="NA"/>
    <x v="0"/>
    <n v="120.09"/>
    <x v="2"/>
    <x v="0"/>
    <x v="1"/>
    <x v="8"/>
    <n v="-970.92000000000007"/>
  </r>
  <r>
    <d v="2025-09-26T00:00:00"/>
    <s v="net sales:product 1"/>
    <n v="9.99"/>
    <x v="23"/>
    <n v="0"/>
    <x v="3"/>
    <x v="1"/>
    <x v="1"/>
    <x v="8"/>
    <n v="-119.94"/>
  </r>
  <r>
    <d v="2025-09-26T00:00:00"/>
    <s v="net sales:product 2"/>
    <n v="24.99"/>
    <x v="16"/>
    <n v="199.92"/>
    <x v="3"/>
    <x v="2"/>
    <x v="1"/>
    <x v="8"/>
    <n v="709.29"/>
  </r>
  <r>
    <d v="2025-09-26T00:00:00"/>
    <s v="net sales:product 3"/>
    <n v="12.49"/>
    <x v="177"/>
    <n v="2435.5500000000002"/>
    <x v="3"/>
    <x v="3"/>
    <x v="1"/>
    <x v="8"/>
    <n v="0"/>
  </r>
  <r>
    <d v="2025-09-26T00:00:00"/>
    <s v="payroll"/>
    <s v="NA"/>
    <x v="0"/>
    <n v="1200"/>
    <x v="5"/>
    <x v="0"/>
    <x v="1"/>
    <x v="8"/>
    <n v="1348.92"/>
  </r>
  <r>
    <d v="2025-09-27T00:00:00"/>
    <s v="cogs:product 1"/>
    <n v="5.49"/>
    <x v="15"/>
    <n v="208.62"/>
    <x v="1"/>
    <x v="1"/>
    <x v="1"/>
    <x v="8"/>
    <n v="-76.86"/>
  </r>
  <r>
    <d v="2025-09-27T00:00:00"/>
    <s v="cogs:product 2"/>
    <n v="21.49"/>
    <x v="2"/>
    <n v="64.47"/>
    <x v="1"/>
    <x v="2"/>
    <x v="1"/>
    <x v="8"/>
    <n v="-39.979999999999997"/>
  </r>
  <r>
    <d v="2025-09-27T00:00:00"/>
    <s v="cogs:product 3"/>
    <n v="8.99"/>
    <x v="142"/>
    <n v="2004.77"/>
    <x v="1"/>
    <x v="3"/>
    <x v="1"/>
    <x v="8"/>
    <n v="-2076.69"/>
  </r>
  <r>
    <d v="2025-09-27T00:00:00"/>
    <s v="marketing"/>
    <s v="NA"/>
    <x v="0"/>
    <n v="109.09"/>
    <x v="2"/>
    <x v="0"/>
    <x v="1"/>
    <x v="8"/>
    <n v="-103.01"/>
  </r>
  <r>
    <d v="2025-09-27T00:00:00"/>
    <s v="net sales:product 1"/>
    <n v="9.99"/>
    <x v="15"/>
    <n v="379.62"/>
    <x v="3"/>
    <x v="1"/>
    <x v="1"/>
    <x v="8"/>
    <n v="139.86000000000001"/>
  </r>
  <r>
    <d v="2025-09-27T00:00:00"/>
    <s v="net sales:product 2"/>
    <n v="24.99"/>
    <x v="2"/>
    <n v="74.97"/>
    <x v="3"/>
    <x v="2"/>
    <x v="1"/>
    <x v="8"/>
    <n v="49.98"/>
  </r>
  <r>
    <d v="2025-09-27T00:00:00"/>
    <s v="net sales:product 3"/>
    <n v="12.49"/>
    <x v="142"/>
    <n v="2785.27"/>
    <x v="3"/>
    <x v="3"/>
    <x v="1"/>
    <x v="8"/>
    <n v="2885.19"/>
  </r>
  <r>
    <d v="2025-09-28T00:00:00"/>
    <s v="cogs:product 1"/>
    <n v="5.49"/>
    <x v="6"/>
    <n v="203.13"/>
    <x v="1"/>
    <x v="1"/>
    <x v="1"/>
    <x v="8"/>
    <n v="-203.13"/>
  </r>
  <r>
    <d v="2025-09-28T00:00:00"/>
    <s v="cogs:product 2"/>
    <n v="21.49"/>
    <x v="16"/>
    <n v="171.92"/>
    <x v="1"/>
    <x v="2"/>
    <x v="1"/>
    <x v="8"/>
    <n v="-59.97"/>
  </r>
  <r>
    <d v="2025-09-28T00:00:00"/>
    <s v="cogs:product 3"/>
    <n v="8.99"/>
    <x v="220"/>
    <n v="899"/>
    <x v="1"/>
    <x v="3"/>
    <x v="1"/>
    <x v="8"/>
    <n v="-988.9"/>
  </r>
  <r>
    <d v="2025-09-28T00:00:00"/>
    <s v="marketing"/>
    <s v="NA"/>
    <x v="0"/>
    <n v="102.97"/>
    <x v="2"/>
    <x v="0"/>
    <x v="1"/>
    <x v="8"/>
    <n v="-108.92"/>
  </r>
  <r>
    <d v="2025-09-28T00:00:00"/>
    <s v="net sales:product 1"/>
    <n v="9.99"/>
    <x v="6"/>
    <n v="369.63"/>
    <x v="3"/>
    <x v="1"/>
    <x v="1"/>
    <x v="8"/>
    <n v="369.63"/>
  </r>
  <r>
    <d v="2025-09-28T00:00:00"/>
    <s v="net sales:product 2"/>
    <n v="24.99"/>
    <x v="16"/>
    <n v="199.92"/>
    <x v="3"/>
    <x v="2"/>
    <x v="1"/>
    <x v="8"/>
    <n v="74.97"/>
  </r>
  <r>
    <d v="2025-09-28T00:00:00"/>
    <s v="net sales:product 3"/>
    <n v="12.49"/>
    <x v="220"/>
    <n v="1249"/>
    <x v="3"/>
    <x v="3"/>
    <x v="1"/>
    <x v="8"/>
    <n v="1373.9"/>
  </r>
  <r>
    <d v="2025-09-29T00:00:00"/>
    <s v="cogs:product 1"/>
    <n v="5.49"/>
    <x v="100"/>
    <n v="483.12"/>
    <x v="1"/>
    <x v="1"/>
    <x v="1"/>
    <x v="8"/>
    <n v="-1200"/>
  </r>
  <r>
    <d v="2025-09-29T00:00:00"/>
    <s v="cogs:product 2"/>
    <n v="21.49"/>
    <x v="25"/>
    <n v="21.49"/>
    <x v="1"/>
    <x v="2"/>
    <x v="1"/>
    <x v="8"/>
    <n v="-433.71000000000004"/>
  </r>
  <r>
    <d v="2025-09-29T00:00:00"/>
    <s v="cogs:product 3"/>
    <n v="8.99"/>
    <x v="50"/>
    <n v="809.1"/>
    <x v="1"/>
    <x v="3"/>
    <x v="1"/>
    <x v="8"/>
    <n v="-99.949999999999989"/>
  </r>
  <r>
    <d v="2025-09-29T00:00:00"/>
    <s v="marketing"/>
    <s v="NA"/>
    <x v="0"/>
    <n v="118.10000000000001"/>
    <x v="2"/>
    <x v="0"/>
    <x v="1"/>
    <x v="8"/>
    <n v="0"/>
  </r>
  <r>
    <d v="2025-09-29T00:00:00"/>
    <s v="net sales:product 1"/>
    <n v="9.99"/>
    <x v="100"/>
    <n v="879.12"/>
    <x v="3"/>
    <x v="1"/>
    <x v="1"/>
    <x v="8"/>
    <n v="-111.97"/>
  </r>
  <r>
    <d v="2025-09-29T00:00:00"/>
    <s v="net sales:product 2"/>
    <n v="24.99"/>
    <x v="25"/>
    <n v="24.99"/>
    <x v="3"/>
    <x v="2"/>
    <x v="1"/>
    <x v="8"/>
    <n v="789.21"/>
  </r>
  <r>
    <d v="2025-09-29T00:00:00"/>
    <s v="net sales:product 3"/>
    <n v="12.49"/>
    <x v="50"/>
    <n v="1124.0999999999999"/>
    <x v="3"/>
    <x v="3"/>
    <x v="1"/>
    <x v="8"/>
    <n v="124.94999999999999"/>
  </r>
  <r>
    <d v="2025-09-30T00:00:00"/>
    <s v="cogs:product 1"/>
    <n v="5.49"/>
    <x v="124"/>
    <n v="186.66"/>
    <x v="1"/>
    <x v="1"/>
    <x v="1"/>
    <x v="8"/>
    <n v="0"/>
  </r>
  <r>
    <d v="2025-09-30T00:00:00"/>
    <s v="cogs:product 2"/>
    <n v="21.49"/>
    <x v="23"/>
    <n v="0"/>
    <x v="1"/>
    <x v="2"/>
    <x v="1"/>
    <x v="8"/>
    <n v="-285.48"/>
  </r>
  <r>
    <d v="2025-09-30T00:00:00"/>
    <s v="cogs:product 3"/>
    <n v="8.99"/>
    <x v="118"/>
    <n v="1654.16"/>
    <x v="1"/>
    <x v="3"/>
    <x v="1"/>
    <x v="8"/>
    <n v="-59.97"/>
  </r>
  <r>
    <d v="2025-09-30T00:00:00"/>
    <s v="marketing"/>
    <s v="NA"/>
    <x v="0"/>
    <n v="101.01"/>
    <x v="2"/>
    <x v="0"/>
    <x v="1"/>
    <x v="8"/>
    <n v="-1123.75"/>
  </r>
  <r>
    <d v="2025-09-30T00:00:00"/>
    <s v="net sales:product 1"/>
    <n v="9.99"/>
    <x v="124"/>
    <n v="339.66"/>
    <x v="3"/>
    <x v="1"/>
    <x v="1"/>
    <x v="8"/>
    <n v="-117.99000000000001"/>
  </r>
  <r>
    <d v="2025-09-30T00:00:00"/>
    <s v="net sales:product 2"/>
    <n v="24.99"/>
    <x v="23"/>
    <n v="0"/>
    <x v="3"/>
    <x v="2"/>
    <x v="1"/>
    <x v="8"/>
    <n v="519.48"/>
  </r>
  <r>
    <d v="2025-09-30T00:00:00"/>
    <s v="net sales:product 3"/>
    <n v="12.49"/>
    <x v="118"/>
    <n v="2298.16"/>
    <x v="3"/>
    <x v="3"/>
    <x v="1"/>
    <x v="8"/>
    <n v="74.97"/>
  </r>
  <r>
    <d v="2025-10-01T00:00:00"/>
    <s v="amortization"/>
    <s v="NA"/>
    <x v="0"/>
    <n v="50"/>
    <x v="0"/>
    <x v="0"/>
    <x v="1"/>
    <x v="9"/>
    <n v="1561.25"/>
  </r>
  <r>
    <d v="2025-10-01T00:00:00"/>
    <s v="cogs:product 1"/>
    <n v="5.49"/>
    <x v="46"/>
    <n v="373.32"/>
    <x v="1"/>
    <x v="1"/>
    <x v="1"/>
    <x v="9"/>
    <n v="0"/>
  </r>
  <r>
    <d v="2025-10-01T00:00:00"/>
    <s v="cogs:product 2"/>
    <n v="21.49"/>
    <x v="16"/>
    <n v="171.92"/>
    <x v="1"/>
    <x v="2"/>
    <x v="1"/>
    <x v="9"/>
    <n v="-247.05"/>
  </r>
  <r>
    <d v="2025-10-01T00:00:00"/>
    <s v="cogs:product 3"/>
    <n v="8.99"/>
    <x v="192"/>
    <n v="1806.99"/>
    <x v="1"/>
    <x v="3"/>
    <x v="1"/>
    <x v="9"/>
    <n v="-21.49"/>
  </r>
  <r>
    <d v="2025-10-01T00:00:00"/>
    <s v="marketing"/>
    <s v="NA"/>
    <x v="0"/>
    <n v="106.03"/>
    <x v="2"/>
    <x v="0"/>
    <x v="1"/>
    <x v="9"/>
    <n v="-1726.08"/>
  </r>
  <r>
    <d v="2025-10-01T00:00:00"/>
    <s v="net sales:product 1"/>
    <n v="9.99"/>
    <x v="46"/>
    <n v="679.32"/>
    <x v="3"/>
    <x v="1"/>
    <x v="1"/>
    <x v="9"/>
    <n v="-117.94"/>
  </r>
  <r>
    <d v="2025-10-01T00:00:00"/>
    <s v="net sales:product 2"/>
    <n v="24.99"/>
    <x v="16"/>
    <n v="199.92"/>
    <x v="3"/>
    <x v="2"/>
    <x v="1"/>
    <x v="9"/>
    <n v="449.55"/>
  </r>
  <r>
    <d v="2025-10-01T00:00:00"/>
    <s v="net sales:product 3"/>
    <n v="12.49"/>
    <x v="192"/>
    <n v="2510.4900000000002"/>
    <x v="3"/>
    <x v="3"/>
    <x v="1"/>
    <x v="9"/>
    <n v="24.99"/>
  </r>
  <r>
    <d v="2025-10-01T00:00:00"/>
    <s v="overhead"/>
    <s v="NA"/>
    <x v="0"/>
    <n v="2000"/>
    <x v="4"/>
    <x v="0"/>
    <x v="1"/>
    <x v="9"/>
    <n v="2398.08"/>
  </r>
  <r>
    <d v="2025-10-02T00:00:00"/>
    <s v="cogs:product 1"/>
    <n v="5.49"/>
    <x v="52"/>
    <n v="499.59000000000003"/>
    <x v="1"/>
    <x v="1"/>
    <x v="1"/>
    <x v="9"/>
    <n v="-2000"/>
  </r>
  <r>
    <d v="2025-10-02T00:00:00"/>
    <s v="cogs:product 2"/>
    <n v="21.49"/>
    <x v="25"/>
    <n v="21.49"/>
    <x v="1"/>
    <x v="2"/>
    <x v="1"/>
    <x v="9"/>
    <n v="-538.02"/>
  </r>
  <r>
    <d v="2025-10-02T00:00:00"/>
    <s v="cogs:product 3"/>
    <n v="8.99"/>
    <x v="120"/>
    <n v="719.2"/>
    <x v="1"/>
    <x v="3"/>
    <x v="1"/>
    <x v="9"/>
    <n v="-150.42999999999998"/>
  </r>
  <r>
    <d v="2025-10-02T00:00:00"/>
    <s v="marketing"/>
    <s v="NA"/>
    <x v="0"/>
    <n v="105.05"/>
    <x v="2"/>
    <x v="0"/>
    <x v="1"/>
    <x v="9"/>
    <n v="-1815.98"/>
  </r>
  <r>
    <d v="2025-10-02T00:00:00"/>
    <s v="net sales:product 1"/>
    <n v="9.99"/>
    <x v="52"/>
    <n v="909.09"/>
    <x v="3"/>
    <x v="1"/>
    <x v="1"/>
    <x v="9"/>
    <n v="-103.01"/>
  </r>
  <r>
    <d v="2025-10-02T00:00:00"/>
    <s v="net sales:product 2"/>
    <n v="24.99"/>
    <x v="25"/>
    <n v="24.99"/>
    <x v="3"/>
    <x v="2"/>
    <x v="1"/>
    <x v="9"/>
    <n v="979.02"/>
  </r>
  <r>
    <d v="2025-10-02T00:00:00"/>
    <s v="net sales:product 3"/>
    <n v="12.49"/>
    <x v="120"/>
    <n v="999.2"/>
    <x v="3"/>
    <x v="3"/>
    <x v="1"/>
    <x v="9"/>
    <n v="174.92999999999998"/>
  </r>
  <r>
    <d v="2025-10-03T00:00:00"/>
    <s v="cogs:product 1"/>
    <n v="5.49"/>
    <x v="138"/>
    <n v="285.48"/>
    <x v="1"/>
    <x v="1"/>
    <x v="1"/>
    <x v="9"/>
    <n v="2522.98"/>
  </r>
  <r>
    <d v="2025-10-03T00:00:00"/>
    <s v="cogs:product 2"/>
    <n v="21.49"/>
    <x v="13"/>
    <n v="150.42999999999998"/>
    <x v="1"/>
    <x v="2"/>
    <x v="1"/>
    <x v="9"/>
    <n v="-279.99"/>
  </r>
  <r>
    <d v="2025-10-03T00:00:00"/>
    <s v="cogs:product 3"/>
    <n v="8.99"/>
    <x v="195"/>
    <n v="1528.3"/>
    <x v="1"/>
    <x v="3"/>
    <x v="1"/>
    <x v="9"/>
    <n v="-21.49"/>
  </r>
  <r>
    <d v="2025-10-03T00:00:00"/>
    <s v="marketing"/>
    <s v="NA"/>
    <x v="0"/>
    <n v="103.05"/>
    <x v="2"/>
    <x v="0"/>
    <x v="1"/>
    <x v="9"/>
    <n v="-296.67"/>
  </r>
  <r>
    <d v="2025-10-03T00:00:00"/>
    <s v="net sales:product 1"/>
    <n v="9.99"/>
    <x v="138"/>
    <n v="519.48"/>
    <x v="3"/>
    <x v="1"/>
    <x v="1"/>
    <x v="9"/>
    <n v="-108.01"/>
  </r>
  <r>
    <d v="2025-10-03T00:00:00"/>
    <s v="net sales:product 2"/>
    <n v="24.99"/>
    <x v="13"/>
    <n v="174.92999999999998"/>
    <x v="3"/>
    <x v="2"/>
    <x v="1"/>
    <x v="9"/>
    <n v="509.49"/>
  </r>
  <r>
    <d v="2025-10-03T00:00:00"/>
    <s v="net sales:product 3"/>
    <n v="12.49"/>
    <x v="195"/>
    <n v="2123.3000000000002"/>
    <x v="3"/>
    <x v="3"/>
    <x v="1"/>
    <x v="9"/>
    <n v="24.99"/>
  </r>
  <r>
    <d v="2025-10-04T00:00:00"/>
    <s v="cogs:product 1"/>
    <n v="5.49"/>
    <x v="71"/>
    <n v="455.67"/>
    <x v="1"/>
    <x v="1"/>
    <x v="1"/>
    <x v="9"/>
    <n v="412.17"/>
  </r>
  <r>
    <d v="2025-10-04T00:00:00"/>
    <s v="cogs:product 2"/>
    <n v="21.49"/>
    <x v="16"/>
    <n v="171.92"/>
    <x v="1"/>
    <x v="2"/>
    <x v="1"/>
    <x v="9"/>
    <n v="-87.84"/>
  </r>
  <r>
    <d v="2025-10-04T00:00:00"/>
    <s v="cogs:product 3"/>
    <n v="8.99"/>
    <x v="139"/>
    <n v="323.64"/>
    <x v="1"/>
    <x v="3"/>
    <x v="1"/>
    <x v="9"/>
    <n v="0"/>
  </r>
  <r>
    <d v="2025-10-04T00:00:00"/>
    <s v="marketing"/>
    <s v="NA"/>
    <x v="0"/>
    <n v="112.03"/>
    <x v="2"/>
    <x v="0"/>
    <x v="1"/>
    <x v="9"/>
    <n v="-368.59000000000003"/>
  </r>
  <r>
    <d v="2025-10-04T00:00:00"/>
    <s v="net sales:product 1"/>
    <n v="9.99"/>
    <x v="71"/>
    <n v="829.17000000000007"/>
    <x v="3"/>
    <x v="1"/>
    <x v="1"/>
    <x v="9"/>
    <n v="-102.04"/>
  </r>
  <r>
    <d v="2025-10-04T00:00:00"/>
    <s v="net sales:product 2"/>
    <n v="24.99"/>
    <x v="16"/>
    <n v="199.92"/>
    <x v="3"/>
    <x v="2"/>
    <x v="1"/>
    <x v="9"/>
    <n v="159.84"/>
  </r>
  <r>
    <d v="2025-10-04T00:00:00"/>
    <s v="net sales:product 3"/>
    <n v="12.49"/>
    <x v="139"/>
    <n v="449.64"/>
    <x v="3"/>
    <x v="3"/>
    <x v="1"/>
    <x v="9"/>
    <n v="0"/>
  </r>
  <r>
    <d v="2025-10-05T00:00:00"/>
    <s v="cogs:product 1"/>
    <n v="5.49"/>
    <x v="110"/>
    <n v="334.89"/>
    <x v="1"/>
    <x v="1"/>
    <x v="1"/>
    <x v="9"/>
    <n v="512.09"/>
  </r>
  <r>
    <d v="2025-10-05T00:00:00"/>
    <s v="cogs:product 2"/>
    <n v="21.49"/>
    <x v="19"/>
    <n v="85.96"/>
    <x v="1"/>
    <x v="2"/>
    <x v="1"/>
    <x v="9"/>
    <n v="-60.39"/>
  </r>
  <r>
    <d v="2025-10-05T00:00:00"/>
    <s v="cogs:product 3"/>
    <n v="8.99"/>
    <x v="122"/>
    <n v="233.74"/>
    <x v="1"/>
    <x v="3"/>
    <x v="1"/>
    <x v="9"/>
    <n v="0"/>
  </r>
  <r>
    <d v="2025-10-05T00:00:00"/>
    <s v="marketing"/>
    <s v="NA"/>
    <x v="0"/>
    <n v="106.04"/>
    <x v="2"/>
    <x v="0"/>
    <x v="1"/>
    <x v="9"/>
    <n v="-791.12"/>
  </r>
  <r>
    <d v="2025-10-05T00:00:00"/>
    <s v="net sales:product 1"/>
    <n v="9.99"/>
    <x v="110"/>
    <n v="609.39"/>
    <x v="3"/>
    <x v="1"/>
    <x v="1"/>
    <x v="9"/>
    <n v="-116.07000000000001"/>
  </r>
  <r>
    <d v="2025-10-05T00:00:00"/>
    <s v="net sales:product 2"/>
    <n v="24.99"/>
    <x v="19"/>
    <n v="99.96"/>
    <x v="3"/>
    <x v="2"/>
    <x v="1"/>
    <x v="9"/>
    <n v="109.89"/>
  </r>
  <r>
    <d v="2025-10-05T00:00:00"/>
    <s v="net sales:product 3"/>
    <n v="12.49"/>
    <x v="122"/>
    <n v="324.74"/>
    <x v="3"/>
    <x v="3"/>
    <x v="1"/>
    <x v="9"/>
    <n v="0"/>
  </r>
  <r>
    <d v="2025-10-06T00:00:00"/>
    <s v="cogs:product 1"/>
    <n v="5.49"/>
    <x v="124"/>
    <n v="186.66"/>
    <x v="1"/>
    <x v="1"/>
    <x v="1"/>
    <x v="9"/>
    <n v="1099.1200000000001"/>
  </r>
  <r>
    <d v="2025-10-06T00:00:00"/>
    <s v="cogs:product 2"/>
    <n v="21.49"/>
    <x v="10"/>
    <n v="42.98"/>
    <x v="1"/>
    <x v="2"/>
    <x v="1"/>
    <x v="9"/>
    <n v="-197.64000000000001"/>
  </r>
  <r>
    <d v="2025-10-06T00:00:00"/>
    <s v="cogs:product 3"/>
    <n v="8.99"/>
    <x v="42"/>
    <n v="53.94"/>
    <x v="1"/>
    <x v="3"/>
    <x v="1"/>
    <x v="9"/>
    <n v="-150.42999999999998"/>
  </r>
  <r>
    <d v="2025-10-06T00:00:00"/>
    <s v="marketing"/>
    <s v="NA"/>
    <x v="0"/>
    <n v="108.92"/>
    <x v="2"/>
    <x v="0"/>
    <x v="1"/>
    <x v="9"/>
    <n v="-1321.53"/>
  </r>
  <r>
    <d v="2025-10-06T00:00:00"/>
    <s v="net sales:product 1"/>
    <n v="9.99"/>
    <x v="124"/>
    <n v="339.66"/>
    <x v="3"/>
    <x v="1"/>
    <x v="1"/>
    <x v="9"/>
    <n v="-113.03"/>
  </r>
  <r>
    <d v="2025-10-06T00:00:00"/>
    <s v="net sales:product 2"/>
    <n v="24.99"/>
    <x v="10"/>
    <n v="49.98"/>
    <x v="3"/>
    <x v="2"/>
    <x v="1"/>
    <x v="9"/>
    <n v="359.64"/>
  </r>
  <r>
    <d v="2025-10-06T00:00:00"/>
    <s v="net sales:product 3"/>
    <n v="12.49"/>
    <x v="42"/>
    <n v="74.94"/>
    <x v="3"/>
    <x v="3"/>
    <x v="1"/>
    <x v="9"/>
    <n v="174.92999999999998"/>
  </r>
  <r>
    <d v="2025-10-07T00:00:00"/>
    <s v="cogs:product 1"/>
    <n v="5.49"/>
    <x v="127"/>
    <n v="76.86"/>
    <x v="1"/>
    <x v="1"/>
    <x v="1"/>
    <x v="9"/>
    <n v="1836.03"/>
  </r>
  <r>
    <d v="2025-10-07T00:00:00"/>
    <s v="cogs:product 2"/>
    <n v="21.49"/>
    <x v="23"/>
    <n v="0"/>
    <x v="1"/>
    <x v="2"/>
    <x v="1"/>
    <x v="9"/>
    <n v="-98.820000000000007"/>
  </r>
  <r>
    <d v="2025-10-07T00:00:00"/>
    <s v="cogs:product 3"/>
    <n v="8.99"/>
    <x v="54"/>
    <n v="395.56"/>
    <x v="1"/>
    <x v="3"/>
    <x v="1"/>
    <x v="9"/>
    <n v="-85.96"/>
  </r>
  <r>
    <d v="2025-10-07T00:00:00"/>
    <s v="marketing"/>
    <s v="NA"/>
    <x v="0"/>
    <n v="119.05"/>
    <x v="2"/>
    <x v="0"/>
    <x v="1"/>
    <x v="9"/>
    <n v="-215.76"/>
  </r>
  <r>
    <d v="2025-10-07T00:00:00"/>
    <s v="net sales:product 1"/>
    <n v="9.99"/>
    <x v="127"/>
    <n v="139.86000000000001"/>
    <x v="3"/>
    <x v="1"/>
    <x v="1"/>
    <x v="9"/>
    <n v="-104.91"/>
  </r>
  <r>
    <d v="2025-10-07T00:00:00"/>
    <s v="net sales:product 2"/>
    <n v="24.99"/>
    <x v="23"/>
    <n v="0"/>
    <x v="3"/>
    <x v="2"/>
    <x v="1"/>
    <x v="9"/>
    <n v="179.82"/>
  </r>
  <r>
    <d v="2025-10-07T00:00:00"/>
    <s v="net sales:product 3"/>
    <n v="12.49"/>
    <x v="54"/>
    <n v="549.56000000000006"/>
    <x v="3"/>
    <x v="3"/>
    <x v="1"/>
    <x v="9"/>
    <n v="99.96"/>
  </r>
  <r>
    <d v="2025-10-08T00:00:00"/>
    <s v="cogs:product 1"/>
    <n v="5.49"/>
    <x v="111"/>
    <n v="120.78"/>
    <x v="1"/>
    <x v="1"/>
    <x v="1"/>
    <x v="9"/>
    <n v="299.76"/>
  </r>
  <r>
    <d v="2025-10-08T00:00:00"/>
    <s v="cogs:product 2"/>
    <n v="21.49"/>
    <x v="42"/>
    <n v="128.94"/>
    <x v="1"/>
    <x v="2"/>
    <x v="1"/>
    <x v="9"/>
    <n v="-197.64000000000001"/>
  </r>
  <r>
    <d v="2025-10-08T00:00:00"/>
    <s v="cogs:product 3"/>
    <n v="8.99"/>
    <x v="186"/>
    <n v="2157.6"/>
    <x v="1"/>
    <x v="3"/>
    <x v="1"/>
    <x v="9"/>
    <n v="-107.44999999999999"/>
  </r>
  <r>
    <d v="2025-10-08T00:00:00"/>
    <s v="marketing"/>
    <s v="NA"/>
    <x v="0"/>
    <n v="118.9"/>
    <x v="2"/>
    <x v="0"/>
    <x v="1"/>
    <x v="9"/>
    <n v="-773.14"/>
  </r>
  <r>
    <d v="2025-10-08T00:00:00"/>
    <s v="net sales:product 1"/>
    <n v="9.99"/>
    <x v="111"/>
    <n v="219.78"/>
    <x v="3"/>
    <x v="1"/>
    <x v="1"/>
    <x v="9"/>
    <n v="-101.04"/>
  </r>
  <r>
    <d v="2025-10-08T00:00:00"/>
    <s v="net sales:product 2"/>
    <n v="24.99"/>
    <x v="42"/>
    <n v="149.94"/>
    <x v="3"/>
    <x v="2"/>
    <x v="1"/>
    <x v="9"/>
    <n v="359.64"/>
  </r>
  <r>
    <d v="2025-10-08T00:00:00"/>
    <s v="net sales:product 3"/>
    <n v="12.49"/>
    <x v="186"/>
    <n v="2997.6"/>
    <x v="3"/>
    <x v="3"/>
    <x v="1"/>
    <x v="9"/>
    <n v="124.94999999999999"/>
  </r>
  <r>
    <d v="2025-10-09T00:00:00"/>
    <s v="cogs:product 1"/>
    <n v="5.49"/>
    <x v="145"/>
    <n v="82.350000000000009"/>
    <x v="1"/>
    <x v="1"/>
    <x v="1"/>
    <x v="9"/>
    <n v="1074.1400000000001"/>
  </r>
  <r>
    <d v="2025-10-09T00:00:00"/>
    <s v="cogs:product 2"/>
    <n v="21.49"/>
    <x v="2"/>
    <n v="64.47"/>
    <x v="1"/>
    <x v="2"/>
    <x v="1"/>
    <x v="9"/>
    <n v="-230.58"/>
  </r>
  <r>
    <d v="2025-10-09T00:00:00"/>
    <s v="cogs:product 3"/>
    <n v="8.99"/>
    <x v="199"/>
    <n v="1887.9"/>
    <x v="1"/>
    <x v="3"/>
    <x v="1"/>
    <x v="9"/>
    <n v="-64.47"/>
  </r>
  <r>
    <d v="2025-10-09T00:00:00"/>
    <s v="marketing"/>
    <s v="NA"/>
    <x v="0"/>
    <n v="115.95"/>
    <x v="2"/>
    <x v="0"/>
    <x v="1"/>
    <x v="9"/>
    <n v="-1357.49"/>
  </r>
  <r>
    <d v="2025-10-09T00:00:00"/>
    <s v="net sales:product 1"/>
    <n v="9.99"/>
    <x v="145"/>
    <n v="149.85"/>
    <x v="3"/>
    <x v="1"/>
    <x v="1"/>
    <x v="9"/>
    <n v="-108.04"/>
  </r>
  <r>
    <d v="2025-10-09T00:00:00"/>
    <s v="net sales:product 2"/>
    <n v="24.99"/>
    <x v="2"/>
    <n v="74.97"/>
    <x v="3"/>
    <x v="2"/>
    <x v="1"/>
    <x v="9"/>
    <n v="419.58"/>
  </r>
  <r>
    <d v="2025-10-09T00:00:00"/>
    <s v="net sales:product 3"/>
    <n v="12.49"/>
    <x v="199"/>
    <n v="2622.9"/>
    <x v="3"/>
    <x v="3"/>
    <x v="1"/>
    <x v="9"/>
    <n v="74.97"/>
  </r>
  <r>
    <d v="2025-10-10T00:00:00"/>
    <s v="cogs:product 1"/>
    <n v="5.49"/>
    <x v="140"/>
    <n v="159.21"/>
    <x v="1"/>
    <x v="1"/>
    <x v="1"/>
    <x v="9"/>
    <n v="1885.99"/>
  </r>
  <r>
    <d v="2025-10-10T00:00:00"/>
    <s v="cogs:product 2"/>
    <n v="21.49"/>
    <x v="23"/>
    <n v="0"/>
    <x v="1"/>
    <x v="2"/>
    <x v="1"/>
    <x v="9"/>
    <n v="-472.14000000000004"/>
  </r>
  <r>
    <d v="2025-10-10T00:00:00"/>
    <s v="cogs:product 3"/>
    <n v="8.99"/>
    <x v="121"/>
    <n v="1815.98"/>
    <x v="1"/>
    <x v="3"/>
    <x v="1"/>
    <x v="9"/>
    <n v="-85.96"/>
  </r>
  <r>
    <d v="2025-10-10T00:00:00"/>
    <s v="marketing"/>
    <s v="NA"/>
    <x v="0"/>
    <n v="113.97"/>
    <x v="2"/>
    <x v="0"/>
    <x v="1"/>
    <x v="9"/>
    <n v="0"/>
  </r>
  <r>
    <d v="2025-10-10T00:00:00"/>
    <s v="net sales:product 1"/>
    <n v="9.99"/>
    <x v="140"/>
    <n v="289.70999999999998"/>
    <x v="3"/>
    <x v="1"/>
    <x v="1"/>
    <x v="9"/>
    <n v="-111.99000000000001"/>
  </r>
  <r>
    <d v="2025-10-10T00:00:00"/>
    <s v="net sales:product 2"/>
    <n v="24.99"/>
    <x v="23"/>
    <n v="0"/>
    <x v="3"/>
    <x v="2"/>
    <x v="1"/>
    <x v="9"/>
    <n v="859.14"/>
  </r>
  <r>
    <d v="2025-10-10T00:00:00"/>
    <s v="net sales:product 3"/>
    <n v="12.49"/>
    <x v="121"/>
    <n v="2522.98"/>
    <x v="3"/>
    <x v="3"/>
    <x v="1"/>
    <x v="9"/>
    <n v="99.96"/>
  </r>
  <r>
    <d v="2025-10-10T00:00:00"/>
    <s v="payroll"/>
    <s v="NA"/>
    <x v="0"/>
    <n v="1200"/>
    <x v="5"/>
    <x v="0"/>
    <x v="1"/>
    <x v="9"/>
    <n v="0"/>
  </r>
  <r>
    <d v="2025-10-11T00:00:00"/>
    <s v="cogs:product 1"/>
    <n v="5.49"/>
    <x v="75"/>
    <n v="411.75"/>
    <x v="1"/>
    <x v="1"/>
    <x v="1"/>
    <x v="9"/>
    <n v="-472.14000000000004"/>
  </r>
  <r>
    <d v="2025-10-11T00:00:00"/>
    <s v="cogs:product 2"/>
    <n v="21.49"/>
    <x v="25"/>
    <n v="21.49"/>
    <x v="1"/>
    <x v="2"/>
    <x v="1"/>
    <x v="9"/>
    <n v="0"/>
  </r>
  <r>
    <d v="2025-10-11T00:00:00"/>
    <s v="cogs:product 3"/>
    <n v="8.99"/>
    <x v="138"/>
    <n v="467.48"/>
    <x v="1"/>
    <x v="3"/>
    <x v="1"/>
    <x v="9"/>
    <n v="-979.91"/>
  </r>
  <r>
    <d v="2025-10-11T00:00:00"/>
    <s v="marketing"/>
    <s v="NA"/>
    <x v="0"/>
    <n v="105.01"/>
    <x v="2"/>
    <x v="0"/>
    <x v="1"/>
    <x v="9"/>
    <n v="-118.07000000000001"/>
  </r>
  <r>
    <d v="2025-10-11T00:00:00"/>
    <s v="net sales:product 1"/>
    <n v="9.99"/>
    <x v="75"/>
    <n v="749.25"/>
    <x v="3"/>
    <x v="1"/>
    <x v="1"/>
    <x v="9"/>
    <n v="859.14"/>
  </r>
  <r>
    <d v="2025-10-11T00:00:00"/>
    <s v="net sales:product 2"/>
    <n v="24.99"/>
    <x v="25"/>
    <n v="24.99"/>
    <x v="3"/>
    <x v="2"/>
    <x v="1"/>
    <x v="9"/>
    <n v="0"/>
  </r>
  <r>
    <d v="2025-10-11T00:00:00"/>
    <s v="net sales:product 3"/>
    <n v="12.49"/>
    <x v="138"/>
    <n v="649.48"/>
    <x v="3"/>
    <x v="3"/>
    <x v="1"/>
    <x v="9"/>
    <n v="1361.41"/>
  </r>
  <r>
    <d v="2025-10-12T00:00:00"/>
    <s v="cogs:product 1"/>
    <n v="5.49"/>
    <x v="58"/>
    <n v="230.58"/>
    <x v="1"/>
    <x v="1"/>
    <x v="1"/>
    <x v="9"/>
    <n v="-422.73"/>
  </r>
  <r>
    <d v="2025-10-12T00:00:00"/>
    <s v="cogs:product 2"/>
    <n v="21.49"/>
    <x v="10"/>
    <n v="42.98"/>
    <x v="1"/>
    <x v="2"/>
    <x v="1"/>
    <x v="9"/>
    <n v="-21.49"/>
  </r>
  <r>
    <d v="2025-10-12T00:00:00"/>
    <s v="cogs:product 3"/>
    <n v="8.99"/>
    <x v="133"/>
    <n v="1240.6200000000001"/>
    <x v="1"/>
    <x v="3"/>
    <x v="1"/>
    <x v="9"/>
    <n v="-899"/>
  </r>
  <r>
    <d v="2025-10-12T00:00:00"/>
    <s v="marketing"/>
    <s v="NA"/>
    <x v="0"/>
    <n v="119.91"/>
    <x v="2"/>
    <x v="0"/>
    <x v="1"/>
    <x v="9"/>
    <n v="-107.96000000000001"/>
  </r>
  <r>
    <d v="2025-10-12T00:00:00"/>
    <s v="net sales:product 1"/>
    <n v="9.99"/>
    <x v="58"/>
    <n v="419.58"/>
    <x v="3"/>
    <x v="1"/>
    <x v="1"/>
    <x v="9"/>
    <n v="769.23"/>
  </r>
  <r>
    <d v="2025-10-12T00:00:00"/>
    <s v="net sales:product 2"/>
    <n v="24.99"/>
    <x v="10"/>
    <n v="49.98"/>
    <x v="3"/>
    <x v="2"/>
    <x v="1"/>
    <x v="9"/>
    <n v="24.99"/>
  </r>
  <r>
    <d v="2025-10-12T00:00:00"/>
    <s v="net sales:product 3"/>
    <n v="12.49"/>
    <x v="133"/>
    <n v="1723.6200000000001"/>
    <x v="3"/>
    <x v="3"/>
    <x v="1"/>
    <x v="9"/>
    <n v="1249"/>
  </r>
  <r>
    <d v="2025-10-13T00:00:00"/>
    <s v="cogs:product 1"/>
    <n v="5.49"/>
    <x v="101"/>
    <n v="433.71000000000004"/>
    <x v="1"/>
    <x v="1"/>
    <x v="1"/>
    <x v="9"/>
    <n v="-1200"/>
  </r>
  <r>
    <d v="2025-10-13T00:00:00"/>
    <s v="cogs:product 2"/>
    <n v="21.49"/>
    <x v="16"/>
    <n v="171.92"/>
    <x v="1"/>
    <x v="2"/>
    <x v="1"/>
    <x v="9"/>
    <n v="-258.03000000000003"/>
  </r>
  <r>
    <d v="2025-10-13T00:00:00"/>
    <s v="cogs:product 3"/>
    <n v="8.99"/>
    <x v="104"/>
    <n v="620.31000000000006"/>
    <x v="1"/>
    <x v="3"/>
    <x v="1"/>
    <x v="9"/>
    <n v="-64.47"/>
  </r>
  <r>
    <d v="2025-10-13T00:00:00"/>
    <s v="marketing"/>
    <s v="NA"/>
    <x v="0"/>
    <n v="119.99000000000001"/>
    <x v="2"/>
    <x v="0"/>
    <x v="1"/>
    <x v="9"/>
    <n v="-278.69"/>
  </r>
  <r>
    <d v="2025-10-13T00:00:00"/>
    <s v="net sales:product 1"/>
    <n v="9.99"/>
    <x v="101"/>
    <n v="789.21"/>
    <x v="3"/>
    <x v="1"/>
    <x v="1"/>
    <x v="9"/>
    <n v="-112.9"/>
  </r>
  <r>
    <d v="2025-10-13T00:00:00"/>
    <s v="net sales:product 2"/>
    <n v="24.99"/>
    <x v="16"/>
    <n v="199.92"/>
    <x v="3"/>
    <x v="2"/>
    <x v="1"/>
    <x v="9"/>
    <n v="469.53000000000003"/>
  </r>
  <r>
    <d v="2025-10-13T00:00:00"/>
    <s v="net sales:product 3"/>
    <n v="12.49"/>
    <x v="104"/>
    <n v="861.81000000000006"/>
    <x v="3"/>
    <x v="3"/>
    <x v="1"/>
    <x v="9"/>
    <n v="74.97"/>
  </r>
  <r>
    <d v="2025-10-14T00:00:00"/>
    <s v="cogs:product 1"/>
    <n v="5.49"/>
    <x v="101"/>
    <n v="433.71000000000004"/>
    <x v="1"/>
    <x v="1"/>
    <x v="1"/>
    <x v="9"/>
    <n v="387.19"/>
  </r>
  <r>
    <d v="2025-10-14T00:00:00"/>
    <s v="cogs:product 2"/>
    <n v="21.49"/>
    <x v="19"/>
    <n v="85.96"/>
    <x v="1"/>
    <x v="2"/>
    <x v="1"/>
    <x v="9"/>
    <n v="-285.48"/>
  </r>
  <r>
    <d v="2025-10-14T00:00:00"/>
    <s v="cogs:product 3"/>
    <n v="8.99"/>
    <x v="148"/>
    <n v="1681.13"/>
    <x v="1"/>
    <x v="3"/>
    <x v="1"/>
    <x v="9"/>
    <n v="-64.47"/>
  </r>
  <r>
    <d v="2025-10-14T00:00:00"/>
    <s v="marketing"/>
    <s v="NA"/>
    <x v="0"/>
    <n v="109.04"/>
    <x v="2"/>
    <x v="0"/>
    <x v="1"/>
    <x v="9"/>
    <n v="0"/>
  </r>
  <r>
    <d v="2025-10-14T00:00:00"/>
    <s v="net sales:product 1"/>
    <n v="9.99"/>
    <x v="101"/>
    <n v="789.21"/>
    <x v="3"/>
    <x v="1"/>
    <x v="1"/>
    <x v="9"/>
    <n v="-107.09"/>
  </r>
  <r>
    <d v="2025-10-14T00:00:00"/>
    <s v="net sales:product 2"/>
    <n v="24.99"/>
    <x v="19"/>
    <n v="99.96"/>
    <x v="3"/>
    <x v="2"/>
    <x v="1"/>
    <x v="9"/>
    <n v="519.48"/>
  </r>
  <r>
    <d v="2025-10-14T00:00:00"/>
    <s v="net sales:product 3"/>
    <n v="12.49"/>
    <x v="148"/>
    <n v="2335.63"/>
    <x v="3"/>
    <x v="3"/>
    <x v="1"/>
    <x v="9"/>
    <n v="74.97"/>
  </r>
  <r>
    <d v="2025-10-15T00:00:00"/>
    <s v="cogs:product 1"/>
    <n v="5.49"/>
    <x v="33"/>
    <n v="444.69"/>
    <x v="1"/>
    <x v="1"/>
    <x v="1"/>
    <x v="9"/>
    <n v="0"/>
  </r>
  <r>
    <d v="2025-10-15T00:00:00"/>
    <s v="cogs:product 2"/>
    <n v="21.49"/>
    <x v="2"/>
    <n v="64.47"/>
    <x v="1"/>
    <x v="2"/>
    <x v="1"/>
    <x v="9"/>
    <n v="-367.83000000000004"/>
  </r>
  <r>
    <d v="2025-10-15T00:00:00"/>
    <s v="cogs:product 3"/>
    <n v="8.99"/>
    <x v="137"/>
    <n v="449.5"/>
    <x v="1"/>
    <x v="3"/>
    <x v="1"/>
    <x v="9"/>
    <n v="0"/>
  </r>
  <r>
    <d v="2025-10-15T00:00:00"/>
    <s v="interest"/>
    <s v="NA"/>
    <x v="0"/>
    <n v="1175.72"/>
    <x v="6"/>
    <x v="0"/>
    <x v="1"/>
    <x v="9"/>
    <n v="-161.82"/>
  </r>
  <r>
    <d v="2025-10-15T00:00:00"/>
    <s v="marketing"/>
    <s v="NA"/>
    <x v="0"/>
    <n v="117.04"/>
    <x v="2"/>
    <x v="0"/>
    <x v="1"/>
    <x v="9"/>
    <n v="-1254.28"/>
  </r>
  <r>
    <d v="2025-10-15T00:00:00"/>
    <s v="net sales:product 1"/>
    <n v="9.99"/>
    <x v="33"/>
    <n v="809.19"/>
    <x v="3"/>
    <x v="1"/>
    <x v="1"/>
    <x v="9"/>
    <n v="-119.06"/>
  </r>
  <r>
    <d v="2025-10-15T00:00:00"/>
    <s v="net sales:product 2"/>
    <n v="24.99"/>
    <x v="2"/>
    <n v="74.97"/>
    <x v="3"/>
    <x v="2"/>
    <x v="1"/>
    <x v="9"/>
    <n v="669.33"/>
  </r>
  <r>
    <d v="2025-10-15T00:00:00"/>
    <s v="net sales:product 3"/>
    <n v="12.49"/>
    <x v="137"/>
    <n v="624.5"/>
    <x v="3"/>
    <x v="3"/>
    <x v="1"/>
    <x v="9"/>
    <n v="0"/>
  </r>
  <r>
    <d v="2025-10-15T00:00:00"/>
    <s v="overhead"/>
    <s v="NA"/>
    <x v="0"/>
    <n v="322.66000000000003"/>
    <x v="4"/>
    <x v="0"/>
    <x v="1"/>
    <x v="9"/>
    <n v="224.82"/>
  </r>
  <r>
    <d v="2025-10-16T00:00:00"/>
    <s v="cogs:product 1"/>
    <n v="5.49"/>
    <x v="100"/>
    <n v="483.12"/>
    <x v="1"/>
    <x v="1"/>
    <x v="1"/>
    <x v="9"/>
    <n v="-313.57"/>
  </r>
  <r>
    <d v="2025-10-16T00:00:00"/>
    <s v="cogs:product 2"/>
    <n v="21.49"/>
    <x v="23"/>
    <n v="0"/>
    <x v="1"/>
    <x v="2"/>
    <x v="1"/>
    <x v="9"/>
    <n v="-428.22"/>
  </r>
  <r>
    <d v="2025-10-16T00:00:00"/>
    <s v="cogs:product 3"/>
    <n v="8.99"/>
    <x v="41"/>
    <n v="827.08"/>
    <x v="1"/>
    <x v="3"/>
    <x v="1"/>
    <x v="9"/>
    <n v="-21.49"/>
  </r>
  <r>
    <d v="2025-10-16T00:00:00"/>
    <s v="marketing"/>
    <s v="NA"/>
    <x v="0"/>
    <n v="113.03"/>
    <x v="2"/>
    <x v="0"/>
    <x v="1"/>
    <x v="9"/>
    <n v="-1501.33"/>
  </r>
  <r>
    <d v="2025-10-16T00:00:00"/>
    <s v="net sales:product 1"/>
    <n v="9.99"/>
    <x v="100"/>
    <n v="879.12"/>
    <x v="3"/>
    <x v="1"/>
    <x v="1"/>
    <x v="9"/>
    <n v="-109.03"/>
  </r>
  <r>
    <d v="2025-10-16T00:00:00"/>
    <s v="net sales:product 2"/>
    <n v="24.99"/>
    <x v="23"/>
    <n v="0"/>
    <x v="3"/>
    <x v="2"/>
    <x v="1"/>
    <x v="9"/>
    <n v="779.22"/>
  </r>
  <r>
    <d v="2025-10-16T00:00:00"/>
    <s v="net sales:product 3"/>
    <n v="12.49"/>
    <x v="41"/>
    <n v="1149.08"/>
    <x v="3"/>
    <x v="3"/>
    <x v="1"/>
    <x v="9"/>
    <n v="24.99"/>
  </r>
  <r>
    <d v="2025-10-17T00:00:00"/>
    <s v="cogs:product 1"/>
    <n v="5.49"/>
    <x v="71"/>
    <n v="455.67"/>
    <x v="1"/>
    <x v="1"/>
    <x v="1"/>
    <x v="9"/>
    <n v="2085.83"/>
  </r>
  <r>
    <d v="2025-10-17T00:00:00"/>
    <s v="cogs:product 2"/>
    <n v="21.49"/>
    <x v="10"/>
    <n v="42.98"/>
    <x v="1"/>
    <x v="2"/>
    <x v="1"/>
    <x v="9"/>
    <n v="-417.24"/>
  </r>
  <r>
    <d v="2025-10-17T00:00:00"/>
    <s v="cogs:product 3"/>
    <n v="8.99"/>
    <x v="212"/>
    <n v="1024.8600000000001"/>
    <x v="1"/>
    <x v="3"/>
    <x v="1"/>
    <x v="9"/>
    <n v="-128.94"/>
  </r>
  <r>
    <d v="2025-10-17T00:00:00"/>
    <s v="marketing"/>
    <s v="NA"/>
    <x v="0"/>
    <n v="108.98"/>
    <x v="2"/>
    <x v="0"/>
    <x v="1"/>
    <x v="9"/>
    <n v="-1815.98"/>
  </r>
  <r>
    <d v="2025-10-17T00:00:00"/>
    <s v="net sales:product 1"/>
    <n v="9.99"/>
    <x v="71"/>
    <n v="829.17000000000007"/>
    <x v="3"/>
    <x v="1"/>
    <x v="1"/>
    <x v="9"/>
    <n v="-102.97"/>
  </r>
  <r>
    <d v="2025-10-17T00:00:00"/>
    <s v="net sales:product 2"/>
    <n v="24.99"/>
    <x v="10"/>
    <n v="49.98"/>
    <x v="3"/>
    <x v="2"/>
    <x v="1"/>
    <x v="9"/>
    <n v="759.24"/>
  </r>
  <r>
    <d v="2025-10-17T00:00:00"/>
    <s v="net sales:product 3"/>
    <n v="12.49"/>
    <x v="212"/>
    <n v="1423.8600000000001"/>
    <x v="3"/>
    <x v="3"/>
    <x v="1"/>
    <x v="9"/>
    <n v="149.94"/>
  </r>
  <r>
    <d v="2025-10-18T00:00:00"/>
    <s v="cogs:product 1"/>
    <n v="5.49"/>
    <x v="16"/>
    <n v="43.92"/>
    <x v="1"/>
    <x v="1"/>
    <x v="1"/>
    <x v="9"/>
    <n v="2522.98"/>
  </r>
  <r>
    <d v="2025-10-18T00:00:00"/>
    <s v="cogs:product 2"/>
    <n v="21.49"/>
    <x v="23"/>
    <n v="0"/>
    <x v="1"/>
    <x v="2"/>
    <x v="1"/>
    <x v="9"/>
    <n v="-532.53"/>
  </r>
  <r>
    <d v="2025-10-18T00:00:00"/>
    <s v="cogs:product 3"/>
    <n v="8.99"/>
    <x v="67"/>
    <n v="1627.19"/>
    <x v="1"/>
    <x v="3"/>
    <x v="1"/>
    <x v="9"/>
    <n v="-85.96"/>
  </r>
  <r>
    <d v="2025-10-18T00:00:00"/>
    <s v="marketing"/>
    <s v="NA"/>
    <x v="0"/>
    <n v="116.92"/>
    <x v="2"/>
    <x v="0"/>
    <x v="1"/>
    <x v="9"/>
    <n v="-1375.47"/>
  </r>
  <r>
    <d v="2025-10-18T00:00:00"/>
    <s v="net sales:product 1"/>
    <n v="9.99"/>
    <x v="16"/>
    <n v="79.92"/>
    <x v="3"/>
    <x v="1"/>
    <x v="1"/>
    <x v="9"/>
    <n v="-101.08"/>
  </r>
  <r>
    <d v="2025-10-18T00:00:00"/>
    <s v="net sales:product 2"/>
    <n v="24.99"/>
    <x v="23"/>
    <n v="0"/>
    <x v="3"/>
    <x v="2"/>
    <x v="1"/>
    <x v="9"/>
    <n v="969.03"/>
  </r>
  <r>
    <d v="2025-10-18T00:00:00"/>
    <s v="net sales:product 3"/>
    <n v="12.49"/>
    <x v="67"/>
    <n v="2260.69"/>
    <x v="3"/>
    <x v="3"/>
    <x v="1"/>
    <x v="9"/>
    <n v="99.96"/>
  </r>
  <r>
    <d v="2025-10-19T00:00:00"/>
    <s v="cogs:product 1"/>
    <n v="5.49"/>
    <x v="95"/>
    <n v="329.40000000000003"/>
    <x v="1"/>
    <x v="1"/>
    <x v="1"/>
    <x v="9"/>
    <n v="1910.97"/>
  </r>
  <r>
    <d v="2025-10-19T00:00:00"/>
    <s v="cogs:product 2"/>
    <n v="21.49"/>
    <x v="23"/>
    <n v="0"/>
    <x v="1"/>
    <x v="2"/>
    <x v="1"/>
    <x v="9"/>
    <n v="-466.65000000000003"/>
  </r>
  <r>
    <d v="2025-10-19T00:00:00"/>
    <s v="cogs:product 3"/>
    <n v="8.99"/>
    <x v="163"/>
    <n v="1123.75"/>
    <x v="1"/>
    <x v="3"/>
    <x v="1"/>
    <x v="9"/>
    <n v="-64.47"/>
  </r>
  <r>
    <d v="2025-10-19T00:00:00"/>
    <s v="marketing"/>
    <s v="NA"/>
    <x v="0"/>
    <n v="118.02"/>
    <x v="2"/>
    <x v="0"/>
    <x v="1"/>
    <x v="9"/>
    <n v="-1860.93"/>
  </r>
  <r>
    <d v="2025-10-19T00:00:00"/>
    <s v="net sales:product 1"/>
    <n v="9.99"/>
    <x v="95"/>
    <n v="599.4"/>
    <x v="3"/>
    <x v="1"/>
    <x v="1"/>
    <x v="9"/>
    <n v="-104.08"/>
  </r>
  <r>
    <d v="2025-10-19T00:00:00"/>
    <s v="net sales:product 2"/>
    <n v="24.99"/>
    <x v="23"/>
    <n v="0"/>
    <x v="3"/>
    <x v="2"/>
    <x v="1"/>
    <x v="9"/>
    <n v="849.15"/>
  </r>
  <r>
    <d v="2025-10-19T00:00:00"/>
    <s v="net sales:product 3"/>
    <n v="12.49"/>
    <x v="163"/>
    <n v="1561.25"/>
    <x v="3"/>
    <x v="3"/>
    <x v="1"/>
    <x v="9"/>
    <n v="74.97"/>
  </r>
  <r>
    <d v="2025-10-20T00:00:00"/>
    <s v="cogs:product 1"/>
    <n v="5.49"/>
    <x v="35"/>
    <n v="104.31"/>
    <x v="1"/>
    <x v="1"/>
    <x v="1"/>
    <x v="9"/>
    <n v="2585.4299999999998"/>
  </r>
  <r>
    <d v="2025-10-20T00:00:00"/>
    <s v="cogs:product 2"/>
    <n v="21.49"/>
    <x v="13"/>
    <n v="150.42999999999998"/>
    <x v="1"/>
    <x v="2"/>
    <x v="1"/>
    <x v="9"/>
    <n v="-400.77000000000004"/>
  </r>
  <r>
    <d v="2025-10-20T00:00:00"/>
    <s v="cogs:product 3"/>
    <n v="8.99"/>
    <x v="23"/>
    <n v="0"/>
    <x v="1"/>
    <x v="3"/>
    <x v="1"/>
    <x v="9"/>
    <n v="0"/>
  </r>
  <r>
    <d v="2025-10-20T00:00:00"/>
    <s v="marketing"/>
    <s v="NA"/>
    <x v="0"/>
    <n v="100.06"/>
    <x v="2"/>
    <x v="0"/>
    <x v="1"/>
    <x v="9"/>
    <n v="-2031.74"/>
  </r>
  <r>
    <d v="2025-10-20T00:00:00"/>
    <s v="net sales:product 1"/>
    <n v="9.99"/>
    <x v="35"/>
    <n v="189.81"/>
    <x v="3"/>
    <x v="1"/>
    <x v="1"/>
    <x v="9"/>
    <n v="-115.06"/>
  </r>
  <r>
    <d v="2025-10-20T00:00:00"/>
    <s v="net sales:product 2"/>
    <n v="24.99"/>
    <x v="13"/>
    <n v="174.92999999999998"/>
    <x v="3"/>
    <x v="2"/>
    <x v="1"/>
    <x v="9"/>
    <n v="729.27"/>
  </r>
  <r>
    <d v="2025-10-20T00:00:00"/>
    <s v="net sales:product 3"/>
    <n v="12.49"/>
    <x v="23"/>
    <n v="0"/>
    <x v="3"/>
    <x v="3"/>
    <x v="1"/>
    <x v="9"/>
    <n v="0"/>
  </r>
  <r>
    <d v="2025-10-21T00:00:00"/>
    <s v="cogs:product 1"/>
    <n v="5.49"/>
    <x v="105"/>
    <n v="450.18"/>
    <x v="1"/>
    <x v="1"/>
    <x v="1"/>
    <x v="9"/>
    <n v="2822.7400000000002"/>
  </r>
  <r>
    <d v="2025-10-21T00:00:00"/>
    <s v="cogs:product 2"/>
    <n v="21.49"/>
    <x v="16"/>
    <n v="171.92"/>
    <x v="1"/>
    <x v="2"/>
    <x v="1"/>
    <x v="9"/>
    <n v="-362.34000000000003"/>
  </r>
  <r>
    <d v="2025-10-21T00:00:00"/>
    <s v="cogs:product 3"/>
    <n v="8.99"/>
    <x v="24"/>
    <n v="890.01"/>
    <x v="1"/>
    <x v="3"/>
    <x v="1"/>
    <x v="9"/>
    <n v="-107.44999999999999"/>
  </r>
  <r>
    <d v="2025-10-21T00:00:00"/>
    <s v="marketing"/>
    <s v="NA"/>
    <x v="0"/>
    <n v="115.93"/>
    <x v="2"/>
    <x v="0"/>
    <x v="1"/>
    <x v="9"/>
    <n v="-674.25"/>
  </r>
  <r>
    <d v="2025-10-21T00:00:00"/>
    <s v="net sales:product 1"/>
    <n v="9.99"/>
    <x v="105"/>
    <n v="819.18000000000006"/>
    <x v="3"/>
    <x v="1"/>
    <x v="1"/>
    <x v="9"/>
    <n v="-111"/>
  </r>
  <r>
    <d v="2025-10-21T00:00:00"/>
    <s v="net sales:product 2"/>
    <n v="24.99"/>
    <x v="16"/>
    <n v="199.92"/>
    <x v="3"/>
    <x v="2"/>
    <x v="1"/>
    <x v="9"/>
    <n v="659.34"/>
  </r>
  <r>
    <d v="2025-10-21T00:00:00"/>
    <s v="net sales:product 3"/>
    <n v="12.49"/>
    <x v="24"/>
    <n v="1236.51"/>
    <x v="3"/>
    <x v="3"/>
    <x v="1"/>
    <x v="9"/>
    <n v="124.94999999999999"/>
  </r>
  <r>
    <d v="2025-10-22T00:00:00"/>
    <s v="cogs:product 1"/>
    <n v="5.49"/>
    <x v="106"/>
    <n v="538.02"/>
    <x v="1"/>
    <x v="1"/>
    <x v="1"/>
    <x v="9"/>
    <n v="936.75"/>
  </r>
  <r>
    <d v="2025-10-22T00:00:00"/>
    <s v="cogs:product 2"/>
    <n v="21.49"/>
    <x v="19"/>
    <n v="85.96"/>
    <x v="1"/>
    <x v="2"/>
    <x v="1"/>
    <x v="9"/>
    <n v="-565.47"/>
  </r>
  <r>
    <d v="2025-10-22T00:00:00"/>
    <s v="cogs:product 3"/>
    <n v="8.99"/>
    <x v="173"/>
    <n v="2202.5500000000002"/>
    <x v="1"/>
    <x v="3"/>
    <x v="1"/>
    <x v="9"/>
    <n v="0"/>
  </r>
  <r>
    <d v="2025-10-22T00:00:00"/>
    <s v="marketing"/>
    <s v="NA"/>
    <x v="0"/>
    <n v="103.04"/>
    <x v="2"/>
    <x v="0"/>
    <x v="1"/>
    <x v="9"/>
    <n v="-1977.8"/>
  </r>
  <r>
    <d v="2025-10-22T00:00:00"/>
    <s v="net sales:product 1"/>
    <n v="9.99"/>
    <x v="106"/>
    <n v="979.02"/>
    <x v="3"/>
    <x v="1"/>
    <x v="1"/>
    <x v="9"/>
    <n v="-101.06"/>
  </r>
  <r>
    <d v="2025-10-22T00:00:00"/>
    <s v="net sales:product 2"/>
    <n v="24.99"/>
    <x v="19"/>
    <n v="99.96"/>
    <x v="3"/>
    <x v="2"/>
    <x v="1"/>
    <x v="9"/>
    <n v="1028.97"/>
  </r>
  <r>
    <d v="2025-10-22T00:00:00"/>
    <s v="net sales:product 3"/>
    <n v="12.49"/>
    <x v="173"/>
    <n v="3060.05"/>
    <x v="3"/>
    <x v="3"/>
    <x v="1"/>
    <x v="9"/>
    <n v="0"/>
  </r>
  <r>
    <d v="2025-10-23T00:00:00"/>
    <s v="cogs:product 1"/>
    <n v="5.49"/>
    <x v="137"/>
    <n v="274.5"/>
    <x v="1"/>
    <x v="1"/>
    <x v="1"/>
    <x v="9"/>
    <n v="2747.8"/>
  </r>
  <r>
    <d v="2025-10-23T00:00:00"/>
    <s v="cogs:product 2"/>
    <n v="21.49"/>
    <x v="23"/>
    <n v="0"/>
    <x v="1"/>
    <x v="2"/>
    <x v="1"/>
    <x v="9"/>
    <n v="-142.74"/>
  </r>
  <r>
    <d v="2025-10-23T00:00:00"/>
    <s v="cogs:product 3"/>
    <n v="8.99"/>
    <x v="130"/>
    <n v="359.6"/>
    <x v="1"/>
    <x v="3"/>
    <x v="1"/>
    <x v="9"/>
    <n v="-42.98"/>
  </r>
  <r>
    <d v="2025-10-23T00:00:00"/>
    <s v="marketing"/>
    <s v="NA"/>
    <x v="0"/>
    <n v="100.96000000000001"/>
    <x v="2"/>
    <x v="0"/>
    <x v="1"/>
    <x v="9"/>
    <n v="-1932.8500000000001"/>
  </r>
  <r>
    <d v="2025-10-23T00:00:00"/>
    <s v="net sales:product 1"/>
    <n v="9.99"/>
    <x v="137"/>
    <n v="499.5"/>
    <x v="3"/>
    <x v="1"/>
    <x v="1"/>
    <x v="9"/>
    <n v="-114.98"/>
  </r>
  <r>
    <d v="2025-10-23T00:00:00"/>
    <s v="net sales:product 2"/>
    <n v="24.99"/>
    <x v="23"/>
    <n v="0"/>
    <x v="3"/>
    <x v="2"/>
    <x v="1"/>
    <x v="9"/>
    <n v="259.74"/>
  </r>
  <r>
    <d v="2025-10-23T00:00:00"/>
    <s v="net sales:product 3"/>
    <n v="12.49"/>
    <x v="130"/>
    <n v="499.6"/>
    <x v="3"/>
    <x v="3"/>
    <x v="1"/>
    <x v="9"/>
    <n v="49.98"/>
  </r>
  <r>
    <d v="2025-10-24T00:00:00"/>
    <s v="cogs:product 1"/>
    <n v="5.49"/>
    <x v="108"/>
    <n v="527.04"/>
    <x v="1"/>
    <x v="1"/>
    <x v="1"/>
    <x v="9"/>
    <n v="2685.35"/>
  </r>
  <r>
    <d v="2025-10-24T00:00:00"/>
    <s v="cogs:product 2"/>
    <n v="21.49"/>
    <x v="25"/>
    <n v="21.49"/>
    <x v="1"/>
    <x v="2"/>
    <x v="1"/>
    <x v="9"/>
    <n v="-439.20000000000005"/>
  </r>
  <r>
    <d v="2025-10-24T00:00:00"/>
    <s v="cogs:product 3"/>
    <n v="8.99"/>
    <x v="185"/>
    <n v="1771.03"/>
    <x v="1"/>
    <x v="3"/>
    <x v="1"/>
    <x v="9"/>
    <n v="-150.42999999999998"/>
  </r>
  <r>
    <d v="2025-10-24T00:00:00"/>
    <s v="marketing"/>
    <s v="NA"/>
    <x v="0"/>
    <n v="113.09"/>
    <x v="2"/>
    <x v="0"/>
    <x v="1"/>
    <x v="9"/>
    <n v="-1959.82"/>
  </r>
  <r>
    <d v="2025-10-24T00:00:00"/>
    <s v="net sales:product 1"/>
    <n v="9.99"/>
    <x v="108"/>
    <n v="959.04"/>
    <x v="3"/>
    <x v="1"/>
    <x v="1"/>
    <x v="9"/>
    <n v="-112.92"/>
  </r>
  <r>
    <d v="2025-10-24T00:00:00"/>
    <s v="net sales:product 2"/>
    <n v="24.99"/>
    <x v="25"/>
    <n v="24.99"/>
    <x v="3"/>
    <x v="2"/>
    <x v="1"/>
    <x v="9"/>
    <n v="799.2"/>
  </r>
  <r>
    <d v="2025-10-24T00:00:00"/>
    <s v="net sales:product 3"/>
    <n v="12.49"/>
    <x v="185"/>
    <n v="2460.5300000000002"/>
    <x v="3"/>
    <x v="3"/>
    <x v="1"/>
    <x v="9"/>
    <n v="174.92999999999998"/>
  </r>
  <r>
    <d v="2025-10-24T00:00:00"/>
    <s v="payroll"/>
    <s v="NA"/>
    <x v="0"/>
    <n v="1200"/>
    <x v="5"/>
    <x v="0"/>
    <x v="1"/>
    <x v="9"/>
    <n v="2722.82"/>
  </r>
  <r>
    <d v="2025-10-25T00:00:00"/>
    <s v="cogs:product 1"/>
    <n v="5.49"/>
    <x v="71"/>
    <n v="455.67"/>
    <x v="1"/>
    <x v="1"/>
    <x v="1"/>
    <x v="9"/>
    <n v="-230.58"/>
  </r>
  <r>
    <d v="2025-10-25T00:00:00"/>
    <s v="cogs:product 2"/>
    <n v="21.49"/>
    <x v="25"/>
    <n v="21.49"/>
    <x v="1"/>
    <x v="2"/>
    <x v="1"/>
    <x v="9"/>
    <n v="-42.98"/>
  </r>
  <r>
    <d v="2025-10-25T00:00:00"/>
    <s v="cogs:product 3"/>
    <n v="8.99"/>
    <x v="104"/>
    <n v="620.31000000000006"/>
    <x v="1"/>
    <x v="3"/>
    <x v="1"/>
    <x v="9"/>
    <n v="-1015.87"/>
  </r>
  <r>
    <d v="2025-10-25T00:00:00"/>
    <s v="marketing"/>
    <s v="NA"/>
    <x v="0"/>
    <n v="116.04"/>
    <x v="2"/>
    <x v="0"/>
    <x v="1"/>
    <x v="9"/>
    <n v="-107.97"/>
  </r>
  <r>
    <d v="2025-10-25T00:00:00"/>
    <s v="net sales:product 1"/>
    <n v="9.99"/>
    <x v="71"/>
    <n v="829.17000000000007"/>
    <x v="3"/>
    <x v="1"/>
    <x v="1"/>
    <x v="9"/>
    <n v="419.58"/>
  </r>
  <r>
    <d v="2025-10-25T00:00:00"/>
    <s v="net sales:product 2"/>
    <n v="24.99"/>
    <x v="25"/>
    <n v="24.99"/>
    <x v="3"/>
    <x v="2"/>
    <x v="1"/>
    <x v="9"/>
    <n v="49.98"/>
  </r>
  <r>
    <d v="2025-10-25T00:00:00"/>
    <s v="net sales:product 3"/>
    <n v="12.49"/>
    <x v="104"/>
    <n v="861.81000000000006"/>
    <x v="3"/>
    <x v="3"/>
    <x v="1"/>
    <x v="9"/>
    <n v="1411.3700000000001"/>
  </r>
  <r>
    <d v="2025-10-26T00:00:00"/>
    <s v="cogs:product 1"/>
    <n v="5.49"/>
    <x v="38"/>
    <n v="362.34000000000003"/>
    <x v="1"/>
    <x v="1"/>
    <x v="1"/>
    <x v="9"/>
    <n v="0"/>
  </r>
  <r>
    <d v="2025-10-26T00:00:00"/>
    <s v="cogs:product 2"/>
    <n v="21.49"/>
    <x v="16"/>
    <n v="171.92"/>
    <x v="1"/>
    <x v="2"/>
    <x v="1"/>
    <x v="9"/>
    <n v="-171.92"/>
  </r>
  <r>
    <d v="2025-10-26T00:00:00"/>
    <s v="cogs:product 3"/>
    <n v="8.99"/>
    <x v="185"/>
    <n v="1771.03"/>
    <x v="1"/>
    <x v="3"/>
    <x v="1"/>
    <x v="9"/>
    <n v="-1753.05"/>
  </r>
  <r>
    <d v="2025-10-26T00:00:00"/>
    <s v="marketing"/>
    <s v="NA"/>
    <x v="0"/>
    <n v="117"/>
    <x v="2"/>
    <x v="0"/>
    <x v="1"/>
    <x v="9"/>
    <n v="-120.09"/>
  </r>
  <r>
    <d v="2025-10-26T00:00:00"/>
    <s v="net sales:product 1"/>
    <n v="9.99"/>
    <x v="38"/>
    <n v="659.34"/>
    <x v="3"/>
    <x v="1"/>
    <x v="1"/>
    <x v="9"/>
    <n v="0"/>
  </r>
  <r>
    <d v="2025-10-26T00:00:00"/>
    <s v="net sales:product 2"/>
    <n v="24.99"/>
    <x v="16"/>
    <n v="199.92"/>
    <x v="3"/>
    <x v="2"/>
    <x v="1"/>
    <x v="9"/>
    <n v="199.92"/>
  </r>
  <r>
    <d v="2025-10-26T00:00:00"/>
    <s v="net sales:product 3"/>
    <n v="12.49"/>
    <x v="185"/>
    <n v="2460.5300000000002"/>
    <x v="3"/>
    <x v="3"/>
    <x v="1"/>
    <x v="9"/>
    <n v="2435.5500000000002"/>
  </r>
  <r>
    <d v="2025-10-27T00:00:00"/>
    <s v="cogs:product 1"/>
    <n v="5.49"/>
    <x v="52"/>
    <n v="499.59000000000003"/>
    <x v="1"/>
    <x v="1"/>
    <x v="1"/>
    <x v="9"/>
    <n v="-1200"/>
  </r>
  <r>
    <d v="2025-10-27T00:00:00"/>
    <s v="cogs:product 2"/>
    <n v="21.49"/>
    <x v="16"/>
    <n v="171.92"/>
    <x v="1"/>
    <x v="2"/>
    <x v="1"/>
    <x v="9"/>
    <n v="-208.62"/>
  </r>
  <r>
    <d v="2025-10-27T00:00:00"/>
    <s v="cogs:product 3"/>
    <n v="8.99"/>
    <x v="149"/>
    <n v="1366.48"/>
    <x v="1"/>
    <x v="3"/>
    <x v="1"/>
    <x v="9"/>
    <n v="-64.47"/>
  </r>
  <r>
    <d v="2025-10-27T00:00:00"/>
    <s v="marketing"/>
    <s v="NA"/>
    <x v="0"/>
    <n v="103.99000000000001"/>
    <x v="2"/>
    <x v="0"/>
    <x v="1"/>
    <x v="9"/>
    <n v="-2004.77"/>
  </r>
  <r>
    <d v="2025-10-27T00:00:00"/>
    <s v="net sales:product 1"/>
    <n v="9.99"/>
    <x v="52"/>
    <n v="909.09"/>
    <x v="3"/>
    <x v="1"/>
    <x v="1"/>
    <x v="9"/>
    <n v="-109.09"/>
  </r>
  <r>
    <d v="2025-10-27T00:00:00"/>
    <s v="net sales:product 2"/>
    <n v="24.99"/>
    <x v="16"/>
    <n v="199.92"/>
    <x v="3"/>
    <x v="2"/>
    <x v="1"/>
    <x v="9"/>
    <n v="379.62"/>
  </r>
  <r>
    <d v="2025-10-27T00:00:00"/>
    <s v="net sales:product 3"/>
    <n v="12.49"/>
    <x v="149"/>
    <n v="1898.48"/>
    <x v="3"/>
    <x v="3"/>
    <x v="1"/>
    <x v="9"/>
    <n v="74.97"/>
  </r>
  <r>
    <d v="2025-10-28T00:00:00"/>
    <s v="cogs:product 1"/>
    <n v="5.49"/>
    <x v="83"/>
    <n v="252.54000000000002"/>
    <x v="1"/>
    <x v="1"/>
    <x v="1"/>
    <x v="9"/>
    <n v="2785.27"/>
  </r>
  <r>
    <d v="2025-10-28T00:00:00"/>
    <s v="cogs:product 2"/>
    <n v="21.49"/>
    <x v="13"/>
    <n v="150.42999999999998"/>
    <x v="1"/>
    <x v="2"/>
    <x v="1"/>
    <x v="9"/>
    <n v="-203.13"/>
  </r>
  <r>
    <d v="2025-10-28T00:00:00"/>
    <s v="cogs:product 3"/>
    <n v="8.99"/>
    <x v="167"/>
    <n v="2229.52"/>
    <x v="1"/>
    <x v="3"/>
    <x v="1"/>
    <x v="9"/>
    <n v="-171.92"/>
  </r>
  <r>
    <d v="2025-10-28T00:00:00"/>
    <s v="marketing"/>
    <s v="NA"/>
    <x v="0"/>
    <n v="104.92"/>
    <x v="2"/>
    <x v="0"/>
    <x v="1"/>
    <x v="9"/>
    <n v="-899"/>
  </r>
  <r>
    <d v="2025-10-28T00:00:00"/>
    <s v="net sales:product 1"/>
    <n v="9.99"/>
    <x v="83"/>
    <n v="459.54"/>
    <x v="3"/>
    <x v="1"/>
    <x v="1"/>
    <x v="9"/>
    <n v="-102.97"/>
  </r>
  <r>
    <d v="2025-10-28T00:00:00"/>
    <s v="net sales:product 2"/>
    <n v="24.99"/>
    <x v="13"/>
    <n v="174.92999999999998"/>
    <x v="3"/>
    <x v="2"/>
    <x v="1"/>
    <x v="9"/>
    <n v="369.63"/>
  </r>
  <r>
    <d v="2025-10-28T00:00:00"/>
    <s v="net sales:product 3"/>
    <n v="12.49"/>
    <x v="167"/>
    <n v="3097.52"/>
    <x v="3"/>
    <x v="3"/>
    <x v="1"/>
    <x v="9"/>
    <n v="199.92"/>
  </r>
  <r>
    <d v="2025-10-29T00:00:00"/>
    <s v="cogs:product 1"/>
    <n v="5.49"/>
    <x v="61"/>
    <n v="532.53"/>
    <x v="1"/>
    <x v="1"/>
    <x v="1"/>
    <x v="9"/>
    <n v="1249"/>
  </r>
  <r>
    <d v="2025-10-29T00:00:00"/>
    <s v="cogs:product 2"/>
    <n v="21.49"/>
    <x v="13"/>
    <n v="150.42999999999998"/>
    <x v="1"/>
    <x v="2"/>
    <x v="1"/>
    <x v="9"/>
    <n v="-483.12"/>
  </r>
  <r>
    <d v="2025-10-29T00:00:00"/>
    <s v="cogs:product 3"/>
    <n v="8.99"/>
    <x v="212"/>
    <n v="1024.8600000000001"/>
    <x v="1"/>
    <x v="3"/>
    <x v="1"/>
    <x v="9"/>
    <n v="-21.49"/>
  </r>
  <r>
    <d v="2025-10-29T00:00:00"/>
    <s v="marketing"/>
    <s v="NA"/>
    <x v="0"/>
    <n v="114.10000000000001"/>
    <x v="2"/>
    <x v="0"/>
    <x v="1"/>
    <x v="9"/>
    <n v="-809.1"/>
  </r>
  <r>
    <d v="2025-10-29T00:00:00"/>
    <s v="net sales:product 1"/>
    <n v="9.99"/>
    <x v="61"/>
    <n v="969.03"/>
    <x v="3"/>
    <x v="1"/>
    <x v="1"/>
    <x v="9"/>
    <n v="-118.10000000000001"/>
  </r>
  <r>
    <d v="2025-10-29T00:00:00"/>
    <s v="net sales:product 2"/>
    <n v="24.99"/>
    <x v="13"/>
    <n v="174.92999999999998"/>
    <x v="3"/>
    <x v="2"/>
    <x v="1"/>
    <x v="9"/>
    <n v="879.12"/>
  </r>
  <r>
    <d v="2025-10-29T00:00:00"/>
    <s v="net sales:product 3"/>
    <n v="12.49"/>
    <x v="212"/>
    <n v="1423.8600000000001"/>
    <x v="3"/>
    <x v="3"/>
    <x v="1"/>
    <x v="9"/>
    <n v="24.99"/>
  </r>
  <r>
    <d v="2025-10-30T00:00:00"/>
    <s v="cogs:product 1"/>
    <n v="5.49"/>
    <x v="76"/>
    <n v="406.26"/>
    <x v="1"/>
    <x v="1"/>
    <x v="1"/>
    <x v="9"/>
    <n v="1124.0999999999999"/>
  </r>
  <r>
    <d v="2025-10-30T00:00:00"/>
    <s v="cogs:product 2"/>
    <n v="21.49"/>
    <x v="25"/>
    <n v="21.49"/>
    <x v="1"/>
    <x v="2"/>
    <x v="1"/>
    <x v="9"/>
    <n v="-186.66"/>
  </r>
  <r>
    <d v="2025-10-30T00:00:00"/>
    <s v="cogs:product 3"/>
    <n v="8.99"/>
    <x v="144"/>
    <n v="2220.5300000000002"/>
    <x v="1"/>
    <x v="3"/>
    <x v="1"/>
    <x v="9"/>
    <n v="0"/>
  </r>
  <r>
    <d v="2025-10-30T00:00:00"/>
    <s v="marketing"/>
    <s v="NA"/>
    <x v="0"/>
    <n v="102.06"/>
    <x v="2"/>
    <x v="0"/>
    <x v="1"/>
    <x v="9"/>
    <n v="-1654.16"/>
  </r>
  <r>
    <d v="2025-10-30T00:00:00"/>
    <s v="net sales:product 1"/>
    <n v="9.99"/>
    <x v="76"/>
    <n v="739.26"/>
    <x v="3"/>
    <x v="1"/>
    <x v="1"/>
    <x v="9"/>
    <n v="-101.01"/>
  </r>
  <r>
    <d v="2025-10-30T00:00:00"/>
    <s v="net sales:product 2"/>
    <n v="24.99"/>
    <x v="25"/>
    <n v="24.99"/>
    <x v="3"/>
    <x v="2"/>
    <x v="1"/>
    <x v="9"/>
    <n v="339.66"/>
  </r>
  <r>
    <d v="2025-10-30T00:00:00"/>
    <s v="net sales:product 3"/>
    <n v="12.49"/>
    <x v="144"/>
    <n v="3085.03"/>
    <x v="3"/>
    <x v="3"/>
    <x v="1"/>
    <x v="9"/>
    <n v="0"/>
  </r>
  <r>
    <d v="2025-10-31T00:00:00"/>
    <s v="cogs:product 1"/>
    <n v="5.49"/>
    <x v="3"/>
    <n v="428.22"/>
    <x v="1"/>
    <x v="1"/>
    <x v="1"/>
    <x v="9"/>
    <n v="2298.16"/>
  </r>
  <r>
    <d v="2025-10-31T00:00:00"/>
    <s v="cogs:product 2"/>
    <n v="21.49"/>
    <x v="10"/>
    <n v="42.98"/>
    <x v="1"/>
    <x v="2"/>
    <x v="1"/>
    <x v="9"/>
    <n v="0"/>
  </r>
  <r>
    <d v="2025-10-31T00:00:00"/>
    <s v="cogs:product 3"/>
    <n v="8.99"/>
    <x v="141"/>
    <n v="1762.04"/>
    <x v="1"/>
    <x v="3"/>
    <x v="1"/>
    <x v="9"/>
    <n v="-373.32"/>
  </r>
  <r>
    <d v="2025-10-31T00:00:00"/>
    <s v="marketing"/>
    <s v="NA"/>
    <x v="0"/>
    <n v="111.94"/>
    <x v="2"/>
    <x v="0"/>
    <x v="1"/>
    <x v="9"/>
    <n v="-171.92"/>
  </r>
  <r>
    <d v="2025-10-31T00:00:00"/>
    <s v="net sales:product 1"/>
    <n v="9.99"/>
    <x v="3"/>
    <n v="779.22"/>
    <x v="3"/>
    <x v="1"/>
    <x v="1"/>
    <x v="9"/>
    <n v="-1806.99"/>
  </r>
  <r>
    <d v="2025-10-31T00:00:00"/>
    <s v="net sales:product 2"/>
    <n v="24.99"/>
    <x v="10"/>
    <n v="49.98"/>
    <x v="3"/>
    <x v="2"/>
    <x v="1"/>
    <x v="9"/>
    <n v="-106.03"/>
  </r>
  <r>
    <d v="2025-10-31T00:00:00"/>
    <s v="net sales:product 3"/>
    <n v="12.49"/>
    <x v="141"/>
    <n v="2448.04"/>
    <x v="3"/>
    <x v="3"/>
    <x v="1"/>
    <x v="9"/>
    <n v="679.32"/>
  </r>
  <r>
    <d v="2025-11-01T00:00:00"/>
    <s v="amortization"/>
    <s v="NA"/>
    <x v="0"/>
    <n v="50"/>
    <x v="0"/>
    <x v="0"/>
    <x v="1"/>
    <x v="10"/>
    <n v="199.92"/>
  </r>
  <r>
    <d v="2025-11-01T00:00:00"/>
    <s v="cogs:product 1"/>
    <n v="5.49"/>
    <x v="38"/>
    <n v="362.34000000000003"/>
    <x v="1"/>
    <x v="1"/>
    <x v="1"/>
    <x v="10"/>
    <n v="2510.4900000000002"/>
  </r>
  <r>
    <d v="2025-11-01T00:00:00"/>
    <s v="cogs:product 2"/>
    <n v="21.49"/>
    <x v="13"/>
    <n v="150.42999999999998"/>
    <x v="1"/>
    <x v="2"/>
    <x v="1"/>
    <x v="10"/>
    <n v="-2000"/>
  </r>
  <r>
    <d v="2025-11-01T00:00:00"/>
    <s v="cogs:product 3"/>
    <n v="8.99"/>
    <x v="178"/>
    <n v="1735.07"/>
    <x v="1"/>
    <x v="3"/>
    <x v="1"/>
    <x v="10"/>
    <n v="-499.59000000000003"/>
  </r>
  <r>
    <d v="2025-11-01T00:00:00"/>
    <s v="marketing"/>
    <s v="NA"/>
    <x v="0"/>
    <n v="100.93"/>
    <x v="2"/>
    <x v="0"/>
    <x v="1"/>
    <x v="10"/>
    <n v="-21.49"/>
  </r>
  <r>
    <d v="2025-11-01T00:00:00"/>
    <s v="net sales:product 1"/>
    <n v="9.99"/>
    <x v="38"/>
    <n v="659.34"/>
    <x v="3"/>
    <x v="1"/>
    <x v="1"/>
    <x v="10"/>
    <n v="-719.2"/>
  </r>
  <r>
    <d v="2025-11-01T00:00:00"/>
    <s v="net sales:product 2"/>
    <n v="24.99"/>
    <x v="13"/>
    <n v="174.92999999999998"/>
    <x v="3"/>
    <x v="2"/>
    <x v="1"/>
    <x v="10"/>
    <n v="-105.05"/>
  </r>
  <r>
    <d v="2025-11-01T00:00:00"/>
    <s v="net sales:product 3"/>
    <n v="12.49"/>
    <x v="178"/>
    <n v="2410.5700000000002"/>
    <x v="3"/>
    <x v="3"/>
    <x v="1"/>
    <x v="10"/>
    <n v="909.09"/>
  </r>
  <r>
    <d v="2025-11-01T00:00:00"/>
    <s v="overhead"/>
    <s v="NA"/>
    <x v="0"/>
    <n v="2000"/>
    <x v="4"/>
    <x v="0"/>
    <x v="1"/>
    <x v="10"/>
    <n v="24.99"/>
  </r>
  <r>
    <d v="2025-11-02T00:00:00"/>
    <s v="cogs:product 1"/>
    <n v="5.49"/>
    <x v="14"/>
    <n v="521.55000000000007"/>
    <x v="1"/>
    <x v="1"/>
    <x v="1"/>
    <x v="10"/>
    <n v="999.2"/>
  </r>
  <r>
    <d v="2025-11-02T00:00:00"/>
    <s v="cogs:product 2"/>
    <n v="21.49"/>
    <x v="19"/>
    <n v="85.96"/>
    <x v="1"/>
    <x v="2"/>
    <x v="1"/>
    <x v="10"/>
    <n v="-285.48"/>
  </r>
  <r>
    <d v="2025-11-02T00:00:00"/>
    <s v="cogs:product 3"/>
    <n v="8.99"/>
    <x v="223"/>
    <n v="988.9"/>
    <x v="1"/>
    <x v="3"/>
    <x v="1"/>
    <x v="10"/>
    <n v="-150.42999999999998"/>
  </r>
  <r>
    <d v="2025-11-02T00:00:00"/>
    <s v="marketing"/>
    <s v="NA"/>
    <x v="0"/>
    <n v="115.01"/>
    <x v="2"/>
    <x v="0"/>
    <x v="1"/>
    <x v="10"/>
    <n v="-1528.3"/>
  </r>
  <r>
    <d v="2025-11-02T00:00:00"/>
    <s v="net sales:product 1"/>
    <n v="9.99"/>
    <x v="14"/>
    <n v="949.05000000000007"/>
    <x v="3"/>
    <x v="1"/>
    <x v="1"/>
    <x v="10"/>
    <n v="-103.05"/>
  </r>
  <r>
    <d v="2025-11-02T00:00:00"/>
    <s v="net sales:product 2"/>
    <n v="24.99"/>
    <x v="19"/>
    <n v="99.96"/>
    <x v="3"/>
    <x v="2"/>
    <x v="1"/>
    <x v="10"/>
    <n v="519.48"/>
  </r>
  <r>
    <d v="2025-11-02T00:00:00"/>
    <s v="net sales:product 3"/>
    <n v="12.49"/>
    <x v="223"/>
    <n v="1373.9"/>
    <x v="3"/>
    <x v="3"/>
    <x v="1"/>
    <x v="10"/>
    <n v="174.92999999999998"/>
  </r>
  <r>
    <d v="2025-11-03T00:00:00"/>
    <s v="cogs:product 1"/>
    <n v="5.49"/>
    <x v="7"/>
    <n v="49.410000000000004"/>
    <x v="1"/>
    <x v="1"/>
    <x v="1"/>
    <x v="10"/>
    <n v="2123.3000000000002"/>
  </r>
  <r>
    <d v="2025-11-03T00:00:00"/>
    <s v="cogs:product 2"/>
    <n v="21.49"/>
    <x v="10"/>
    <n v="42.98"/>
    <x v="1"/>
    <x v="2"/>
    <x v="1"/>
    <x v="10"/>
    <n v="-455.67"/>
  </r>
  <r>
    <d v="2025-11-03T00:00:00"/>
    <s v="cogs:product 3"/>
    <n v="8.99"/>
    <x v="99"/>
    <n v="1195.67"/>
    <x v="1"/>
    <x v="3"/>
    <x v="1"/>
    <x v="10"/>
    <n v="-171.92"/>
  </r>
  <r>
    <d v="2025-11-03T00:00:00"/>
    <s v="marketing"/>
    <s v="NA"/>
    <x v="0"/>
    <n v="107.03"/>
    <x v="2"/>
    <x v="0"/>
    <x v="1"/>
    <x v="10"/>
    <n v="-323.64"/>
  </r>
  <r>
    <d v="2025-11-03T00:00:00"/>
    <s v="net sales:product 1"/>
    <n v="9.99"/>
    <x v="7"/>
    <n v="89.91"/>
    <x v="3"/>
    <x v="1"/>
    <x v="1"/>
    <x v="10"/>
    <n v="-112.03"/>
  </r>
  <r>
    <d v="2025-11-03T00:00:00"/>
    <s v="net sales:product 2"/>
    <n v="24.99"/>
    <x v="10"/>
    <n v="49.98"/>
    <x v="3"/>
    <x v="2"/>
    <x v="1"/>
    <x v="10"/>
    <n v="829.17000000000007"/>
  </r>
  <r>
    <d v="2025-11-03T00:00:00"/>
    <s v="net sales:product 3"/>
    <n v="12.49"/>
    <x v="99"/>
    <n v="1661.17"/>
    <x v="3"/>
    <x v="3"/>
    <x v="1"/>
    <x v="10"/>
    <n v="199.92"/>
  </r>
  <r>
    <d v="2025-11-04T00:00:00"/>
    <s v="cogs:product 1"/>
    <n v="5.49"/>
    <x v="41"/>
    <n v="505.08000000000004"/>
    <x v="1"/>
    <x v="1"/>
    <x v="1"/>
    <x v="10"/>
    <n v="449.64"/>
  </r>
  <r>
    <d v="2025-11-04T00:00:00"/>
    <s v="cogs:product 2"/>
    <n v="21.49"/>
    <x v="13"/>
    <n v="150.42999999999998"/>
    <x v="1"/>
    <x v="2"/>
    <x v="1"/>
    <x v="10"/>
    <n v="-334.89"/>
  </r>
  <r>
    <d v="2025-11-04T00:00:00"/>
    <s v="cogs:product 3"/>
    <n v="8.99"/>
    <x v="141"/>
    <n v="1762.04"/>
    <x v="1"/>
    <x v="3"/>
    <x v="1"/>
    <x v="10"/>
    <n v="-85.96"/>
  </r>
  <r>
    <d v="2025-11-04T00:00:00"/>
    <s v="marketing"/>
    <s v="NA"/>
    <x v="0"/>
    <n v="99.93"/>
    <x v="2"/>
    <x v="0"/>
    <x v="1"/>
    <x v="10"/>
    <n v="-233.74"/>
  </r>
  <r>
    <d v="2025-11-04T00:00:00"/>
    <s v="net sales:product 1"/>
    <n v="9.99"/>
    <x v="41"/>
    <n v="919.08"/>
    <x v="3"/>
    <x v="1"/>
    <x v="1"/>
    <x v="10"/>
    <n v="-106.04"/>
  </r>
  <r>
    <d v="2025-11-04T00:00:00"/>
    <s v="net sales:product 2"/>
    <n v="24.99"/>
    <x v="13"/>
    <n v="174.92999999999998"/>
    <x v="3"/>
    <x v="2"/>
    <x v="1"/>
    <x v="10"/>
    <n v="609.39"/>
  </r>
  <r>
    <d v="2025-11-04T00:00:00"/>
    <s v="net sales:product 3"/>
    <n v="12.49"/>
    <x v="141"/>
    <n v="2448.04"/>
    <x v="3"/>
    <x v="3"/>
    <x v="1"/>
    <x v="10"/>
    <n v="99.96"/>
  </r>
  <r>
    <d v="2025-11-05T00:00:00"/>
    <s v="cogs:product 1"/>
    <n v="5.49"/>
    <x v="16"/>
    <n v="43.92"/>
    <x v="1"/>
    <x v="1"/>
    <x v="1"/>
    <x v="10"/>
    <n v="324.74"/>
  </r>
  <r>
    <d v="2025-11-05T00:00:00"/>
    <s v="cogs:product 2"/>
    <n v="21.49"/>
    <x v="13"/>
    <n v="150.42999999999998"/>
    <x v="1"/>
    <x v="2"/>
    <x v="1"/>
    <x v="10"/>
    <n v="-186.66"/>
  </r>
  <r>
    <d v="2025-11-05T00:00:00"/>
    <s v="cogs:product 3"/>
    <n v="8.99"/>
    <x v="182"/>
    <n v="1851.94"/>
    <x v="1"/>
    <x v="3"/>
    <x v="1"/>
    <x v="10"/>
    <n v="-42.98"/>
  </r>
  <r>
    <d v="2025-11-05T00:00:00"/>
    <s v="marketing"/>
    <s v="NA"/>
    <x v="0"/>
    <n v="100.9"/>
    <x v="2"/>
    <x v="0"/>
    <x v="1"/>
    <x v="10"/>
    <n v="-53.94"/>
  </r>
  <r>
    <d v="2025-11-05T00:00:00"/>
    <s v="net sales:product 1"/>
    <n v="9.99"/>
    <x v="16"/>
    <n v="79.92"/>
    <x v="3"/>
    <x v="1"/>
    <x v="1"/>
    <x v="10"/>
    <n v="-108.92"/>
  </r>
  <r>
    <d v="2025-11-05T00:00:00"/>
    <s v="net sales:product 2"/>
    <n v="24.99"/>
    <x v="13"/>
    <n v="174.92999999999998"/>
    <x v="3"/>
    <x v="2"/>
    <x v="1"/>
    <x v="10"/>
    <n v="339.66"/>
  </r>
  <r>
    <d v="2025-11-05T00:00:00"/>
    <s v="net sales:product 3"/>
    <n v="12.49"/>
    <x v="182"/>
    <n v="2572.94"/>
    <x v="3"/>
    <x v="3"/>
    <x v="1"/>
    <x v="10"/>
    <n v="49.98"/>
  </r>
  <r>
    <d v="2025-11-06T00:00:00"/>
    <s v="cogs:product 1"/>
    <n v="5.49"/>
    <x v="62"/>
    <n v="384.3"/>
    <x v="1"/>
    <x v="1"/>
    <x v="1"/>
    <x v="10"/>
    <n v="74.94"/>
  </r>
  <r>
    <d v="2025-11-06T00:00:00"/>
    <s v="cogs:product 2"/>
    <n v="21.49"/>
    <x v="42"/>
    <n v="128.94"/>
    <x v="1"/>
    <x v="2"/>
    <x v="1"/>
    <x v="10"/>
    <n v="-76.86"/>
  </r>
  <r>
    <d v="2025-11-06T00:00:00"/>
    <s v="cogs:product 3"/>
    <n v="8.99"/>
    <x v="50"/>
    <n v="809.1"/>
    <x v="1"/>
    <x v="3"/>
    <x v="1"/>
    <x v="10"/>
    <n v="0"/>
  </r>
  <r>
    <d v="2025-11-06T00:00:00"/>
    <s v="marketing"/>
    <s v="NA"/>
    <x v="0"/>
    <n v="108.99000000000001"/>
    <x v="2"/>
    <x v="0"/>
    <x v="1"/>
    <x v="10"/>
    <n v="-395.56"/>
  </r>
  <r>
    <d v="2025-11-06T00:00:00"/>
    <s v="net sales:product 1"/>
    <n v="9.99"/>
    <x v="62"/>
    <n v="699.30000000000007"/>
    <x v="3"/>
    <x v="1"/>
    <x v="1"/>
    <x v="10"/>
    <n v="-119.05"/>
  </r>
  <r>
    <d v="2025-11-06T00:00:00"/>
    <s v="net sales:product 2"/>
    <n v="24.99"/>
    <x v="42"/>
    <n v="149.94"/>
    <x v="3"/>
    <x v="2"/>
    <x v="1"/>
    <x v="10"/>
    <n v="139.86000000000001"/>
  </r>
  <r>
    <d v="2025-11-06T00:00:00"/>
    <s v="net sales:product 3"/>
    <n v="12.49"/>
    <x v="50"/>
    <n v="1124.0999999999999"/>
    <x v="3"/>
    <x v="3"/>
    <x v="1"/>
    <x v="10"/>
    <n v="0"/>
  </r>
  <r>
    <d v="2025-11-07T00:00:00"/>
    <s v="cogs:product 1"/>
    <n v="5.49"/>
    <x v="158"/>
    <n v="395.28000000000003"/>
    <x v="1"/>
    <x v="1"/>
    <x v="1"/>
    <x v="10"/>
    <n v="549.56000000000006"/>
  </r>
  <r>
    <d v="2025-11-07T00:00:00"/>
    <s v="cogs:product 2"/>
    <n v="21.49"/>
    <x v="23"/>
    <n v="0"/>
    <x v="1"/>
    <x v="2"/>
    <x v="1"/>
    <x v="10"/>
    <n v="-120.78"/>
  </r>
  <r>
    <d v="2025-11-07T00:00:00"/>
    <s v="cogs:product 3"/>
    <n v="8.99"/>
    <x v="152"/>
    <n v="1744.06"/>
    <x v="1"/>
    <x v="3"/>
    <x v="1"/>
    <x v="10"/>
    <n v="-128.94"/>
  </r>
  <r>
    <d v="2025-11-07T00:00:00"/>
    <s v="marketing"/>
    <s v="NA"/>
    <x v="0"/>
    <n v="117.01"/>
    <x v="2"/>
    <x v="0"/>
    <x v="1"/>
    <x v="10"/>
    <n v="-2157.6"/>
  </r>
  <r>
    <d v="2025-11-07T00:00:00"/>
    <s v="net sales:product 1"/>
    <n v="9.99"/>
    <x v="158"/>
    <n v="719.28"/>
    <x v="3"/>
    <x v="1"/>
    <x v="1"/>
    <x v="10"/>
    <n v="-118.9"/>
  </r>
  <r>
    <d v="2025-11-07T00:00:00"/>
    <s v="net sales:product 2"/>
    <n v="24.99"/>
    <x v="23"/>
    <n v="0"/>
    <x v="3"/>
    <x v="2"/>
    <x v="1"/>
    <x v="10"/>
    <n v="219.78"/>
  </r>
  <r>
    <d v="2025-11-07T00:00:00"/>
    <s v="net sales:product 3"/>
    <n v="12.49"/>
    <x v="152"/>
    <n v="2423.06"/>
    <x v="3"/>
    <x v="3"/>
    <x v="1"/>
    <x v="10"/>
    <n v="149.94"/>
  </r>
  <r>
    <d v="2025-11-07T00:00:00"/>
    <s v="payroll"/>
    <s v="NA"/>
    <x v="0"/>
    <n v="1200"/>
    <x v="5"/>
    <x v="0"/>
    <x v="1"/>
    <x v="10"/>
    <n v="2997.6"/>
  </r>
  <r>
    <d v="2025-11-08T00:00:00"/>
    <s v="cogs:product 1"/>
    <n v="5.49"/>
    <x v="2"/>
    <n v="16.47"/>
    <x v="1"/>
    <x v="1"/>
    <x v="1"/>
    <x v="10"/>
    <n v="-82.350000000000009"/>
  </r>
  <r>
    <d v="2025-11-08T00:00:00"/>
    <s v="cogs:product 2"/>
    <n v="21.49"/>
    <x v="10"/>
    <n v="42.98"/>
    <x v="1"/>
    <x v="2"/>
    <x v="1"/>
    <x v="10"/>
    <n v="-64.47"/>
  </r>
  <r>
    <d v="2025-11-08T00:00:00"/>
    <s v="cogs:product 3"/>
    <n v="8.99"/>
    <x v="208"/>
    <n v="961.93000000000006"/>
    <x v="1"/>
    <x v="3"/>
    <x v="1"/>
    <x v="10"/>
    <n v="-1887.9"/>
  </r>
  <r>
    <d v="2025-11-08T00:00:00"/>
    <s v="marketing"/>
    <s v="NA"/>
    <x v="0"/>
    <n v="105.09"/>
    <x v="2"/>
    <x v="0"/>
    <x v="1"/>
    <x v="10"/>
    <n v="-115.95"/>
  </r>
  <r>
    <d v="2025-11-08T00:00:00"/>
    <s v="net sales:product 1"/>
    <n v="9.99"/>
    <x v="2"/>
    <n v="29.97"/>
    <x v="3"/>
    <x v="1"/>
    <x v="1"/>
    <x v="10"/>
    <n v="149.85"/>
  </r>
  <r>
    <d v="2025-11-08T00:00:00"/>
    <s v="net sales:product 2"/>
    <n v="24.99"/>
    <x v="10"/>
    <n v="49.98"/>
    <x v="3"/>
    <x v="2"/>
    <x v="1"/>
    <x v="10"/>
    <n v="74.97"/>
  </r>
  <r>
    <d v="2025-11-08T00:00:00"/>
    <s v="net sales:product 3"/>
    <n v="12.49"/>
    <x v="208"/>
    <n v="1336.43"/>
    <x v="3"/>
    <x v="3"/>
    <x v="1"/>
    <x v="10"/>
    <n v="2622.9"/>
  </r>
  <r>
    <d v="2025-11-09T00:00:00"/>
    <s v="cogs:product 1"/>
    <n v="5.49"/>
    <x v="87"/>
    <n v="87.84"/>
    <x v="1"/>
    <x v="1"/>
    <x v="1"/>
    <x v="10"/>
    <n v="-159.21"/>
  </r>
  <r>
    <d v="2025-11-09T00:00:00"/>
    <s v="cogs:product 2"/>
    <n v="21.49"/>
    <x v="25"/>
    <n v="21.49"/>
    <x v="1"/>
    <x v="2"/>
    <x v="1"/>
    <x v="10"/>
    <n v="0"/>
  </r>
  <r>
    <d v="2025-11-09T00:00:00"/>
    <s v="cogs:product 3"/>
    <n v="8.99"/>
    <x v="72"/>
    <n v="215.76"/>
    <x v="1"/>
    <x v="3"/>
    <x v="1"/>
    <x v="10"/>
    <n v="-1815.98"/>
  </r>
  <r>
    <d v="2025-11-09T00:00:00"/>
    <s v="marketing"/>
    <s v="NA"/>
    <x v="0"/>
    <n v="107.10000000000001"/>
    <x v="2"/>
    <x v="0"/>
    <x v="1"/>
    <x v="10"/>
    <n v="-113.97"/>
  </r>
  <r>
    <d v="2025-11-09T00:00:00"/>
    <s v="net sales:product 1"/>
    <n v="9.99"/>
    <x v="87"/>
    <n v="159.84"/>
    <x v="3"/>
    <x v="1"/>
    <x v="1"/>
    <x v="10"/>
    <n v="289.70999999999998"/>
  </r>
  <r>
    <d v="2025-11-09T00:00:00"/>
    <s v="net sales:product 2"/>
    <n v="24.99"/>
    <x v="25"/>
    <n v="24.99"/>
    <x v="3"/>
    <x v="2"/>
    <x v="1"/>
    <x v="10"/>
    <n v="0"/>
  </r>
  <r>
    <d v="2025-11-09T00:00:00"/>
    <s v="net sales:product 3"/>
    <n v="12.49"/>
    <x v="72"/>
    <n v="299.76"/>
    <x v="3"/>
    <x v="3"/>
    <x v="1"/>
    <x v="10"/>
    <n v="2522.98"/>
  </r>
  <r>
    <d v="2025-11-10T00:00:00"/>
    <s v="cogs:product 1"/>
    <n v="5.49"/>
    <x v="83"/>
    <n v="252.54000000000002"/>
    <x v="1"/>
    <x v="1"/>
    <x v="1"/>
    <x v="10"/>
    <n v="-1200"/>
  </r>
  <r>
    <d v="2025-11-10T00:00:00"/>
    <s v="cogs:product 2"/>
    <n v="21.49"/>
    <x v="25"/>
    <n v="21.49"/>
    <x v="1"/>
    <x v="2"/>
    <x v="1"/>
    <x v="10"/>
    <n v="-411.75"/>
  </r>
  <r>
    <d v="2025-11-10T00:00:00"/>
    <s v="cogs:product 3"/>
    <n v="8.99"/>
    <x v="133"/>
    <n v="1240.6200000000001"/>
    <x v="1"/>
    <x v="3"/>
    <x v="1"/>
    <x v="10"/>
    <n v="-21.49"/>
  </r>
  <r>
    <d v="2025-11-10T00:00:00"/>
    <s v="marketing"/>
    <s v="NA"/>
    <x v="0"/>
    <n v="114.94"/>
    <x v="2"/>
    <x v="0"/>
    <x v="1"/>
    <x v="10"/>
    <n v="-467.48"/>
  </r>
  <r>
    <d v="2025-11-10T00:00:00"/>
    <s v="net sales:product 1"/>
    <n v="9.99"/>
    <x v="83"/>
    <n v="459.54"/>
    <x v="3"/>
    <x v="1"/>
    <x v="1"/>
    <x v="10"/>
    <n v="-105.01"/>
  </r>
  <r>
    <d v="2025-11-10T00:00:00"/>
    <s v="net sales:product 2"/>
    <n v="24.99"/>
    <x v="25"/>
    <n v="24.99"/>
    <x v="3"/>
    <x v="2"/>
    <x v="1"/>
    <x v="10"/>
    <n v="749.25"/>
  </r>
  <r>
    <d v="2025-11-10T00:00:00"/>
    <s v="net sales:product 3"/>
    <n v="12.49"/>
    <x v="133"/>
    <n v="1723.6200000000001"/>
    <x v="3"/>
    <x v="3"/>
    <x v="1"/>
    <x v="10"/>
    <n v="24.99"/>
  </r>
  <r>
    <d v="2025-11-11T00:00:00"/>
    <s v="cogs:product 1"/>
    <n v="5.49"/>
    <x v="22"/>
    <n v="54.900000000000006"/>
    <x v="1"/>
    <x v="1"/>
    <x v="1"/>
    <x v="10"/>
    <n v="649.48"/>
  </r>
  <r>
    <d v="2025-11-11T00:00:00"/>
    <s v="cogs:product 2"/>
    <n v="21.49"/>
    <x v="10"/>
    <n v="42.98"/>
    <x v="1"/>
    <x v="2"/>
    <x v="1"/>
    <x v="10"/>
    <n v="-230.58"/>
  </r>
  <r>
    <d v="2025-11-11T00:00:00"/>
    <s v="cogs:product 3"/>
    <n v="8.99"/>
    <x v="43"/>
    <n v="1950.8300000000002"/>
    <x v="1"/>
    <x v="3"/>
    <x v="1"/>
    <x v="10"/>
    <n v="-42.98"/>
  </r>
  <r>
    <d v="2025-11-11T00:00:00"/>
    <s v="marketing"/>
    <s v="NA"/>
    <x v="0"/>
    <n v="102.94"/>
    <x v="2"/>
    <x v="0"/>
    <x v="1"/>
    <x v="10"/>
    <n v="-1240.6200000000001"/>
  </r>
  <r>
    <d v="2025-11-11T00:00:00"/>
    <s v="net sales:product 1"/>
    <n v="9.99"/>
    <x v="22"/>
    <n v="99.9"/>
    <x v="3"/>
    <x v="1"/>
    <x v="1"/>
    <x v="10"/>
    <n v="-119.91"/>
  </r>
  <r>
    <d v="2025-11-11T00:00:00"/>
    <s v="net sales:product 2"/>
    <n v="24.99"/>
    <x v="10"/>
    <n v="49.98"/>
    <x v="3"/>
    <x v="2"/>
    <x v="1"/>
    <x v="10"/>
    <n v="419.58"/>
  </r>
  <r>
    <d v="2025-11-11T00:00:00"/>
    <s v="net sales:product 3"/>
    <n v="12.49"/>
    <x v="43"/>
    <n v="2710.33"/>
    <x v="3"/>
    <x v="3"/>
    <x v="1"/>
    <x v="10"/>
    <n v="49.98"/>
  </r>
  <r>
    <d v="2025-11-12T00:00:00"/>
    <s v="cogs:product 1"/>
    <n v="5.49"/>
    <x v="158"/>
    <n v="395.28000000000003"/>
    <x v="1"/>
    <x v="1"/>
    <x v="1"/>
    <x v="10"/>
    <n v="1723.6200000000001"/>
  </r>
  <r>
    <d v="2025-11-12T00:00:00"/>
    <s v="cogs:product 2"/>
    <n v="21.49"/>
    <x v="42"/>
    <n v="128.94"/>
    <x v="1"/>
    <x v="2"/>
    <x v="1"/>
    <x v="10"/>
    <n v="-433.71000000000004"/>
  </r>
  <r>
    <d v="2025-11-12T00:00:00"/>
    <s v="cogs:product 3"/>
    <n v="8.99"/>
    <x v="117"/>
    <n v="773.14"/>
    <x v="1"/>
    <x v="3"/>
    <x v="1"/>
    <x v="10"/>
    <n v="-171.92"/>
  </r>
  <r>
    <d v="2025-11-12T00:00:00"/>
    <s v="marketing"/>
    <s v="NA"/>
    <x v="0"/>
    <n v="111.92"/>
    <x v="2"/>
    <x v="0"/>
    <x v="1"/>
    <x v="10"/>
    <n v="-620.31000000000006"/>
  </r>
  <r>
    <d v="2025-11-12T00:00:00"/>
    <s v="net sales:product 1"/>
    <n v="9.99"/>
    <x v="158"/>
    <n v="719.28"/>
    <x v="3"/>
    <x v="1"/>
    <x v="1"/>
    <x v="10"/>
    <n v="-119.99000000000001"/>
  </r>
  <r>
    <d v="2025-11-12T00:00:00"/>
    <s v="net sales:product 2"/>
    <n v="24.99"/>
    <x v="42"/>
    <n v="149.94"/>
    <x v="3"/>
    <x v="2"/>
    <x v="1"/>
    <x v="10"/>
    <n v="789.21"/>
  </r>
  <r>
    <d v="2025-11-12T00:00:00"/>
    <s v="net sales:product 3"/>
    <n v="12.49"/>
    <x v="117"/>
    <n v="1074.1400000000001"/>
    <x v="3"/>
    <x v="3"/>
    <x v="1"/>
    <x v="10"/>
    <n v="199.92"/>
  </r>
  <r>
    <d v="2025-11-13T00:00:00"/>
    <s v="cogs:product 1"/>
    <n v="5.49"/>
    <x v="83"/>
    <n v="252.54000000000002"/>
    <x v="1"/>
    <x v="1"/>
    <x v="1"/>
    <x v="10"/>
    <n v="861.81000000000006"/>
  </r>
  <r>
    <d v="2025-11-13T00:00:00"/>
    <s v="cogs:product 2"/>
    <n v="21.49"/>
    <x v="29"/>
    <n v="107.44999999999999"/>
    <x v="1"/>
    <x v="2"/>
    <x v="1"/>
    <x v="10"/>
    <n v="-433.71000000000004"/>
  </r>
  <r>
    <d v="2025-11-13T00:00:00"/>
    <s v="cogs:product 3"/>
    <n v="8.99"/>
    <x v="184"/>
    <n v="934.96"/>
    <x v="1"/>
    <x v="3"/>
    <x v="1"/>
    <x v="10"/>
    <n v="-85.96"/>
  </r>
  <r>
    <d v="2025-11-13T00:00:00"/>
    <s v="marketing"/>
    <s v="NA"/>
    <x v="0"/>
    <n v="110.03"/>
    <x v="2"/>
    <x v="0"/>
    <x v="1"/>
    <x v="10"/>
    <n v="-1681.13"/>
  </r>
  <r>
    <d v="2025-11-13T00:00:00"/>
    <s v="net sales:product 1"/>
    <n v="9.99"/>
    <x v="83"/>
    <n v="459.54"/>
    <x v="3"/>
    <x v="1"/>
    <x v="1"/>
    <x v="10"/>
    <n v="-109.04"/>
  </r>
  <r>
    <d v="2025-11-13T00:00:00"/>
    <s v="net sales:product 2"/>
    <n v="24.99"/>
    <x v="29"/>
    <n v="124.94999999999999"/>
    <x v="3"/>
    <x v="2"/>
    <x v="1"/>
    <x v="10"/>
    <n v="789.21"/>
  </r>
  <r>
    <d v="2025-11-13T00:00:00"/>
    <s v="net sales:product 3"/>
    <n v="12.49"/>
    <x v="184"/>
    <n v="1298.96"/>
    <x v="3"/>
    <x v="3"/>
    <x v="1"/>
    <x v="10"/>
    <n v="99.96"/>
  </r>
  <r>
    <d v="2025-11-14T00:00:00"/>
    <s v="cogs:product 1"/>
    <n v="5.49"/>
    <x v="80"/>
    <n v="236.07000000000002"/>
    <x v="1"/>
    <x v="1"/>
    <x v="1"/>
    <x v="10"/>
    <n v="2335.63"/>
  </r>
  <r>
    <d v="2025-11-14T00:00:00"/>
    <s v="cogs:product 2"/>
    <n v="21.49"/>
    <x v="25"/>
    <n v="21.49"/>
    <x v="1"/>
    <x v="2"/>
    <x v="1"/>
    <x v="10"/>
    <n v="-444.69"/>
  </r>
  <r>
    <d v="2025-11-14T00:00:00"/>
    <s v="cogs:product 3"/>
    <n v="8.99"/>
    <x v="60"/>
    <n v="206.77"/>
    <x v="1"/>
    <x v="3"/>
    <x v="1"/>
    <x v="10"/>
    <n v="-64.47"/>
  </r>
  <r>
    <d v="2025-11-14T00:00:00"/>
    <s v="marketing"/>
    <s v="NA"/>
    <x v="0"/>
    <n v="111.97"/>
    <x v="2"/>
    <x v="0"/>
    <x v="1"/>
    <x v="10"/>
    <n v="-449.5"/>
  </r>
  <r>
    <d v="2025-11-14T00:00:00"/>
    <s v="net sales:product 1"/>
    <n v="9.99"/>
    <x v="80"/>
    <n v="429.57"/>
    <x v="3"/>
    <x v="1"/>
    <x v="1"/>
    <x v="10"/>
    <n v="-1175.72"/>
  </r>
  <r>
    <d v="2025-11-14T00:00:00"/>
    <s v="net sales:product 2"/>
    <n v="24.99"/>
    <x v="25"/>
    <n v="24.99"/>
    <x v="3"/>
    <x v="2"/>
    <x v="1"/>
    <x v="10"/>
    <n v="-117.04"/>
  </r>
  <r>
    <d v="2025-11-14T00:00:00"/>
    <s v="net sales:product 3"/>
    <n v="12.49"/>
    <x v="60"/>
    <n v="287.27"/>
    <x v="3"/>
    <x v="3"/>
    <x v="1"/>
    <x v="10"/>
    <n v="809.19"/>
  </r>
  <r>
    <d v="2025-11-15T00:00:00"/>
    <s v="cogs:product 1"/>
    <n v="5.49"/>
    <x v="124"/>
    <n v="186.66"/>
    <x v="1"/>
    <x v="1"/>
    <x v="1"/>
    <x v="10"/>
    <n v="74.97"/>
  </r>
  <r>
    <d v="2025-11-15T00:00:00"/>
    <s v="cogs:product 2"/>
    <n v="21.49"/>
    <x v="13"/>
    <n v="150.42999999999998"/>
    <x v="1"/>
    <x v="2"/>
    <x v="1"/>
    <x v="10"/>
    <n v="624.5"/>
  </r>
  <r>
    <d v="2025-11-15T00:00:00"/>
    <s v="cogs:product 3"/>
    <n v="8.99"/>
    <x v="99"/>
    <n v="1195.67"/>
    <x v="1"/>
    <x v="3"/>
    <x v="1"/>
    <x v="10"/>
    <n v="-322.66000000000003"/>
  </r>
  <r>
    <d v="2025-11-15T00:00:00"/>
    <s v="interest"/>
    <s v="NA"/>
    <x v="0"/>
    <n v="1249.8399999999999"/>
    <x v="6"/>
    <x v="0"/>
    <x v="1"/>
    <x v="10"/>
    <n v="-483.12"/>
  </r>
  <r>
    <d v="2025-11-15T00:00:00"/>
    <s v="marketing"/>
    <s v="NA"/>
    <x v="0"/>
    <n v="103"/>
    <x v="2"/>
    <x v="0"/>
    <x v="1"/>
    <x v="10"/>
    <n v="0"/>
  </r>
  <r>
    <d v="2025-11-15T00:00:00"/>
    <s v="net sales:product 1"/>
    <n v="9.99"/>
    <x v="124"/>
    <n v="339.66"/>
    <x v="3"/>
    <x v="1"/>
    <x v="1"/>
    <x v="10"/>
    <n v="-827.08"/>
  </r>
  <r>
    <d v="2025-11-15T00:00:00"/>
    <s v="net sales:product 2"/>
    <n v="24.99"/>
    <x v="13"/>
    <n v="174.92999999999998"/>
    <x v="3"/>
    <x v="2"/>
    <x v="1"/>
    <x v="10"/>
    <n v="-113.03"/>
  </r>
  <r>
    <d v="2025-11-15T00:00:00"/>
    <s v="net sales:product 3"/>
    <n v="12.49"/>
    <x v="99"/>
    <n v="1661.17"/>
    <x v="3"/>
    <x v="3"/>
    <x v="1"/>
    <x v="10"/>
    <n v="879.12"/>
  </r>
  <r>
    <d v="2025-11-15T00:00:00"/>
    <s v="overhead"/>
    <s v="NA"/>
    <x v="0"/>
    <n v="312.45999999999998"/>
    <x v="4"/>
    <x v="0"/>
    <x v="1"/>
    <x v="10"/>
    <n v="0"/>
  </r>
  <r>
    <d v="2025-11-16T00:00:00"/>
    <s v="cogs:product 1"/>
    <n v="5.49"/>
    <x v="3"/>
    <n v="428.22"/>
    <x v="1"/>
    <x v="1"/>
    <x v="1"/>
    <x v="10"/>
    <n v="1149.08"/>
  </r>
  <r>
    <d v="2025-11-16T00:00:00"/>
    <s v="cogs:product 2"/>
    <n v="21.49"/>
    <x v="19"/>
    <n v="85.96"/>
    <x v="1"/>
    <x v="2"/>
    <x v="1"/>
    <x v="10"/>
    <n v="-455.67"/>
  </r>
  <r>
    <d v="2025-11-16T00:00:00"/>
    <s v="cogs:product 3"/>
    <n v="8.99"/>
    <x v="68"/>
    <n v="1276.58"/>
    <x v="1"/>
    <x v="3"/>
    <x v="1"/>
    <x v="10"/>
    <n v="-42.98"/>
  </r>
  <r>
    <d v="2025-11-16T00:00:00"/>
    <s v="marketing"/>
    <s v="NA"/>
    <x v="0"/>
    <n v="112.08"/>
    <x v="2"/>
    <x v="0"/>
    <x v="1"/>
    <x v="10"/>
    <n v="-1024.8600000000001"/>
  </r>
  <r>
    <d v="2025-11-16T00:00:00"/>
    <s v="net sales:product 1"/>
    <n v="9.99"/>
    <x v="3"/>
    <n v="779.22"/>
    <x v="3"/>
    <x v="1"/>
    <x v="1"/>
    <x v="10"/>
    <n v="-108.98"/>
  </r>
  <r>
    <d v="2025-11-16T00:00:00"/>
    <s v="net sales:product 2"/>
    <n v="24.99"/>
    <x v="19"/>
    <n v="99.96"/>
    <x v="3"/>
    <x v="2"/>
    <x v="1"/>
    <x v="10"/>
    <n v="829.17000000000007"/>
  </r>
  <r>
    <d v="2025-11-16T00:00:00"/>
    <s v="net sales:product 3"/>
    <n v="12.49"/>
    <x v="68"/>
    <n v="1773.58"/>
    <x v="3"/>
    <x v="3"/>
    <x v="1"/>
    <x v="10"/>
    <n v="49.98"/>
  </r>
  <r>
    <d v="2025-11-17T00:00:00"/>
    <s v="cogs:product 1"/>
    <n v="5.49"/>
    <x v="18"/>
    <n v="466.65000000000003"/>
    <x v="1"/>
    <x v="1"/>
    <x v="1"/>
    <x v="10"/>
    <n v="1423.8600000000001"/>
  </r>
  <r>
    <d v="2025-11-17T00:00:00"/>
    <s v="cogs:product 2"/>
    <n v="21.49"/>
    <x v="23"/>
    <n v="0"/>
    <x v="1"/>
    <x v="2"/>
    <x v="1"/>
    <x v="10"/>
    <n v="-43.92"/>
  </r>
  <r>
    <d v="2025-11-17T00:00:00"/>
    <s v="cogs:product 3"/>
    <n v="8.99"/>
    <x v="183"/>
    <n v="1042.8399999999999"/>
    <x v="1"/>
    <x v="3"/>
    <x v="1"/>
    <x v="10"/>
    <n v="0"/>
  </r>
  <r>
    <d v="2025-11-17T00:00:00"/>
    <s v="marketing"/>
    <s v="NA"/>
    <x v="0"/>
    <n v="105"/>
    <x v="2"/>
    <x v="0"/>
    <x v="1"/>
    <x v="10"/>
    <n v="-1627.19"/>
  </r>
  <r>
    <d v="2025-11-17T00:00:00"/>
    <s v="net sales:product 1"/>
    <n v="9.99"/>
    <x v="18"/>
    <n v="849.15"/>
    <x v="3"/>
    <x v="1"/>
    <x v="1"/>
    <x v="10"/>
    <n v="-116.92"/>
  </r>
  <r>
    <d v="2025-11-17T00:00:00"/>
    <s v="net sales:product 2"/>
    <n v="24.99"/>
    <x v="23"/>
    <n v="0"/>
    <x v="3"/>
    <x v="2"/>
    <x v="1"/>
    <x v="10"/>
    <n v="79.92"/>
  </r>
  <r>
    <d v="2025-11-17T00:00:00"/>
    <s v="net sales:product 3"/>
    <n v="12.49"/>
    <x v="183"/>
    <n v="1448.84"/>
    <x v="3"/>
    <x v="3"/>
    <x v="1"/>
    <x v="10"/>
    <n v="0"/>
  </r>
  <r>
    <d v="2025-11-18T00:00:00"/>
    <s v="cogs:product 1"/>
    <n v="5.49"/>
    <x v="76"/>
    <n v="406.26"/>
    <x v="1"/>
    <x v="1"/>
    <x v="1"/>
    <x v="10"/>
    <n v="2260.69"/>
  </r>
  <r>
    <d v="2025-11-18T00:00:00"/>
    <s v="cogs:product 2"/>
    <n v="21.49"/>
    <x v="10"/>
    <n v="42.98"/>
    <x v="1"/>
    <x v="2"/>
    <x v="1"/>
    <x v="10"/>
    <n v="-329.40000000000003"/>
  </r>
  <r>
    <d v="2025-11-18T00:00:00"/>
    <s v="cogs:product 3"/>
    <n v="8.99"/>
    <x v="225"/>
    <n v="2184.5700000000002"/>
    <x v="1"/>
    <x v="3"/>
    <x v="1"/>
    <x v="10"/>
    <n v="0"/>
  </r>
  <r>
    <d v="2025-11-18T00:00:00"/>
    <s v="marketing"/>
    <s v="NA"/>
    <x v="0"/>
    <n v="119"/>
    <x v="2"/>
    <x v="0"/>
    <x v="1"/>
    <x v="10"/>
    <n v="-1123.75"/>
  </r>
  <r>
    <d v="2025-11-18T00:00:00"/>
    <s v="net sales:product 1"/>
    <n v="9.99"/>
    <x v="76"/>
    <n v="739.26"/>
    <x v="3"/>
    <x v="1"/>
    <x v="1"/>
    <x v="10"/>
    <n v="-118.02"/>
  </r>
  <r>
    <d v="2025-11-18T00:00:00"/>
    <s v="net sales:product 2"/>
    <n v="24.99"/>
    <x v="10"/>
    <n v="49.98"/>
    <x v="3"/>
    <x v="2"/>
    <x v="1"/>
    <x v="10"/>
    <n v="599.4"/>
  </r>
  <r>
    <d v="2025-11-18T00:00:00"/>
    <s v="net sales:product 3"/>
    <n v="12.49"/>
    <x v="225"/>
    <n v="3035.07"/>
    <x v="3"/>
    <x v="3"/>
    <x v="1"/>
    <x v="10"/>
    <n v="0"/>
  </r>
  <r>
    <d v="2025-11-19T00:00:00"/>
    <s v="cogs:product 1"/>
    <n v="5.49"/>
    <x v="124"/>
    <n v="186.66"/>
    <x v="1"/>
    <x v="1"/>
    <x v="1"/>
    <x v="10"/>
    <n v="1561.25"/>
  </r>
  <r>
    <d v="2025-11-19T00:00:00"/>
    <s v="cogs:product 2"/>
    <n v="21.49"/>
    <x v="10"/>
    <n v="42.98"/>
    <x v="1"/>
    <x v="2"/>
    <x v="1"/>
    <x v="10"/>
    <n v="-104.31"/>
  </r>
  <r>
    <d v="2025-11-19T00:00:00"/>
    <s v="cogs:product 3"/>
    <n v="8.99"/>
    <x v="169"/>
    <n v="1051.83"/>
    <x v="1"/>
    <x v="3"/>
    <x v="1"/>
    <x v="10"/>
    <n v="-150.42999999999998"/>
  </r>
  <r>
    <d v="2025-11-19T00:00:00"/>
    <s v="marketing"/>
    <s v="NA"/>
    <x v="0"/>
    <n v="114.92"/>
    <x v="2"/>
    <x v="0"/>
    <x v="1"/>
    <x v="10"/>
    <n v="0"/>
  </r>
  <r>
    <d v="2025-11-19T00:00:00"/>
    <s v="net sales:product 1"/>
    <n v="9.99"/>
    <x v="124"/>
    <n v="339.66"/>
    <x v="3"/>
    <x v="1"/>
    <x v="1"/>
    <x v="10"/>
    <n v="-100.06"/>
  </r>
  <r>
    <d v="2025-11-19T00:00:00"/>
    <s v="net sales:product 2"/>
    <n v="24.99"/>
    <x v="10"/>
    <n v="49.98"/>
    <x v="3"/>
    <x v="2"/>
    <x v="1"/>
    <x v="10"/>
    <n v="189.81"/>
  </r>
  <r>
    <d v="2025-11-19T00:00:00"/>
    <s v="net sales:product 3"/>
    <n v="12.49"/>
    <x v="169"/>
    <n v="1461.33"/>
    <x v="3"/>
    <x v="3"/>
    <x v="1"/>
    <x v="10"/>
    <n v="174.92999999999998"/>
  </r>
  <r>
    <d v="2025-11-20T00:00:00"/>
    <s v="cogs:product 1"/>
    <n v="5.49"/>
    <x v="2"/>
    <n v="16.47"/>
    <x v="1"/>
    <x v="1"/>
    <x v="1"/>
    <x v="10"/>
    <n v="0"/>
  </r>
  <r>
    <d v="2025-11-20T00:00:00"/>
    <s v="cogs:product 2"/>
    <n v="21.49"/>
    <x v="23"/>
    <n v="0"/>
    <x v="1"/>
    <x v="2"/>
    <x v="1"/>
    <x v="10"/>
    <n v="-450.18"/>
  </r>
  <r>
    <d v="2025-11-20T00:00:00"/>
    <s v="cogs:product 3"/>
    <n v="8.99"/>
    <x v="108"/>
    <n v="863.04"/>
    <x v="1"/>
    <x v="3"/>
    <x v="1"/>
    <x v="10"/>
    <n v="-171.92"/>
  </r>
  <r>
    <d v="2025-11-20T00:00:00"/>
    <s v="marketing"/>
    <s v="NA"/>
    <x v="0"/>
    <n v="103.95"/>
    <x v="2"/>
    <x v="0"/>
    <x v="1"/>
    <x v="10"/>
    <n v="-890.01"/>
  </r>
  <r>
    <d v="2025-11-20T00:00:00"/>
    <s v="net sales:product 1"/>
    <n v="9.99"/>
    <x v="2"/>
    <n v="29.97"/>
    <x v="3"/>
    <x v="1"/>
    <x v="1"/>
    <x v="10"/>
    <n v="-115.93"/>
  </r>
  <r>
    <d v="2025-11-20T00:00:00"/>
    <s v="net sales:product 2"/>
    <n v="24.99"/>
    <x v="23"/>
    <n v="0"/>
    <x v="3"/>
    <x v="2"/>
    <x v="1"/>
    <x v="10"/>
    <n v="819.18000000000006"/>
  </r>
  <r>
    <d v="2025-11-20T00:00:00"/>
    <s v="net sales:product 3"/>
    <n v="12.49"/>
    <x v="108"/>
    <n v="1199.04"/>
    <x v="3"/>
    <x v="3"/>
    <x v="1"/>
    <x v="10"/>
    <n v="199.92"/>
  </r>
  <r>
    <d v="2025-11-21T00:00:00"/>
    <s v="cogs:product 1"/>
    <n v="5.49"/>
    <x v="66"/>
    <n v="258.03000000000003"/>
    <x v="1"/>
    <x v="1"/>
    <x v="1"/>
    <x v="10"/>
    <n v="1236.51"/>
  </r>
  <r>
    <d v="2025-11-21T00:00:00"/>
    <s v="cogs:product 2"/>
    <n v="21.49"/>
    <x v="19"/>
    <n v="85.96"/>
    <x v="1"/>
    <x v="2"/>
    <x v="1"/>
    <x v="10"/>
    <n v="-538.02"/>
  </r>
  <r>
    <d v="2025-11-21T00:00:00"/>
    <s v="cogs:product 3"/>
    <n v="8.99"/>
    <x v="178"/>
    <n v="1735.07"/>
    <x v="1"/>
    <x v="3"/>
    <x v="1"/>
    <x v="10"/>
    <n v="-85.96"/>
  </r>
  <r>
    <d v="2025-11-21T00:00:00"/>
    <s v="marketing"/>
    <s v="NA"/>
    <x v="0"/>
    <n v="119.06"/>
    <x v="2"/>
    <x v="0"/>
    <x v="1"/>
    <x v="10"/>
    <n v="-2202.5500000000002"/>
  </r>
  <r>
    <d v="2025-11-21T00:00:00"/>
    <s v="net sales:product 1"/>
    <n v="9.99"/>
    <x v="66"/>
    <n v="469.53000000000003"/>
    <x v="3"/>
    <x v="1"/>
    <x v="1"/>
    <x v="10"/>
    <n v="-103.04"/>
  </r>
  <r>
    <d v="2025-11-21T00:00:00"/>
    <s v="net sales:product 2"/>
    <n v="24.99"/>
    <x v="19"/>
    <n v="99.96"/>
    <x v="3"/>
    <x v="2"/>
    <x v="1"/>
    <x v="10"/>
    <n v="979.02"/>
  </r>
  <r>
    <d v="2025-11-21T00:00:00"/>
    <s v="net sales:product 3"/>
    <n v="12.49"/>
    <x v="178"/>
    <n v="2410.5700000000002"/>
    <x v="3"/>
    <x v="3"/>
    <x v="1"/>
    <x v="10"/>
    <n v="99.96"/>
  </r>
  <r>
    <d v="2025-11-21T00:00:00"/>
    <s v="payroll"/>
    <s v="NA"/>
    <x v="0"/>
    <n v="1200"/>
    <x v="5"/>
    <x v="0"/>
    <x v="1"/>
    <x v="10"/>
    <n v="3060.05"/>
  </r>
  <r>
    <d v="2025-11-22T00:00:00"/>
    <s v="cogs:product 1"/>
    <n v="5.49"/>
    <x v="48"/>
    <n v="340.38"/>
    <x v="1"/>
    <x v="1"/>
    <x v="1"/>
    <x v="10"/>
    <n v="-274.5"/>
  </r>
  <r>
    <d v="2025-11-22T00:00:00"/>
    <s v="cogs:product 2"/>
    <n v="21.49"/>
    <x v="10"/>
    <n v="42.98"/>
    <x v="1"/>
    <x v="2"/>
    <x v="1"/>
    <x v="10"/>
    <n v="0"/>
  </r>
  <r>
    <d v="2025-11-22T00:00:00"/>
    <s v="cogs:product 3"/>
    <n v="8.99"/>
    <x v="161"/>
    <n v="1492.3400000000001"/>
    <x v="1"/>
    <x v="3"/>
    <x v="1"/>
    <x v="10"/>
    <n v="-359.6"/>
  </r>
  <r>
    <d v="2025-11-22T00:00:00"/>
    <s v="marketing"/>
    <s v="NA"/>
    <x v="0"/>
    <n v="112.03"/>
    <x v="2"/>
    <x v="0"/>
    <x v="1"/>
    <x v="10"/>
    <n v="-100.96000000000001"/>
  </r>
  <r>
    <d v="2025-11-22T00:00:00"/>
    <s v="net sales:product 1"/>
    <n v="9.99"/>
    <x v="48"/>
    <n v="619.38"/>
    <x v="3"/>
    <x v="1"/>
    <x v="1"/>
    <x v="10"/>
    <n v="499.5"/>
  </r>
  <r>
    <d v="2025-11-22T00:00:00"/>
    <s v="net sales:product 2"/>
    <n v="24.99"/>
    <x v="10"/>
    <n v="49.98"/>
    <x v="3"/>
    <x v="2"/>
    <x v="1"/>
    <x v="10"/>
    <n v="0"/>
  </r>
  <r>
    <d v="2025-11-22T00:00:00"/>
    <s v="net sales:product 3"/>
    <n v="12.49"/>
    <x v="161"/>
    <n v="2073.34"/>
    <x v="3"/>
    <x v="3"/>
    <x v="1"/>
    <x v="10"/>
    <n v="499.6"/>
  </r>
  <r>
    <d v="2025-11-23T00:00:00"/>
    <s v="cogs:product 1"/>
    <n v="5.49"/>
    <x v="18"/>
    <n v="466.65000000000003"/>
    <x v="1"/>
    <x v="1"/>
    <x v="1"/>
    <x v="10"/>
    <n v="-527.04"/>
  </r>
  <r>
    <d v="2025-11-23T00:00:00"/>
    <s v="cogs:product 2"/>
    <n v="21.49"/>
    <x v="23"/>
    <n v="0"/>
    <x v="1"/>
    <x v="2"/>
    <x v="1"/>
    <x v="10"/>
    <n v="-21.49"/>
  </r>
  <r>
    <d v="2025-11-23T00:00:00"/>
    <s v="cogs:product 3"/>
    <n v="8.99"/>
    <x v="189"/>
    <n v="1959.82"/>
    <x v="1"/>
    <x v="3"/>
    <x v="1"/>
    <x v="10"/>
    <n v="-1771.03"/>
  </r>
  <r>
    <d v="2025-11-23T00:00:00"/>
    <s v="marketing"/>
    <s v="NA"/>
    <x v="0"/>
    <n v="107.94"/>
    <x v="2"/>
    <x v="0"/>
    <x v="1"/>
    <x v="10"/>
    <n v="-113.09"/>
  </r>
  <r>
    <d v="2025-11-23T00:00:00"/>
    <s v="net sales:product 1"/>
    <n v="9.99"/>
    <x v="18"/>
    <n v="849.15"/>
    <x v="3"/>
    <x v="1"/>
    <x v="1"/>
    <x v="10"/>
    <n v="959.04"/>
  </r>
  <r>
    <d v="2025-11-23T00:00:00"/>
    <s v="net sales:product 2"/>
    <n v="24.99"/>
    <x v="23"/>
    <n v="0"/>
    <x v="3"/>
    <x v="2"/>
    <x v="1"/>
    <x v="10"/>
    <n v="24.99"/>
  </r>
  <r>
    <d v="2025-11-23T00:00:00"/>
    <s v="net sales:product 3"/>
    <n v="12.49"/>
    <x v="189"/>
    <n v="2722.82"/>
    <x v="3"/>
    <x v="3"/>
    <x v="1"/>
    <x v="10"/>
    <n v="2460.5300000000002"/>
  </r>
  <r>
    <d v="2025-11-24T00:00:00"/>
    <s v="cogs:product 1"/>
    <n v="5.49"/>
    <x v="82"/>
    <n v="488.61"/>
    <x v="1"/>
    <x v="1"/>
    <x v="1"/>
    <x v="10"/>
    <n v="-1200"/>
  </r>
  <r>
    <d v="2025-11-24T00:00:00"/>
    <s v="cogs:product 2"/>
    <n v="21.49"/>
    <x v="2"/>
    <n v="64.47"/>
    <x v="1"/>
    <x v="2"/>
    <x v="1"/>
    <x v="10"/>
    <n v="-455.67"/>
  </r>
  <r>
    <d v="2025-11-24T00:00:00"/>
    <s v="cogs:product 3"/>
    <n v="8.99"/>
    <x v="34"/>
    <n v="1204.6600000000001"/>
    <x v="1"/>
    <x v="3"/>
    <x v="1"/>
    <x v="10"/>
    <n v="-21.49"/>
  </r>
  <r>
    <d v="2025-11-24T00:00:00"/>
    <s v="marketing"/>
    <s v="NA"/>
    <x v="0"/>
    <n v="116.92"/>
    <x v="2"/>
    <x v="0"/>
    <x v="1"/>
    <x v="10"/>
    <n v="-620.31000000000006"/>
  </r>
  <r>
    <d v="2025-11-24T00:00:00"/>
    <s v="net sales:product 1"/>
    <n v="9.99"/>
    <x v="82"/>
    <n v="889.11"/>
    <x v="3"/>
    <x v="1"/>
    <x v="1"/>
    <x v="10"/>
    <n v="-116.04"/>
  </r>
  <r>
    <d v="2025-11-24T00:00:00"/>
    <s v="net sales:product 2"/>
    <n v="24.99"/>
    <x v="2"/>
    <n v="74.97"/>
    <x v="3"/>
    <x v="2"/>
    <x v="1"/>
    <x v="10"/>
    <n v="829.17000000000007"/>
  </r>
  <r>
    <d v="2025-11-24T00:00:00"/>
    <s v="net sales:product 3"/>
    <n v="12.49"/>
    <x v="34"/>
    <n v="1673.66"/>
    <x v="3"/>
    <x v="3"/>
    <x v="1"/>
    <x v="10"/>
    <n v="24.99"/>
  </r>
  <r>
    <d v="2025-11-25T00:00:00"/>
    <s v="cogs:product 1"/>
    <n v="5.49"/>
    <x v="226"/>
    <n v="461.16"/>
    <x v="1"/>
    <x v="1"/>
    <x v="1"/>
    <x v="10"/>
    <n v="861.81000000000006"/>
  </r>
  <r>
    <d v="2025-11-25T00:00:00"/>
    <s v="cogs:product 2"/>
    <n v="21.49"/>
    <x v="42"/>
    <n v="128.94"/>
    <x v="1"/>
    <x v="2"/>
    <x v="1"/>
    <x v="10"/>
    <n v="-362.34000000000003"/>
  </r>
  <r>
    <d v="2025-11-25T00:00:00"/>
    <s v="cogs:product 3"/>
    <n v="8.99"/>
    <x v="173"/>
    <n v="2202.5500000000002"/>
    <x v="1"/>
    <x v="3"/>
    <x v="1"/>
    <x v="10"/>
    <n v="-171.92"/>
  </r>
  <r>
    <d v="2025-11-25T00:00:00"/>
    <s v="marketing"/>
    <s v="NA"/>
    <x v="0"/>
    <n v="100.95"/>
    <x v="2"/>
    <x v="0"/>
    <x v="1"/>
    <x v="10"/>
    <n v="-1771.03"/>
  </r>
  <r>
    <d v="2025-11-25T00:00:00"/>
    <s v="net sales:product 1"/>
    <n v="9.99"/>
    <x v="226"/>
    <n v="839.16"/>
    <x v="3"/>
    <x v="1"/>
    <x v="1"/>
    <x v="10"/>
    <n v="-117"/>
  </r>
  <r>
    <d v="2025-11-25T00:00:00"/>
    <s v="net sales:product 2"/>
    <n v="24.99"/>
    <x v="42"/>
    <n v="149.94"/>
    <x v="3"/>
    <x v="2"/>
    <x v="1"/>
    <x v="10"/>
    <n v="659.34"/>
  </r>
  <r>
    <d v="2025-11-25T00:00:00"/>
    <s v="net sales:product 3"/>
    <n v="12.49"/>
    <x v="173"/>
    <n v="3060.05"/>
    <x v="3"/>
    <x v="3"/>
    <x v="1"/>
    <x v="10"/>
    <n v="199.92"/>
  </r>
  <r>
    <d v="2025-11-26T00:00:00"/>
    <s v="cogs:product 1"/>
    <n v="5.49"/>
    <x v="58"/>
    <n v="230.58"/>
    <x v="1"/>
    <x v="1"/>
    <x v="1"/>
    <x v="10"/>
    <n v="2460.5300000000002"/>
  </r>
  <r>
    <d v="2025-11-26T00:00:00"/>
    <s v="cogs:product 2"/>
    <n v="21.49"/>
    <x v="25"/>
    <n v="21.49"/>
    <x v="1"/>
    <x v="2"/>
    <x v="1"/>
    <x v="10"/>
    <n v="-499.59000000000003"/>
  </r>
  <r>
    <d v="2025-11-26T00:00:00"/>
    <s v="cogs:product 3"/>
    <n v="8.99"/>
    <x v="136"/>
    <n v="1285.57"/>
    <x v="1"/>
    <x v="3"/>
    <x v="1"/>
    <x v="10"/>
    <n v="-171.92"/>
  </r>
  <r>
    <d v="2025-11-26T00:00:00"/>
    <s v="marketing"/>
    <s v="NA"/>
    <x v="0"/>
    <n v="102.07000000000001"/>
    <x v="2"/>
    <x v="0"/>
    <x v="1"/>
    <x v="10"/>
    <n v="-1366.48"/>
  </r>
  <r>
    <d v="2025-11-26T00:00:00"/>
    <s v="net sales:product 1"/>
    <n v="9.99"/>
    <x v="58"/>
    <n v="419.58"/>
    <x v="3"/>
    <x v="1"/>
    <x v="1"/>
    <x v="10"/>
    <n v="-103.99000000000001"/>
  </r>
  <r>
    <d v="2025-11-26T00:00:00"/>
    <s v="net sales:product 2"/>
    <n v="24.99"/>
    <x v="25"/>
    <n v="24.99"/>
    <x v="3"/>
    <x v="2"/>
    <x v="1"/>
    <x v="10"/>
    <n v="909.09"/>
  </r>
  <r>
    <d v="2025-11-26T00:00:00"/>
    <s v="net sales:product 3"/>
    <n v="12.49"/>
    <x v="136"/>
    <n v="1786.07"/>
    <x v="3"/>
    <x v="3"/>
    <x v="1"/>
    <x v="10"/>
    <n v="199.92"/>
  </r>
  <r>
    <d v="2025-11-27T00:00:00"/>
    <s v="cogs:product 1"/>
    <n v="5.49"/>
    <x v="41"/>
    <n v="505.08000000000004"/>
    <x v="1"/>
    <x v="1"/>
    <x v="1"/>
    <x v="10"/>
    <n v="1898.48"/>
  </r>
  <r>
    <d v="2025-11-27T00:00:00"/>
    <s v="cogs:product 2"/>
    <n v="21.49"/>
    <x v="23"/>
    <n v="0"/>
    <x v="1"/>
    <x v="2"/>
    <x v="1"/>
    <x v="10"/>
    <n v="-252.54000000000002"/>
  </r>
  <r>
    <d v="2025-11-27T00:00:00"/>
    <s v="cogs:product 3"/>
    <n v="8.99"/>
    <x v="150"/>
    <n v="1708.1000000000001"/>
    <x v="1"/>
    <x v="3"/>
    <x v="1"/>
    <x v="10"/>
    <n v="-150.42999999999998"/>
  </r>
  <r>
    <d v="2025-11-27T00:00:00"/>
    <s v="marketing"/>
    <s v="NA"/>
    <x v="0"/>
    <n v="100.07000000000001"/>
    <x v="2"/>
    <x v="0"/>
    <x v="1"/>
    <x v="10"/>
    <n v="-2229.52"/>
  </r>
  <r>
    <d v="2025-11-27T00:00:00"/>
    <s v="net sales:product 1"/>
    <n v="9.99"/>
    <x v="41"/>
    <n v="919.08"/>
    <x v="3"/>
    <x v="1"/>
    <x v="1"/>
    <x v="10"/>
    <n v="-104.92"/>
  </r>
  <r>
    <d v="2025-11-27T00:00:00"/>
    <s v="net sales:product 2"/>
    <n v="24.99"/>
    <x v="23"/>
    <n v="0"/>
    <x v="3"/>
    <x v="2"/>
    <x v="1"/>
    <x v="10"/>
    <n v="459.54"/>
  </r>
  <r>
    <d v="2025-11-27T00:00:00"/>
    <s v="net sales:product 3"/>
    <n v="12.49"/>
    <x v="150"/>
    <n v="2373.1"/>
    <x v="3"/>
    <x v="3"/>
    <x v="1"/>
    <x v="10"/>
    <n v="174.92999999999998"/>
  </r>
  <r>
    <d v="2025-11-28T00:00:00"/>
    <s v="cogs:product 1"/>
    <n v="5.49"/>
    <x v="9"/>
    <n v="214.11"/>
    <x v="1"/>
    <x v="1"/>
    <x v="1"/>
    <x v="10"/>
    <n v="3097.52"/>
  </r>
  <r>
    <d v="2025-11-28T00:00:00"/>
    <s v="cogs:product 2"/>
    <n v="21.49"/>
    <x v="29"/>
    <n v="107.44999999999999"/>
    <x v="1"/>
    <x v="2"/>
    <x v="1"/>
    <x v="10"/>
    <n v="-532.53"/>
  </r>
  <r>
    <d v="2025-11-28T00:00:00"/>
    <s v="cogs:product 3"/>
    <n v="8.99"/>
    <x v="23"/>
    <n v="0"/>
    <x v="1"/>
    <x v="3"/>
    <x v="1"/>
    <x v="10"/>
    <n v="-150.42999999999998"/>
  </r>
  <r>
    <d v="2025-11-28T00:00:00"/>
    <s v="marketing"/>
    <s v="NA"/>
    <x v="0"/>
    <n v="112.09"/>
    <x v="2"/>
    <x v="0"/>
    <x v="1"/>
    <x v="10"/>
    <n v="-1024.8600000000001"/>
  </r>
  <r>
    <d v="2025-11-28T00:00:00"/>
    <s v="net sales:product 1"/>
    <n v="9.99"/>
    <x v="9"/>
    <n v="389.61"/>
    <x v="3"/>
    <x v="1"/>
    <x v="1"/>
    <x v="10"/>
    <n v="-114.10000000000001"/>
  </r>
  <r>
    <d v="2025-11-28T00:00:00"/>
    <s v="net sales:product 2"/>
    <n v="24.99"/>
    <x v="29"/>
    <n v="124.94999999999999"/>
    <x v="3"/>
    <x v="2"/>
    <x v="1"/>
    <x v="10"/>
    <n v="969.03"/>
  </r>
  <r>
    <d v="2025-11-28T00:00:00"/>
    <s v="net sales:product 3"/>
    <n v="12.49"/>
    <x v="23"/>
    <n v="0"/>
    <x v="3"/>
    <x v="3"/>
    <x v="1"/>
    <x v="10"/>
    <n v="174.92999999999998"/>
  </r>
  <r>
    <d v="2025-11-29T00:00:00"/>
    <s v="cogs:product 1"/>
    <n v="5.49"/>
    <x v="108"/>
    <n v="527.04"/>
    <x v="1"/>
    <x v="1"/>
    <x v="1"/>
    <x v="10"/>
    <n v="1423.8600000000001"/>
  </r>
  <r>
    <d v="2025-11-29T00:00:00"/>
    <s v="cogs:product 2"/>
    <n v="21.49"/>
    <x v="16"/>
    <n v="171.92"/>
    <x v="1"/>
    <x v="2"/>
    <x v="1"/>
    <x v="10"/>
    <n v="-406.26"/>
  </r>
  <r>
    <d v="2025-11-29T00:00:00"/>
    <s v="cogs:product 3"/>
    <n v="8.99"/>
    <x v="162"/>
    <n v="2139.62"/>
    <x v="1"/>
    <x v="3"/>
    <x v="1"/>
    <x v="10"/>
    <n v="-21.49"/>
  </r>
  <r>
    <d v="2025-11-29T00:00:00"/>
    <s v="marketing"/>
    <s v="NA"/>
    <x v="0"/>
    <n v="112.99000000000001"/>
    <x v="2"/>
    <x v="0"/>
    <x v="1"/>
    <x v="10"/>
    <n v="-2220.5300000000002"/>
  </r>
  <r>
    <d v="2025-11-29T00:00:00"/>
    <s v="net sales:product 1"/>
    <n v="9.99"/>
    <x v="108"/>
    <n v="959.04"/>
    <x v="3"/>
    <x v="1"/>
    <x v="1"/>
    <x v="10"/>
    <n v="-102.06"/>
  </r>
  <r>
    <d v="2025-11-29T00:00:00"/>
    <s v="net sales:product 2"/>
    <n v="24.99"/>
    <x v="16"/>
    <n v="199.92"/>
    <x v="3"/>
    <x v="2"/>
    <x v="1"/>
    <x v="10"/>
    <n v="739.26"/>
  </r>
  <r>
    <d v="2025-11-29T00:00:00"/>
    <s v="net sales:product 3"/>
    <n v="12.49"/>
    <x v="162"/>
    <n v="2972.62"/>
    <x v="3"/>
    <x v="3"/>
    <x v="1"/>
    <x v="10"/>
    <n v="24.99"/>
  </r>
  <r>
    <d v="2025-11-30T00:00:00"/>
    <s v="cogs:product 1"/>
    <n v="5.49"/>
    <x v="38"/>
    <n v="362.34000000000003"/>
    <x v="1"/>
    <x v="1"/>
    <x v="1"/>
    <x v="10"/>
    <n v="3085.03"/>
  </r>
  <r>
    <d v="2025-11-30T00:00:00"/>
    <s v="cogs:product 2"/>
    <n v="21.49"/>
    <x v="2"/>
    <n v="64.47"/>
    <x v="1"/>
    <x v="2"/>
    <x v="1"/>
    <x v="10"/>
    <n v="-428.22"/>
  </r>
  <r>
    <d v="2025-11-30T00:00:00"/>
    <s v="cogs:product 3"/>
    <n v="8.99"/>
    <x v="112"/>
    <n v="1213.6500000000001"/>
    <x v="1"/>
    <x v="3"/>
    <x v="1"/>
    <x v="10"/>
    <n v="-42.98"/>
  </r>
  <r>
    <d v="2025-11-30T00:00:00"/>
    <s v="marketing"/>
    <s v="NA"/>
    <x v="0"/>
    <n v="113.91"/>
    <x v="2"/>
    <x v="0"/>
    <x v="1"/>
    <x v="10"/>
    <n v="-1762.04"/>
  </r>
  <r>
    <d v="2025-11-30T00:00:00"/>
    <s v="net sales:product 1"/>
    <n v="9.99"/>
    <x v="38"/>
    <n v="659.34"/>
    <x v="3"/>
    <x v="1"/>
    <x v="1"/>
    <x v="10"/>
    <n v="-111.94"/>
  </r>
  <r>
    <d v="2025-11-30T00:00:00"/>
    <s v="net sales:product 2"/>
    <n v="24.99"/>
    <x v="2"/>
    <n v="74.97"/>
    <x v="3"/>
    <x v="2"/>
    <x v="1"/>
    <x v="10"/>
    <n v="779.22"/>
  </r>
  <r>
    <d v="2025-11-30T00:00:00"/>
    <s v="net sales:product 3"/>
    <n v="12.49"/>
    <x v="112"/>
    <n v="1686.15"/>
    <x v="3"/>
    <x v="3"/>
    <x v="1"/>
    <x v="10"/>
    <n v="49.98"/>
  </r>
  <r>
    <d v="2025-12-01T00:00:00"/>
    <s v="amortization"/>
    <s v="NA"/>
    <x v="0"/>
    <n v="50"/>
    <x v="0"/>
    <x v="0"/>
    <x v="1"/>
    <x v="11"/>
    <n v="2448.04"/>
  </r>
  <r>
    <d v="2025-12-01T00:00:00"/>
    <s v="cogs:product 1"/>
    <n v="5.49"/>
    <x v="25"/>
    <n v="5.49"/>
    <x v="1"/>
    <x v="1"/>
    <x v="1"/>
    <x v="11"/>
    <n v="0"/>
  </r>
  <r>
    <d v="2025-12-01T00:00:00"/>
    <s v="cogs:product 2"/>
    <n v="21.49"/>
    <x v="2"/>
    <n v="64.47"/>
    <x v="1"/>
    <x v="2"/>
    <x v="1"/>
    <x v="11"/>
    <n v="-362.34000000000003"/>
  </r>
  <r>
    <d v="2025-12-01T00:00:00"/>
    <s v="cogs:product 3"/>
    <n v="8.99"/>
    <x v="17"/>
    <n v="925.97"/>
    <x v="1"/>
    <x v="3"/>
    <x v="1"/>
    <x v="11"/>
    <n v="-150.42999999999998"/>
  </r>
  <r>
    <d v="2025-12-01T00:00:00"/>
    <s v="marketing"/>
    <s v="NA"/>
    <x v="0"/>
    <n v="105.05"/>
    <x v="2"/>
    <x v="0"/>
    <x v="1"/>
    <x v="11"/>
    <n v="-1735.07"/>
  </r>
  <r>
    <d v="2025-12-01T00:00:00"/>
    <s v="net sales:product 1"/>
    <n v="9.99"/>
    <x v="25"/>
    <n v="9.99"/>
    <x v="3"/>
    <x v="1"/>
    <x v="1"/>
    <x v="11"/>
    <n v="-100.93"/>
  </r>
  <r>
    <d v="2025-12-01T00:00:00"/>
    <s v="net sales:product 2"/>
    <n v="24.99"/>
    <x v="2"/>
    <n v="74.97"/>
    <x v="3"/>
    <x v="2"/>
    <x v="1"/>
    <x v="11"/>
    <n v="659.34"/>
  </r>
  <r>
    <d v="2025-12-01T00:00:00"/>
    <s v="net sales:product 3"/>
    <n v="12.49"/>
    <x v="17"/>
    <n v="1286.47"/>
    <x v="3"/>
    <x v="3"/>
    <x v="1"/>
    <x v="11"/>
    <n v="174.92999999999998"/>
  </r>
  <r>
    <d v="2025-12-01T00:00:00"/>
    <s v="overhead"/>
    <s v="NA"/>
    <x v="0"/>
    <n v="2000"/>
    <x v="4"/>
    <x v="0"/>
    <x v="1"/>
    <x v="11"/>
    <n v="2410.5700000000002"/>
  </r>
  <r>
    <d v="2025-12-02T00:00:00"/>
    <s v="cogs:product 1"/>
    <n v="5.49"/>
    <x v="38"/>
    <n v="362.34000000000003"/>
    <x v="1"/>
    <x v="1"/>
    <x v="1"/>
    <x v="11"/>
    <n v="-2000"/>
  </r>
  <r>
    <d v="2025-12-02T00:00:00"/>
    <s v="cogs:product 2"/>
    <n v="21.49"/>
    <x v="16"/>
    <n v="171.92"/>
    <x v="1"/>
    <x v="2"/>
    <x v="1"/>
    <x v="11"/>
    <n v="-521.55000000000007"/>
  </r>
  <r>
    <d v="2025-12-02T00:00:00"/>
    <s v="cogs:product 3"/>
    <n v="8.99"/>
    <x v="227"/>
    <n v="2454.27"/>
    <x v="1"/>
    <x v="3"/>
    <x v="1"/>
    <x v="11"/>
    <n v="-85.96"/>
  </r>
  <r>
    <d v="2025-12-02T00:00:00"/>
    <s v="marketing"/>
    <s v="NA"/>
    <x v="0"/>
    <n v="109.93"/>
    <x v="2"/>
    <x v="0"/>
    <x v="1"/>
    <x v="11"/>
    <n v="-988.9"/>
  </r>
  <r>
    <d v="2025-12-02T00:00:00"/>
    <s v="net sales:product 1"/>
    <n v="9.99"/>
    <x v="38"/>
    <n v="659.34"/>
    <x v="3"/>
    <x v="1"/>
    <x v="1"/>
    <x v="11"/>
    <n v="-115.01"/>
  </r>
  <r>
    <d v="2025-12-02T00:00:00"/>
    <s v="net sales:product 2"/>
    <n v="24.99"/>
    <x v="16"/>
    <n v="199.92"/>
    <x v="3"/>
    <x v="2"/>
    <x v="1"/>
    <x v="11"/>
    <n v="949.05000000000007"/>
  </r>
  <r>
    <d v="2025-12-02T00:00:00"/>
    <s v="net sales:product 3"/>
    <n v="12.49"/>
    <x v="227"/>
    <n v="3409.77"/>
    <x v="3"/>
    <x v="3"/>
    <x v="1"/>
    <x v="11"/>
    <n v="99.96"/>
  </r>
  <r>
    <d v="2025-12-03T00:00:00"/>
    <s v="cogs:product 1"/>
    <n v="5.49"/>
    <x v="1"/>
    <n v="389.79"/>
    <x v="1"/>
    <x v="1"/>
    <x v="1"/>
    <x v="11"/>
    <n v="1373.9"/>
  </r>
  <r>
    <d v="2025-12-03T00:00:00"/>
    <s v="cogs:product 2"/>
    <n v="21.49"/>
    <x v="23"/>
    <n v="0"/>
    <x v="1"/>
    <x v="2"/>
    <x v="1"/>
    <x v="11"/>
    <n v="-49.410000000000004"/>
  </r>
  <r>
    <d v="2025-12-03T00:00:00"/>
    <s v="cogs:product 3"/>
    <n v="8.99"/>
    <x v="58"/>
    <n v="377.58"/>
    <x v="1"/>
    <x v="3"/>
    <x v="1"/>
    <x v="11"/>
    <n v="-42.98"/>
  </r>
  <r>
    <d v="2025-12-03T00:00:00"/>
    <s v="marketing"/>
    <s v="NA"/>
    <x v="0"/>
    <n v="108.07000000000001"/>
    <x v="2"/>
    <x v="0"/>
    <x v="1"/>
    <x v="11"/>
    <n v="-1195.67"/>
  </r>
  <r>
    <d v="2025-12-03T00:00:00"/>
    <s v="net sales:product 1"/>
    <n v="9.99"/>
    <x v="1"/>
    <n v="709.29"/>
    <x v="3"/>
    <x v="1"/>
    <x v="1"/>
    <x v="11"/>
    <n v="-107.03"/>
  </r>
  <r>
    <d v="2025-12-03T00:00:00"/>
    <s v="net sales:product 2"/>
    <n v="24.99"/>
    <x v="23"/>
    <n v="0"/>
    <x v="3"/>
    <x v="2"/>
    <x v="1"/>
    <x v="11"/>
    <n v="89.91"/>
  </r>
  <r>
    <d v="2025-12-03T00:00:00"/>
    <s v="net sales:product 3"/>
    <n v="12.49"/>
    <x v="58"/>
    <n v="524.58000000000004"/>
    <x v="3"/>
    <x v="3"/>
    <x v="1"/>
    <x v="11"/>
    <n v="49.98"/>
  </r>
  <r>
    <d v="2025-12-04T00:00:00"/>
    <s v="cogs:product 1"/>
    <n v="5.49"/>
    <x v="83"/>
    <n v="252.54000000000002"/>
    <x v="1"/>
    <x v="1"/>
    <x v="1"/>
    <x v="11"/>
    <n v="1661.17"/>
  </r>
  <r>
    <d v="2025-12-04T00:00:00"/>
    <s v="cogs:product 2"/>
    <n v="21.49"/>
    <x v="13"/>
    <n v="150.42999999999998"/>
    <x v="1"/>
    <x v="2"/>
    <x v="1"/>
    <x v="11"/>
    <n v="-505.08000000000004"/>
  </r>
  <r>
    <d v="2025-12-04T00:00:00"/>
    <s v="cogs:product 3"/>
    <n v="8.99"/>
    <x v="52"/>
    <n v="818.09"/>
    <x v="1"/>
    <x v="3"/>
    <x v="1"/>
    <x v="11"/>
    <n v="-150.42999999999998"/>
  </r>
  <r>
    <d v="2025-12-04T00:00:00"/>
    <s v="marketing"/>
    <s v="NA"/>
    <x v="0"/>
    <n v="118.96000000000001"/>
    <x v="2"/>
    <x v="0"/>
    <x v="1"/>
    <x v="11"/>
    <n v="-1762.04"/>
  </r>
  <r>
    <d v="2025-12-04T00:00:00"/>
    <s v="net sales:product 1"/>
    <n v="9.99"/>
    <x v="83"/>
    <n v="459.54"/>
    <x v="3"/>
    <x v="1"/>
    <x v="1"/>
    <x v="11"/>
    <n v="-99.93"/>
  </r>
  <r>
    <d v="2025-12-04T00:00:00"/>
    <s v="net sales:product 2"/>
    <n v="24.99"/>
    <x v="13"/>
    <n v="174.92999999999998"/>
    <x v="3"/>
    <x v="2"/>
    <x v="1"/>
    <x v="11"/>
    <n v="919.08"/>
  </r>
  <r>
    <d v="2025-12-04T00:00:00"/>
    <s v="net sales:product 3"/>
    <n v="12.49"/>
    <x v="52"/>
    <n v="1136.5899999999999"/>
    <x v="3"/>
    <x v="3"/>
    <x v="1"/>
    <x v="11"/>
    <n v="174.92999999999998"/>
  </r>
  <r>
    <d v="2025-12-05T00:00:00"/>
    <s v="cogs:product 1"/>
    <n v="5.49"/>
    <x v="127"/>
    <n v="76.86"/>
    <x v="1"/>
    <x v="1"/>
    <x v="1"/>
    <x v="11"/>
    <n v="2448.04"/>
  </r>
  <r>
    <d v="2025-12-05T00:00:00"/>
    <s v="cogs:product 2"/>
    <n v="21.49"/>
    <x v="19"/>
    <n v="85.96"/>
    <x v="1"/>
    <x v="2"/>
    <x v="1"/>
    <x v="11"/>
    <n v="-43.92"/>
  </r>
  <r>
    <d v="2025-12-05T00:00:00"/>
    <s v="cogs:product 3"/>
    <n v="8.99"/>
    <x v="96"/>
    <n v="1699.1100000000001"/>
    <x v="1"/>
    <x v="3"/>
    <x v="1"/>
    <x v="11"/>
    <n v="-150.42999999999998"/>
  </r>
  <r>
    <d v="2025-12-05T00:00:00"/>
    <s v="marketing"/>
    <s v="NA"/>
    <x v="0"/>
    <n v="111.95"/>
    <x v="2"/>
    <x v="0"/>
    <x v="1"/>
    <x v="11"/>
    <n v="-1851.94"/>
  </r>
  <r>
    <d v="2025-12-05T00:00:00"/>
    <s v="net sales:product 1"/>
    <n v="9.99"/>
    <x v="127"/>
    <n v="139.86000000000001"/>
    <x v="3"/>
    <x v="1"/>
    <x v="1"/>
    <x v="11"/>
    <n v="-100.9"/>
  </r>
  <r>
    <d v="2025-12-05T00:00:00"/>
    <s v="net sales:product 2"/>
    <n v="24.99"/>
    <x v="19"/>
    <n v="99.96"/>
    <x v="3"/>
    <x v="2"/>
    <x v="1"/>
    <x v="11"/>
    <n v="79.92"/>
  </r>
  <r>
    <d v="2025-12-05T00:00:00"/>
    <s v="net sales:product 3"/>
    <n v="12.49"/>
    <x v="96"/>
    <n v="2360.61"/>
    <x v="3"/>
    <x v="3"/>
    <x v="1"/>
    <x v="11"/>
    <n v="174.92999999999998"/>
  </r>
  <r>
    <d v="2025-12-05T00:00:00"/>
    <s v="payroll"/>
    <s v="NA"/>
    <x v="0"/>
    <n v="1200"/>
    <x v="5"/>
    <x v="0"/>
    <x v="1"/>
    <x v="11"/>
    <n v="2572.94"/>
  </r>
  <r>
    <d v="2025-12-06T00:00:00"/>
    <s v="cogs:product 1"/>
    <n v="5.49"/>
    <x v="15"/>
    <n v="208.62"/>
    <x v="1"/>
    <x v="1"/>
    <x v="1"/>
    <x v="11"/>
    <n v="-384.3"/>
  </r>
  <r>
    <d v="2025-12-06T00:00:00"/>
    <s v="cogs:product 2"/>
    <n v="21.49"/>
    <x v="16"/>
    <n v="171.92"/>
    <x v="1"/>
    <x v="2"/>
    <x v="1"/>
    <x v="11"/>
    <n v="-128.94"/>
  </r>
  <r>
    <d v="2025-12-06T00:00:00"/>
    <s v="cogs:product 3"/>
    <n v="8.99"/>
    <x v="23"/>
    <n v="0"/>
    <x v="1"/>
    <x v="3"/>
    <x v="1"/>
    <x v="11"/>
    <n v="-809.1"/>
  </r>
  <r>
    <d v="2025-12-06T00:00:00"/>
    <s v="marketing"/>
    <s v="NA"/>
    <x v="0"/>
    <n v="101.94"/>
    <x v="2"/>
    <x v="0"/>
    <x v="1"/>
    <x v="11"/>
    <n v="-108.99000000000001"/>
  </r>
  <r>
    <d v="2025-12-06T00:00:00"/>
    <s v="net sales:product 1"/>
    <n v="9.99"/>
    <x v="15"/>
    <n v="379.62"/>
    <x v="3"/>
    <x v="1"/>
    <x v="1"/>
    <x v="11"/>
    <n v="699.30000000000007"/>
  </r>
  <r>
    <d v="2025-12-06T00:00:00"/>
    <s v="net sales:product 2"/>
    <n v="24.99"/>
    <x v="16"/>
    <n v="199.92"/>
    <x v="3"/>
    <x v="2"/>
    <x v="1"/>
    <x v="11"/>
    <n v="149.94"/>
  </r>
  <r>
    <d v="2025-12-06T00:00:00"/>
    <s v="net sales:product 3"/>
    <n v="12.49"/>
    <x v="23"/>
    <n v="0"/>
    <x v="3"/>
    <x v="3"/>
    <x v="1"/>
    <x v="11"/>
    <n v="1124.0999999999999"/>
  </r>
  <r>
    <d v="2025-12-07T00:00:00"/>
    <s v="cogs:product 1"/>
    <n v="5.49"/>
    <x v="226"/>
    <n v="461.16"/>
    <x v="1"/>
    <x v="1"/>
    <x v="1"/>
    <x v="11"/>
    <n v="-395.28000000000003"/>
  </r>
  <r>
    <d v="2025-12-07T00:00:00"/>
    <s v="cogs:product 2"/>
    <n v="21.49"/>
    <x v="19"/>
    <n v="85.96"/>
    <x v="1"/>
    <x v="2"/>
    <x v="1"/>
    <x v="11"/>
    <n v="0"/>
  </r>
  <r>
    <d v="2025-12-07T00:00:00"/>
    <s v="cogs:product 3"/>
    <n v="8.99"/>
    <x v="163"/>
    <n v="1123.75"/>
    <x v="1"/>
    <x v="3"/>
    <x v="1"/>
    <x v="11"/>
    <n v="-1744.06"/>
  </r>
  <r>
    <d v="2025-12-07T00:00:00"/>
    <s v="marketing"/>
    <s v="NA"/>
    <x v="0"/>
    <n v="102.09"/>
    <x v="2"/>
    <x v="0"/>
    <x v="1"/>
    <x v="11"/>
    <n v="-117.01"/>
  </r>
  <r>
    <d v="2025-12-07T00:00:00"/>
    <s v="net sales:product 1"/>
    <n v="9.99"/>
    <x v="226"/>
    <n v="839.16"/>
    <x v="3"/>
    <x v="1"/>
    <x v="1"/>
    <x v="11"/>
    <n v="719.28"/>
  </r>
  <r>
    <d v="2025-12-07T00:00:00"/>
    <s v="net sales:product 2"/>
    <n v="24.99"/>
    <x v="19"/>
    <n v="99.96"/>
    <x v="3"/>
    <x v="2"/>
    <x v="1"/>
    <x v="11"/>
    <n v="0"/>
  </r>
  <r>
    <d v="2025-12-07T00:00:00"/>
    <s v="net sales:product 3"/>
    <n v="12.49"/>
    <x v="163"/>
    <n v="1561.25"/>
    <x v="3"/>
    <x v="3"/>
    <x v="1"/>
    <x v="11"/>
    <n v="2423.06"/>
  </r>
  <r>
    <d v="2025-12-08T00:00:00"/>
    <s v="cogs:product 1"/>
    <n v="5.49"/>
    <x v="6"/>
    <n v="203.13"/>
    <x v="1"/>
    <x v="1"/>
    <x v="1"/>
    <x v="11"/>
    <n v="-1200"/>
  </r>
  <r>
    <d v="2025-12-08T00:00:00"/>
    <s v="cogs:product 2"/>
    <n v="21.49"/>
    <x v="2"/>
    <n v="64.47"/>
    <x v="1"/>
    <x v="2"/>
    <x v="1"/>
    <x v="11"/>
    <n v="-16.47"/>
  </r>
  <r>
    <d v="2025-12-08T00:00:00"/>
    <s v="cogs:product 3"/>
    <n v="8.99"/>
    <x v="36"/>
    <n v="1348.5"/>
    <x v="1"/>
    <x v="3"/>
    <x v="1"/>
    <x v="11"/>
    <n v="-42.98"/>
  </r>
  <r>
    <d v="2025-12-08T00:00:00"/>
    <s v="marketing"/>
    <s v="NA"/>
    <x v="0"/>
    <n v="115.94"/>
    <x v="2"/>
    <x v="0"/>
    <x v="1"/>
    <x v="11"/>
    <n v="-961.93000000000006"/>
  </r>
  <r>
    <d v="2025-12-08T00:00:00"/>
    <s v="net sales:product 1"/>
    <n v="9.99"/>
    <x v="6"/>
    <n v="369.63"/>
    <x v="3"/>
    <x v="1"/>
    <x v="1"/>
    <x v="11"/>
    <n v="-105.09"/>
  </r>
  <r>
    <d v="2025-12-08T00:00:00"/>
    <s v="net sales:product 2"/>
    <n v="24.99"/>
    <x v="2"/>
    <n v="74.97"/>
    <x v="3"/>
    <x v="2"/>
    <x v="1"/>
    <x v="11"/>
    <n v="29.97"/>
  </r>
  <r>
    <d v="2025-12-08T00:00:00"/>
    <s v="net sales:product 3"/>
    <n v="12.49"/>
    <x v="36"/>
    <n v="1873.5"/>
    <x v="3"/>
    <x v="3"/>
    <x v="1"/>
    <x v="11"/>
    <n v="49.98"/>
  </r>
  <r>
    <d v="2025-12-09T00:00:00"/>
    <s v="cogs:product 1"/>
    <n v="5.49"/>
    <x v="87"/>
    <n v="87.84"/>
    <x v="1"/>
    <x v="1"/>
    <x v="1"/>
    <x v="11"/>
    <n v="1336.43"/>
  </r>
  <r>
    <d v="2025-12-09T00:00:00"/>
    <s v="cogs:product 2"/>
    <n v="21.49"/>
    <x v="23"/>
    <n v="0"/>
    <x v="1"/>
    <x v="2"/>
    <x v="1"/>
    <x v="11"/>
    <n v="-87.84"/>
  </r>
  <r>
    <d v="2025-12-09T00:00:00"/>
    <s v="cogs:product 3"/>
    <n v="8.99"/>
    <x v="228"/>
    <n v="952.94"/>
    <x v="1"/>
    <x v="3"/>
    <x v="1"/>
    <x v="11"/>
    <n v="-21.49"/>
  </r>
  <r>
    <d v="2025-12-09T00:00:00"/>
    <s v="marketing"/>
    <s v="NA"/>
    <x v="0"/>
    <n v="112.93"/>
    <x v="2"/>
    <x v="0"/>
    <x v="1"/>
    <x v="11"/>
    <n v="-215.76"/>
  </r>
  <r>
    <d v="2025-12-09T00:00:00"/>
    <s v="net sales:product 1"/>
    <n v="9.99"/>
    <x v="87"/>
    <n v="159.84"/>
    <x v="3"/>
    <x v="1"/>
    <x v="1"/>
    <x v="11"/>
    <n v="-107.10000000000001"/>
  </r>
  <r>
    <d v="2025-12-09T00:00:00"/>
    <s v="net sales:product 2"/>
    <n v="24.99"/>
    <x v="23"/>
    <n v="0"/>
    <x v="3"/>
    <x v="2"/>
    <x v="1"/>
    <x v="11"/>
    <n v="159.84"/>
  </r>
  <r>
    <d v="2025-12-09T00:00:00"/>
    <s v="net sales:product 3"/>
    <n v="12.49"/>
    <x v="228"/>
    <n v="1323.94"/>
    <x v="3"/>
    <x v="3"/>
    <x v="1"/>
    <x v="11"/>
    <n v="24.99"/>
  </r>
  <r>
    <d v="2025-12-10T00:00:00"/>
    <s v="cogs:product 1"/>
    <n v="5.49"/>
    <x v="105"/>
    <n v="450.18"/>
    <x v="1"/>
    <x v="1"/>
    <x v="1"/>
    <x v="11"/>
    <n v="299.76"/>
  </r>
  <r>
    <d v="2025-12-10T00:00:00"/>
    <s v="cogs:product 2"/>
    <n v="21.49"/>
    <x v="25"/>
    <n v="21.49"/>
    <x v="1"/>
    <x v="2"/>
    <x v="1"/>
    <x v="11"/>
    <n v="-252.54000000000002"/>
  </r>
  <r>
    <d v="2025-12-10T00:00:00"/>
    <s v="cogs:product 3"/>
    <n v="8.99"/>
    <x v="47"/>
    <n v="2211.54"/>
    <x v="1"/>
    <x v="3"/>
    <x v="1"/>
    <x v="11"/>
    <n v="-21.49"/>
  </r>
  <r>
    <d v="2025-12-10T00:00:00"/>
    <s v="marketing"/>
    <s v="NA"/>
    <x v="0"/>
    <n v="119.05"/>
    <x v="2"/>
    <x v="0"/>
    <x v="1"/>
    <x v="11"/>
    <n v="-1240.6200000000001"/>
  </r>
  <r>
    <d v="2025-12-10T00:00:00"/>
    <s v="net sales:product 1"/>
    <n v="9.99"/>
    <x v="105"/>
    <n v="819.18000000000006"/>
    <x v="3"/>
    <x v="1"/>
    <x v="1"/>
    <x v="11"/>
    <n v="-114.94"/>
  </r>
  <r>
    <d v="2025-12-10T00:00:00"/>
    <s v="net sales:product 2"/>
    <n v="24.99"/>
    <x v="25"/>
    <n v="24.99"/>
    <x v="3"/>
    <x v="2"/>
    <x v="1"/>
    <x v="11"/>
    <n v="459.54"/>
  </r>
  <r>
    <d v="2025-12-10T00:00:00"/>
    <s v="net sales:product 3"/>
    <n v="12.49"/>
    <x v="47"/>
    <n v="3072.54"/>
    <x v="3"/>
    <x v="3"/>
    <x v="1"/>
    <x v="11"/>
    <n v="24.99"/>
  </r>
  <r>
    <d v="2025-12-11T00:00:00"/>
    <s v="cogs:product 1"/>
    <n v="5.49"/>
    <x v="92"/>
    <n v="290.97000000000003"/>
    <x v="1"/>
    <x v="1"/>
    <x v="1"/>
    <x v="11"/>
    <n v="1723.6200000000001"/>
  </r>
  <r>
    <d v="2025-12-11T00:00:00"/>
    <s v="cogs:product 2"/>
    <n v="21.49"/>
    <x v="10"/>
    <n v="42.98"/>
    <x v="1"/>
    <x v="2"/>
    <x v="1"/>
    <x v="11"/>
    <n v="-54.900000000000006"/>
  </r>
  <r>
    <d v="2025-12-11T00:00:00"/>
    <s v="cogs:product 3"/>
    <n v="8.99"/>
    <x v="229"/>
    <n v="1573.25"/>
    <x v="1"/>
    <x v="3"/>
    <x v="1"/>
    <x v="11"/>
    <n v="-42.98"/>
  </r>
  <r>
    <d v="2025-12-11T00:00:00"/>
    <s v="marketing"/>
    <s v="NA"/>
    <x v="0"/>
    <n v="113.94"/>
    <x v="2"/>
    <x v="0"/>
    <x v="1"/>
    <x v="11"/>
    <n v="-1950.8300000000002"/>
  </r>
  <r>
    <d v="2025-12-11T00:00:00"/>
    <s v="net sales:product 1"/>
    <n v="9.99"/>
    <x v="92"/>
    <n v="529.47"/>
    <x v="3"/>
    <x v="1"/>
    <x v="1"/>
    <x v="11"/>
    <n v="-102.94"/>
  </r>
  <r>
    <d v="2025-12-11T00:00:00"/>
    <s v="net sales:product 2"/>
    <n v="24.99"/>
    <x v="10"/>
    <n v="49.98"/>
    <x v="3"/>
    <x v="2"/>
    <x v="1"/>
    <x v="11"/>
    <n v="99.9"/>
  </r>
  <r>
    <d v="2025-12-11T00:00:00"/>
    <s v="net sales:product 3"/>
    <n v="12.49"/>
    <x v="229"/>
    <n v="2185.75"/>
    <x v="3"/>
    <x v="3"/>
    <x v="1"/>
    <x v="11"/>
    <n v="49.98"/>
  </r>
  <r>
    <d v="2025-12-12T00:00:00"/>
    <s v="cogs:product 1"/>
    <n v="5.49"/>
    <x v="135"/>
    <n v="164.70000000000002"/>
    <x v="1"/>
    <x v="1"/>
    <x v="1"/>
    <x v="11"/>
    <n v="2710.33"/>
  </r>
  <r>
    <d v="2025-12-12T00:00:00"/>
    <s v="cogs:product 2"/>
    <n v="21.49"/>
    <x v="42"/>
    <n v="128.94"/>
    <x v="1"/>
    <x v="2"/>
    <x v="1"/>
    <x v="11"/>
    <n v="-395.28000000000003"/>
  </r>
  <r>
    <d v="2025-12-12T00:00:00"/>
    <s v="cogs:product 3"/>
    <n v="8.99"/>
    <x v="202"/>
    <n v="1303.55"/>
    <x v="1"/>
    <x v="3"/>
    <x v="1"/>
    <x v="11"/>
    <n v="-128.94"/>
  </r>
  <r>
    <d v="2025-12-12T00:00:00"/>
    <s v="marketing"/>
    <s v="NA"/>
    <x v="0"/>
    <n v="120.05"/>
    <x v="2"/>
    <x v="0"/>
    <x v="1"/>
    <x v="11"/>
    <n v="-773.14"/>
  </r>
  <r>
    <d v="2025-12-12T00:00:00"/>
    <s v="net sales:product 1"/>
    <n v="9.99"/>
    <x v="135"/>
    <n v="299.7"/>
    <x v="3"/>
    <x v="1"/>
    <x v="1"/>
    <x v="11"/>
    <n v="-111.92"/>
  </r>
  <r>
    <d v="2025-12-12T00:00:00"/>
    <s v="net sales:product 2"/>
    <n v="24.99"/>
    <x v="42"/>
    <n v="149.94"/>
    <x v="3"/>
    <x v="2"/>
    <x v="1"/>
    <x v="11"/>
    <n v="719.28"/>
  </r>
  <r>
    <d v="2025-12-12T00:00:00"/>
    <s v="net sales:product 3"/>
    <n v="12.49"/>
    <x v="202"/>
    <n v="1811.05"/>
    <x v="3"/>
    <x v="3"/>
    <x v="1"/>
    <x v="11"/>
    <n v="149.94"/>
  </r>
  <r>
    <d v="2025-12-13T00:00:00"/>
    <s v="cogs:product 1"/>
    <n v="5.49"/>
    <x v="35"/>
    <n v="104.31"/>
    <x v="1"/>
    <x v="1"/>
    <x v="1"/>
    <x v="11"/>
    <n v="1074.1400000000001"/>
  </r>
  <r>
    <d v="2025-12-13T00:00:00"/>
    <s v="cogs:product 2"/>
    <n v="21.49"/>
    <x v="23"/>
    <n v="0"/>
    <x v="1"/>
    <x v="2"/>
    <x v="1"/>
    <x v="11"/>
    <n v="-252.54000000000002"/>
  </r>
  <r>
    <d v="2025-12-13T00:00:00"/>
    <s v="cogs:product 3"/>
    <n v="8.99"/>
    <x v="87"/>
    <n v="143.84"/>
    <x v="1"/>
    <x v="3"/>
    <x v="1"/>
    <x v="11"/>
    <n v="-107.44999999999999"/>
  </r>
  <r>
    <d v="2025-12-13T00:00:00"/>
    <s v="marketing"/>
    <s v="NA"/>
    <x v="0"/>
    <n v="110.97"/>
    <x v="2"/>
    <x v="0"/>
    <x v="1"/>
    <x v="11"/>
    <n v="-934.96"/>
  </r>
  <r>
    <d v="2025-12-13T00:00:00"/>
    <s v="net sales:product 1"/>
    <n v="9.99"/>
    <x v="35"/>
    <n v="189.81"/>
    <x v="3"/>
    <x v="1"/>
    <x v="1"/>
    <x v="11"/>
    <n v="-110.03"/>
  </r>
  <r>
    <d v="2025-12-13T00:00:00"/>
    <s v="net sales:product 2"/>
    <n v="24.99"/>
    <x v="23"/>
    <n v="0"/>
    <x v="3"/>
    <x v="2"/>
    <x v="1"/>
    <x v="11"/>
    <n v="459.54"/>
  </r>
  <r>
    <d v="2025-12-13T00:00:00"/>
    <s v="net sales:product 3"/>
    <n v="12.49"/>
    <x v="87"/>
    <n v="199.84"/>
    <x v="3"/>
    <x v="3"/>
    <x v="1"/>
    <x v="11"/>
    <n v="124.94999999999999"/>
  </r>
  <r>
    <d v="2025-12-14T00:00:00"/>
    <s v="cogs:product 1"/>
    <n v="5.49"/>
    <x v="98"/>
    <n v="247.05"/>
    <x v="1"/>
    <x v="1"/>
    <x v="1"/>
    <x v="11"/>
    <n v="1298.96"/>
  </r>
  <r>
    <d v="2025-12-14T00:00:00"/>
    <s v="cogs:product 2"/>
    <n v="21.49"/>
    <x v="29"/>
    <n v="107.44999999999999"/>
    <x v="1"/>
    <x v="2"/>
    <x v="1"/>
    <x v="11"/>
    <n v="-236.07000000000002"/>
  </r>
  <r>
    <d v="2025-12-14T00:00:00"/>
    <s v="cogs:product 3"/>
    <n v="8.99"/>
    <x v="128"/>
    <n v="368.59000000000003"/>
    <x v="1"/>
    <x v="3"/>
    <x v="1"/>
    <x v="11"/>
    <n v="-21.49"/>
  </r>
  <r>
    <d v="2025-12-14T00:00:00"/>
    <s v="marketing"/>
    <s v="NA"/>
    <x v="0"/>
    <n v="107.93"/>
    <x v="2"/>
    <x v="0"/>
    <x v="1"/>
    <x v="11"/>
    <n v="-206.77"/>
  </r>
  <r>
    <d v="2025-12-14T00:00:00"/>
    <s v="net sales:product 1"/>
    <n v="9.99"/>
    <x v="98"/>
    <n v="449.55"/>
    <x v="3"/>
    <x v="1"/>
    <x v="1"/>
    <x v="11"/>
    <n v="-111.97"/>
  </r>
  <r>
    <d v="2025-12-14T00:00:00"/>
    <s v="net sales:product 2"/>
    <n v="24.99"/>
    <x v="29"/>
    <n v="124.94999999999999"/>
    <x v="3"/>
    <x v="2"/>
    <x v="1"/>
    <x v="11"/>
    <n v="429.57"/>
  </r>
  <r>
    <d v="2025-12-14T00:00:00"/>
    <s v="net sales:product 3"/>
    <n v="12.49"/>
    <x v="128"/>
    <n v="512.09"/>
    <x v="3"/>
    <x v="3"/>
    <x v="1"/>
    <x v="11"/>
    <n v="24.99"/>
  </r>
  <r>
    <d v="2025-12-15T00:00:00"/>
    <s v="cogs:product 1"/>
    <n v="5.49"/>
    <x v="13"/>
    <n v="38.43"/>
    <x v="1"/>
    <x v="1"/>
    <x v="1"/>
    <x v="11"/>
    <n v="287.27"/>
  </r>
  <r>
    <d v="2025-12-15T00:00:00"/>
    <s v="cogs:product 2"/>
    <n v="21.49"/>
    <x v="16"/>
    <n v="171.92"/>
    <x v="1"/>
    <x v="2"/>
    <x v="1"/>
    <x v="11"/>
    <n v="-186.66"/>
  </r>
  <r>
    <d v="2025-12-15T00:00:00"/>
    <s v="cogs:product 3"/>
    <n v="8.99"/>
    <x v="177"/>
    <n v="1753.05"/>
    <x v="1"/>
    <x v="3"/>
    <x v="1"/>
    <x v="11"/>
    <n v="-150.42999999999998"/>
  </r>
  <r>
    <d v="2025-12-15T00:00:00"/>
    <s v="interest"/>
    <s v="NA"/>
    <x v="0"/>
    <n v="1222.24"/>
    <x v="6"/>
    <x v="0"/>
    <x v="1"/>
    <x v="11"/>
    <n v="-1195.67"/>
  </r>
  <r>
    <d v="2025-12-15T00:00:00"/>
    <s v="marketing"/>
    <s v="NA"/>
    <x v="0"/>
    <n v="111.01"/>
    <x v="2"/>
    <x v="0"/>
    <x v="1"/>
    <x v="11"/>
    <n v="-1249.8399999999999"/>
  </r>
  <r>
    <d v="2025-12-15T00:00:00"/>
    <s v="net sales:product 1"/>
    <n v="9.99"/>
    <x v="13"/>
    <n v="69.930000000000007"/>
    <x v="3"/>
    <x v="1"/>
    <x v="1"/>
    <x v="11"/>
    <n v="-103"/>
  </r>
  <r>
    <d v="2025-12-15T00:00:00"/>
    <s v="net sales:product 2"/>
    <n v="24.99"/>
    <x v="16"/>
    <n v="199.92"/>
    <x v="3"/>
    <x v="2"/>
    <x v="1"/>
    <x v="11"/>
    <n v="339.66"/>
  </r>
  <r>
    <d v="2025-12-15T00:00:00"/>
    <s v="net sales:product 3"/>
    <n v="12.49"/>
    <x v="177"/>
    <n v="2435.5500000000002"/>
    <x v="3"/>
    <x v="3"/>
    <x v="1"/>
    <x v="11"/>
    <n v="174.92999999999998"/>
  </r>
  <r>
    <d v="2025-12-15T00:00:00"/>
    <s v="overhead"/>
    <s v="NA"/>
    <x v="0"/>
    <n v="310.64"/>
    <x v="4"/>
    <x v="0"/>
    <x v="1"/>
    <x v="11"/>
    <n v="1661.17"/>
  </r>
  <r>
    <d v="2025-12-16T00:00:00"/>
    <s v="cogs:product 1"/>
    <n v="5.49"/>
    <x v="2"/>
    <n v="16.47"/>
    <x v="1"/>
    <x v="1"/>
    <x v="1"/>
    <x v="11"/>
    <n v="-312.45999999999998"/>
  </r>
  <r>
    <d v="2025-12-16T00:00:00"/>
    <s v="cogs:product 2"/>
    <n v="21.49"/>
    <x v="29"/>
    <n v="107.44999999999999"/>
    <x v="1"/>
    <x v="2"/>
    <x v="1"/>
    <x v="11"/>
    <n v="-428.22"/>
  </r>
  <r>
    <d v="2025-12-16T00:00:00"/>
    <s v="cogs:product 3"/>
    <n v="8.99"/>
    <x v="185"/>
    <n v="1771.03"/>
    <x v="1"/>
    <x v="3"/>
    <x v="1"/>
    <x v="11"/>
    <n v="-85.96"/>
  </r>
  <r>
    <d v="2025-12-16T00:00:00"/>
    <s v="marketing"/>
    <s v="NA"/>
    <x v="0"/>
    <n v="109.93"/>
    <x v="2"/>
    <x v="0"/>
    <x v="1"/>
    <x v="11"/>
    <n v="-1276.58"/>
  </r>
  <r>
    <d v="2025-12-16T00:00:00"/>
    <s v="net sales:product 1"/>
    <n v="9.99"/>
    <x v="2"/>
    <n v="29.97"/>
    <x v="3"/>
    <x v="1"/>
    <x v="1"/>
    <x v="11"/>
    <n v="-112.08"/>
  </r>
  <r>
    <d v="2025-12-16T00:00:00"/>
    <s v="net sales:product 2"/>
    <n v="24.99"/>
    <x v="29"/>
    <n v="124.94999999999999"/>
    <x v="3"/>
    <x v="2"/>
    <x v="1"/>
    <x v="11"/>
    <n v="779.22"/>
  </r>
  <r>
    <d v="2025-12-16T00:00:00"/>
    <s v="net sales:product 3"/>
    <n v="12.49"/>
    <x v="185"/>
    <n v="2460.5300000000002"/>
    <x v="3"/>
    <x v="3"/>
    <x v="1"/>
    <x v="11"/>
    <n v="99.96"/>
  </r>
  <r>
    <d v="2025-12-17T00:00:00"/>
    <s v="cogs:product 1"/>
    <n v="5.49"/>
    <x v="120"/>
    <n v="439.20000000000005"/>
    <x v="1"/>
    <x v="1"/>
    <x v="1"/>
    <x v="11"/>
    <n v="1773.58"/>
  </r>
  <r>
    <d v="2025-12-17T00:00:00"/>
    <s v="cogs:product 2"/>
    <n v="21.49"/>
    <x v="29"/>
    <n v="107.44999999999999"/>
    <x v="1"/>
    <x v="2"/>
    <x v="1"/>
    <x v="11"/>
    <n v="-466.65000000000003"/>
  </r>
  <r>
    <d v="2025-12-17T00:00:00"/>
    <s v="cogs:product 3"/>
    <n v="8.99"/>
    <x v="204"/>
    <n v="1438.4"/>
    <x v="1"/>
    <x v="3"/>
    <x v="1"/>
    <x v="11"/>
    <n v="0"/>
  </r>
  <r>
    <d v="2025-12-17T00:00:00"/>
    <s v="marketing"/>
    <s v="NA"/>
    <x v="0"/>
    <n v="112.97"/>
    <x v="2"/>
    <x v="0"/>
    <x v="1"/>
    <x v="11"/>
    <n v="-1042.8399999999999"/>
  </r>
  <r>
    <d v="2025-12-17T00:00:00"/>
    <s v="net sales:product 1"/>
    <n v="9.99"/>
    <x v="120"/>
    <n v="799.2"/>
    <x v="3"/>
    <x v="1"/>
    <x v="1"/>
    <x v="11"/>
    <n v="-105"/>
  </r>
  <r>
    <d v="2025-12-17T00:00:00"/>
    <s v="net sales:product 2"/>
    <n v="24.99"/>
    <x v="29"/>
    <n v="124.94999999999999"/>
    <x v="3"/>
    <x v="2"/>
    <x v="1"/>
    <x v="11"/>
    <n v="849.15"/>
  </r>
  <r>
    <d v="2025-12-17T00:00:00"/>
    <s v="net sales:product 3"/>
    <n v="12.49"/>
    <x v="204"/>
    <n v="1998.4"/>
    <x v="3"/>
    <x v="3"/>
    <x v="1"/>
    <x v="11"/>
    <n v="0"/>
  </r>
  <r>
    <d v="2025-12-18T00:00:00"/>
    <s v="cogs:product 1"/>
    <n v="5.49"/>
    <x v="75"/>
    <n v="411.75"/>
    <x v="1"/>
    <x v="1"/>
    <x v="1"/>
    <x v="11"/>
    <n v="1448.84"/>
  </r>
  <r>
    <d v="2025-12-18T00:00:00"/>
    <s v="cogs:product 2"/>
    <n v="21.49"/>
    <x v="13"/>
    <n v="150.42999999999998"/>
    <x v="1"/>
    <x v="2"/>
    <x v="1"/>
    <x v="11"/>
    <n v="-406.26"/>
  </r>
  <r>
    <d v="2025-12-18T00:00:00"/>
    <s v="cogs:product 3"/>
    <n v="8.99"/>
    <x v="68"/>
    <n v="1276.58"/>
    <x v="1"/>
    <x v="3"/>
    <x v="1"/>
    <x v="11"/>
    <n v="-42.98"/>
  </r>
  <r>
    <d v="2025-12-18T00:00:00"/>
    <s v="marketing"/>
    <s v="NA"/>
    <x v="0"/>
    <n v="117.08"/>
    <x v="2"/>
    <x v="0"/>
    <x v="1"/>
    <x v="11"/>
    <n v="-2184.5700000000002"/>
  </r>
  <r>
    <d v="2025-12-18T00:00:00"/>
    <s v="net sales:product 1"/>
    <n v="9.99"/>
    <x v="75"/>
    <n v="749.25"/>
    <x v="3"/>
    <x v="1"/>
    <x v="1"/>
    <x v="11"/>
    <n v="-119"/>
  </r>
  <r>
    <d v="2025-12-18T00:00:00"/>
    <s v="net sales:product 2"/>
    <n v="24.99"/>
    <x v="13"/>
    <n v="174.92999999999998"/>
    <x v="3"/>
    <x v="2"/>
    <x v="1"/>
    <x v="11"/>
    <n v="739.26"/>
  </r>
  <r>
    <d v="2025-12-18T00:00:00"/>
    <s v="net sales:product 3"/>
    <n v="12.49"/>
    <x v="68"/>
    <n v="1773.58"/>
    <x v="3"/>
    <x v="3"/>
    <x v="1"/>
    <x v="11"/>
    <n v="49.98"/>
  </r>
  <r>
    <d v="2025-12-19T00:00:00"/>
    <s v="cogs:product 1"/>
    <n v="5.49"/>
    <x v="38"/>
    <n v="362.34000000000003"/>
    <x v="1"/>
    <x v="1"/>
    <x v="1"/>
    <x v="11"/>
    <n v="3035.07"/>
  </r>
  <r>
    <d v="2025-12-19T00:00:00"/>
    <s v="cogs:product 2"/>
    <n v="21.49"/>
    <x v="19"/>
    <n v="85.96"/>
    <x v="1"/>
    <x v="2"/>
    <x v="1"/>
    <x v="11"/>
    <n v="-186.66"/>
  </r>
  <r>
    <d v="2025-12-19T00:00:00"/>
    <s v="cogs:product 3"/>
    <n v="8.99"/>
    <x v="140"/>
    <n v="260.70999999999998"/>
    <x v="1"/>
    <x v="3"/>
    <x v="1"/>
    <x v="11"/>
    <n v="-42.98"/>
  </r>
  <r>
    <d v="2025-12-19T00:00:00"/>
    <s v="marketing"/>
    <s v="NA"/>
    <x v="0"/>
    <n v="116.94"/>
    <x v="2"/>
    <x v="0"/>
    <x v="1"/>
    <x v="11"/>
    <n v="-1051.83"/>
  </r>
  <r>
    <d v="2025-12-19T00:00:00"/>
    <s v="net sales:product 1"/>
    <n v="9.99"/>
    <x v="38"/>
    <n v="659.34"/>
    <x v="3"/>
    <x v="1"/>
    <x v="1"/>
    <x v="11"/>
    <n v="-114.92"/>
  </r>
  <r>
    <d v="2025-12-19T00:00:00"/>
    <s v="net sales:product 2"/>
    <n v="24.99"/>
    <x v="19"/>
    <n v="99.96"/>
    <x v="3"/>
    <x v="2"/>
    <x v="1"/>
    <x v="11"/>
    <n v="339.66"/>
  </r>
  <r>
    <d v="2025-12-19T00:00:00"/>
    <s v="net sales:product 3"/>
    <n v="12.49"/>
    <x v="140"/>
    <n v="362.21"/>
    <x v="3"/>
    <x v="3"/>
    <x v="1"/>
    <x v="11"/>
    <n v="49.98"/>
  </r>
  <r>
    <d v="2025-12-19T00:00:00"/>
    <s v="payroll"/>
    <s v="NA"/>
    <x v="0"/>
    <n v="1200"/>
    <x v="5"/>
    <x v="0"/>
    <x v="1"/>
    <x v="11"/>
    <n v="1461.33"/>
  </r>
  <r>
    <d v="2025-12-20T00:00:00"/>
    <s v="cogs:product 1"/>
    <n v="5.49"/>
    <x v="52"/>
    <n v="499.59000000000003"/>
    <x v="1"/>
    <x v="1"/>
    <x v="1"/>
    <x v="11"/>
    <n v="-16.47"/>
  </r>
  <r>
    <d v="2025-12-20T00:00:00"/>
    <s v="cogs:product 2"/>
    <n v="21.49"/>
    <x v="25"/>
    <n v="21.49"/>
    <x v="1"/>
    <x v="2"/>
    <x v="1"/>
    <x v="11"/>
    <n v="0"/>
  </r>
  <r>
    <d v="2025-12-20T00:00:00"/>
    <s v="cogs:product 3"/>
    <n v="8.99"/>
    <x v="7"/>
    <n v="80.91"/>
    <x v="1"/>
    <x v="3"/>
    <x v="1"/>
    <x v="11"/>
    <n v="-863.04"/>
  </r>
  <r>
    <d v="2025-12-20T00:00:00"/>
    <s v="marketing"/>
    <s v="NA"/>
    <x v="0"/>
    <n v="113.98"/>
    <x v="2"/>
    <x v="0"/>
    <x v="1"/>
    <x v="11"/>
    <n v="-103.95"/>
  </r>
  <r>
    <d v="2025-12-20T00:00:00"/>
    <s v="net sales:product 1"/>
    <n v="9.99"/>
    <x v="52"/>
    <n v="909.09"/>
    <x v="3"/>
    <x v="1"/>
    <x v="1"/>
    <x v="11"/>
    <n v="29.97"/>
  </r>
  <r>
    <d v="2025-12-20T00:00:00"/>
    <s v="net sales:product 2"/>
    <n v="24.99"/>
    <x v="25"/>
    <n v="24.99"/>
    <x v="3"/>
    <x v="2"/>
    <x v="1"/>
    <x v="11"/>
    <n v="0"/>
  </r>
  <r>
    <d v="2025-12-20T00:00:00"/>
    <s v="net sales:product 3"/>
    <n v="12.49"/>
    <x v="7"/>
    <n v="112.41"/>
    <x v="3"/>
    <x v="3"/>
    <x v="1"/>
    <x v="11"/>
    <n v="1199.04"/>
  </r>
  <r>
    <d v="2025-12-21T00:00:00"/>
    <s v="cogs:product 1"/>
    <n v="5.49"/>
    <x v="31"/>
    <n v="98.820000000000007"/>
    <x v="1"/>
    <x v="1"/>
    <x v="1"/>
    <x v="11"/>
    <n v="-258.03000000000003"/>
  </r>
  <r>
    <d v="2025-12-21T00:00:00"/>
    <s v="cogs:product 2"/>
    <n v="21.49"/>
    <x v="23"/>
    <n v="0"/>
    <x v="1"/>
    <x v="2"/>
    <x v="1"/>
    <x v="11"/>
    <n v="-85.96"/>
  </r>
  <r>
    <d v="2025-12-21T00:00:00"/>
    <s v="cogs:product 3"/>
    <n v="8.99"/>
    <x v="150"/>
    <n v="1708.1000000000001"/>
    <x v="1"/>
    <x v="3"/>
    <x v="1"/>
    <x v="11"/>
    <n v="-1735.07"/>
  </r>
  <r>
    <d v="2025-12-21T00:00:00"/>
    <s v="marketing"/>
    <s v="NA"/>
    <x v="0"/>
    <n v="105.98"/>
    <x v="2"/>
    <x v="0"/>
    <x v="1"/>
    <x v="11"/>
    <n v="-119.06"/>
  </r>
  <r>
    <d v="2025-12-21T00:00:00"/>
    <s v="net sales:product 1"/>
    <n v="9.99"/>
    <x v="31"/>
    <n v="179.82"/>
    <x v="3"/>
    <x v="1"/>
    <x v="1"/>
    <x v="11"/>
    <n v="469.53000000000003"/>
  </r>
  <r>
    <d v="2025-12-21T00:00:00"/>
    <s v="net sales:product 2"/>
    <n v="24.99"/>
    <x v="23"/>
    <n v="0"/>
    <x v="3"/>
    <x v="2"/>
    <x v="1"/>
    <x v="11"/>
    <n v="99.96"/>
  </r>
  <r>
    <d v="2025-12-21T00:00:00"/>
    <s v="net sales:product 3"/>
    <n v="12.49"/>
    <x v="150"/>
    <n v="2373.1"/>
    <x v="3"/>
    <x v="3"/>
    <x v="1"/>
    <x v="11"/>
    <n v="2410.5700000000002"/>
  </r>
  <r>
    <d v="2025-12-22T00:00:00"/>
    <s v="cogs:product 1"/>
    <n v="5.49"/>
    <x v="83"/>
    <n v="252.54000000000002"/>
    <x v="1"/>
    <x v="1"/>
    <x v="1"/>
    <x v="11"/>
    <n v="-1200"/>
  </r>
  <r>
    <d v="2025-12-22T00:00:00"/>
    <s v="cogs:product 2"/>
    <n v="21.49"/>
    <x v="2"/>
    <n v="64.47"/>
    <x v="1"/>
    <x v="2"/>
    <x v="1"/>
    <x v="11"/>
    <n v="-340.38"/>
  </r>
  <r>
    <d v="2025-12-22T00:00:00"/>
    <s v="cogs:product 3"/>
    <n v="8.99"/>
    <x v="189"/>
    <n v="1959.82"/>
    <x v="1"/>
    <x v="3"/>
    <x v="1"/>
    <x v="11"/>
    <n v="-42.98"/>
  </r>
  <r>
    <d v="2025-12-22T00:00:00"/>
    <s v="marketing"/>
    <s v="NA"/>
    <x v="0"/>
    <n v="111.91"/>
    <x v="2"/>
    <x v="0"/>
    <x v="1"/>
    <x v="11"/>
    <n v="-1492.3400000000001"/>
  </r>
  <r>
    <d v="2025-12-22T00:00:00"/>
    <s v="net sales:product 1"/>
    <n v="9.99"/>
    <x v="83"/>
    <n v="459.54"/>
    <x v="3"/>
    <x v="1"/>
    <x v="1"/>
    <x v="11"/>
    <n v="-112.03"/>
  </r>
  <r>
    <d v="2025-12-22T00:00:00"/>
    <s v="net sales:product 2"/>
    <n v="24.99"/>
    <x v="2"/>
    <n v="74.97"/>
    <x v="3"/>
    <x v="2"/>
    <x v="1"/>
    <x v="11"/>
    <n v="619.38"/>
  </r>
  <r>
    <d v="2025-12-22T00:00:00"/>
    <s v="net sales:product 3"/>
    <n v="12.49"/>
    <x v="189"/>
    <n v="2722.82"/>
    <x v="3"/>
    <x v="3"/>
    <x v="1"/>
    <x v="11"/>
    <n v="49.98"/>
  </r>
  <r>
    <d v="2025-12-23T00:00:00"/>
    <s v="cogs:product 1"/>
    <n v="5.49"/>
    <x v="41"/>
    <n v="505.08000000000004"/>
    <x v="1"/>
    <x v="1"/>
    <x v="1"/>
    <x v="11"/>
    <n v="2073.34"/>
  </r>
  <r>
    <d v="2025-12-23T00:00:00"/>
    <s v="cogs:product 2"/>
    <n v="21.49"/>
    <x v="10"/>
    <n v="42.98"/>
    <x v="1"/>
    <x v="2"/>
    <x v="1"/>
    <x v="11"/>
    <n v="-466.65000000000003"/>
  </r>
  <r>
    <d v="2025-12-23T00:00:00"/>
    <s v="cogs:product 3"/>
    <n v="8.99"/>
    <x v="78"/>
    <n v="503.44"/>
    <x v="1"/>
    <x v="3"/>
    <x v="1"/>
    <x v="11"/>
    <n v="0"/>
  </r>
  <r>
    <d v="2025-12-23T00:00:00"/>
    <s v="marketing"/>
    <s v="NA"/>
    <x v="0"/>
    <n v="118.91"/>
    <x v="2"/>
    <x v="0"/>
    <x v="1"/>
    <x v="11"/>
    <n v="-1959.82"/>
  </r>
  <r>
    <d v="2025-12-23T00:00:00"/>
    <s v="net sales:product 1"/>
    <n v="9.99"/>
    <x v="41"/>
    <n v="919.08"/>
    <x v="3"/>
    <x v="1"/>
    <x v="1"/>
    <x v="11"/>
    <n v="-107.94"/>
  </r>
  <r>
    <d v="2025-12-23T00:00:00"/>
    <s v="net sales:product 2"/>
    <n v="24.99"/>
    <x v="10"/>
    <n v="49.98"/>
    <x v="3"/>
    <x v="2"/>
    <x v="1"/>
    <x v="11"/>
    <n v="849.15"/>
  </r>
  <r>
    <d v="2025-12-23T00:00:00"/>
    <s v="net sales:product 3"/>
    <n v="12.49"/>
    <x v="78"/>
    <n v="699.44"/>
    <x v="3"/>
    <x v="3"/>
    <x v="1"/>
    <x v="11"/>
    <n v="0"/>
  </r>
  <r>
    <d v="2025-12-24T00:00:00"/>
    <s v="cogs:product 1"/>
    <n v="5.49"/>
    <x v="6"/>
    <n v="203.13"/>
    <x v="1"/>
    <x v="1"/>
    <x v="1"/>
    <x v="11"/>
    <n v="2722.82"/>
  </r>
  <r>
    <d v="2025-12-24T00:00:00"/>
    <s v="cogs:product 2"/>
    <n v="21.49"/>
    <x v="23"/>
    <n v="0"/>
    <x v="1"/>
    <x v="2"/>
    <x v="1"/>
    <x v="11"/>
    <n v="-488.61"/>
  </r>
  <r>
    <d v="2025-12-24T00:00:00"/>
    <s v="cogs:product 3"/>
    <n v="8.99"/>
    <x v="29"/>
    <n v="44.95"/>
    <x v="1"/>
    <x v="3"/>
    <x v="1"/>
    <x v="11"/>
    <n v="-64.47"/>
  </r>
  <r>
    <d v="2025-12-24T00:00:00"/>
    <s v="marketing"/>
    <s v="NA"/>
    <x v="0"/>
    <n v="118.9"/>
    <x v="2"/>
    <x v="0"/>
    <x v="1"/>
    <x v="11"/>
    <n v="-1204.6600000000001"/>
  </r>
  <r>
    <d v="2025-12-24T00:00:00"/>
    <s v="net sales:product 1"/>
    <n v="9.99"/>
    <x v="6"/>
    <n v="369.63"/>
    <x v="3"/>
    <x v="1"/>
    <x v="1"/>
    <x v="11"/>
    <n v="-116.92"/>
  </r>
  <r>
    <d v="2025-12-24T00:00:00"/>
    <s v="net sales:product 2"/>
    <n v="24.99"/>
    <x v="23"/>
    <n v="0"/>
    <x v="3"/>
    <x v="2"/>
    <x v="1"/>
    <x v="11"/>
    <n v="889.11"/>
  </r>
  <r>
    <d v="2025-12-24T00:00:00"/>
    <s v="net sales:product 3"/>
    <n v="12.49"/>
    <x v="29"/>
    <n v="62.45"/>
    <x v="3"/>
    <x v="3"/>
    <x v="1"/>
    <x v="11"/>
    <n v="74.97"/>
  </r>
  <r>
    <d v="2025-12-25T00:00:00"/>
    <s v="cogs:product 1"/>
    <n v="5.49"/>
    <x v="52"/>
    <n v="499.59000000000003"/>
    <x v="1"/>
    <x v="1"/>
    <x v="1"/>
    <x v="11"/>
    <n v="1673.66"/>
  </r>
  <r>
    <d v="2025-12-25T00:00:00"/>
    <s v="cogs:product 2"/>
    <n v="21.49"/>
    <x v="23"/>
    <n v="0"/>
    <x v="1"/>
    <x v="2"/>
    <x v="1"/>
    <x v="11"/>
    <n v="-461.16"/>
  </r>
  <r>
    <d v="2025-12-25T00:00:00"/>
    <s v="cogs:product 3"/>
    <n v="8.99"/>
    <x v="61"/>
    <n v="872.03"/>
    <x v="1"/>
    <x v="3"/>
    <x v="1"/>
    <x v="11"/>
    <n v="-128.94"/>
  </r>
  <r>
    <d v="2025-12-25T00:00:00"/>
    <s v="marketing"/>
    <s v="NA"/>
    <x v="0"/>
    <n v="114.07000000000001"/>
    <x v="2"/>
    <x v="0"/>
    <x v="1"/>
    <x v="11"/>
    <n v="-2202.5500000000002"/>
  </r>
  <r>
    <d v="2025-12-25T00:00:00"/>
    <s v="net sales:product 1"/>
    <n v="9.99"/>
    <x v="52"/>
    <n v="909.09"/>
    <x v="3"/>
    <x v="1"/>
    <x v="1"/>
    <x v="11"/>
    <n v="-100.95"/>
  </r>
  <r>
    <d v="2025-12-25T00:00:00"/>
    <s v="net sales:product 2"/>
    <n v="24.99"/>
    <x v="23"/>
    <n v="0"/>
    <x v="3"/>
    <x v="2"/>
    <x v="1"/>
    <x v="11"/>
    <n v="839.16"/>
  </r>
  <r>
    <d v="2025-12-25T00:00:00"/>
    <s v="net sales:product 3"/>
    <n v="12.49"/>
    <x v="61"/>
    <n v="1211.53"/>
    <x v="3"/>
    <x v="3"/>
    <x v="1"/>
    <x v="11"/>
    <n v="149.94"/>
  </r>
  <r>
    <d v="2025-12-26T00:00:00"/>
    <s v="cogs:product 1"/>
    <n v="5.49"/>
    <x v="92"/>
    <n v="290.97000000000003"/>
    <x v="1"/>
    <x v="1"/>
    <x v="1"/>
    <x v="11"/>
    <n v="3060.05"/>
  </r>
  <r>
    <d v="2025-12-26T00:00:00"/>
    <s v="cogs:product 2"/>
    <n v="21.49"/>
    <x v="29"/>
    <n v="107.44999999999999"/>
    <x v="1"/>
    <x v="2"/>
    <x v="1"/>
    <x v="11"/>
    <n v="-230.58"/>
  </r>
  <r>
    <d v="2025-12-26T00:00:00"/>
    <s v="cogs:product 3"/>
    <n v="8.99"/>
    <x v="23"/>
    <n v="0"/>
    <x v="1"/>
    <x v="3"/>
    <x v="1"/>
    <x v="11"/>
    <n v="-21.49"/>
  </r>
  <r>
    <d v="2025-12-26T00:00:00"/>
    <s v="marketing"/>
    <s v="NA"/>
    <x v="0"/>
    <n v="109.99000000000001"/>
    <x v="2"/>
    <x v="0"/>
    <x v="1"/>
    <x v="11"/>
    <n v="-1285.57"/>
  </r>
  <r>
    <d v="2025-12-26T00:00:00"/>
    <s v="net sales:product 1"/>
    <n v="9.99"/>
    <x v="92"/>
    <n v="529.47"/>
    <x v="3"/>
    <x v="1"/>
    <x v="1"/>
    <x v="11"/>
    <n v="-102.07000000000001"/>
  </r>
  <r>
    <d v="2025-12-26T00:00:00"/>
    <s v="net sales:product 2"/>
    <n v="24.99"/>
    <x v="29"/>
    <n v="124.94999999999999"/>
    <x v="3"/>
    <x v="2"/>
    <x v="1"/>
    <x v="11"/>
    <n v="419.58"/>
  </r>
  <r>
    <d v="2025-12-26T00:00:00"/>
    <s v="net sales:product 3"/>
    <n v="12.49"/>
    <x v="23"/>
    <n v="0"/>
    <x v="3"/>
    <x v="3"/>
    <x v="1"/>
    <x v="11"/>
    <n v="24.99"/>
  </r>
  <r>
    <d v="2025-12-27T00:00:00"/>
    <s v="cogs:product 1"/>
    <n v="5.49"/>
    <x v="46"/>
    <n v="373.32"/>
    <x v="1"/>
    <x v="1"/>
    <x v="1"/>
    <x v="11"/>
    <n v="1786.07"/>
  </r>
  <r>
    <d v="2025-12-27T00:00:00"/>
    <s v="cogs:product 2"/>
    <n v="21.49"/>
    <x v="25"/>
    <n v="21.49"/>
    <x v="1"/>
    <x v="2"/>
    <x v="1"/>
    <x v="11"/>
    <n v="-505.08000000000004"/>
  </r>
  <r>
    <d v="2025-12-27T00:00:00"/>
    <s v="cogs:product 3"/>
    <n v="8.99"/>
    <x v="113"/>
    <n v="278.69"/>
    <x v="1"/>
    <x v="3"/>
    <x v="1"/>
    <x v="11"/>
    <n v="0"/>
  </r>
  <r>
    <d v="2025-12-27T00:00:00"/>
    <s v="marketing"/>
    <s v="NA"/>
    <x v="0"/>
    <n v="99.990000000000009"/>
    <x v="2"/>
    <x v="0"/>
    <x v="1"/>
    <x v="11"/>
    <n v="-1708.1000000000001"/>
  </r>
  <r>
    <d v="2025-12-27T00:00:00"/>
    <s v="net sales:product 1"/>
    <n v="9.99"/>
    <x v="46"/>
    <n v="679.32"/>
    <x v="3"/>
    <x v="1"/>
    <x v="1"/>
    <x v="11"/>
    <n v="-100.07000000000001"/>
  </r>
  <r>
    <d v="2025-12-27T00:00:00"/>
    <s v="net sales:product 2"/>
    <n v="24.99"/>
    <x v="25"/>
    <n v="24.99"/>
    <x v="3"/>
    <x v="2"/>
    <x v="1"/>
    <x v="11"/>
    <n v="919.08"/>
  </r>
  <r>
    <d v="2025-12-27T00:00:00"/>
    <s v="net sales:product 3"/>
    <n v="12.49"/>
    <x v="113"/>
    <n v="387.19"/>
    <x v="3"/>
    <x v="3"/>
    <x v="1"/>
    <x v="11"/>
    <n v="0"/>
  </r>
  <r>
    <d v="2025-12-28T00:00:00"/>
    <s v="cogs:product 1"/>
    <n v="5.49"/>
    <x v="114"/>
    <n v="263.52"/>
    <x v="1"/>
    <x v="1"/>
    <x v="1"/>
    <x v="11"/>
    <n v="2373.1"/>
  </r>
  <r>
    <d v="2025-12-28T00:00:00"/>
    <s v="cogs:product 2"/>
    <n v="21.49"/>
    <x v="25"/>
    <n v="21.49"/>
    <x v="1"/>
    <x v="2"/>
    <x v="1"/>
    <x v="11"/>
    <n v="-214.11"/>
  </r>
  <r>
    <d v="2025-12-28T00:00:00"/>
    <s v="cogs:product 3"/>
    <n v="8.99"/>
    <x v="173"/>
    <n v="2202.5500000000002"/>
    <x v="1"/>
    <x v="3"/>
    <x v="1"/>
    <x v="11"/>
    <n v="-107.44999999999999"/>
  </r>
  <r>
    <d v="2025-12-28T00:00:00"/>
    <s v="marketing"/>
    <s v="NA"/>
    <x v="0"/>
    <n v="109.95"/>
    <x v="2"/>
    <x v="0"/>
    <x v="1"/>
    <x v="11"/>
    <n v="0"/>
  </r>
  <r>
    <d v="2025-12-28T00:00:00"/>
    <s v="net sales:product 1"/>
    <n v="9.99"/>
    <x v="114"/>
    <n v="479.52"/>
    <x v="3"/>
    <x v="1"/>
    <x v="1"/>
    <x v="11"/>
    <n v="-112.09"/>
  </r>
  <r>
    <d v="2025-12-28T00:00:00"/>
    <s v="net sales:product 2"/>
    <n v="24.99"/>
    <x v="25"/>
    <n v="24.99"/>
    <x v="3"/>
    <x v="2"/>
    <x v="1"/>
    <x v="11"/>
    <n v="389.61"/>
  </r>
  <r>
    <d v="2025-12-28T00:00:00"/>
    <s v="net sales:product 3"/>
    <n v="12.49"/>
    <x v="173"/>
    <n v="3060.05"/>
    <x v="3"/>
    <x v="3"/>
    <x v="1"/>
    <x v="11"/>
    <n v="124.94999999999999"/>
  </r>
  <r>
    <d v="2025-12-29T00:00:00"/>
    <s v="cogs:product 1"/>
    <n v="5.49"/>
    <x v="95"/>
    <n v="329.40000000000003"/>
    <x v="1"/>
    <x v="1"/>
    <x v="1"/>
    <x v="11"/>
    <n v="0"/>
  </r>
  <r>
    <d v="2025-12-29T00:00:00"/>
    <s v="cogs:product 2"/>
    <n v="21.49"/>
    <x v="42"/>
    <n v="128.94"/>
    <x v="1"/>
    <x v="2"/>
    <x v="1"/>
    <x v="11"/>
    <n v="-527.04"/>
  </r>
  <r>
    <d v="2025-12-29T00:00:00"/>
    <s v="cogs:product 3"/>
    <n v="8.99"/>
    <x v="173"/>
    <n v="2202.5500000000002"/>
    <x v="1"/>
    <x v="3"/>
    <x v="1"/>
    <x v="11"/>
    <n v="-171.92"/>
  </r>
  <r>
    <d v="2025-12-29T00:00:00"/>
    <s v="marketing"/>
    <s v="NA"/>
    <x v="0"/>
    <n v="103.92"/>
    <x v="2"/>
    <x v="0"/>
    <x v="1"/>
    <x v="11"/>
    <n v="-2139.62"/>
  </r>
  <r>
    <d v="2025-12-29T00:00:00"/>
    <s v="net sales:product 1"/>
    <n v="9.99"/>
    <x v="95"/>
    <n v="599.4"/>
    <x v="3"/>
    <x v="1"/>
    <x v="1"/>
    <x v="11"/>
    <n v="-112.99000000000001"/>
  </r>
  <r>
    <d v="2025-12-29T00:00:00"/>
    <s v="net sales:product 2"/>
    <n v="24.99"/>
    <x v="42"/>
    <n v="149.94"/>
    <x v="3"/>
    <x v="2"/>
    <x v="1"/>
    <x v="11"/>
    <n v="959.04"/>
  </r>
  <r>
    <d v="2025-12-29T00:00:00"/>
    <s v="net sales:product 3"/>
    <n v="12.49"/>
    <x v="173"/>
    <n v="3060.05"/>
    <x v="3"/>
    <x v="3"/>
    <x v="1"/>
    <x v="11"/>
    <n v="199.92"/>
  </r>
  <r>
    <d v="2025-12-30T00:00:00"/>
    <s v="cogs:product 1"/>
    <n v="5.49"/>
    <x v="41"/>
    <n v="505.08000000000004"/>
    <x v="1"/>
    <x v="1"/>
    <x v="1"/>
    <x v="11"/>
    <n v="2972.62"/>
  </r>
  <r>
    <d v="2025-12-30T00:00:00"/>
    <s v="cogs:product 2"/>
    <n v="21.49"/>
    <x v="13"/>
    <n v="150.42999999999998"/>
    <x v="1"/>
    <x v="2"/>
    <x v="1"/>
    <x v="11"/>
    <n v="-362.34000000000003"/>
  </r>
  <r>
    <d v="2025-12-30T00:00:00"/>
    <s v="cogs:product 3"/>
    <n v="8.99"/>
    <x v="150"/>
    <n v="1708.1000000000001"/>
    <x v="1"/>
    <x v="3"/>
    <x v="1"/>
    <x v="11"/>
    <n v="-64.47"/>
  </r>
  <r>
    <d v="2025-12-30T00:00:00"/>
    <s v="marketing"/>
    <s v="NA"/>
    <x v="0"/>
    <n v="104.93"/>
    <x v="2"/>
    <x v="0"/>
    <x v="1"/>
    <x v="11"/>
    <n v="-1213.6500000000001"/>
  </r>
  <r>
    <d v="2025-12-30T00:00:00"/>
    <s v="net sales:product 1"/>
    <n v="9.99"/>
    <x v="41"/>
    <n v="919.08"/>
    <x v="3"/>
    <x v="1"/>
    <x v="1"/>
    <x v="11"/>
    <n v="-113.91"/>
  </r>
  <r>
    <d v="2025-12-30T00:00:00"/>
    <s v="net sales:product 2"/>
    <n v="24.99"/>
    <x v="13"/>
    <n v="174.92999999999998"/>
    <x v="3"/>
    <x v="2"/>
    <x v="1"/>
    <x v="11"/>
    <n v="659.34"/>
  </r>
  <r>
    <d v="2025-12-30T00:00:00"/>
    <s v="net sales:product 3"/>
    <n v="12.49"/>
    <x v="150"/>
    <n v="2373.1"/>
    <x v="3"/>
    <x v="3"/>
    <x v="1"/>
    <x v="11"/>
    <n v="74.97"/>
  </r>
  <r>
    <d v="2025-12-31T00:00:00"/>
    <s v="cogs:product 1"/>
    <n v="5.49"/>
    <x v="85"/>
    <n v="192.15"/>
    <x v="1"/>
    <x v="1"/>
    <x v="1"/>
    <x v="11"/>
    <n v="1686.15"/>
  </r>
  <r>
    <d v="2025-12-31T00:00:00"/>
    <s v="cogs:product 2"/>
    <n v="21.49"/>
    <x v="19"/>
    <n v="85.96"/>
    <x v="1"/>
    <x v="2"/>
    <x v="1"/>
    <x v="11"/>
    <n v="0"/>
  </r>
  <r>
    <d v="2025-12-31T00:00:00"/>
    <s v="cogs:product 3"/>
    <n v="8.99"/>
    <x v="155"/>
    <n v="1447.39"/>
    <x v="1"/>
    <x v="3"/>
    <x v="1"/>
    <x v="11"/>
    <n v="-5.49"/>
  </r>
  <r>
    <d v="2025-12-31T00:00:00"/>
    <s v="marketing"/>
    <s v="NA"/>
    <x v="0"/>
    <n v="110"/>
    <x v="2"/>
    <x v="0"/>
    <x v="1"/>
    <x v="11"/>
    <n v="-64.47"/>
  </r>
  <r>
    <d v="2025-12-31T00:00:00"/>
    <s v="net sales:product 1"/>
    <n v="9.99"/>
    <x v="85"/>
    <n v="349.65000000000003"/>
    <x v="3"/>
    <x v="1"/>
    <x v="1"/>
    <x v="11"/>
    <n v="-925.97"/>
  </r>
  <r>
    <d v="2025-12-31T00:00:00"/>
    <s v="net sales:product 2"/>
    <n v="24.99"/>
    <x v="19"/>
    <n v="99.96"/>
    <x v="3"/>
    <x v="2"/>
    <x v="1"/>
    <x v="11"/>
    <n v="-105.05"/>
  </r>
  <r>
    <d v="2025-12-31T00:00:00"/>
    <s v="net sales:product 3"/>
    <n v="12.49"/>
    <x v="155"/>
    <n v="2010.89"/>
    <x v="3"/>
    <x v="3"/>
    <x v="1"/>
    <x v="11"/>
    <n v="9.99"/>
  </r>
  <r>
    <m/>
    <m/>
    <m/>
    <x v="230"/>
    <m/>
    <x v="7"/>
    <x v="4"/>
    <x v="2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D2C7A-D04F-4BE6-9E2F-139C3414D3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19:C28" firstHeaderRow="1" firstDataRow="1" firstDataCol="2"/>
  <pivotFields count="12">
    <pivotField compact="0" showAll="0">
      <items count="7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6">
        <item h="1" x="0"/>
        <item x="1"/>
        <item x="2"/>
        <item x="3"/>
        <item h="1" x="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7"/>
    <field x="6"/>
  </rowFields>
  <rowItems count="9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Max of quantity" fld="3" subtotal="max" baseField="7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2B974-FF18-410A-81EB-C0F987D7AD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0" firstHeaderRow="1" firstDataRow="1" firstDataCol="1"/>
  <pivotFields count="12">
    <pivotField showAll="0">
      <items count="7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6">
        <item h="1" x="0"/>
        <item x="1"/>
        <item x="2"/>
        <item x="3"/>
        <item h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7"/>
    <field x="6"/>
  </rowFields>
  <rowItems count="9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quantity" fld="3" baseField="6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ABA44-F76F-4F07-89C0-14F0D43DA564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D17" firstHeaderRow="1" firstDataRow="2" firstDataCol="1" rowPageCount="1" colPageCount="1"/>
  <pivotFields count="10">
    <pivotField showAll="0"/>
    <pivotField showAll="0"/>
    <pivotField showAll="0"/>
    <pivotField showAll="0"/>
    <pivotField dataField="1" showAll="0"/>
    <pivotField axis="axisPage" showAll="0">
      <items count="9">
        <item x="0"/>
        <item x="1"/>
        <item x="6"/>
        <item x="2"/>
        <item x="3"/>
        <item x="4"/>
        <item x="5"/>
        <item x="7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5" item="4" hier="-1"/>
  </pageFields>
  <dataFields count="1">
    <dataField name="Sum of total" fld="4" baseField="0" baseItem="0"/>
  </dataFields>
  <chartFormats count="4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5FBC3-C666-4A7C-A545-87395A8DC517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17:D22" firstHeaderRow="1" firstDataRow="2" firstDataCol="1"/>
  <pivotFields count="10">
    <pivotField showAll="0"/>
    <pivotField showAll="0"/>
    <pivotField showAll="0"/>
    <pivotField dataField="1" showAll="0"/>
    <pivotField showAll="0"/>
    <pivotField showAll="0"/>
    <pivotField axis="axisRow" showAll="0">
      <items count="6">
        <item h="1" x="0"/>
        <item x="1"/>
        <item x="2"/>
        <item x="3"/>
        <item h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6"/>
  </rowFields>
  <rowItems count="4"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quantity" fld="3" baseField="6" baseItem="1"/>
  </dataFields>
  <chartFormats count="9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5BD58-82AC-4EDE-9992-02CC00DFE8C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D15" firstHeaderRow="1" firstDataRow="2" firstDataCol="1"/>
  <pivotFields count="10">
    <pivotField showAll="0"/>
    <pivotField showAll="0"/>
    <pivotField showAll="0"/>
    <pivotField dataField="1" showAll="0">
      <items count="232">
        <item x="23"/>
        <item x="25"/>
        <item x="10"/>
        <item x="2"/>
        <item x="19"/>
        <item x="29"/>
        <item x="42"/>
        <item x="13"/>
        <item x="16"/>
        <item x="7"/>
        <item x="22"/>
        <item x="45"/>
        <item x="21"/>
        <item x="166"/>
        <item x="127"/>
        <item x="145"/>
        <item x="87"/>
        <item x="30"/>
        <item x="31"/>
        <item x="35"/>
        <item x="64"/>
        <item x="26"/>
        <item x="111"/>
        <item x="60"/>
        <item x="72"/>
        <item x="39"/>
        <item x="122"/>
        <item x="88"/>
        <item x="86"/>
        <item x="140"/>
        <item x="135"/>
        <item x="113"/>
        <item x="44"/>
        <item x="107"/>
        <item x="124"/>
        <item x="85"/>
        <item x="139"/>
        <item x="6"/>
        <item x="15"/>
        <item x="9"/>
        <item x="130"/>
        <item x="128"/>
        <item x="58"/>
        <item x="80"/>
        <item x="54"/>
        <item x="98"/>
        <item x="83"/>
        <item x="66"/>
        <item x="114"/>
        <item x="119"/>
        <item x="137"/>
        <item x="102"/>
        <item x="138"/>
        <item x="92"/>
        <item x="172"/>
        <item x="74"/>
        <item x="78"/>
        <item x="97"/>
        <item x="28"/>
        <item x="59"/>
        <item x="95"/>
        <item x="110"/>
        <item x="48"/>
        <item x="79"/>
        <item x="134"/>
        <item x="4"/>
        <item x="38"/>
        <item x="73"/>
        <item x="46"/>
        <item x="104"/>
        <item x="62"/>
        <item x="1"/>
        <item x="158"/>
        <item x="12"/>
        <item x="76"/>
        <item x="75"/>
        <item x="115"/>
        <item x="69"/>
        <item x="3"/>
        <item x="101"/>
        <item x="120"/>
        <item x="33"/>
        <item x="105"/>
        <item x="71"/>
        <item x="226"/>
        <item x="18"/>
        <item x="117"/>
        <item x="56"/>
        <item x="100"/>
        <item x="82"/>
        <item x="50"/>
        <item x="52"/>
        <item x="41"/>
        <item x="198"/>
        <item x="131"/>
        <item x="14"/>
        <item x="108"/>
        <item x="61"/>
        <item x="106"/>
        <item x="24"/>
        <item x="220"/>
        <item x="222"/>
        <item x="17"/>
        <item x="184"/>
        <item x="214"/>
        <item x="228"/>
        <item x="208"/>
        <item x="164"/>
        <item x="224"/>
        <item x="223"/>
        <item x="32"/>
        <item x="89"/>
        <item x="212"/>
        <item x="215"/>
        <item x="183"/>
        <item x="169"/>
        <item x="103"/>
        <item x="206"/>
        <item x="156"/>
        <item x="153"/>
        <item x="90"/>
        <item x="154"/>
        <item x="168"/>
        <item x="163"/>
        <item x="77"/>
        <item x="93"/>
        <item x="219"/>
        <item x="123"/>
        <item x="160"/>
        <item x="221"/>
        <item x="99"/>
        <item x="34"/>
        <item x="112"/>
        <item x="200"/>
        <item x="51"/>
        <item x="133"/>
        <item x="68"/>
        <item x="136"/>
        <item x="146"/>
        <item x="202"/>
        <item x="176"/>
        <item x="53"/>
        <item x="207"/>
        <item x="205"/>
        <item x="36"/>
        <item x="197"/>
        <item x="149"/>
        <item x="217"/>
        <item x="143"/>
        <item x="27"/>
        <item x="129"/>
        <item x="175"/>
        <item x="204"/>
        <item x="155"/>
        <item x="191"/>
        <item x="170"/>
        <item x="65"/>
        <item x="125"/>
        <item x="161"/>
        <item x="213"/>
        <item x="126"/>
        <item x="147"/>
        <item x="195"/>
        <item x="57"/>
        <item x="229"/>
        <item x="91"/>
        <item x="116"/>
        <item x="194"/>
        <item x="81"/>
        <item x="11"/>
        <item x="67"/>
        <item x="187"/>
        <item x="171"/>
        <item x="118"/>
        <item x="201"/>
        <item x="148"/>
        <item x="96"/>
        <item x="150"/>
        <item x="203"/>
        <item x="159"/>
        <item x="178"/>
        <item x="152"/>
        <item x="177"/>
        <item x="141"/>
        <item x="185"/>
        <item x="70"/>
        <item x="94"/>
        <item x="192"/>
        <item x="121"/>
        <item x="37"/>
        <item x="165"/>
        <item x="182"/>
        <item x="211"/>
        <item x="151"/>
        <item x="210"/>
        <item x="199"/>
        <item x="218"/>
        <item x="209"/>
        <item x="180"/>
        <item x="43"/>
        <item x="189"/>
        <item x="109"/>
        <item x="179"/>
        <item x="174"/>
        <item x="8"/>
        <item x="142"/>
        <item x="55"/>
        <item x="5"/>
        <item x="157"/>
        <item x="63"/>
        <item x="188"/>
        <item x="196"/>
        <item x="132"/>
        <item x="49"/>
        <item x="193"/>
        <item x="190"/>
        <item x="40"/>
        <item x="162"/>
        <item x="216"/>
        <item x="186"/>
        <item x="84"/>
        <item x="181"/>
        <item x="225"/>
        <item x="173"/>
        <item x="47"/>
        <item x="144"/>
        <item x="167"/>
        <item x="20"/>
        <item x="227"/>
        <item x="0"/>
        <item x="230"/>
        <item t="default"/>
      </items>
    </pivotField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Col" multipleItemSelectionAllowed="1" showAll="0">
      <items count="4">
        <item x="0"/>
        <item x="1"/>
        <item h="1"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quantity" fld="3" baseField="8" baseItem="0"/>
  </dataField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E1945-AAF6-4B2E-A7DF-9ABF303B04B3}" name="Table1" displayName="Table1" ref="A1:J5266" totalsRowShown="0" headerRowDxfId="6">
  <autoFilter ref="A1:J5266" xr:uid="{BFFE1945-AAF6-4B2E-A7DF-9ABF303B04B3}"/>
  <tableColumns count="10">
    <tableColumn id="1" xr3:uid="{08201F46-40F4-41E5-A86A-2FAD6DDC044C}" name="date" dataDxfId="5"/>
    <tableColumn id="2" xr3:uid="{67AE554B-0FD9-4137-A565-4E49BB262A32}" name="description" dataDxfId="4"/>
    <tableColumn id="3" xr3:uid="{2617390E-AEB4-46AC-A27B-7EEB0E6E33FB}" name="price" dataDxfId="3"/>
    <tableColumn id="4" xr3:uid="{87B0D57B-6824-4BDA-ACB4-CCD212C48DB5}" name="quantity" dataDxfId="2"/>
    <tableColumn id="5" xr3:uid="{5539A158-50B9-4B7D-904F-B7BAC0E2B62B}" name="total" dataDxfId="1"/>
    <tableColumn id="6" xr3:uid="{EBCD31B7-59CA-4AA6-90AB-89F719CB2595}" name="category">
      <calculatedColumnFormula>IFERROR(LEFT(B2,FIND(":",B2)-1),B2)</calculatedColumnFormula>
    </tableColumn>
    <tableColumn id="7" xr3:uid="{EBA9B9F8-E821-4F0D-9405-BBA52AF38367}" name="product" dataDxfId="0">
      <calculatedColumnFormula>IFERROR(RIGHT(B2,LEN(B2)-FIND(":",B2)),"")</calculatedColumnFormula>
    </tableColumn>
    <tableColumn id="8" xr3:uid="{55589AD2-3711-4ACA-B415-0C0CAC23E377}" name="year">
      <calculatedColumnFormula>YEAR(A2)</calculatedColumnFormula>
    </tableColumn>
    <tableColumn id="9" xr3:uid="{DB0F7D4F-DB3D-463A-B2AC-69B1D70AE554}" name="month">
      <calculatedColumnFormula>MONTH(A2)</calculatedColumnFormula>
    </tableColumn>
    <tableColumn id="10" xr3:uid="{2521FBAB-B941-4966-A73F-7D502B6233FC}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266"/>
  <sheetViews>
    <sheetView tabSelected="1" workbookViewId="0">
      <pane ySplit="1" topLeftCell="A2" activePane="bottomLeft" state="frozen"/>
      <selection pane="bottomLeft" activeCell="L24" sqref="L24"/>
    </sheetView>
  </sheetViews>
  <sheetFormatPr defaultColWidth="12.6328125" defaultRowHeight="15" customHeight="1" x14ac:dyDescent="0.25"/>
  <cols>
    <col min="1" max="1" width="9.90625" bestFit="1" customWidth="1"/>
    <col min="2" max="2" width="16.1796875" bestFit="1" customWidth="1"/>
    <col min="3" max="3" width="8.6328125" bestFit="1" customWidth="1"/>
    <col min="4" max="4" width="11.453125" customWidth="1"/>
    <col min="5" max="5" width="8.1796875" bestFit="1" customWidth="1"/>
    <col min="6" max="6" width="12.08984375" customWidth="1"/>
    <col min="7" max="7" width="11.26953125" customWidth="1"/>
    <col min="8" max="8" width="8.08984375" bestFit="1" customWidth="1"/>
    <col min="9" max="9" width="10" customWidth="1"/>
    <col min="10" max="10" width="8.90625" customWidth="1"/>
  </cols>
  <sheetData>
    <row r="1" spans="1:10" ht="14" x14ac:dyDescent="0.3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52</v>
      </c>
      <c r="G1" s="41" t="s">
        <v>53</v>
      </c>
      <c r="H1" s="41" t="s">
        <v>54</v>
      </c>
      <c r="I1" s="41" t="s">
        <v>75</v>
      </c>
      <c r="J1" s="41" t="s">
        <v>74</v>
      </c>
    </row>
    <row r="2" spans="1:10" ht="15" customHeight="1" x14ac:dyDescent="0.25">
      <c r="A2" s="1">
        <v>45292</v>
      </c>
      <c r="B2" s="2" t="s">
        <v>5</v>
      </c>
      <c r="C2" s="2" t="s">
        <v>6</v>
      </c>
      <c r="D2" s="2" t="s">
        <v>6</v>
      </c>
      <c r="E2" s="3">
        <v>50</v>
      </c>
      <c r="F2" t="str">
        <f>IFERROR(LEFT(B2,FIND(":",B2)-1),B2)</f>
        <v>amortization</v>
      </c>
      <c r="G2" s="7" t="s">
        <v>6</v>
      </c>
      <c r="H2">
        <f>YEAR(A2)</f>
        <v>2024</v>
      </c>
      <c r="I2">
        <f>MONTH(A2)</f>
        <v>1</v>
      </c>
      <c r="J2">
        <f>IF(F2="net sales",E2,
IF(F2="cogs",-E2,
IF(OR(F2="marketing",F2="overhead",F2="payroll",F2="interest","amortization"),-E2,0)))</f>
        <v>0</v>
      </c>
    </row>
    <row r="3" spans="1:10" ht="15" customHeight="1" x14ac:dyDescent="0.25">
      <c r="A3" s="1">
        <v>45292</v>
      </c>
      <c r="B3" s="2" t="s">
        <v>7</v>
      </c>
      <c r="C3" s="3">
        <v>5.99</v>
      </c>
      <c r="D3" s="3">
        <v>71</v>
      </c>
      <c r="E3" s="3">
        <v>425.29</v>
      </c>
      <c r="F3" t="str">
        <f t="shared" ref="F3:F66" si="0">IFERROR(LEFT(B3,FIND(":",B3)-1),B3)</f>
        <v>cogs</v>
      </c>
      <c r="G3" s="7" t="str">
        <f t="shared" ref="G3:G66" si="1">IFERROR(RIGHT(B3,LEN(B3)-FIND(":",B3)),"")</f>
        <v>product 1</v>
      </c>
      <c r="H3">
        <f t="shared" ref="H3:H66" si="2">YEAR(A3)</f>
        <v>2024</v>
      </c>
      <c r="I3">
        <f t="shared" ref="I3:I66" si="3">MONTH(A3)</f>
        <v>1</v>
      </c>
      <c r="J3">
        <f t="shared" ref="J3:J66" si="4">IF(F3="net sales",E3,
IF(F3="cogs",-E3,
IF(OR(F3="marketing",F3="overhead",F3="payroll",F3="interest","amortization"),-E3,0)))</f>
        <v>-425.29</v>
      </c>
    </row>
    <row r="4" spans="1:10" ht="15" customHeight="1" x14ac:dyDescent="0.25">
      <c r="A4" s="1">
        <v>45292</v>
      </c>
      <c r="B4" s="2" t="s">
        <v>8</v>
      </c>
      <c r="C4" s="3">
        <v>16.989999999999998</v>
      </c>
      <c r="D4" s="3">
        <v>3</v>
      </c>
      <c r="E4" s="3">
        <v>50.97</v>
      </c>
      <c r="F4" t="str">
        <f t="shared" si="0"/>
        <v>cogs</v>
      </c>
      <c r="G4" s="7" t="str">
        <f t="shared" si="1"/>
        <v>product 2</v>
      </c>
      <c r="H4">
        <f t="shared" si="2"/>
        <v>2024</v>
      </c>
      <c r="I4">
        <f t="shared" si="3"/>
        <v>1</v>
      </c>
      <c r="J4">
        <f t="shared" si="4"/>
        <v>-50.97</v>
      </c>
    </row>
    <row r="5" spans="1:10" ht="15" customHeight="1" x14ac:dyDescent="0.25">
      <c r="A5" s="1">
        <v>45292</v>
      </c>
      <c r="B5" s="2" t="s">
        <v>9</v>
      </c>
      <c r="C5" s="3">
        <v>8.49</v>
      </c>
      <c r="D5" s="3">
        <v>78</v>
      </c>
      <c r="E5" s="3">
        <v>662.22</v>
      </c>
      <c r="F5" t="str">
        <f t="shared" si="0"/>
        <v>cogs</v>
      </c>
      <c r="G5" s="7" t="str">
        <f t="shared" si="1"/>
        <v>product 3</v>
      </c>
      <c r="H5">
        <f t="shared" si="2"/>
        <v>2024</v>
      </c>
      <c r="I5">
        <f t="shared" si="3"/>
        <v>1</v>
      </c>
      <c r="J5">
        <f t="shared" si="4"/>
        <v>-662.22</v>
      </c>
    </row>
    <row r="6" spans="1:10" ht="15" customHeight="1" x14ac:dyDescent="0.25">
      <c r="A6" s="1">
        <v>45292</v>
      </c>
      <c r="B6" s="2" t="s">
        <v>10</v>
      </c>
      <c r="C6" s="2" t="s">
        <v>6</v>
      </c>
      <c r="D6" s="2" t="s">
        <v>6</v>
      </c>
      <c r="E6" s="3">
        <v>99.990000000000009</v>
      </c>
      <c r="F6" t="str">
        <f t="shared" si="0"/>
        <v>marketing</v>
      </c>
      <c r="G6" s="7" t="s">
        <v>6</v>
      </c>
      <c r="H6">
        <f t="shared" si="2"/>
        <v>2024</v>
      </c>
      <c r="I6">
        <f t="shared" si="3"/>
        <v>1</v>
      </c>
      <c r="J6">
        <f t="shared" si="4"/>
        <v>-99.990000000000009</v>
      </c>
    </row>
    <row r="7" spans="1:10" ht="15" customHeight="1" x14ac:dyDescent="0.25">
      <c r="A7" s="1">
        <v>45292</v>
      </c>
      <c r="B7" s="2" t="s">
        <v>11</v>
      </c>
      <c r="C7" s="3">
        <v>9.99</v>
      </c>
      <c r="D7" s="3">
        <v>71</v>
      </c>
      <c r="E7" s="3">
        <v>709.29</v>
      </c>
      <c r="F7" t="str">
        <f t="shared" si="0"/>
        <v>net sales</v>
      </c>
      <c r="G7" s="7" t="str">
        <f t="shared" si="1"/>
        <v>product 1</v>
      </c>
      <c r="H7">
        <f t="shared" si="2"/>
        <v>2024</v>
      </c>
      <c r="I7">
        <f t="shared" si="3"/>
        <v>1</v>
      </c>
      <c r="J7">
        <f>IF(F7="net sales",E7,
IF(F7="cogs",-E7,
IF(OR(F7="marketing",F7="overhead",F7="payroll",F7="interest","amortization"),-E7,0)))</f>
        <v>709.29</v>
      </c>
    </row>
    <row r="8" spans="1:10" ht="15" customHeight="1" x14ac:dyDescent="0.25">
      <c r="A8" s="1">
        <v>45292</v>
      </c>
      <c r="B8" s="2" t="s">
        <v>12</v>
      </c>
      <c r="C8" s="3">
        <v>24.99</v>
      </c>
      <c r="D8" s="3">
        <v>3</v>
      </c>
      <c r="E8" s="3">
        <v>74.97</v>
      </c>
      <c r="F8" t="str">
        <f t="shared" si="0"/>
        <v>net sales</v>
      </c>
      <c r="G8" s="7" t="str">
        <f t="shared" si="1"/>
        <v>product 2</v>
      </c>
      <c r="H8">
        <f t="shared" si="2"/>
        <v>2024</v>
      </c>
      <c r="I8">
        <f t="shared" si="3"/>
        <v>1</v>
      </c>
      <c r="J8">
        <f t="shared" si="4"/>
        <v>74.97</v>
      </c>
    </row>
    <row r="9" spans="1:10" ht="15" customHeight="1" x14ac:dyDescent="0.25">
      <c r="A9" s="1">
        <v>45292</v>
      </c>
      <c r="B9" s="2" t="s">
        <v>13</v>
      </c>
      <c r="C9" s="3">
        <v>12.49</v>
      </c>
      <c r="D9" s="3">
        <v>78</v>
      </c>
      <c r="E9" s="3">
        <v>974.22</v>
      </c>
      <c r="F9" t="str">
        <f t="shared" si="0"/>
        <v>net sales</v>
      </c>
      <c r="G9" s="7" t="str">
        <f t="shared" si="1"/>
        <v>product 3</v>
      </c>
      <c r="H9">
        <f t="shared" si="2"/>
        <v>2024</v>
      </c>
      <c r="I9">
        <f t="shared" si="3"/>
        <v>1</v>
      </c>
      <c r="J9">
        <f t="shared" si="4"/>
        <v>974.22</v>
      </c>
    </row>
    <row r="10" spans="1:10" ht="15" customHeight="1" x14ac:dyDescent="0.25">
      <c r="A10" s="1">
        <v>45292</v>
      </c>
      <c r="B10" s="2" t="s">
        <v>14</v>
      </c>
      <c r="C10" s="2" t="s">
        <v>6</v>
      </c>
      <c r="D10" s="2" t="s">
        <v>6</v>
      </c>
      <c r="E10" s="3">
        <v>2000</v>
      </c>
      <c r="F10" t="str">
        <f t="shared" si="0"/>
        <v>overhead</v>
      </c>
      <c r="G10" s="7" t="s">
        <v>6</v>
      </c>
      <c r="H10">
        <f t="shared" si="2"/>
        <v>2024</v>
      </c>
      <c r="I10">
        <f t="shared" si="3"/>
        <v>1</v>
      </c>
      <c r="J10">
        <f t="shared" si="4"/>
        <v>-2000</v>
      </c>
    </row>
    <row r="11" spans="1:10" ht="15" customHeight="1" x14ac:dyDescent="0.25">
      <c r="A11" s="1">
        <v>45293</v>
      </c>
      <c r="B11" s="2" t="s">
        <v>7</v>
      </c>
      <c r="C11" s="3">
        <v>5.99</v>
      </c>
      <c r="D11" s="3">
        <v>65</v>
      </c>
      <c r="E11" s="3">
        <v>389.35</v>
      </c>
      <c r="F11" t="str">
        <f t="shared" si="0"/>
        <v>cogs</v>
      </c>
      <c r="G11" s="7" t="str">
        <f t="shared" si="1"/>
        <v>product 1</v>
      </c>
      <c r="H11">
        <f t="shared" si="2"/>
        <v>2024</v>
      </c>
      <c r="I11">
        <f t="shared" si="3"/>
        <v>1</v>
      </c>
      <c r="J11">
        <f t="shared" si="4"/>
        <v>-389.35</v>
      </c>
    </row>
    <row r="12" spans="1:10" ht="15" customHeight="1" x14ac:dyDescent="0.25">
      <c r="A12" s="1">
        <v>45293</v>
      </c>
      <c r="B12" s="2" t="s">
        <v>8</v>
      </c>
      <c r="C12" s="3">
        <v>16.989999999999998</v>
      </c>
      <c r="D12" s="3">
        <v>3</v>
      </c>
      <c r="E12" s="3">
        <v>50.97</v>
      </c>
      <c r="F12" t="str">
        <f t="shared" si="0"/>
        <v>cogs</v>
      </c>
      <c r="G12" s="7" t="str">
        <f t="shared" si="1"/>
        <v>product 2</v>
      </c>
      <c r="H12">
        <f t="shared" si="2"/>
        <v>2024</v>
      </c>
      <c r="I12">
        <f t="shared" si="3"/>
        <v>1</v>
      </c>
      <c r="J12">
        <f t="shared" si="4"/>
        <v>-50.97</v>
      </c>
    </row>
    <row r="13" spans="1:10" ht="15" customHeight="1" x14ac:dyDescent="0.25">
      <c r="A13" s="1">
        <v>45293</v>
      </c>
      <c r="B13" s="2" t="s">
        <v>9</v>
      </c>
      <c r="C13" s="3">
        <v>8.49</v>
      </c>
      <c r="D13" s="3">
        <v>226</v>
      </c>
      <c r="E13" s="3">
        <v>1918.74</v>
      </c>
      <c r="F13" t="str">
        <f t="shared" si="0"/>
        <v>cogs</v>
      </c>
      <c r="G13" s="7" t="str">
        <f t="shared" si="1"/>
        <v>product 3</v>
      </c>
      <c r="H13">
        <f t="shared" si="2"/>
        <v>2024</v>
      </c>
      <c r="I13">
        <f t="shared" si="3"/>
        <v>1</v>
      </c>
      <c r="J13">
        <f t="shared" si="4"/>
        <v>-1918.74</v>
      </c>
    </row>
    <row r="14" spans="1:10" ht="15" customHeight="1" x14ac:dyDescent="0.25">
      <c r="A14" s="1">
        <v>45293</v>
      </c>
      <c r="B14" s="2" t="s">
        <v>10</v>
      </c>
      <c r="C14" s="2" t="s">
        <v>6</v>
      </c>
      <c r="D14" s="2" t="s">
        <v>6</v>
      </c>
      <c r="E14" s="3">
        <v>99.960000000000008</v>
      </c>
      <c r="F14" t="str">
        <f t="shared" si="0"/>
        <v>marketing</v>
      </c>
      <c r="G14" s="7" t="s">
        <v>6</v>
      </c>
      <c r="H14">
        <f t="shared" si="2"/>
        <v>2024</v>
      </c>
      <c r="I14">
        <f t="shared" si="3"/>
        <v>1</v>
      </c>
      <c r="J14">
        <f t="shared" si="4"/>
        <v>-99.960000000000008</v>
      </c>
    </row>
    <row r="15" spans="1:10" ht="15" customHeight="1" x14ac:dyDescent="0.25">
      <c r="A15" s="1">
        <v>45293</v>
      </c>
      <c r="B15" s="2" t="s">
        <v>11</v>
      </c>
      <c r="C15" s="3">
        <v>9.99</v>
      </c>
      <c r="D15" s="3">
        <v>65</v>
      </c>
      <c r="E15" s="3">
        <v>649.35</v>
      </c>
      <c r="F15" t="str">
        <f t="shared" si="0"/>
        <v>net sales</v>
      </c>
      <c r="G15" s="7" t="str">
        <f t="shared" si="1"/>
        <v>product 1</v>
      </c>
      <c r="H15">
        <f t="shared" si="2"/>
        <v>2024</v>
      </c>
      <c r="I15">
        <f t="shared" si="3"/>
        <v>1</v>
      </c>
      <c r="J15">
        <f t="shared" si="4"/>
        <v>649.35</v>
      </c>
    </row>
    <row r="16" spans="1:10" ht="15" customHeight="1" x14ac:dyDescent="0.25">
      <c r="A16" s="1">
        <v>45293</v>
      </c>
      <c r="B16" s="2" t="s">
        <v>12</v>
      </c>
      <c r="C16" s="3">
        <v>24.99</v>
      </c>
      <c r="D16" s="3">
        <v>3</v>
      </c>
      <c r="E16" s="3">
        <v>74.97</v>
      </c>
      <c r="F16" t="str">
        <f t="shared" si="0"/>
        <v>net sales</v>
      </c>
      <c r="G16" s="7" t="str">
        <f t="shared" si="1"/>
        <v>product 2</v>
      </c>
      <c r="H16">
        <f t="shared" si="2"/>
        <v>2024</v>
      </c>
      <c r="I16">
        <f t="shared" si="3"/>
        <v>1</v>
      </c>
      <c r="J16">
        <f t="shared" si="4"/>
        <v>74.97</v>
      </c>
    </row>
    <row r="17" spans="1:10" ht="15" customHeight="1" x14ac:dyDescent="0.25">
      <c r="A17" s="1">
        <v>45293</v>
      </c>
      <c r="B17" s="2" t="s">
        <v>13</v>
      </c>
      <c r="C17" s="3">
        <v>12.49</v>
      </c>
      <c r="D17" s="3">
        <v>226</v>
      </c>
      <c r="E17" s="3">
        <v>2822.7400000000002</v>
      </c>
      <c r="F17" t="str">
        <f t="shared" si="0"/>
        <v>net sales</v>
      </c>
      <c r="G17" s="7" t="str">
        <f t="shared" si="1"/>
        <v>product 3</v>
      </c>
      <c r="H17">
        <f t="shared" si="2"/>
        <v>2024</v>
      </c>
      <c r="I17">
        <f t="shared" si="3"/>
        <v>1</v>
      </c>
      <c r="J17">
        <f t="shared" si="4"/>
        <v>2822.7400000000002</v>
      </c>
    </row>
    <row r="18" spans="1:10" ht="15" customHeight="1" x14ac:dyDescent="0.25">
      <c r="A18" s="1">
        <v>45294</v>
      </c>
      <c r="B18" s="2" t="s">
        <v>7</v>
      </c>
      <c r="C18" s="3">
        <v>5.99</v>
      </c>
      <c r="D18" s="3">
        <v>37</v>
      </c>
      <c r="E18" s="3">
        <v>221.63</v>
      </c>
      <c r="F18" t="str">
        <f t="shared" si="0"/>
        <v>cogs</v>
      </c>
      <c r="G18" s="7" t="str">
        <f t="shared" si="1"/>
        <v>product 1</v>
      </c>
      <c r="H18">
        <f t="shared" si="2"/>
        <v>2024</v>
      </c>
      <c r="I18">
        <f t="shared" si="3"/>
        <v>1</v>
      </c>
      <c r="J18">
        <f t="shared" si="4"/>
        <v>-221.63</v>
      </c>
    </row>
    <row r="19" spans="1:10" ht="15" customHeight="1" x14ac:dyDescent="0.25">
      <c r="A19" s="1">
        <v>45294</v>
      </c>
      <c r="B19" s="2" t="s">
        <v>8</v>
      </c>
      <c r="C19" s="3">
        <v>16.989999999999998</v>
      </c>
      <c r="D19" s="3">
        <v>9</v>
      </c>
      <c r="E19" s="3">
        <v>152.91</v>
      </c>
      <c r="F19" t="str">
        <f t="shared" si="0"/>
        <v>cogs</v>
      </c>
      <c r="G19" s="7" t="str">
        <f t="shared" si="1"/>
        <v>product 2</v>
      </c>
      <c r="H19">
        <f t="shared" si="2"/>
        <v>2024</v>
      </c>
      <c r="I19">
        <f t="shared" si="3"/>
        <v>1</v>
      </c>
      <c r="J19">
        <f t="shared" si="4"/>
        <v>-152.91</v>
      </c>
    </row>
    <row r="20" spans="1:10" ht="15" customHeight="1" x14ac:dyDescent="0.25">
      <c r="A20" s="1">
        <v>45294</v>
      </c>
      <c r="B20" s="2" t="s">
        <v>9</v>
      </c>
      <c r="C20" s="3">
        <v>8.49</v>
      </c>
      <c r="D20" s="3">
        <v>222</v>
      </c>
      <c r="E20" s="3">
        <v>1884.78</v>
      </c>
      <c r="F20" t="str">
        <f t="shared" si="0"/>
        <v>cogs</v>
      </c>
      <c r="G20" s="7" t="str">
        <f t="shared" si="1"/>
        <v>product 3</v>
      </c>
      <c r="H20">
        <f t="shared" si="2"/>
        <v>2024</v>
      </c>
      <c r="I20">
        <f t="shared" si="3"/>
        <v>1</v>
      </c>
      <c r="J20">
        <f t="shared" si="4"/>
        <v>-1884.78</v>
      </c>
    </row>
    <row r="21" spans="1:10" ht="15" customHeight="1" x14ac:dyDescent="0.25">
      <c r="A21" s="1">
        <v>45294</v>
      </c>
      <c r="B21" s="2" t="s">
        <v>10</v>
      </c>
      <c r="C21" s="2" t="s">
        <v>6</v>
      </c>
      <c r="D21" s="2" t="s">
        <v>6</v>
      </c>
      <c r="E21" s="3">
        <v>99.91</v>
      </c>
      <c r="F21" t="str">
        <f t="shared" si="0"/>
        <v>marketing</v>
      </c>
      <c r="G21" s="7" t="s">
        <v>6</v>
      </c>
      <c r="H21">
        <f t="shared" si="2"/>
        <v>2024</v>
      </c>
      <c r="I21">
        <f t="shared" si="3"/>
        <v>1</v>
      </c>
      <c r="J21">
        <f t="shared" si="4"/>
        <v>-99.91</v>
      </c>
    </row>
    <row r="22" spans="1:10" ht="15" customHeight="1" x14ac:dyDescent="0.25">
      <c r="A22" s="1">
        <v>45294</v>
      </c>
      <c r="B22" s="2" t="s">
        <v>11</v>
      </c>
      <c r="C22" s="3">
        <v>9.99</v>
      </c>
      <c r="D22" s="3">
        <v>37</v>
      </c>
      <c r="E22" s="3">
        <v>369.63</v>
      </c>
      <c r="F22" t="str">
        <f t="shared" si="0"/>
        <v>net sales</v>
      </c>
      <c r="G22" s="7" t="str">
        <f t="shared" si="1"/>
        <v>product 1</v>
      </c>
      <c r="H22">
        <f t="shared" si="2"/>
        <v>2024</v>
      </c>
      <c r="I22">
        <f t="shared" si="3"/>
        <v>1</v>
      </c>
      <c r="J22">
        <f t="shared" si="4"/>
        <v>369.63</v>
      </c>
    </row>
    <row r="23" spans="1:10" ht="15" customHeight="1" x14ac:dyDescent="0.25">
      <c r="A23" s="1">
        <v>45294</v>
      </c>
      <c r="B23" s="2" t="s">
        <v>12</v>
      </c>
      <c r="C23" s="3">
        <v>24.99</v>
      </c>
      <c r="D23" s="3">
        <v>9</v>
      </c>
      <c r="E23" s="3">
        <v>224.91</v>
      </c>
      <c r="F23" t="str">
        <f t="shared" si="0"/>
        <v>net sales</v>
      </c>
      <c r="G23" s="7" t="str">
        <f t="shared" si="1"/>
        <v>product 2</v>
      </c>
      <c r="H23">
        <f t="shared" si="2"/>
        <v>2024</v>
      </c>
      <c r="I23">
        <f t="shared" si="3"/>
        <v>1</v>
      </c>
      <c r="J23">
        <f t="shared" si="4"/>
        <v>224.91</v>
      </c>
    </row>
    <row r="24" spans="1:10" ht="15" customHeight="1" x14ac:dyDescent="0.25">
      <c r="A24" s="1">
        <v>45294</v>
      </c>
      <c r="B24" s="2" t="s">
        <v>13</v>
      </c>
      <c r="C24" s="3">
        <v>12.49</v>
      </c>
      <c r="D24" s="3">
        <v>222</v>
      </c>
      <c r="E24" s="3">
        <v>2772.78</v>
      </c>
      <c r="F24" t="str">
        <f t="shared" si="0"/>
        <v>net sales</v>
      </c>
      <c r="G24" s="7" t="str">
        <f t="shared" si="1"/>
        <v>product 3</v>
      </c>
      <c r="H24">
        <f t="shared" si="2"/>
        <v>2024</v>
      </c>
      <c r="I24">
        <f t="shared" si="3"/>
        <v>1</v>
      </c>
      <c r="J24">
        <f t="shared" si="4"/>
        <v>2772.78</v>
      </c>
    </row>
    <row r="25" spans="1:10" ht="15" customHeight="1" x14ac:dyDescent="0.25">
      <c r="A25" s="1">
        <v>45295</v>
      </c>
      <c r="B25" s="2" t="s">
        <v>7</v>
      </c>
      <c r="C25" s="3">
        <v>5.99</v>
      </c>
      <c r="D25" s="3">
        <v>39</v>
      </c>
      <c r="E25" s="3">
        <v>233.61</v>
      </c>
      <c r="F25" t="str">
        <f t="shared" si="0"/>
        <v>cogs</v>
      </c>
      <c r="G25" s="7" t="str">
        <f t="shared" si="1"/>
        <v>product 1</v>
      </c>
      <c r="H25">
        <f t="shared" si="2"/>
        <v>2024</v>
      </c>
      <c r="I25">
        <f t="shared" si="3"/>
        <v>1</v>
      </c>
      <c r="J25">
        <f t="shared" si="4"/>
        <v>-233.61</v>
      </c>
    </row>
    <row r="26" spans="1:10" ht="15" customHeight="1" x14ac:dyDescent="0.25">
      <c r="A26" s="1">
        <v>45295</v>
      </c>
      <c r="B26" s="2" t="s">
        <v>8</v>
      </c>
      <c r="C26" s="3">
        <v>16.989999999999998</v>
      </c>
      <c r="D26" s="3">
        <v>2</v>
      </c>
      <c r="E26" s="3">
        <v>33.979999999999997</v>
      </c>
      <c r="F26" t="str">
        <f t="shared" si="0"/>
        <v>cogs</v>
      </c>
      <c r="G26" s="7" t="str">
        <f t="shared" si="1"/>
        <v>product 2</v>
      </c>
      <c r="H26">
        <f t="shared" si="2"/>
        <v>2024</v>
      </c>
      <c r="I26">
        <f t="shared" si="3"/>
        <v>1</v>
      </c>
      <c r="J26">
        <f t="shared" si="4"/>
        <v>-33.979999999999997</v>
      </c>
    </row>
    <row r="27" spans="1:10" ht="15" customHeight="1" x14ac:dyDescent="0.25">
      <c r="A27" s="1">
        <v>45295</v>
      </c>
      <c r="B27" s="2" t="s">
        <v>9</v>
      </c>
      <c r="C27" s="3">
        <v>8.49</v>
      </c>
      <c r="D27" s="3">
        <v>180</v>
      </c>
      <c r="E27" s="3">
        <v>1528.2</v>
      </c>
      <c r="F27" t="str">
        <f t="shared" si="0"/>
        <v>cogs</v>
      </c>
      <c r="G27" s="7" t="str">
        <f t="shared" si="1"/>
        <v>product 3</v>
      </c>
      <c r="H27">
        <f t="shared" si="2"/>
        <v>2024</v>
      </c>
      <c r="I27">
        <f t="shared" si="3"/>
        <v>1</v>
      </c>
      <c r="J27">
        <f t="shared" si="4"/>
        <v>-1528.2</v>
      </c>
    </row>
    <row r="28" spans="1:10" ht="15" customHeight="1" x14ac:dyDescent="0.25">
      <c r="A28" s="1">
        <v>45295</v>
      </c>
      <c r="B28" s="2" t="s">
        <v>10</v>
      </c>
      <c r="C28" s="2" t="s">
        <v>6</v>
      </c>
      <c r="D28" s="2" t="s">
        <v>6</v>
      </c>
      <c r="E28" s="3">
        <v>99.98</v>
      </c>
      <c r="F28" t="str">
        <f t="shared" si="0"/>
        <v>marketing</v>
      </c>
      <c r="G28" s="7" t="s">
        <v>6</v>
      </c>
      <c r="H28">
        <f t="shared" si="2"/>
        <v>2024</v>
      </c>
      <c r="I28">
        <f t="shared" si="3"/>
        <v>1</v>
      </c>
      <c r="J28">
        <f t="shared" si="4"/>
        <v>-99.98</v>
      </c>
    </row>
    <row r="29" spans="1:10" ht="15" customHeight="1" x14ac:dyDescent="0.25">
      <c r="A29" s="1">
        <v>45295</v>
      </c>
      <c r="B29" s="2" t="s">
        <v>11</v>
      </c>
      <c r="C29" s="3">
        <v>9.99</v>
      </c>
      <c r="D29" s="3">
        <v>39</v>
      </c>
      <c r="E29" s="3">
        <v>389.61</v>
      </c>
      <c r="F29" t="str">
        <f t="shared" si="0"/>
        <v>net sales</v>
      </c>
      <c r="G29" s="7" t="str">
        <f t="shared" si="1"/>
        <v>product 1</v>
      </c>
      <c r="H29">
        <f t="shared" si="2"/>
        <v>2024</v>
      </c>
      <c r="I29">
        <f t="shared" si="3"/>
        <v>1</v>
      </c>
      <c r="J29">
        <f t="shared" si="4"/>
        <v>389.61</v>
      </c>
    </row>
    <row r="30" spans="1:10" ht="15" customHeight="1" x14ac:dyDescent="0.25">
      <c r="A30" s="1">
        <v>45295</v>
      </c>
      <c r="B30" s="2" t="s">
        <v>12</v>
      </c>
      <c r="C30" s="3">
        <v>24.99</v>
      </c>
      <c r="D30" s="3">
        <v>2</v>
      </c>
      <c r="E30" s="3">
        <v>49.98</v>
      </c>
      <c r="F30" t="str">
        <f t="shared" si="0"/>
        <v>net sales</v>
      </c>
      <c r="G30" s="7" t="str">
        <f t="shared" si="1"/>
        <v>product 2</v>
      </c>
      <c r="H30">
        <f t="shared" si="2"/>
        <v>2024</v>
      </c>
      <c r="I30">
        <f t="shared" si="3"/>
        <v>1</v>
      </c>
      <c r="J30">
        <f t="shared" si="4"/>
        <v>49.98</v>
      </c>
    </row>
    <row r="31" spans="1:10" ht="15" customHeight="1" x14ac:dyDescent="0.25">
      <c r="A31" s="1">
        <v>45295</v>
      </c>
      <c r="B31" s="2" t="s">
        <v>13</v>
      </c>
      <c r="C31" s="3">
        <v>12.49</v>
      </c>
      <c r="D31" s="3">
        <v>180</v>
      </c>
      <c r="E31" s="3">
        <v>2248.1999999999998</v>
      </c>
      <c r="F31" t="str">
        <f t="shared" si="0"/>
        <v>net sales</v>
      </c>
      <c r="G31" s="7" t="str">
        <f t="shared" si="1"/>
        <v>product 3</v>
      </c>
      <c r="H31">
        <f t="shared" si="2"/>
        <v>2024</v>
      </c>
      <c r="I31">
        <f t="shared" si="3"/>
        <v>1</v>
      </c>
      <c r="J31">
        <f t="shared" si="4"/>
        <v>2248.1999999999998</v>
      </c>
    </row>
    <row r="32" spans="1:10" ht="15" customHeight="1" x14ac:dyDescent="0.25">
      <c r="A32" s="1">
        <v>45296</v>
      </c>
      <c r="B32" s="2" t="s">
        <v>7</v>
      </c>
      <c r="C32" s="3">
        <v>5.99</v>
      </c>
      <c r="D32" s="3">
        <v>73</v>
      </c>
      <c r="E32" s="3">
        <v>437.27000000000004</v>
      </c>
      <c r="F32" t="str">
        <f t="shared" si="0"/>
        <v>cogs</v>
      </c>
      <c r="G32" s="7" t="str">
        <f t="shared" si="1"/>
        <v>product 1</v>
      </c>
      <c r="H32">
        <f t="shared" si="2"/>
        <v>2024</v>
      </c>
      <c r="I32">
        <f t="shared" si="3"/>
        <v>1</v>
      </c>
      <c r="J32">
        <f t="shared" si="4"/>
        <v>-437.27000000000004</v>
      </c>
    </row>
    <row r="33" spans="1:10" ht="15" customHeight="1" x14ac:dyDescent="0.25">
      <c r="A33" s="1">
        <v>45296</v>
      </c>
      <c r="B33" s="2" t="s">
        <v>8</v>
      </c>
      <c r="C33" s="3">
        <v>16.989999999999998</v>
      </c>
      <c r="D33" s="3">
        <v>7</v>
      </c>
      <c r="E33" s="3">
        <v>118.92999999999999</v>
      </c>
      <c r="F33" t="str">
        <f t="shared" si="0"/>
        <v>cogs</v>
      </c>
      <c r="G33" s="7" t="str">
        <f t="shared" si="1"/>
        <v>product 2</v>
      </c>
      <c r="H33">
        <f t="shared" si="2"/>
        <v>2024</v>
      </c>
      <c r="I33">
        <f t="shared" si="3"/>
        <v>1</v>
      </c>
      <c r="J33">
        <f t="shared" si="4"/>
        <v>-118.92999999999999</v>
      </c>
    </row>
    <row r="34" spans="1:10" ht="12.5" x14ac:dyDescent="0.25">
      <c r="A34" s="1">
        <v>45296</v>
      </c>
      <c r="B34" s="2" t="s">
        <v>9</v>
      </c>
      <c r="C34" s="3">
        <v>8.49</v>
      </c>
      <c r="D34" s="3">
        <v>95</v>
      </c>
      <c r="E34" s="3">
        <v>806.55000000000007</v>
      </c>
      <c r="F34" t="str">
        <f t="shared" si="0"/>
        <v>cogs</v>
      </c>
      <c r="G34" s="7" t="str">
        <f t="shared" si="1"/>
        <v>product 3</v>
      </c>
      <c r="H34">
        <f t="shared" si="2"/>
        <v>2024</v>
      </c>
      <c r="I34">
        <f t="shared" si="3"/>
        <v>1</v>
      </c>
      <c r="J34">
        <f t="shared" si="4"/>
        <v>-806.55000000000007</v>
      </c>
    </row>
    <row r="35" spans="1:10" ht="12.5" x14ac:dyDescent="0.25">
      <c r="A35" s="1">
        <v>45296</v>
      </c>
      <c r="B35" s="2" t="s">
        <v>10</v>
      </c>
      <c r="C35" s="2" t="s">
        <v>6</v>
      </c>
      <c r="D35" s="2" t="s">
        <v>6</v>
      </c>
      <c r="E35" s="3">
        <v>100.03</v>
      </c>
      <c r="F35" t="str">
        <f t="shared" si="0"/>
        <v>marketing</v>
      </c>
      <c r="G35" s="7" t="s">
        <v>6</v>
      </c>
      <c r="H35">
        <f t="shared" si="2"/>
        <v>2024</v>
      </c>
      <c r="I35">
        <f t="shared" si="3"/>
        <v>1</v>
      </c>
      <c r="J35">
        <f t="shared" si="4"/>
        <v>-100.03</v>
      </c>
    </row>
    <row r="36" spans="1:10" ht="12.5" x14ac:dyDescent="0.25">
      <c r="A36" s="1">
        <v>45296</v>
      </c>
      <c r="B36" s="2" t="s">
        <v>11</v>
      </c>
      <c r="C36" s="3">
        <v>9.99</v>
      </c>
      <c r="D36" s="3">
        <v>73</v>
      </c>
      <c r="E36" s="3">
        <v>729.27</v>
      </c>
      <c r="F36" t="str">
        <f t="shared" si="0"/>
        <v>net sales</v>
      </c>
      <c r="G36" s="7" t="str">
        <f t="shared" si="1"/>
        <v>product 1</v>
      </c>
      <c r="H36">
        <f t="shared" si="2"/>
        <v>2024</v>
      </c>
      <c r="I36">
        <f t="shared" si="3"/>
        <v>1</v>
      </c>
      <c r="J36">
        <f t="shared" si="4"/>
        <v>729.27</v>
      </c>
    </row>
    <row r="37" spans="1:10" ht="12.5" x14ac:dyDescent="0.25">
      <c r="A37" s="1">
        <v>45296</v>
      </c>
      <c r="B37" s="2" t="s">
        <v>12</v>
      </c>
      <c r="C37" s="3">
        <v>24.99</v>
      </c>
      <c r="D37" s="3">
        <v>7</v>
      </c>
      <c r="E37" s="3">
        <v>174.92999999999998</v>
      </c>
      <c r="F37" t="str">
        <f t="shared" si="0"/>
        <v>net sales</v>
      </c>
      <c r="G37" s="7" t="str">
        <f t="shared" si="1"/>
        <v>product 2</v>
      </c>
      <c r="H37">
        <f t="shared" si="2"/>
        <v>2024</v>
      </c>
      <c r="I37">
        <f t="shared" si="3"/>
        <v>1</v>
      </c>
      <c r="J37">
        <f t="shared" si="4"/>
        <v>174.92999999999998</v>
      </c>
    </row>
    <row r="38" spans="1:10" ht="12.5" x14ac:dyDescent="0.25">
      <c r="A38" s="1">
        <v>45296</v>
      </c>
      <c r="B38" s="2" t="s">
        <v>13</v>
      </c>
      <c r="C38" s="3">
        <v>12.49</v>
      </c>
      <c r="D38" s="3">
        <v>95</v>
      </c>
      <c r="E38" s="3">
        <v>1186.55</v>
      </c>
      <c r="F38" t="str">
        <f t="shared" si="0"/>
        <v>net sales</v>
      </c>
      <c r="G38" s="7" t="str">
        <f t="shared" si="1"/>
        <v>product 3</v>
      </c>
      <c r="H38">
        <f t="shared" si="2"/>
        <v>2024</v>
      </c>
      <c r="I38">
        <f t="shared" si="3"/>
        <v>1</v>
      </c>
      <c r="J38">
        <f t="shared" si="4"/>
        <v>1186.55</v>
      </c>
    </row>
    <row r="39" spans="1:10" ht="12.5" x14ac:dyDescent="0.25">
      <c r="A39" s="1">
        <v>45296</v>
      </c>
      <c r="B39" s="2" t="s">
        <v>15</v>
      </c>
      <c r="C39" s="2" t="s">
        <v>6</v>
      </c>
      <c r="D39" s="2" t="s">
        <v>6</v>
      </c>
      <c r="E39" s="3">
        <v>1200</v>
      </c>
      <c r="F39" t="str">
        <f t="shared" si="0"/>
        <v>payroll</v>
      </c>
      <c r="G39" s="7" t="s">
        <v>6</v>
      </c>
      <c r="H39">
        <f t="shared" si="2"/>
        <v>2024</v>
      </c>
      <c r="I39">
        <f t="shared" si="3"/>
        <v>1</v>
      </c>
      <c r="J39">
        <f t="shared" si="4"/>
        <v>-1200</v>
      </c>
    </row>
    <row r="40" spans="1:10" ht="12.5" x14ac:dyDescent="0.25">
      <c r="A40" s="1">
        <v>45297</v>
      </c>
      <c r="B40" s="2" t="s">
        <v>7</v>
      </c>
      <c r="C40" s="3">
        <v>5.99</v>
      </c>
      <c r="D40" s="3">
        <v>38</v>
      </c>
      <c r="E40" s="3">
        <v>227.62</v>
      </c>
      <c r="F40" t="str">
        <f t="shared" si="0"/>
        <v>cogs</v>
      </c>
      <c r="G40" s="7" t="str">
        <f t="shared" si="1"/>
        <v>product 1</v>
      </c>
      <c r="H40">
        <f t="shared" si="2"/>
        <v>2024</v>
      </c>
      <c r="I40">
        <f t="shared" si="3"/>
        <v>1</v>
      </c>
      <c r="J40">
        <f t="shared" si="4"/>
        <v>-227.62</v>
      </c>
    </row>
    <row r="41" spans="1:10" ht="12.5" x14ac:dyDescent="0.25">
      <c r="A41" s="1">
        <v>45297</v>
      </c>
      <c r="B41" s="2" t="s">
        <v>8</v>
      </c>
      <c r="C41" s="3">
        <v>16.989999999999998</v>
      </c>
      <c r="D41" s="3">
        <v>8</v>
      </c>
      <c r="E41" s="3">
        <v>135.91999999999999</v>
      </c>
      <c r="F41" t="str">
        <f t="shared" si="0"/>
        <v>cogs</v>
      </c>
      <c r="G41" s="7" t="str">
        <f t="shared" si="1"/>
        <v>product 2</v>
      </c>
      <c r="H41">
        <f t="shared" si="2"/>
        <v>2024</v>
      </c>
      <c r="I41">
        <f t="shared" si="3"/>
        <v>1</v>
      </c>
      <c r="J41">
        <f t="shared" si="4"/>
        <v>-135.91999999999999</v>
      </c>
    </row>
    <row r="42" spans="1:10" ht="12.5" x14ac:dyDescent="0.25">
      <c r="A42" s="1">
        <v>45297</v>
      </c>
      <c r="B42" s="2" t="s">
        <v>9</v>
      </c>
      <c r="C42" s="3">
        <v>8.49</v>
      </c>
      <c r="D42" s="3">
        <v>103</v>
      </c>
      <c r="E42" s="3">
        <v>874.47</v>
      </c>
      <c r="F42" t="str">
        <f t="shared" si="0"/>
        <v>cogs</v>
      </c>
      <c r="G42" s="7" t="str">
        <f t="shared" si="1"/>
        <v>product 3</v>
      </c>
      <c r="H42">
        <f t="shared" si="2"/>
        <v>2024</v>
      </c>
      <c r="I42">
        <f t="shared" si="3"/>
        <v>1</v>
      </c>
      <c r="J42">
        <f t="shared" si="4"/>
        <v>-874.47</v>
      </c>
    </row>
    <row r="43" spans="1:10" ht="12.5" x14ac:dyDescent="0.25">
      <c r="A43" s="1">
        <v>45297</v>
      </c>
      <c r="B43" s="2" t="s">
        <v>10</v>
      </c>
      <c r="C43" s="2" t="s">
        <v>6</v>
      </c>
      <c r="D43" s="2" t="s">
        <v>6</v>
      </c>
      <c r="E43" s="3">
        <v>100.08</v>
      </c>
      <c r="F43" t="str">
        <f t="shared" si="0"/>
        <v>marketing</v>
      </c>
      <c r="G43" s="7" t="s">
        <v>6</v>
      </c>
      <c r="H43">
        <f t="shared" si="2"/>
        <v>2024</v>
      </c>
      <c r="I43">
        <f t="shared" si="3"/>
        <v>1</v>
      </c>
      <c r="J43">
        <f t="shared" si="4"/>
        <v>-100.08</v>
      </c>
    </row>
    <row r="44" spans="1:10" ht="12.5" x14ac:dyDescent="0.25">
      <c r="A44" s="1">
        <v>45297</v>
      </c>
      <c r="B44" s="2" t="s">
        <v>11</v>
      </c>
      <c r="C44" s="3">
        <v>9.99</v>
      </c>
      <c r="D44" s="3">
        <v>38</v>
      </c>
      <c r="E44" s="3">
        <v>379.62</v>
      </c>
      <c r="F44" t="str">
        <f t="shared" si="0"/>
        <v>net sales</v>
      </c>
      <c r="G44" s="7" t="str">
        <f t="shared" si="1"/>
        <v>product 1</v>
      </c>
      <c r="H44">
        <f t="shared" si="2"/>
        <v>2024</v>
      </c>
      <c r="I44">
        <f t="shared" si="3"/>
        <v>1</v>
      </c>
      <c r="J44">
        <f t="shared" si="4"/>
        <v>379.62</v>
      </c>
    </row>
    <row r="45" spans="1:10" ht="12.5" x14ac:dyDescent="0.25">
      <c r="A45" s="1">
        <v>45297</v>
      </c>
      <c r="B45" s="2" t="s">
        <v>12</v>
      </c>
      <c r="C45" s="3">
        <v>24.99</v>
      </c>
      <c r="D45" s="3">
        <v>8</v>
      </c>
      <c r="E45" s="3">
        <v>199.92</v>
      </c>
      <c r="F45" t="str">
        <f t="shared" si="0"/>
        <v>net sales</v>
      </c>
      <c r="G45" s="7" t="str">
        <f t="shared" si="1"/>
        <v>product 2</v>
      </c>
      <c r="H45">
        <f t="shared" si="2"/>
        <v>2024</v>
      </c>
      <c r="I45">
        <f t="shared" si="3"/>
        <v>1</v>
      </c>
      <c r="J45">
        <f t="shared" si="4"/>
        <v>199.92</v>
      </c>
    </row>
    <row r="46" spans="1:10" ht="12.5" x14ac:dyDescent="0.25">
      <c r="A46" s="1">
        <v>45297</v>
      </c>
      <c r="B46" s="2" t="s">
        <v>13</v>
      </c>
      <c r="C46" s="3">
        <v>12.49</v>
      </c>
      <c r="D46" s="3">
        <v>103</v>
      </c>
      <c r="E46" s="3">
        <v>1286.47</v>
      </c>
      <c r="F46" t="str">
        <f t="shared" si="0"/>
        <v>net sales</v>
      </c>
      <c r="G46" s="7" t="str">
        <f t="shared" si="1"/>
        <v>product 3</v>
      </c>
      <c r="H46">
        <f t="shared" si="2"/>
        <v>2024</v>
      </c>
      <c r="I46">
        <f t="shared" si="3"/>
        <v>1</v>
      </c>
      <c r="J46">
        <f t="shared" si="4"/>
        <v>1286.47</v>
      </c>
    </row>
    <row r="47" spans="1:10" ht="12.5" x14ac:dyDescent="0.25">
      <c r="A47" s="1">
        <v>45298</v>
      </c>
      <c r="B47" s="2" t="s">
        <v>7</v>
      </c>
      <c r="C47" s="3">
        <v>5.99</v>
      </c>
      <c r="D47" s="3">
        <v>85</v>
      </c>
      <c r="E47" s="3">
        <v>509.15000000000003</v>
      </c>
      <c r="F47" t="str">
        <f t="shared" si="0"/>
        <v>cogs</v>
      </c>
      <c r="G47" s="7" t="str">
        <f t="shared" si="1"/>
        <v>product 1</v>
      </c>
      <c r="H47">
        <f t="shared" si="2"/>
        <v>2024</v>
      </c>
      <c r="I47">
        <f t="shared" si="3"/>
        <v>1</v>
      </c>
      <c r="J47">
        <f t="shared" si="4"/>
        <v>-509.15000000000003</v>
      </c>
    </row>
    <row r="48" spans="1:10" ht="12.5" x14ac:dyDescent="0.25">
      <c r="A48" s="1">
        <v>45298</v>
      </c>
      <c r="B48" s="2" t="s">
        <v>8</v>
      </c>
      <c r="C48" s="3">
        <v>16.989999999999998</v>
      </c>
      <c r="D48" s="3">
        <v>4</v>
      </c>
      <c r="E48" s="3">
        <v>67.959999999999994</v>
      </c>
      <c r="F48" t="str">
        <f t="shared" si="0"/>
        <v>cogs</v>
      </c>
      <c r="G48" s="7" t="str">
        <f t="shared" si="1"/>
        <v>product 2</v>
      </c>
      <c r="H48">
        <f t="shared" si="2"/>
        <v>2024</v>
      </c>
      <c r="I48">
        <f t="shared" si="3"/>
        <v>1</v>
      </c>
      <c r="J48">
        <f t="shared" si="4"/>
        <v>-67.959999999999994</v>
      </c>
    </row>
    <row r="49" spans="1:10" ht="12.5" x14ac:dyDescent="0.25">
      <c r="A49" s="1">
        <v>45298</v>
      </c>
      <c r="B49" s="2" t="s">
        <v>9</v>
      </c>
      <c r="C49" s="3">
        <v>8.49</v>
      </c>
      <c r="D49" s="3">
        <v>73</v>
      </c>
      <c r="E49" s="3">
        <v>619.77</v>
      </c>
      <c r="F49" t="str">
        <f t="shared" si="0"/>
        <v>cogs</v>
      </c>
      <c r="G49" s="7" t="str">
        <f t="shared" si="1"/>
        <v>product 3</v>
      </c>
      <c r="H49">
        <f t="shared" si="2"/>
        <v>2024</v>
      </c>
      <c r="I49">
        <f t="shared" si="3"/>
        <v>1</v>
      </c>
      <c r="J49">
        <f t="shared" si="4"/>
        <v>-619.77</v>
      </c>
    </row>
    <row r="50" spans="1:10" ht="12.5" x14ac:dyDescent="0.25">
      <c r="A50" s="1">
        <v>45298</v>
      </c>
      <c r="B50" s="2" t="s">
        <v>10</v>
      </c>
      <c r="C50" s="2" t="s">
        <v>6</v>
      </c>
      <c r="D50" s="2" t="s">
        <v>6</v>
      </c>
      <c r="E50" s="3">
        <v>100.01</v>
      </c>
      <c r="F50" t="str">
        <f t="shared" si="0"/>
        <v>marketing</v>
      </c>
      <c r="G50" s="7" t="s">
        <v>6</v>
      </c>
      <c r="H50">
        <f t="shared" si="2"/>
        <v>2024</v>
      </c>
      <c r="I50">
        <f t="shared" si="3"/>
        <v>1</v>
      </c>
      <c r="J50">
        <f t="shared" si="4"/>
        <v>-100.01</v>
      </c>
    </row>
    <row r="51" spans="1:10" ht="12.5" x14ac:dyDescent="0.25">
      <c r="A51" s="1">
        <v>45298</v>
      </c>
      <c r="B51" s="2" t="s">
        <v>11</v>
      </c>
      <c r="C51" s="3">
        <v>9.99</v>
      </c>
      <c r="D51" s="3">
        <v>85</v>
      </c>
      <c r="E51" s="3">
        <v>849.15</v>
      </c>
      <c r="F51" t="str">
        <f t="shared" si="0"/>
        <v>net sales</v>
      </c>
      <c r="G51" s="7" t="str">
        <f t="shared" si="1"/>
        <v>product 1</v>
      </c>
      <c r="H51">
        <f t="shared" si="2"/>
        <v>2024</v>
      </c>
      <c r="I51">
        <f t="shared" si="3"/>
        <v>1</v>
      </c>
      <c r="J51">
        <f t="shared" si="4"/>
        <v>849.15</v>
      </c>
    </row>
    <row r="52" spans="1:10" ht="12.5" x14ac:dyDescent="0.25">
      <c r="A52" s="1">
        <v>45298</v>
      </c>
      <c r="B52" s="2" t="s">
        <v>12</v>
      </c>
      <c r="C52" s="3">
        <v>24.99</v>
      </c>
      <c r="D52" s="3">
        <v>4</v>
      </c>
      <c r="E52" s="3">
        <v>99.96</v>
      </c>
      <c r="F52" t="str">
        <f t="shared" si="0"/>
        <v>net sales</v>
      </c>
      <c r="G52" s="7" t="str">
        <f t="shared" si="1"/>
        <v>product 2</v>
      </c>
      <c r="H52">
        <f t="shared" si="2"/>
        <v>2024</v>
      </c>
      <c r="I52">
        <f t="shared" si="3"/>
        <v>1</v>
      </c>
      <c r="J52">
        <f t="shared" si="4"/>
        <v>99.96</v>
      </c>
    </row>
    <row r="53" spans="1:10" ht="12.5" x14ac:dyDescent="0.25">
      <c r="A53" s="1">
        <v>45298</v>
      </c>
      <c r="B53" s="2" t="s">
        <v>13</v>
      </c>
      <c r="C53" s="3">
        <v>12.49</v>
      </c>
      <c r="D53" s="3">
        <v>73</v>
      </c>
      <c r="E53" s="3">
        <v>911.77</v>
      </c>
      <c r="F53" t="str">
        <f t="shared" si="0"/>
        <v>net sales</v>
      </c>
      <c r="G53" s="7" t="str">
        <f t="shared" si="1"/>
        <v>product 3</v>
      </c>
      <c r="H53">
        <f t="shared" si="2"/>
        <v>2024</v>
      </c>
      <c r="I53">
        <f t="shared" si="3"/>
        <v>1</v>
      </c>
      <c r="J53">
        <f t="shared" si="4"/>
        <v>911.77</v>
      </c>
    </row>
    <row r="54" spans="1:10" ht="12.5" x14ac:dyDescent="0.25">
      <c r="A54" s="1">
        <v>45299</v>
      </c>
      <c r="B54" s="2" t="s">
        <v>7</v>
      </c>
      <c r="C54" s="3">
        <v>5.99</v>
      </c>
      <c r="D54" s="3">
        <v>9</v>
      </c>
      <c r="E54" s="3">
        <v>53.910000000000004</v>
      </c>
      <c r="F54" t="str">
        <f t="shared" si="0"/>
        <v>cogs</v>
      </c>
      <c r="G54" s="7" t="str">
        <f t="shared" si="1"/>
        <v>product 1</v>
      </c>
      <c r="H54">
        <f t="shared" si="2"/>
        <v>2024</v>
      </c>
      <c r="I54">
        <f t="shared" si="3"/>
        <v>1</v>
      </c>
      <c r="J54">
        <f t="shared" si="4"/>
        <v>-53.910000000000004</v>
      </c>
    </row>
    <row r="55" spans="1:10" ht="12.5" x14ac:dyDescent="0.25">
      <c r="A55" s="1">
        <v>45299</v>
      </c>
      <c r="B55" s="2" t="s">
        <v>8</v>
      </c>
      <c r="C55" s="3">
        <v>16.989999999999998</v>
      </c>
      <c r="D55" s="3">
        <v>7</v>
      </c>
      <c r="E55" s="3">
        <v>118.92999999999999</v>
      </c>
      <c r="F55" t="str">
        <f t="shared" si="0"/>
        <v>cogs</v>
      </c>
      <c r="G55" s="7" t="str">
        <f t="shared" si="1"/>
        <v>product 2</v>
      </c>
      <c r="H55">
        <f t="shared" si="2"/>
        <v>2024</v>
      </c>
      <c r="I55">
        <f t="shared" si="3"/>
        <v>1</v>
      </c>
      <c r="J55">
        <f t="shared" si="4"/>
        <v>-118.92999999999999</v>
      </c>
    </row>
    <row r="56" spans="1:10" ht="12.5" x14ac:dyDescent="0.25">
      <c r="A56" s="1">
        <v>45299</v>
      </c>
      <c r="B56" s="2" t="s">
        <v>9</v>
      </c>
      <c r="C56" s="3">
        <v>8.49</v>
      </c>
      <c r="D56" s="3">
        <v>249</v>
      </c>
      <c r="E56" s="3">
        <v>2114.0100000000002</v>
      </c>
      <c r="F56" t="str">
        <f t="shared" si="0"/>
        <v>cogs</v>
      </c>
      <c r="G56" s="7" t="str">
        <f t="shared" si="1"/>
        <v>product 3</v>
      </c>
      <c r="H56">
        <f t="shared" si="2"/>
        <v>2024</v>
      </c>
      <c r="I56">
        <f t="shared" si="3"/>
        <v>1</v>
      </c>
      <c r="J56">
        <f t="shared" si="4"/>
        <v>-2114.0100000000002</v>
      </c>
    </row>
    <row r="57" spans="1:10" ht="12.5" x14ac:dyDescent="0.25">
      <c r="A57" s="1">
        <v>45299</v>
      </c>
      <c r="B57" s="2" t="s">
        <v>10</v>
      </c>
      <c r="C57" s="2" t="s">
        <v>6</v>
      </c>
      <c r="D57" s="2" t="s">
        <v>6</v>
      </c>
      <c r="E57" s="3">
        <v>99.92</v>
      </c>
      <c r="F57" t="str">
        <f t="shared" si="0"/>
        <v>marketing</v>
      </c>
      <c r="G57" s="7" t="s">
        <v>6</v>
      </c>
      <c r="H57">
        <f t="shared" si="2"/>
        <v>2024</v>
      </c>
      <c r="I57">
        <f t="shared" si="3"/>
        <v>1</v>
      </c>
      <c r="J57">
        <f t="shared" si="4"/>
        <v>-99.92</v>
      </c>
    </row>
    <row r="58" spans="1:10" ht="12.5" x14ac:dyDescent="0.25">
      <c r="A58" s="1">
        <v>45299</v>
      </c>
      <c r="B58" s="2" t="s">
        <v>11</v>
      </c>
      <c r="C58" s="3">
        <v>9.99</v>
      </c>
      <c r="D58" s="3">
        <v>9</v>
      </c>
      <c r="E58" s="3">
        <v>89.91</v>
      </c>
      <c r="F58" t="str">
        <f t="shared" si="0"/>
        <v>net sales</v>
      </c>
      <c r="G58" s="7" t="str">
        <f t="shared" si="1"/>
        <v>product 1</v>
      </c>
      <c r="H58">
        <f t="shared" si="2"/>
        <v>2024</v>
      </c>
      <c r="I58">
        <f t="shared" si="3"/>
        <v>1</v>
      </c>
      <c r="J58">
        <f t="shared" si="4"/>
        <v>89.91</v>
      </c>
    </row>
    <row r="59" spans="1:10" ht="12.5" x14ac:dyDescent="0.25">
      <c r="A59" s="1">
        <v>45299</v>
      </c>
      <c r="B59" s="2" t="s">
        <v>12</v>
      </c>
      <c r="C59" s="3">
        <v>24.99</v>
      </c>
      <c r="D59" s="3">
        <v>7</v>
      </c>
      <c r="E59" s="3">
        <v>174.92999999999998</v>
      </c>
      <c r="F59" t="str">
        <f t="shared" si="0"/>
        <v>net sales</v>
      </c>
      <c r="G59" s="7" t="str">
        <f t="shared" si="1"/>
        <v>product 2</v>
      </c>
      <c r="H59">
        <f t="shared" si="2"/>
        <v>2024</v>
      </c>
      <c r="I59">
        <f t="shared" si="3"/>
        <v>1</v>
      </c>
      <c r="J59">
        <f t="shared" si="4"/>
        <v>174.92999999999998</v>
      </c>
    </row>
    <row r="60" spans="1:10" ht="12.5" x14ac:dyDescent="0.25">
      <c r="A60" s="1">
        <v>45299</v>
      </c>
      <c r="B60" s="2" t="s">
        <v>13</v>
      </c>
      <c r="C60" s="3">
        <v>12.49</v>
      </c>
      <c r="D60" s="3">
        <v>249</v>
      </c>
      <c r="E60" s="3">
        <v>3110.01</v>
      </c>
      <c r="F60" t="str">
        <f t="shared" si="0"/>
        <v>net sales</v>
      </c>
      <c r="G60" s="7" t="str">
        <f t="shared" si="1"/>
        <v>product 3</v>
      </c>
      <c r="H60">
        <f t="shared" si="2"/>
        <v>2024</v>
      </c>
      <c r="I60">
        <f t="shared" si="3"/>
        <v>1</v>
      </c>
      <c r="J60">
        <f t="shared" si="4"/>
        <v>3110.01</v>
      </c>
    </row>
    <row r="61" spans="1:10" ht="12.5" x14ac:dyDescent="0.25">
      <c r="A61" s="1">
        <v>45300</v>
      </c>
      <c r="B61" s="2" t="s">
        <v>7</v>
      </c>
      <c r="C61" s="3">
        <v>5.99</v>
      </c>
      <c r="D61" s="3">
        <v>12</v>
      </c>
      <c r="E61" s="3">
        <v>71.88</v>
      </c>
      <c r="F61" t="str">
        <f t="shared" si="0"/>
        <v>cogs</v>
      </c>
      <c r="G61" s="7" t="str">
        <f t="shared" si="1"/>
        <v>product 1</v>
      </c>
      <c r="H61">
        <f t="shared" si="2"/>
        <v>2024</v>
      </c>
      <c r="I61">
        <f t="shared" si="3"/>
        <v>1</v>
      </c>
      <c r="J61">
        <f t="shared" si="4"/>
        <v>-71.88</v>
      </c>
    </row>
    <row r="62" spans="1:10" ht="12.5" x14ac:dyDescent="0.25">
      <c r="A62" s="1">
        <v>45300</v>
      </c>
      <c r="B62" s="2" t="s">
        <v>8</v>
      </c>
      <c r="C62" s="3">
        <v>16.989999999999998</v>
      </c>
      <c r="D62" s="3">
        <v>10</v>
      </c>
      <c r="E62" s="3">
        <v>169.89999999999998</v>
      </c>
      <c r="F62" t="str">
        <f t="shared" si="0"/>
        <v>cogs</v>
      </c>
      <c r="G62" s="7" t="str">
        <f t="shared" si="1"/>
        <v>product 2</v>
      </c>
      <c r="H62">
        <f t="shared" si="2"/>
        <v>2024</v>
      </c>
      <c r="I62">
        <f t="shared" si="3"/>
        <v>1</v>
      </c>
      <c r="J62">
        <f t="shared" si="4"/>
        <v>-169.89999999999998</v>
      </c>
    </row>
    <row r="63" spans="1:10" ht="12.5" x14ac:dyDescent="0.25">
      <c r="A63" s="1">
        <v>45300</v>
      </c>
      <c r="B63" s="2" t="s">
        <v>9</v>
      </c>
      <c r="C63" s="3">
        <v>8.49</v>
      </c>
      <c r="D63" s="3">
        <v>0</v>
      </c>
      <c r="E63" s="2">
        <f>C63*D63</f>
        <v>0</v>
      </c>
      <c r="F63" t="str">
        <f t="shared" si="0"/>
        <v>cogs</v>
      </c>
      <c r="G63" s="7" t="str">
        <f t="shared" si="1"/>
        <v>product 3</v>
      </c>
      <c r="H63">
        <f t="shared" si="2"/>
        <v>2024</v>
      </c>
      <c r="I63">
        <f t="shared" si="3"/>
        <v>1</v>
      </c>
      <c r="J63">
        <f t="shared" si="4"/>
        <v>0</v>
      </c>
    </row>
    <row r="64" spans="1:10" ht="12.5" x14ac:dyDescent="0.25">
      <c r="A64" s="1">
        <v>45300</v>
      </c>
      <c r="B64" s="2" t="s">
        <v>10</v>
      </c>
      <c r="C64" s="2" t="s">
        <v>6</v>
      </c>
      <c r="D64" s="2" t="s">
        <v>6</v>
      </c>
      <c r="E64" s="3">
        <v>99.92</v>
      </c>
      <c r="F64" t="str">
        <f t="shared" si="0"/>
        <v>marketing</v>
      </c>
      <c r="G64" s="7" t="s">
        <v>6</v>
      </c>
      <c r="H64">
        <f t="shared" si="2"/>
        <v>2024</v>
      </c>
      <c r="I64">
        <f t="shared" si="3"/>
        <v>1</v>
      </c>
      <c r="J64">
        <f t="shared" si="4"/>
        <v>-99.92</v>
      </c>
    </row>
    <row r="65" spans="1:10" ht="12.5" x14ac:dyDescent="0.25">
      <c r="A65" s="1">
        <v>45300</v>
      </c>
      <c r="B65" s="2" t="s">
        <v>11</v>
      </c>
      <c r="C65" s="3">
        <v>9.99</v>
      </c>
      <c r="D65" s="3">
        <v>12</v>
      </c>
      <c r="E65" s="3">
        <v>119.88</v>
      </c>
      <c r="F65" t="str">
        <f t="shared" si="0"/>
        <v>net sales</v>
      </c>
      <c r="G65" s="7" t="str">
        <f t="shared" si="1"/>
        <v>product 1</v>
      </c>
      <c r="H65">
        <f t="shared" si="2"/>
        <v>2024</v>
      </c>
      <c r="I65">
        <f t="shared" si="3"/>
        <v>1</v>
      </c>
      <c r="J65">
        <f t="shared" si="4"/>
        <v>119.88</v>
      </c>
    </row>
    <row r="66" spans="1:10" ht="12.5" x14ac:dyDescent="0.25">
      <c r="A66" s="1">
        <v>45300</v>
      </c>
      <c r="B66" s="2" t="s">
        <v>12</v>
      </c>
      <c r="C66" s="3">
        <v>24.99</v>
      </c>
      <c r="D66" s="3">
        <v>10</v>
      </c>
      <c r="E66" s="3">
        <v>249.89999999999998</v>
      </c>
      <c r="F66" t="str">
        <f t="shared" si="0"/>
        <v>net sales</v>
      </c>
      <c r="G66" s="7" t="str">
        <f t="shared" si="1"/>
        <v>product 2</v>
      </c>
      <c r="H66">
        <f t="shared" si="2"/>
        <v>2024</v>
      </c>
      <c r="I66">
        <f t="shared" si="3"/>
        <v>1</v>
      </c>
      <c r="J66">
        <f t="shared" si="4"/>
        <v>249.89999999999998</v>
      </c>
    </row>
    <row r="67" spans="1:10" ht="12.5" x14ac:dyDescent="0.25">
      <c r="A67" s="1">
        <v>45300</v>
      </c>
      <c r="B67" s="2" t="s">
        <v>13</v>
      </c>
      <c r="C67" s="3">
        <v>12.49</v>
      </c>
      <c r="D67" s="3">
        <v>0</v>
      </c>
      <c r="E67" s="2">
        <f>C67*D67</f>
        <v>0</v>
      </c>
      <c r="F67" t="str">
        <f t="shared" ref="F67:F130" si="5">IFERROR(LEFT(B67,FIND(":",B67)-1),B67)</f>
        <v>net sales</v>
      </c>
      <c r="G67" s="7" t="str">
        <f t="shared" ref="G67:G130" si="6">IFERROR(RIGHT(B67,LEN(B67)-FIND(":",B67)),"")</f>
        <v>product 3</v>
      </c>
      <c r="H67">
        <f t="shared" ref="H67:H130" si="7">YEAR(A67)</f>
        <v>2024</v>
      </c>
      <c r="I67">
        <f t="shared" ref="I67:I130" si="8">MONTH(A67)</f>
        <v>1</v>
      </c>
      <c r="J67">
        <f t="shared" ref="J67:J130" si="9">IF(F67="net sales",E67,
IF(F67="cogs",-E67,
IF(OR(F67="marketing",F67="overhead",F67="payroll",F67="interest","amortization"),-E67,0)))</f>
        <v>0</v>
      </c>
    </row>
    <row r="68" spans="1:10" ht="12.5" x14ac:dyDescent="0.25">
      <c r="A68" s="1">
        <v>45301</v>
      </c>
      <c r="B68" s="2" t="s">
        <v>7</v>
      </c>
      <c r="C68" s="3">
        <v>5.99</v>
      </c>
      <c r="D68" s="3">
        <v>99</v>
      </c>
      <c r="E68" s="3">
        <v>593.01</v>
      </c>
      <c r="F68" t="str">
        <f t="shared" si="5"/>
        <v>cogs</v>
      </c>
      <c r="G68" s="7" t="str">
        <f t="shared" si="6"/>
        <v>product 1</v>
      </c>
      <c r="H68">
        <f t="shared" si="7"/>
        <v>2024</v>
      </c>
      <c r="I68">
        <f t="shared" si="8"/>
        <v>1</v>
      </c>
      <c r="J68">
        <f t="shared" si="9"/>
        <v>-593.01</v>
      </c>
    </row>
    <row r="69" spans="1:10" ht="12.5" x14ac:dyDescent="0.25">
      <c r="A69" s="1">
        <v>45301</v>
      </c>
      <c r="B69" s="2" t="s">
        <v>8</v>
      </c>
      <c r="C69" s="3">
        <v>16.989999999999998</v>
      </c>
      <c r="D69" s="3">
        <v>1</v>
      </c>
      <c r="E69" s="3">
        <v>16.989999999999998</v>
      </c>
      <c r="F69" t="str">
        <f t="shared" si="5"/>
        <v>cogs</v>
      </c>
      <c r="G69" s="7" t="str">
        <f t="shared" si="6"/>
        <v>product 2</v>
      </c>
      <c r="H69">
        <f t="shared" si="7"/>
        <v>2024</v>
      </c>
      <c r="I69">
        <f t="shared" si="8"/>
        <v>1</v>
      </c>
      <c r="J69">
        <f t="shared" si="9"/>
        <v>-16.989999999999998</v>
      </c>
    </row>
    <row r="70" spans="1:10" ht="12.5" x14ac:dyDescent="0.25">
      <c r="A70" s="1">
        <v>45301</v>
      </c>
      <c r="B70" s="2" t="s">
        <v>9</v>
      </c>
      <c r="C70" s="3">
        <v>8.49</v>
      </c>
      <c r="D70" s="3">
        <v>21</v>
      </c>
      <c r="E70" s="3">
        <v>178.29</v>
      </c>
      <c r="F70" t="str">
        <f t="shared" si="5"/>
        <v>cogs</v>
      </c>
      <c r="G70" s="7" t="str">
        <f t="shared" si="6"/>
        <v>product 3</v>
      </c>
      <c r="H70">
        <f t="shared" si="7"/>
        <v>2024</v>
      </c>
      <c r="I70">
        <f t="shared" si="8"/>
        <v>1</v>
      </c>
      <c r="J70">
        <f t="shared" si="9"/>
        <v>-178.29</v>
      </c>
    </row>
    <row r="71" spans="1:10" ht="12.5" x14ac:dyDescent="0.25">
      <c r="A71" s="1">
        <v>45301</v>
      </c>
      <c r="B71" s="2" t="s">
        <v>10</v>
      </c>
      <c r="C71" s="2" t="s">
        <v>6</v>
      </c>
      <c r="D71" s="2" t="s">
        <v>6</v>
      </c>
      <c r="E71" s="3">
        <v>100.05</v>
      </c>
      <c r="F71" t="str">
        <f t="shared" si="5"/>
        <v>marketing</v>
      </c>
      <c r="G71" s="7" t="s">
        <v>6</v>
      </c>
      <c r="H71">
        <f t="shared" si="7"/>
        <v>2024</v>
      </c>
      <c r="I71">
        <f t="shared" si="8"/>
        <v>1</v>
      </c>
      <c r="J71">
        <f t="shared" si="9"/>
        <v>-100.05</v>
      </c>
    </row>
    <row r="72" spans="1:10" ht="12.5" x14ac:dyDescent="0.25">
      <c r="A72" s="1">
        <v>45301</v>
      </c>
      <c r="B72" s="2" t="s">
        <v>11</v>
      </c>
      <c r="C72" s="3">
        <v>9.99</v>
      </c>
      <c r="D72" s="3">
        <v>99</v>
      </c>
      <c r="E72" s="3">
        <v>989.01</v>
      </c>
      <c r="F72" t="str">
        <f t="shared" si="5"/>
        <v>net sales</v>
      </c>
      <c r="G72" s="7" t="str">
        <f t="shared" si="6"/>
        <v>product 1</v>
      </c>
      <c r="H72">
        <f t="shared" si="7"/>
        <v>2024</v>
      </c>
      <c r="I72">
        <f t="shared" si="8"/>
        <v>1</v>
      </c>
      <c r="J72">
        <f t="shared" si="9"/>
        <v>989.01</v>
      </c>
    </row>
    <row r="73" spans="1:10" ht="12.5" x14ac:dyDescent="0.25">
      <c r="A73" s="1">
        <v>45301</v>
      </c>
      <c r="B73" s="2" t="s">
        <v>12</v>
      </c>
      <c r="C73" s="3">
        <v>24.99</v>
      </c>
      <c r="D73" s="3">
        <v>1</v>
      </c>
      <c r="E73" s="3">
        <v>24.99</v>
      </c>
      <c r="F73" t="str">
        <f t="shared" si="5"/>
        <v>net sales</v>
      </c>
      <c r="G73" s="7" t="str">
        <f t="shared" si="6"/>
        <v>product 2</v>
      </c>
      <c r="H73">
        <f t="shared" si="7"/>
        <v>2024</v>
      </c>
      <c r="I73">
        <f t="shared" si="8"/>
        <v>1</v>
      </c>
      <c r="J73">
        <f t="shared" si="9"/>
        <v>24.99</v>
      </c>
    </row>
    <row r="74" spans="1:10" ht="12.5" x14ac:dyDescent="0.25">
      <c r="A74" s="1">
        <v>45301</v>
      </c>
      <c r="B74" s="2" t="s">
        <v>13</v>
      </c>
      <c r="C74" s="3">
        <v>12.49</v>
      </c>
      <c r="D74" s="3">
        <v>21</v>
      </c>
      <c r="E74" s="3">
        <v>262.29000000000002</v>
      </c>
      <c r="F74" t="str">
        <f t="shared" si="5"/>
        <v>net sales</v>
      </c>
      <c r="G74" s="7" t="str">
        <f t="shared" si="6"/>
        <v>product 3</v>
      </c>
      <c r="H74">
        <f t="shared" si="7"/>
        <v>2024</v>
      </c>
      <c r="I74">
        <f t="shared" si="8"/>
        <v>1</v>
      </c>
      <c r="J74">
        <f t="shared" si="9"/>
        <v>262.29000000000002</v>
      </c>
    </row>
    <row r="75" spans="1:10" ht="12.5" x14ac:dyDescent="0.25">
      <c r="A75" s="1">
        <v>45302</v>
      </c>
      <c r="B75" s="2" t="s">
        <v>7</v>
      </c>
      <c r="C75" s="3">
        <v>5.99</v>
      </c>
      <c r="D75" s="3">
        <v>21</v>
      </c>
      <c r="E75" s="3">
        <v>125.79</v>
      </c>
      <c r="F75" t="str">
        <f t="shared" si="5"/>
        <v>cogs</v>
      </c>
      <c r="G75" s="7" t="str">
        <f t="shared" si="6"/>
        <v>product 1</v>
      </c>
      <c r="H75">
        <f t="shared" si="7"/>
        <v>2024</v>
      </c>
      <c r="I75">
        <f t="shared" si="8"/>
        <v>1</v>
      </c>
      <c r="J75">
        <f t="shared" si="9"/>
        <v>-125.79</v>
      </c>
    </row>
    <row r="76" spans="1:10" ht="12.5" x14ac:dyDescent="0.25">
      <c r="A76" s="1">
        <v>45302</v>
      </c>
      <c r="B76" s="2" t="s">
        <v>8</v>
      </c>
      <c r="C76" s="3">
        <v>16.989999999999998</v>
      </c>
      <c r="D76" s="3">
        <v>2</v>
      </c>
      <c r="E76" s="3">
        <v>33.979999999999997</v>
      </c>
      <c r="F76" t="str">
        <f t="shared" si="5"/>
        <v>cogs</v>
      </c>
      <c r="G76" s="7" t="str">
        <f t="shared" si="6"/>
        <v>product 2</v>
      </c>
      <c r="H76">
        <f t="shared" si="7"/>
        <v>2024</v>
      </c>
      <c r="I76">
        <f t="shared" si="8"/>
        <v>1</v>
      </c>
      <c r="J76">
        <f t="shared" si="9"/>
        <v>-33.979999999999997</v>
      </c>
    </row>
    <row r="77" spans="1:10" ht="12.5" x14ac:dyDescent="0.25">
      <c r="A77" s="1">
        <v>45302</v>
      </c>
      <c r="B77" s="2" t="s">
        <v>9</v>
      </c>
      <c r="C77" s="3">
        <v>8.49</v>
      </c>
      <c r="D77" s="3">
        <v>157</v>
      </c>
      <c r="E77" s="3">
        <v>1332.93</v>
      </c>
      <c r="F77" t="str">
        <f t="shared" si="5"/>
        <v>cogs</v>
      </c>
      <c r="G77" s="7" t="str">
        <f t="shared" si="6"/>
        <v>product 3</v>
      </c>
      <c r="H77">
        <f t="shared" si="7"/>
        <v>2024</v>
      </c>
      <c r="I77">
        <f t="shared" si="8"/>
        <v>1</v>
      </c>
      <c r="J77">
        <f t="shared" si="9"/>
        <v>-1332.93</v>
      </c>
    </row>
    <row r="78" spans="1:10" ht="12.5" x14ac:dyDescent="0.25">
      <c r="A78" s="1">
        <v>45302</v>
      </c>
      <c r="B78" s="2" t="s">
        <v>10</v>
      </c>
      <c r="C78" s="2" t="s">
        <v>6</v>
      </c>
      <c r="D78" s="2" t="s">
        <v>6</v>
      </c>
      <c r="E78" s="3">
        <v>99.94</v>
      </c>
      <c r="F78" t="str">
        <f t="shared" si="5"/>
        <v>marketing</v>
      </c>
      <c r="G78" s="7" t="s">
        <v>6</v>
      </c>
      <c r="H78">
        <f t="shared" si="7"/>
        <v>2024</v>
      </c>
      <c r="I78">
        <f t="shared" si="8"/>
        <v>1</v>
      </c>
      <c r="J78">
        <f t="shared" si="9"/>
        <v>-99.94</v>
      </c>
    </row>
    <row r="79" spans="1:10" ht="12.5" x14ac:dyDescent="0.25">
      <c r="A79" s="1">
        <v>45302</v>
      </c>
      <c r="B79" s="2" t="s">
        <v>11</v>
      </c>
      <c r="C79" s="3">
        <v>9.99</v>
      </c>
      <c r="D79" s="3">
        <v>21</v>
      </c>
      <c r="E79" s="3">
        <v>209.79</v>
      </c>
      <c r="F79" t="str">
        <f t="shared" si="5"/>
        <v>net sales</v>
      </c>
      <c r="G79" s="7" t="str">
        <f t="shared" si="6"/>
        <v>product 1</v>
      </c>
      <c r="H79">
        <f t="shared" si="7"/>
        <v>2024</v>
      </c>
      <c r="I79">
        <f t="shared" si="8"/>
        <v>1</v>
      </c>
      <c r="J79">
        <f t="shared" si="9"/>
        <v>209.79</v>
      </c>
    </row>
    <row r="80" spans="1:10" ht="12.5" x14ac:dyDescent="0.25">
      <c r="A80" s="1">
        <v>45302</v>
      </c>
      <c r="B80" s="2" t="s">
        <v>12</v>
      </c>
      <c r="C80" s="3">
        <v>24.99</v>
      </c>
      <c r="D80" s="3">
        <v>2</v>
      </c>
      <c r="E80" s="3">
        <v>49.98</v>
      </c>
      <c r="F80" t="str">
        <f t="shared" si="5"/>
        <v>net sales</v>
      </c>
      <c r="G80" s="7" t="str">
        <f t="shared" si="6"/>
        <v>product 2</v>
      </c>
      <c r="H80">
        <f t="shared" si="7"/>
        <v>2024</v>
      </c>
      <c r="I80">
        <f t="shared" si="8"/>
        <v>1</v>
      </c>
      <c r="J80">
        <f t="shared" si="9"/>
        <v>49.98</v>
      </c>
    </row>
    <row r="81" spans="1:10" ht="12.5" x14ac:dyDescent="0.25">
      <c r="A81" s="1">
        <v>45302</v>
      </c>
      <c r="B81" s="2" t="s">
        <v>13</v>
      </c>
      <c r="C81" s="3">
        <v>12.49</v>
      </c>
      <c r="D81" s="3">
        <v>157</v>
      </c>
      <c r="E81" s="3">
        <v>1960.93</v>
      </c>
      <c r="F81" t="str">
        <f t="shared" si="5"/>
        <v>net sales</v>
      </c>
      <c r="G81" s="7" t="str">
        <f t="shared" si="6"/>
        <v>product 3</v>
      </c>
      <c r="H81">
        <f t="shared" si="7"/>
        <v>2024</v>
      </c>
      <c r="I81">
        <f t="shared" si="8"/>
        <v>1</v>
      </c>
      <c r="J81">
        <f t="shared" si="9"/>
        <v>1960.93</v>
      </c>
    </row>
    <row r="82" spans="1:10" ht="12.5" x14ac:dyDescent="0.25">
      <c r="A82" s="1">
        <v>45303</v>
      </c>
      <c r="B82" s="2" t="s">
        <v>7</v>
      </c>
      <c r="C82" s="3">
        <v>5.99</v>
      </c>
      <c r="D82" s="3">
        <v>58</v>
      </c>
      <c r="E82" s="3">
        <v>347.42</v>
      </c>
      <c r="F82" t="str">
        <f t="shared" si="5"/>
        <v>cogs</v>
      </c>
      <c r="G82" s="7" t="str">
        <f t="shared" si="6"/>
        <v>product 1</v>
      </c>
      <c r="H82">
        <f t="shared" si="7"/>
        <v>2024</v>
      </c>
      <c r="I82">
        <f t="shared" si="8"/>
        <v>1</v>
      </c>
      <c r="J82">
        <f t="shared" si="9"/>
        <v>-347.42</v>
      </c>
    </row>
    <row r="83" spans="1:10" ht="12.5" x14ac:dyDescent="0.25">
      <c r="A83" s="1">
        <v>45303</v>
      </c>
      <c r="B83" s="2" t="s">
        <v>8</v>
      </c>
      <c r="C83" s="3">
        <v>16.989999999999998</v>
      </c>
      <c r="D83" s="3">
        <v>5</v>
      </c>
      <c r="E83" s="3">
        <v>84.949999999999989</v>
      </c>
      <c r="F83" t="str">
        <f t="shared" si="5"/>
        <v>cogs</v>
      </c>
      <c r="G83" s="7" t="str">
        <f t="shared" si="6"/>
        <v>product 2</v>
      </c>
      <c r="H83">
        <f t="shared" si="7"/>
        <v>2024</v>
      </c>
      <c r="I83">
        <f t="shared" si="8"/>
        <v>1</v>
      </c>
      <c r="J83">
        <f t="shared" si="9"/>
        <v>-84.949999999999989</v>
      </c>
    </row>
    <row r="84" spans="1:10" ht="12.5" x14ac:dyDescent="0.25">
      <c r="A84" s="1">
        <v>45303</v>
      </c>
      <c r="B84" s="2" t="s">
        <v>9</v>
      </c>
      <c r="C84" s="3">
        <v>8.49</v>
      </c>
      <c r="D84" s="3">
        <v>17</v>
      </c>
      <c r="E84" s="3">
        <v>144.33000000000001</v>
      </c>
      <c r="F84" t="str">
        <f t="shared" si="5"/>
        <v>cogs</v>
      </c>
      <c r="G84" s="7" t="str">
        <f t="shared" si="6"/>
        <v>product 3</v>
      </c>
      <c r="H84">
        <f t="shared" si="7"/>
        <v>2024</v>
      </c>
      <c r="I84">
        <f t="shared" si="8"/>
        <v>1</v>
      </c>
      <c r="J84">
        <f t="shared" si="9"/>
        <v>-144.33000000000001</v>
      </c>
    </row>
    <row r="85" spans="1:10" ht="12.5" x14ac:dyDescent="0.25">
      <c r="A85" s="1">
        <v>45303</v>
      </c>
      <c r="B85" s="2" t="s">
        <v>10</v>
      </c>
      <c r="C85" s="2" t="s">
        <v>6</v>
      </c>
      <c r="D85" s="2" t="s">
        <v>6</v>
      </c>
      <c r="E85" s="3">
        <v>100.08</v>
      </c>
      <c r="F85" t="str">
        <f t="shared" si="5"/>
        <v>marketing</v>
      </c>
      <c r="G85" s="7" t="s">
        <v>6</v>
      </c>
      <c r="H85">
        <f t="shared" si="7"/>
        <v>2024</v>
      </c>
      <c r="I85">
        <f t="shared" si="8"/>
        <v>1</v>
      </c>
      <c r="J85">
        <f t="shared" si="9"/>
        <v>-100.08</v>
      </c>
    </row>
    <row r="86" spans="1:10" ht="12.5" x14ac:dyDescent="0.25">
      <c r="A86" s="1">
        <v>45303</v>
      </c>
      <c r="B86" s="2" t="s">
        <v>11</v>
      </c>
      <c r="C86" s="3">
        <v>9.99</v>
      </c>
      <c r="D86" s="3">
        <v>58</v>
      </c>
      <c r="E86" s="3">
        <v>579.41999999999996</v>
      </c>
      <c r="F86" t="str">
        <f t="shared" si="5"/>
        <v>net sales</v>
      </c>
      <c r="G86" s="7" t="str">
        <f t="shared" si="6"/>
        <v>product 1</v>
      </c>
      <c r="H86">
        <f t="shared" si="7"/>
        <v>2024</v>
      </c>
      <c r="I86">
        <f t="shared" si="8"/>
        <v>1</v>
      </c>
      <c r="J86">
        <f t="shared" si="9"/>
        <v>579.41999999999996</v>
      </c>
    </row>
    <row r="87" spans="1:10" ht="12.5" x14ac:dyDescent="0.25">
      <c r="A87" s="1">
        <v>45303</v>
      </c>
      <c r="B87" s="2" t="s">
        <v>12</v>
      </c>
      <c r="C87" s="3">
        <v>24.99</v>
      </c>
      <c r="D87" s="3">
        <v>5</v>
      </c>
      <c r="E87" s="3">
        <v>124.94999999999999</v>
      </c>
      <c r="F87" t="str">
        <f t="shared" si="5"/>
        <v>net sales</v>
      </c>
      <c r="G87" s="7" t="str">
        <f t="shared" si="6"/>
        <v>product 2</v>
      </c>
      <c r="H87">
        <f t="shared" si="7"/>
        <v>2024</v>
      </c>
      <c r="I87">
        <f t="shared" si="8"/>
        <v>1</v>
      </c>
      <c r="J87">
        <f t="shared" si="9"/>
        <v>124.94999999999999</v>
      </c>
    </row>
    <row r="88" spans="1:10" ht="12.5" x14ac:dyDescent="0.25">
      <c r="A88" s="1">
        <v>45303</v>
      </c>
      <c r="B88" s="2" t="s">
        <v>13</v>
      </c>
      <c r="C88" s="3">
        <v>12.49</v>
      </c>
      <c r="D88" s="3">
        <v>17</v>
      </c>
      <c r="E88" s="3">
        <v>212.33</v>
      </c>
      <c r="F88" t="str">
        <f t="shared" si="5"/>
        <v>net sales</v>
      </c>
      <c r="G88" s="7" t="str">
        <f t="shared" si="6"/>
        <v>product 3</v>
      </c>
      <c r="H88">
        <f t="shared" si="7"/>
        <v>2024</v>
      </c>
      <c r="I88">
        <f t="shared" si="8"/>
        <v>1</v>
      </c>
      <c r="J88">
        <f t="shared" si="9"/>
        <v>212.33</v>
      </c>
    </row>
    <row r="89" spans="1:10" ht="12.5" x14ac:dyDescent="0.25">
      <c r="A89" s="1">
        <v>45304</v>
      </c>
      <c r="B89" s="2" t="s">
        <v>7</v>
      </c>
      <c r="C89" s="3">
        <v>5.99</v>
      </c>
      <c r="D89" s="3">
        <v>18</v>
      </c>
      <c r="E89" s="3">
        <v>107.82000000000001</v>
      </c>
      <c r="F89" t="str">
        <f t="shared" si="5"/>
        <v>cogs</v>
      </c>
      <c r="G89" s="7" t="str">
        <f t="shared" si="6"/>
        <v>product 1</v>
      </c>
      <c r="H89">
        <f t="shared" si="7"/>
        <v>2024</v>
      </c>
      <c r="I89">
        <f t="shared" si="8"/>
        <v>1</v>
      </c>
      <c r="J89">
        <f t="shared" si="9"/>
        <v>-107.82000000000001</v>
      </c>
    </row>
    <row r="90" spans="1:10" ht="12.5" x14ac:dyDescent="0.25">
      <c r="A90" s="1">
        <v>45304</v>
      </c>
      <c r="B90" s="2" t="s">
        <v>8</v>
      </c>
      <c r="C90" s="3">
        <v>16.989999999999998</v>
      </c>
      <c r="D90" s="3">
        <v>2</v>
      </c>
      <c r="E90" s="3">
        <v>33.979999999999997</v>
      </c>
      <c r="F90" t="str">
        <f t="shared" si="5"/>
        <v>cogs</v>
      </c>
      <c r="G90" s="7" t="str">
        <f t="shared" si="6"/>
        <v>product 2</v>
      </c>
      <c r="H90">
        <f t="shared" si="7"/>
        <v>2024</v>
      </c>
      <c r="I90">
        <f t="shared" si="8"/>
        <v>1</v>
      </c>
      <c r="J90">
        <f t="shared" si="9"/>
        <v>-33.979999999999997</v>
      </c>
    </row>
    <row r="91" spans="1:10" ht="12.5" x14ac:dyDescent="0.25">
      <c r="A91" s="1">
        <v>45304</v>
      </c>
      <c r="B91" s="2" t="s">
        <v>9</v>
      </c>
      <c r="C91" s="3">
        <v>8.49</v>
      </c>
      <c r="D91" s="3">
        <v>112</v>
      </c>
      <c r="E91" s="3">
        <v>950.88</v>
      </c>
      <c r="F91" t="str">
        <f t="shared" si="5"/>
        <v>cogs</v>
      </c>
      <c r="G91" s="7" t="str">
        <f t="shared" si="6"/>
        <v>product 3</v>
      </c>
      <c r="H91">
        <f t="shared" si="7"/>
        <v>2024</v>
      </c>
      <c r="I91">
        <f t="shared" si="8"/>
        <v>1</v>
      </c>
      <c r="J91">
        <f t="shared" si="9"/>
        <v>-950.88</v>
      </c>
    </row>
    <row r="92" spans="1:10" ht="12.5" x14ac:dyDescent="0.25">
      <c r="A92" s="1">
        <v>45304</v>
      </c>
      <c r="B92" s="2" t="s">
        <v>10</v>
      </c>
      <c r="C92" s="2" t="s">
        <v>6</v>
      </c>
      <c r="D92" s="2" t="s">
        <v>6</v>
      </c>
      <c r="E92" s="3">
        <v>99.98</v>
      </c>
      <c r="F92" t="str">
        <f t="shared" si="5"/>
        <v>marketing</v>
      </c>
      <c r="G92" s="7" t="s">
        <v>6</v>
      </c>
      <c r="H92">
        <f t="shared" si="7"/>
        <v>2024</v>
      </c>
      <c r="I92">
        <f t="shared" si="8"/>
        <v>1</v>
      </c>
      <c r="J92">
        <f t="shared" si="9"/>
        <v>-99.98</v>
      </c>
    </row>
    <row r="93" spans="1:10" ht="12.5" x14ac:dyDescent="0.25">
      <c r="A93" s="1">
        <v>45304</v>
      </c>
      <c r="B93" s="2" t="s">
        <v>11</v>
      </c>
      <c r="C93" s="3">
        <v>9.99</v>
      </c>
      <c r="D93" s="3">
        <v>18</v>
      </c>
      <c r="E93" s="3">
        <v>179.82</v>
      </c>
      <c r="F93" t="str">
        <f t="shared" si="5"/>
        <v>net sales</v>
      </c>
      <c r="G93" s="7" t="str">
        <f t="shared" si="6"/>
        <v>product 1</v>
      </c>
      <c r="H93">
        <f t="shared" si="7"/>
        <v>2024</v>
      </c>
      <c r="I93">
        <f t="shared" si="8"/>
        <v>1</v>
      </c>
      <c r="J93">
        <f t="shared" si="9"/>
        <v>179.82</v>
      </c>
    </row>
    <row r="94" spans="1:10" ht="12.5" x14ac:dyDescent="0.25">
      <c r="A94" s="1">
        <v>45304</v>
      </c>
      <c r="B94" s="2" t="s">
        <v>12</v>
      </c>
      <c r="C94" s="3">
        <v>24.99</v>
      </c>
      <c r="D94" s="3">
        <v>2</v>
      </c>
      <c r="E94" s="3">
        <v>49.98</v>
      </c>
      <c r="F94" t="str">
        <f t="shared" si="5"/>
        <v>net sales</v>
      </c>
      <c r="G94" s="7" t="str">
        <f t="shared" si="6"/>
        <v>product 2</v>
      </c>
      <c r="H94">
        <f t="shared" si="7"/>
        <v>2024</v>
      </c>
      <c r="I94">
        <f t="shared" si="8"/>
        <v>1</v>
      </c>
      <c r="J94">
        <f t="shared" si="9"/>
        <v>49.98</v>
      </c>
    </row>
    <row r="95" spans="1:10" ht="12.5" x14ac:dyDescent="0.25">
      <c r="A95" s="1">
        <v>45304</v>
      </c>
      <c r="B95" s="2" t="s">
        <v>13</v>
      </c>
      <c r="C95" s="3">
        <v>12.49</v>
      </c>
      <c r="D95" s="3">
        <v>112</v>
      </c>
      <c r="E95" s="3">
        <v>1398.88</v>
      </c>
      <c r="F95" t="str">
        <f t="shared" si="5"/>
        <v>net sales</v>
      </c>
      <c r="G95" s="7" t="str">
        <f t="shared" si="6"/>
        <v>product 3</v>
      </c>
      <c r="H95">
        <f t="shared" si="7"/>
        <v>2024</v>
      </c>
      <c r="I95">
        <f t="shared" si="8"/>
        <v>1</v>
      </c>
      <c r="J95">
        <f t="shared" si="9"/>
        <v>1398.88</v>
      </c>
    </row>
    <row r="96" spans="1:10" ht="12.5" x14ac:dyDescent="0.25">
      <c r="A96" s="1">
        <v>45305</v>
      </c>
      <c r="B96" s="2" t="s">
        <v>7</v>
      </c>
      <c r="C96" s="3">
        <v>5.99</v>
      </c>
      <c r="D96" s="3">
        <v>81</v>
      </c>
      <c r="E96" s="3">
        <v>485.19</v>
      </c>
      <c r="F96" t="str">
        <f t="shared" si="5"/>
        <v>cogs</v>
      </c>
      <c r="G96" s="7" t="str">
        <f t="shared" si="6"/>
        <v>product 1</v>
      </c>
      <c r="H96">
        <f t="shared" si="7"/>
        <v>2024</v>
      </c>
      <c r="I96">
        <f t="shared" si="8"/>
        <v>1</v>
      </c>
      <c r="J96">
        <f t="shared" si="9"/>
        <v>-485.19</v>
      </c>
    </row>
    <row r="97" spans="1:10" ht="12.5" x14ac:dyDescent="0.25">
      <c r="A97" s="1">
        <v>45305</v>
      </c>
      <c r="B97" s="2" t="s">
        <v>8</v>
      </c>
      <c r="C97" s="3">
        <v>16.989999999999998</v>
      </c>
      <c r="D97" s="3">
        <v>1</v>
      </c>
      <c r="E97" s="3">
        <v>16.989999999999998</v>
      </c>
      <c r="F97" t="str">
        <f t="shared" si="5"/>
        <v>cogs</v>
      </c>
      <c r="G97" s="7" t="str">
        <f t="shared" si="6"/>
        <v>product 2</v>
      </c>
      <c r="H97">
        <f t="shared" si="7"/>
        <v>2024</v>
      </c>
      <c r="I97">
        <f t="shared" si="8"/>
        <v>1</v>
      </c>
      <c r="J97">
        <f t="shared" si="9"/>
        <v>-16.989999999999998</v>
      </c>
    </row>
    <row r="98" spans="1:10" ht="12.5" x14ac:dyDescent="0.25">
      <c r="A98" s="1">
        <v>45305</v>
      </c>
      <c r="B98" s="2" t="s">
        <v>9</v>
      </c>
      <c r="C98" s="3">
        <v>8.49</v>
      </c>
      <c r="D98" s="3">
        <v>134</v>
      </c>
      <c r="E98" s="3">
        <v>1137.6600000000001</v>
      </c>
      <c r="F98" t="str">
        <f t="shared" si="5"/>
        <v>cogs</v>
      </c>
      <c r="G98" s="7" t="str">
        <f t="shared" si="6"/>
        <v>product 3</v>
      </c>
      <c r="H98">
        <f t="shared" si="7"/>
        <v>2024</v>
      </c>
      <c r="I98">
        <f t="shared" si="8"/>
        <v>1</v>
      </c>
      <c r="J98">
        <f t="shared" si="9"/>
        <v>-1137.6600000000001</v>
      </c>
    </row>
    <row r="99" spans="1:10" ht="12.5" x14ac:dyDescent="0.25">
      <c r="A99" s="1">
        <v>45305</v>
      </c>
      <c r="B99" s="2" t="s">
        <v>10</v>
      </c>
      <c r="C99" s="2" t="s">
        <v>6</v>
      </c>
      <c r="D99" s="2" t="s">
        <v>6</v>
      </c>
      <c r="E99" s="3">
        <v>99.9</v>
      </c>
      <c r="F99" t="str">
        <f t="shared" si="5"/>
        <v>marketing</v>
      </c>
      <c r="G99" s="7" t="s">
        <v>6</v>
      </c>
      <c r="H99">
        <f t="shared" si="7"/>
        <v>2024</v>
      </c>
      <c r="I99">
        <f t="shared" si="8"/>
        <v>1</v>
      </c>
      <c r="J99">
        <f t="shared" si="9"/>
        <v>-99.9</v>
      </c>
    </row>
    <row r="100" spans="1:10" ht="12.5" x14ac:dyDescent="0.25">
      <c r="A100" s="1">
        <v>45305</v>
      </c>
      <c r="B100" s="2" t="s">
        <v>11</v>
      </c>
      <c r="C100" s="3">
        <v>9.99</v>
      </c>
      <c r="D100" s="3">
        <v>81</v>
      </c>
      <c r="E100" s="3">
        <v>809.19</v>
      </c>
      <c r="F100" t="str">
        <f t="shared" si="5"/>
        <v>net sales</v>
      </c>
      <c r="G100" s="7" t="str">
        <f t="shared" si="6"/>
        <v>product 1</v>
      </c>
      <c r="H100">
        <f t="shared" si="7"/>
        <v>2024</v>
      </c>
      <c r="I100">
        <f t="shared" si="8"/>
        <v>1</v>
      </c>
      <c r="J100">
        <f t="shared" si="9"/>
        <v>809.19</v>
      </c>
    </row>
    <row r="101" spans="1:10" ht="12.5" x14ac:dyDescent="0.25">
      <c r="A101" s="1">
        <v>45305</v>
      </c>
      <c r="B101" s="2" t="s">
        <v>12</v>
      </c>
      <c r="C101" s="3">
        <v>24.99</v>
      </c>
      <c r="D101" s="3">
        <v>1</v>
      </c>
      <c r="E101" s="3">
        <v>24.99</v>
      </c>
      <c r="F101" t="str">
        <f t="shared" si="5"/>
        <v>net sales</v>
      </c>
      <c r="G101" s="7" t="str">
        <f t="shared" si="6"/>
        <v>product 2</v>
      </c>
      <c r="H101">
        <f t="shared" si="7"/>
        <v>2024</v>
      </c>
      <c r="I101">
        <f t="shared" si="8"/>
        <v>1</v>
      </c>
      <c r="J101">
        <f t="shared" si="9"/>
        <v>24.99</v>
      </c>
    </row>
    <row r="102" spans="1:10" ht="12.5" x14ac:dyDescent="0.25">
      <c r="A102" s="1">
        <v>45305</v>
      </c>
      <c r="B102" s="2" t="s">
        <v>13</v>
      </c>
      <c r="C102" s="3">
        <v>12.49</v>
      </c>
      <c r="D102" s="3">
        <v>134</v>
      </c>
      <c r="E102" s="3">
        <v>1673.66</v>
      </c>
      <c r="F102" t="str">
        <f t="shared" si="5"/>
        <v>net sales</v>
      </c>
      <c r="G102" s="7" t="str">
        <f t="shared" si="6"/>
        <v>product 3</v>
      </c>
      <c r="H102">
        <f t="shared" si="7"/>
        <v>2024</v>
      </c>
      <c r="I102">
        <f t="shared" si="8"/>
        <v>1</v>
      </c>
      <c r="J102">
        <f t="shared" si="9"/>
        <v>1673.66</v>
      </c>
    </row>
    <row r="103" spans="1:10" ht="12.5" x14ac:dyDescent="0.25">
      <c r="A103" s="1">
        <v>45306</v>
      </c>
      <c r="B103" s="2" t="s">
        <v>7</v>
      </c>
      <c r="C103" s="3">
        <v>5.99</v>
      </c>
      <c r="D103" s="3">
        <v>19</v>
      </c>
      <c r="E103" s="3">
        <v>113.81</v>
      </c>
      <c r="F103" t="str">
        <f t="shared" si="5"/>
        <v>cogs</v>
      </c>
      <c r="G103" s="7" t="str">
        <f t="shared" si="6"/>
        <v>product 1</v>
      </c>
      <c r="H103">
        <f t="shared" si="7"/>
        <v>2024</v>
      </c>
      <c r="I103">
        <f t="shared" si="8"/>
        <v>1</v>
      </c>
      <c r="J103">
        <f t="shared" si="9"/>
        <v>-113.81</v>
      </c>
    </row>
    <row r="104" spans="1:10" ht="12.5" x14ac:dyDescent="0.25">
      <c r="A104" s="1">
        <v>45306</v>
      </c>
      <c r="B104" s="2" t="s">
        <v>8</v>
      </c>
      <c r="C104" s="3">
        <v>16.989999999999998</v>
      </c>
      <c r="D104" s="3">
        <v>5</v>
      </c>
      <c r="E104" s="3">
        <v>84.949999999999989</v>
      </c>
      <c r="F104" t="str">
        <f t="shared" si="5"/>
        <v>cogs</v>
      </c>
      <c r="G104" s="7" t="str">
        <f t="shared" si="6"/>
        <v>product 2</v>
      </c>
      <c r="H104">
        <f t="shared" si="7"/>
        <v>2024</v>
      </c>
      <c r="I104">
        <f t="shared" si="8"/>
        <v>1</v>
      </c>
      <c r="J104">
        <f t="shared" si="9"/>
        <v>-84.949999999999989</v>
      </c>
    </row>
    <row r="105" spans="1:10" ht="12.5" x14ac:dyDescent="0.25">
      <c r="A105" s="1">
        <v>45306</v>
      </c>
      <c r="B105" s="2" t="s">
        <v>9</v>
      </c>
      <c r="C105" s="3">
        <v>8.49</v>
      </c>
      <c r="D105" s="3">
        <v>150</v>
      </c>
      <c r="E105" s="3">
        <v>1273.5</v>
      </c>
      <c r="F105" t="str">
        <f t="shared" si="5"/>
        <v>cogs</v>
      </c>
      <c r="G105" s="7" t="str">
        <f t="shared" si="6"/>
        <v>product 3</v>
      </c>
      <c r="H105">
        <f t="shared" si="7"/>
        <v>2024</v>
      </c>
      <c r="I105">
        <f t="shared" si="8"/>
        <v>1</v>
      </c>
      <c r="J105">
        <f t="shared" si="9"/>
        <v>-1273.5</v>
      </c>
    </row>
    <row r="106" spans="1:10" ht="12.5" x14ac:dyDescent="0.25">
      <c r="A106" s="1">
        <v>45306</v>
      </c>
      <c r="B106" s="2" t="s">
        <v>16</v>
      </c>
      <c r="C106" s="2" t="s">
        <v>6</v>
      </c>
      <c r="D106" s="2" t="s">
        <v>6</v>
      </c>
      <c r="E106" s="3">
        <v>1297</v>
      </c>
      <c r="F106" t="str">
        <f t="shared" si="5"/>
        <v>interest</v>
      </c>
      <c r="G106" s="7" t="s">
        <v>6</v>
      </c>
      <c r="H106">
        <f t="shared" si="7"/>
        <v>2024</v>
      </c>
      <c r="I106">
        <f t="shared" si="8"/>
        <v>1</v>
      </c>
      <c r="J106">
        <f t="shared" si="9"/>
        <v>-1297</v>
      </c>
    </row>
    <row r="107" spans="1:10" ht="12.5" x14ac:dyDescent="0.25">
      <c r="A107" s="1">
        <v>45306</v>
      </c>
      <c r="B107" s="2" t="s">
        <v>10</v>
      </c>
      <c r="C107" s="2" t="s">
        <v>6</v>
      </c>
      <c r="D107" s="2" t="s">
        <v>6</v>
      </c>
      <c r="E107" s="3">
        <v>99.91</v>
      </c>
      <c r="F107" t="str">
        <f t="shared" si="5"/>
        <v>marketing</v>
      </c>
      <c r="G107" s="7" t="s">
        <v>6</v>
      </c>
      <c r="H107">
        <f t="shared" si="7"/>
        <v>2024</v>
      </c>
      <c r="I107">
        <f t="shared" si="8"/>
        <v>1</v>
      </c>
      <c r="J107">
        <f t="shared" si="9"/>
        <v>-99.91</v>
      </c>
    </row>
    <row r="108" spans="1:10" ht="12.5" x14ac:dyDescent="0.25">
      <c r="A108" s="1">
        <v>45306</v>
      </c>
      <c r="B108" s="2" t="s">
        <v>11</v>
      </c>
      <c r="C108" s="3">
        <v>9.99</v>
      </c>
      <c r="D108" s="3">
        <v>19</v>
      </c>
      <c r="E108" s="3">
        <v>189.81</v>
      </c>
      <c r="F108" t="str">
        <f t="shared" si="5"/>
        <v>net sales</v>
      </c>
      <c r="G108" s="7" t="str">
        <f t="shared" si="6"/>
        <v>product 1</v>
      </c>
      <c r="H108">
        <f t="shared" si="7"/>
        <v>2024</v>
      </c>
      <c r="I108">
        <f t="shared" si="8"/>
        <v>1</v>
      </c>
      <c r="J108">
        <f t="shared" si="9"/>
        <v>189.81</v>
      </c>
    </row>
    <row r="109" spans="1:10" ht="12.5" x14ac:dyDescent="0.25">
      <c r="A109" s="1">
        <v>45306</v>
      </c>
      <c r="B109" s="2" t="s">
        <v>12</v>
      </c>
      <c r="C109" s="3">
        <v>24.99</v>
      </c>
      <c r="D109" s="3">
        <v>5</v>
      </c>
      <c r="E109" s="3">
        <v>124.94999999999999</v>
      </c>
      <c r="F109" t="str">
        <f t="shared" si="5"/>
        <v>net sales</v>
      </c>
      <c r="G109" s="7" t="str">
        <f t="shared" si="6"/>
        <v>product 2</v>
      </c>
      <c r="H109">
        <f t="shared" si="7"/>
        <v>2024</v>
      </c>
      <c r="I109">
        <f t="shared" si="8"/>
        <v>1</v>
      </c>
      <c r="J109">
        <f t="shared" si="9"/>
        <v>124.94999999999999</v>
      </c>
    </row>
    <row r="110" spans="1:10" ht="12.5" x14ac:dyDescent="0.25">
      <c r="A110" s="1">
        <v>45306</v>
      </c>
      <c r="B110" s="2" t="s">
        <v>13</v>
      </c>
      <c r="C110" s="3">
        <v>12.49</v>
      </c>
      <c r="D110" s="3">
        <v>150</v>
      </c>
      <c r="E110" s="3">
        <v>1873.5</v>
      </c>
      <c r="F110" t="str">
        <f t="shared" si="5"/>
        <v>net sales</v>
      </c>
      <c r="G110" s="7" t="str">
        <f t="shared" si="6"/>
        <v>product 3</v>
      </c>
      <c r="H110">
        <f t="shared" si="7"/>
        <v>2024</v>
      </c>
      <c r="I110">
        <f t="shared" si="8"/>
        <v>1</v>
      </c>
      <c r="J110">
        <f t="shared" si="9"/>
        <v>1873.5</v>
      </c>
    </row>
    <row r="111" spans="1:10" ht="12.5" x14ac:dyDescent="0.25">
      <c r="A111" s="1">
        <v>45306</v>
      </c>
      <c r="B111" s="2" t="s">
        <v>14</v>
      </c>
      <c r="C111" s="2" t="s">
        <v>6</v>
      </c>
      <c r="D111" s="2" t="s">
        <v>6</v>
      </c>
      <c r="E111" s="3">
        <v>324.25</v>
      </c>
      <c r="F111" t="str">
        <f t="shared" si="5"/>
        <v>overhead</v>
      </c>
      <c r="G111" s="7" t="s">
        <v>6</v>
      </c>
      <c r="H111">
        <f t="shared" si="7"/>
        <v>2024</v>
      </c>
      <c r="I111">
        <f t="shared" si="8"/>
        <v>1</v>
      </c>
      <c r="J111">
        <f t="shared" si="9"/>
        <v>-324.25</v>
      </c>
    </row>
    <row r="112" spans="1:10" ht="12.5" x14ac:dyDescent="0.25">
      <c r="A112" s="1">
        <v>45307</v>
      </c>
      <c r="B112" s="2" t="s">
        <v>7</v>
      </c>
      <c r="C112" s="3">
        <v>5.99</v>
      </c>
      <c r="D112" s="3">
        <v>8</v>
      </c>
      <c r="E112" s="3">
        <v>47.92</v>
      </c>
      <c r="F112" t="str">
        <f t="shared" si="5"/>
        <v>cogs</v>
      </c>
      <c r="G112" s="7" t="str">
        <f t="shared" si="6"/>
        <v>product 1</v>
      </c>
      <c r="H112">
        <f t="shared" si="7"/>
        <v>2024</v>
      </c>
      <c r="I112">
        <f t="shared" si="8"/>
        <v>1</v>
      </c>
      <c r="J112">
        <f t="shared" si="9"/>
        <v>-47.92</v>
      </c>
    </row>
    <row r="113" spans="1:10" ht="12.5" x14ac:dyDescent="0.25">
      <c r="A113" s="1">
        <v>45307</v>
      </c>
      <c r="B113" s="2" t="s">
        <v>8</v>
      </c>
      <c r="C113" s="3">
        <v>16.989999999999998</v>
      </c>
      <c r="D113" s="3">
        <v>8</v>
      </c>
      <c r="E113" s="3">
        <v>135.91999999999999</v>
      </c>
      <c r="F113" t="str">
        <f t="shared" si="5"/>
        <v>cogs</v>
      </c>
      <c r="G113" s="7" t="str">
        <f t="shared" si="6"/>
        <v>product 2</v>
      </c>
      <c r="H113">
        <f t="shared" si="7"/>
        <v>2024</v>
      </c>
      <c r="I113">
        <f t="shared" si="8"/>
        <v>1</v>
      </c>
      <c r="J113">
        <f t="shared" si="9"/>
        <v>-135.91999999999999</v>
      </c>
    </row>
    <row r="114" spans="1:10" ht="12.5" x14ac:dyDescent="0.25">
      <c r="A114" s="1">
        <v>45307</v>
      </c>
      <c r="B114" s="2" t="s">
        <v>9</v>
      </c>
      <c r="C114" s="3">
        <v>8.49</v>
      </c>
      <c r="D114" s="3">
        <v>204</v>
      </c>
      <c r="E114" s="3">
        <v>1731.96</v>
      </c>
      <c r="F114" t="str">
        <f t="shared" si="5"/>
        <v>cogs</v>
      </c>
      <c r="G114" s="7" t="str">
        <f t="shared" si="6"/>
        <v>product 3</v>
      </c>
      <c r="H114">
        <f t="shared" si="7"/>
        <v>2024</v>
      </c>
      <c r="I114">
        <f t="shared" si="8"/>
        <v>1</v>
      </c>
      <c r="J114">
        <f t="shared" si="9"/>
        <v>-1731.96</v>
      </c>
    </row>
    <row r="115" spans="1:10" ht="12.5" x14ac:dyDescent="0.25">
      <c r="A115" s="1">
        <v>45307</v>
      </c>
      <c r="B115" s="2" t="s">
        <v>10</v>
      </c>
      <c r="C115" s="2" t="s">
        <v>6</v>
      </c>
      <c r="D115" s="2" t="s">
        <v>6</v>
      </c>
      <c r="E115" s="3">
        <v>99.990000000000009</v>
      </c>
      <c r="F115" t="str">
        <f t="shared" si="5"/>
        <v>marketing</v>
      </c>
      <c r="G115" s="7" t="s">
        <v>6</v>
      </c>
      <c r="H115">
        <f t="shared" si="7"/>
        <v>2024</v>
      </c>
      <c r="I115">
        <f t="shared" si="8"/>
        <v>1</v>
      </c>
      <c r="J115">
        <f t="shared" si="9"/>
        <v>-99.990000000000009</v>
      </c>
    </row>
    <row r="116" spans="1:10" ht="12.5" x14ac:dyDescent="0.25">
      <c r="A116" s="1">
        <v>45307</v>
      </c>
      <c r="B116" s="2" t="s">
        <v>11</v>
      </c>
      <c r="C116" s="3">
        <v>9.99</v>
      </c>
      <c r="D116" s="3">
        <v>8</v>
      </c>
      <c r="E116" s="3">
        <v>79.92</v>
      </c>
      <c r="F116" t="str">
        <f t="shared" si="5"/>
        <v>net sales</v>
      </c>
      <c r="G116" s="7" t="str">
        <f t="shared" si="6"/>
        <v>product 1</v>
      </c>
      <c r="H116">
        <f t="shared" si="7"/>
        <v>2024</v>
      </c>
      <c r="I116">
        <f t="shared" si="8"/>
        <v>1</v>
      </c>
      <c r="J116">
        <f t="shared" si="9"/>
        <v>79.92</v>
      </c>
    </row>
    <row r="117" spans="1:10" ht="12.5" x14ac:dyDescent="0.25">
      <c r="A117" s="1">
        <v>45307</v>
      </c>
      <c r="B117" s="2" t="s">
        <v>12</v>
      </c>
      <c r="C117" s="3">
        <v>24.99</v>
      </c>
      <c r="D117" s="3">
        <v>8</v>
      </c>
      <c r="E117" s="3">
        <v>199.92</v>
      </c>
      <c r="F117" t="str">
        <f t="shared" si="5"/>
        <v>net sales</v>
      </c>
      <c r="G117" s="7" t="str">
        <f t="shared" si="6"/>
        <v>product 2</v>
      </c>
      <c r="H117">
        <f t="shared" si="7"/>
        <v>2024</v>
      </c>
      <c r="I117">
        <f t="shared" si="8"/>
        <v>1</v>
      </c>
      <c r="J117">
        <f t="shared" si="9"/>
        <v>199.92</v>
      </c>
    </row>
    <row r="118" spans="1:10" ht="12.5" x14ac:dyDescent="0.25">
      <c r="A118" s="1">
        <v>45307</v>
      </c>
      <c r="B118" s="2" t="s">
        <v>13</v>
      </c>
      <c r="C118" s="3">
        <v>12.49</v>
      </c>
      <c r="D118" s="3">
        <v>204</v>
      </c>
      <c r="E118" s="3">
        <v>2547.96</v>
      </c>
      <c r="F118" t="str">
        <f t="shared" si="5"/>
        <v>net sales</v>
      </c>
      <c r="G118" s="7" t="str">
        <f t="shared" si="6"/>
        <v>product 3</v>
      </c>
      <c r="H118">
        <f t="shared" si="7"/>
        <v>2024</v>
      </c>
      <c r="I118">
        <f t="shared" si="8"/>
        <v>1</v>
      </c>
      <c r="J118">
        <f t="shared" si="9"/>
        <v>2547.96</v>
      </c>
    </row>
    <row r="119" spans="1:10" ht="12.5" x14ac:dyDescent="0.25">
      <c r="A119" s="1">
        <v>45308</v>
      </c>
      <c r="B119" s="2" t="s">
        <v>7</v>
      </c>
      <c r="C119" s="3">
        <v>5.99</v>
      </c>
      <c r="D119" s="3">
        <v>66</v>
      </c>
      <c r="E119" s="3">
        <v>395.34000000000003</v>
      </c>
      <c r="F119" t="str">
        <f t="shared" si="5"/>
        <v>cogs</v>
      </c>
      <c r="G119" s="7" t="str">
        <f t="shared" si="6"/>
        <v>product 1</v>
      </c>
      <c r="H119">
        <f t="shared" si="7"/>
        <v>2024</v>
      </c>
      <c r="I119">
        <f t="shared" si="8"/>
        <v>1</v>
      </c>
      <c r="J119">
        <f t="shared" si="9"/>
        <v>-395.34000000000003</v>
      </c>
    </row>
    <row r="120" spans="1:10" ht="12.5" x14ac:dyDescent="0.25">
      <c r="A120" s="1">
        <v>45308</v>
      </c>
      <c r="B120" s="2" t="s">
        <v>8</v>
      </c>
      <c r="C120" s="3">
        <v>16.989999999999998</v>
      </c>
      <c r="D120" s="3">
        <v>2</v>
      </c>
      <c r="E120" s="3">
        <v>33.979999999999997</v>
      </c>
      <c r="F120" t="str">
        <f t="shared" si="5"/>
        <v>cogs</v>
      </c>
      <c r="G120" s="7" t="str">
        <f t="shared" si="6"/>
        <v>product 2</v>
      </c>
      <c r="H120">
        <f t="shared" si="7"/>
        <v>2024</v>
      </c>
      <c r="I120">
        <f t="shared" si="8"/>
        <v>1</v>
      </c>
      <c r="J120">
        <f t="shared" si="9"/>
        <v>-33.979999999999997</v>
      </c>
    </row>
    <row r="121" spans="1:10" ht="12.5" x14ac:dyDescent="0.25">
      <c r="A121" s="1">
        <v>45308</v>
      </c>
      <c r="B121" s="2" t="s">
        <v>9</v>
      </c>
      <c r="C121" s="3">
        <v>8.49</v>
      </c>
      <c r="D121" s="3">
        <v>25</v>
      </c>
      <c r="E121" s="3">
        <v>212.25</v>
      </c>
      <c r="F121" t="str">
        <f t="shared" si="5"/>
        <v>cogs</v>
      </c>
      <c r="G121" s="7" t="str">
        <f t="shared" si="6"/>
        <v>product 3</v>
      </c>
      <c r="H121">
        <f t="shared" si="7"/>
        <v>2024</v>
      </c>
      <c r="I121">
        <f t="shared" si="8"/>
        <v>1</v>
      </c>
      <c r="J121">
        <f t="shared" si="9"/>
        <v>-212.25</v>
      </c>
    </row>
    <row r="122" spans="1:10" ht="12.5" x14ac:dyDescent="0.25">
      <c r="A122" s="1">
        <v>45308</v>
      </c>
      <c r="B122" s="2" t="s">
        <v>10</v>
      </c>
      <c r="C122" s="2" t="s">
        <v>6</v>
      </c>
      <c r="D122" s="2" t="s">
        <v>6</v>
      </c>
      <c r="E122" s="3">
        <v>99.98</v>
      </c>
      <c r="F122" t="str">
        <f t="shared" si="5"/>
        <v>marketing</v>
      </c>
      <c r="G122" s="7" t="s">
        <v>6</v>
      </c>
      <c r="H122">
        <f t="shared" si="7"/>
        <v>2024</v>
      </c>
      <c r="I122">
        <f t="shared" si="8"/>
        <v>1</v>
      </c>
      <c r="J122">
        <f t="shared" si="9"/>
        <v>-99.98</v>
      </c>
    </row>
    <row r="123" spans="1:10" ht="12.5" x14ac:dyDescent="0.25">
      <c r="A123" s="1">
        <v>45308</v>
      </c>
      <c r="B123" s="2" t="s">
        <v>11</v>
      </c>
      <c r="C123" s="3">
        <v>9.99</v>
      </c>
      <c r="D123" s="3">
        <v>66</v>
      </c>
      <c r="E123" s="3">
        <v>659.34</v>
      </c>
      <c r="F123" t="str">
        <f t="shared" si="5"/>
        <v>net sales</v>
      </c>
      <c r="G123" s="7" t="str">
        <f t="shared" si="6"/>
        <v>product 1</v>
      </c>
      <c r="H123">
        <f t="shared" si="7"/>
        <v>2024</v>
      </c>
      <c r="I123">
        <f t="shared" si="8"/>
        <v>1</v>
      </c>
      <c r="J123">
        <f t="shared" si="9"/>
        <v>659.34</v>
      </c>
    </row>
    <row r="124" spans="1:10" ht="12.5" x14ac:dyDescent="0.25">
      <c r="A124" s="1">
        <v>45308</v>
      </c>
      <c r="B124" s="2" t="s">
        <v>12</v>
      </c>
      <c r="C124" s="3">
        <v>24.99</v>
      </c>
      <c r="D124" s="3">
        <v>2</v>
      </c>
      <c r="E124" s="3">
        <v>49.98</v>
      </c>
      <c r="F124" t="str">
        <f t="shared" si="5"/>
        <v>net sales</v>
      </c>
      <c r="G124" s="7" t="str">
        <f t="shared" si="6"/>
        <v>product 2</v>
      </c>
      <c r="H124">
        <f t="shared" si="7"/>
        <v>2024</v>
      </c>
      <c r="I124">
        <f t="shared" si="8"/>
        <v>1</v>
      </c>
      <c r="J124">
        <f t="shared" si="9"/>
        <v>49.98</v>
      </c>
    </row>
    <row r="125" spans="1:10" ht="12.5" x14ac:dyDescent="0.25">
      <c r="A125" s="1">
        <v>45308</v>
      </c>
      <c r="B125" s="2" t="s">
        <v>13</v>
      </c>
      <c r="C125" s="3">
        <v>12.49</v>
      </c>
      <c r="D125" s="3">
        <v>25</v>
      </c>
      <c r="E125" s="3">
        <v>312.25</v>
      </c>
      <c r="F125" t="str">
        <f t="shared" si="5"/>
        <v>net sales</v>
      </c>
      <c r="G125" s="7" t="str">
        <f t="shared" si="6"/>
        <v>product 3</v>
      </c>
      <c r="H125">
        <f t="shared" si="7"/>
        <v>2024</v>
      </c>
      <c r="I125">
        <f t="shared" si="8"/>
        <v>1</v>
      </c>
      <c r="J125">
        <f t="shared" si="9"/>
        <v>312.25</v>
      </c>
    </row>
    <row r="126" spans="1:10" ht="12.5" x14ac:dyDescent="0.25">
      <c r="A126" s="1">
        <v>45309</v>
      </c>
      <c r="B126" s="2" t="s">
        <v>7</v>
      </c>
      <c r="C126" s="3">
        <v>5.99</v>
      </c>
      <c r="D126" s="3">
        <v>85</v>
      </c>
      <c r="E126" s="3">
        <v>509.15000000000003</v>
      </c>
      <c r="F126" t="str">
        <f t="shared" si="5"/>
        <v>cogs</v>
      </c>
      <c r="G126" s="7" t="str">
        <f t="shared" si="6"/>
        <v>product 1</v>
      </c>
      <c r="H126">
        <f t="shared" si="7"/>
        <v>2024</v>
      </c>
      <c r="I126">
        <f t="shared" si="8"/>
        <v>1</v>
      </c>
      <c r="J126">
        <f t="shared" si="9"/>
        <v>-509.15000000000003</v>
      </c>
    </row>
    <row r="127" spans="1:10" ht="12.5" x14ac:dyDescent="0.25">
      <c r="A127" s="1">
        <v>45309</v>
      </c>
      <c r="B127" s="2" t="s">
        <v>8</v>
      </c>
      <c r="C127" s="3">
        <v>16.989999999999998</v>
      </c>
      <c r="D127" s="3">
        <v>7</v>
      </c>
      <c r="E127" s="3">
        <v>118.92999999999999</v>
      </c>
      <c r="F127" t="str">
        <f t="shared" si="5"/>
        <v>cogs</v>
      </c>
      <c r="G127" s="7" t="str">
        <f t="shared" si="6"/>
        <v>product 2</v>
      </c>
      <c r="H127">
        <f t="shared" si="7"/>
        <v>2024</v>
      </c>
      <c r="I127">
        <f t="shared" si="8"/>
        <v>1</v>
      </c>
      <c r="J127">
        <f t="shared" si="9"/>
        <v>-118.92999999999999</v>
      </c>
    </row>
    <row r="128" spans="1:10" ht="12.5" x14ac:dyDescent="0.25">
      <c r="A128" s="1">
        <v>45309</v>
      </c>
      <c r="B128" s="2" t="s">
        <v>9</v>
      </c>
      <c r="C128" s="3">
        <v>8.49</v>
      </c>
      <c r="D128" s="3">
        <v>237</v>
      </c>
      <c r="E128" s="3">
        <v>2012.13</v>
      </c>
      <c r="F128" t="str">
        <f t="shared" si="5"/>
        <v>cogs</v>
      </c>
      <c r="G128" s="7" t="str">
        <f t="shared" si="6"/>
        <v>product 3</v>
      </c>
      <c r="H128">
        <f t="shared" si="7"/>
        <v>2024</v>
      </c>
      <c r="I128">
        <f t="shared" si="8"/>
        <v>1</v>
      </c>
      <c r="J128">
        <f t="shared" si="9"/>
        <v>-2012.13</v>
      </c>
    </row>
    <row r="129" spans="1:10" ht="12.5" x14ac:dyDescent="0.25">
      <c r="A129" s="1">
        <v>45309</v>
      </c>
      <c r="B129" s="2" t="s">
        <v>10</v>
      </c>
      <c r="C129" s="2" t="s">
        <v>6</v>
      </c>
      <c r="D129" s="2" t="s">
        <v>6</v>
      </c>
      <c r="E129" s="3">
        <v>100.09</v>
      </c>
      <c r="F129" t="str">
        <f t="shared" si="5"/>
        <v>marketing</v>
      </c>
      <c r="G129" s="7" t="s">
        <v>6</v>
      </c>
      <c r="H129">
        <f t="shared" si="7"/>
        <v>2024</v>
      </c>
      <c r="I129">
        <f t="shared" si="8"/>
        <v>1</v>
      </c>
      <c r="J129">
        <f t="shared" si="9"/>
        <v>-100.09</v>
      </c>
    </row>
    <row r="130" spans="1:10" ht="12.5" x14ac:dyDescent="0.25">
      <c r="A130" s="1">
        <v>45309</v>
      </c>
      <c r="B130" s="2" t="s">
        <v>11</v>
      </c>
      <c r="C130" s="3">
        <v>9.99</v>
      </c>
      <c r="D130" s="3">
        <v>85</v>
      </c>
      <c r="E130" s="3">
        <v>849.15</v>
      </c>
      <c r="F130" t="str">
        <f t="shared" si="5"/>
        <v>net sales</v>
      </c>
      <c r="G130" s="7" t="str">
        <f t="shared" si="6"/>
        <v>product 1</v>
      </c>
      <c r="H130">
        <f t="shared" si="7"/>
        <v>2024</v>
      </c>
      <c r="I130">
        <f t="shared" si="8"/>
        <v>1</v>
      </c>
      <c r="J130">
        <f t="shared" si="9"/>
        <v>849.15</v>
      </c>
    </row>
    <row r="131" spans="1:10" ht="12.5" x14ac:dyDescent="0.25">
      <c r="A131" s="1">
        <v>45309</v>
      </c>
      <c r="B131" s="2" t="s">
        <v>12</v>
      </c>
      <c r="C131" s="3">
        <v>24.99</v>
      </c>
      <c r="D131" s="3">
        <v>7</v>
      </c>
      <c r="E131" s="3">
        <v>174.92999999999998</v>
      </c>
      <c r="F131" t="str">
        <f t="shared" ref="F131:F194" si="10">IFERROR(LEFT(B131,FIND(":",B131)-1),B131)</f>
        <v>net sales</v>
      </c>
      <c r="G131" s="7" t="str">
        <f t="shared" ref="G131:G194" si="11">IFERROR(RIGHT(B131,LEN(B131)-FIND(":",B131)),"")</f>
        <v>product 2</v>
      </c>
      <c r="H131">
        <f t="shared" ref="H131:H194" si="12">YEAR(A131)</f>
        <v>2024</v>
      </c>
      <c r="I131">
        <f t="shared" ref="I131:I194" si="13">MONTH(A131)</f>
        <v>1</v>
      </c>
      <c r="J131">
        <f t="shared" ref="J131:J194" si="14">IF(F131="net sales",E131,
IF(F131="cogs",-E131,
IF(OR(F131="marketing",F131="overhead",F131="payroll",F131="interest","amortization"),-E131,0)))</f>
        <v>174.92999999999998</v>
      </c>
    </row>
    <row r="132" spans="1:10" ht="12.5" x14ac:dyDescent="0.25">
      <c r="A132" s="1">
        <v>45309</v>
      </c>
      <c r="B132" s="2" t="s">
        <v>13</v>
      </c>
      <c r="C132" s="3">
        <v>12.49</v>
      </c>
      <c r="D132" s="3">
        <v>237</v>
      </c>
      <c r="E132" s="3">
        <v>2960.13</v>
      </c>
      <c r="F132" t="str">
        <f t="shared" si="10"/>
        <v>net sales</v>
      </c>
      <c r="G132" s="7" t="str">
        <f t="shared" si="11"/>
        <v>product 3</v>
      </c>
      <c r="H132">
        <f t="shared" si="12"/>
        <v>2024</v>
      </c>
      <c r="I132">
        <f t="shared" si="13"/>
        <v>1</v>
      </c>
      <c r="J132">
        <f t="shared" si="14"/>
        <v>2960.13</v>
      </c>
    </row>
    <row r="133" spans="1:10" ht="12.5" x14ac:dyDescent="0.25">
      <c r="A133" s="1">
        <v>45310</v>
      </c>
      <c r="B133" s="2" t="s">
        <v>7</v>
      </c>
      <c r="C133" s="3">
        <v>5.99</v>
      </c>
      <c r="D133" s="3">
        <v>92</v>
      </c>
      <c r="E133" s="3">
        <v>551.08000000000004</v>
      </c>
      <c r="F133" t="str">
        <f t="shared" si="10"/>
        <v>cogs</v>
      </c>
      <c r="G133" s="7" t="str">
        <f t="shared" si="11"/>
        <v>product 1</v>
      </c>
      <c r="H133">
        <f t="shared" si="12"/>
        <v>2024</v>
      </c>
      <c r="I133">
        <f t="shared" si="13"/>
        <v>1</v>
      </c>
      <c r="J133">
        <f t="shared" si="14"/>
        <v>-551.08000000000004</v>
      </c>
    </row>
    <row r="134" spans="1:10" ht="12.5" x14ac:dyDescent="0.25">
      <c r="A134" s="1">
        <v>45310</v>
      </c>
      <c r="B134" s="2" t="s">
        <v>8</v>
      </c>
      <c r="C134" s="3">
        <v>16.989999999999998</v>
      </c>
      <c r="D134" s="3">
        <v>6</v>
      </c>
      <c r="E134" s="3">
        <v>101.94</v>
      </c>
      <c r="F134" t="str">
        <f t="shared" si="10"/>
        <v>cogs</v>
      </c>
      <c r="G134" s="7" t="str">
        <f t="shared" si="11"/>
        <v>product 2</v>
      </c>
      <c r="H134">
        <f t="shared" si="12"/>
        <v>2024</v>
      </c>
      <c r="I134">
        <f t="shared" si="13"/>
        <v>1</v>
      </c>
      <c r="J134">
        <f t="shared" si="14"/>
        <v>-101.94</v>
      </c>
    </row>
    <row r="135" spans="1:10" ht="12.5" x14ac:dyDescent="0.25">
      <c r="A135" s="1">
        <v>45310</v>
      </c>
      <c r="B135" s="2" t="s">
        <v>9</v>
      </c>
      <c r="C135" s="3">
        <v>8.49</v>
      </c>
      <c r="D135" s="3">
        <v>217</v>
      </c>
      <c r="E135" s="3">
        <v>1842.3300000000002</v>
      </c>
      <c r="F135" t="str">
        <f t="shared" si="10"/>
        <v>cogs</v>
      </c>
      <c r="G135" s="7" t="str">
        <f t="shared" si="11"/>
        <v>product 3</v>
      </c>
      <c r="H135">
        <f t="shared" si="12"/>
        <v>2024</v>
      </c>
      <c r="I135">
        <f t="shared" si="13"/>
        <v>1</v>
      </c>
      <c r="J135">
        <f t="shared" si="14"/>
        <v>-1842.3300000000002</v>
      </c>
    </row>
    <row r="136" spans="1:10" ht="12.5" x14ac:dyDescent="0.25">
      <c r="A136" s="1">
        <v>45310</v>
      </c>
      <c r="B136" s="2" t="s">
        <v>10</v>
      </c>
      <c r="C136" s="2" t="s">
        <v>6</v>
      </c>
      <c r="D136" s="2" t="s">
        <v>6</v>
      </c>
      <c r="E136" s="3">
        <v>99.93</v>
      </c>
      <c r="F136" t="str">
        <f t="shared" si="10"/>
        <v>marketing</v>
      </c>
      <c r="G136" s="7" t="s">
        <v>6</v>
      </c>
      <c r="H136">
        <f t="shared" si="12"/>
        <v>2024</v>
      </c>
      <c r="I136">
        <f t="shared" si="13"/>
        <v>1</v>
      </c>
      <c r="J136">
        <f t="shared" si="14"/>
        <v>-99.93</v>
      </c>
    </row>
    <row r="137" spans="1:10" ht="12.5" x14ac:dyDescent="0.25">
      <c r="A137" s="1">
        <v>45310</v>
      </c>
      <c r="B137" s="2" t="s">
        <v>11</v>
      </c>
      <c r="C137" s="3">
        <v>9.99</v>
      </c>
      <c r="D137" s="3">
        <v>92</v>
      </c>
      <c r="E137" s="3">
        <v>919.08</v>
      </c>
      <c r="F137" t="str">
        <f t="shared" si="10"/>
        <v>net sales</v>
      </c>
      <c r="G137" s="7" t="str">
        <f t="shared" si="11"/>
        <v>product 1</v>
      </c>
      <c r="H137">
        <f t="shared" si="12"/>
        <v>2024</v>
      </c>
      <c r="I137">
        <f t="shared" si="13"/>
        <v>1</v>
      </c>
      <c r="J137">
        <f t="shared" si="14"/>
        <v>919.08</v>
      </c>
    </row>
    <row r="138" spans="1:10" ht="12.5" x14ac:dyDescent="0.25">
      <c r="A138" s="1">
        <v>45310</v>
      </c>
      <c r="B138" s="2" t="s">
        <v>12</v>
      </c>
      <c r="C138" s="3">
        <v>24.99</v>
      </c>
      <c r="D138" s="3">
        <v>6</v>
      </c>
      <c r="E138" s="3">
        <v>149.94</v>
      </c>
      <c r="F138" t="str">
        <f t="shared" si="10"/>
        <v>net sales</v>
      </c>
      <c r="G138" s="7" t="str">
        <f t="shared" si="11"/>
        <v>product 2</v>
      </c>
      <c r="H138">
        <f t="shared" si="12"/>
        <v>2024</v>
      </c>
      <c r="I138">
        <f t="shared" si="13"/>
        <v>1</v>
      </c>
      <c r="J138">
        <f t="shared" si="14"/>
        <v>149.94</v>
      </c>
    </row>
    <row r="139" spans="1:10" ht="12.5" x14ac:dyDescent="0.25">
      <c r="A139" s="1">
        <v>45310</v>
      </c>
      <c r="B139" s="2" t="s">
        <v>13</v>
      </c>
      <c r="C139" s="3">
        <v>12.49</v>
      </c>
      <c r="D139" s="3">
        <v>217</v>
      </c>
      <c r="E139" s="3">
        <v>2710.33</v>
      </c>
      <c r="F139" t="str">
        <f t="shared" si="10"/>
        <v>net sales</v>
      </c>
      <c r="G139" s="7" t="str">
        <f t="shared" si="11"/>
        <v>product 3</v>
      </c>
      <c r="H139">
        <f t="shared" si="12"/>
        <v>2024</v>
      </c>
      <c r="I139">
        <f t="shared" si="13"/>
        <v>1</v>
      </c>
      <c r="J139">
        <f t="shared" si="14"/>
        <v>2710.33</v>
      </c>
    </row>
    <row r="140" spans="1:10" ht="12.5" x14ac:dyDescent="0.25">
      <c r="A140" s="1">
        <v>45310</v>
      </c>
      <c r="B140" s="2" t="s">
        <v>15</v>
      </c>
      <c r="C140" s="2" t="s">
        <v>6</v>
      </c>
      <c r="D140" s="2" t="s">
        <v>6</v>
      </c>
      <c r="E140" s="3">
        <v>1200</v>
      </c>
      <c r="F140" t="str">
        <f t="shared" si="10"/>
        <v>payroll</v>
      </c>
      <c r="G140" s="7" t="s">
        <v>6</v>
      </c>
      <c r="H140">
        <f t="shared" si="12"/>
        <v>2024</v>
      </c>
      <c r="I140">
        <f t="shared" si="13"/>
        <v>1</v>
      </c>
      <c r="J140">
        <f t="shared" si="14"/>
        <v>-1200</v>
      </c>
    </row>
    <row r="141" spans="1:10" ht="12.5" x14ac:dyDescent="0.25">
      <c r="A141" s="1">
        <v>45311</v>
      </c>
      <c r="B141" s="2" t="s">
        <v>7</v>
      </c>
      <c r="C141" s="3">
        <v>5.99</v>
      </c>
      <c r="D141" s="3">
        <v>32</v>
      </c>
      <c r="E141" s="3">
        <v>191.68</v>
      </c>
      <c r="F141" t="str">
        <f t="shared" si="10"/>
        <v>cogs</v>
      </c>
      <c r="G141" s="7" t="str">
        <f t="shared" si="11"/>
        <v>product 1</v>
      </c>
      <c r="H141">
        <f t="shared" si="12"/>
        <v>2024</v>
      </c>
      <c r="I141">
        <f t="shared" si="13"/>
        <v>1</v>
      </c>
      <c r="J141">
        <f t="shared" si="14"/>
        <v>-191.68</v>
      </c>
    </row>
    <row r="142" spans="1:10" ht="12.5" x14ac:dyDescent="0.25">
      <c r="A142" s="1">
        <v>45311</v>
      </c>
      <c r="B142" s="2" t="s">
        <v>8</v>
      </c>
      <c r="C142" s="3">
        <v>16.989999999999998</v>
      </c>
      <c r="D142" s="3">
        <v>4</v>
      </c>
      <c r="E142" s="3">
        <v>67.959999999999994</v>
      </c>
      <c r="F142" t="str">
        <f t="shared" si="10"/>
        <v>cogs</v>
      </c>
      <c r="G142" s="7" t="str">
        <f t="shared" si="11"/>
        <v>product 2</v>
      </c>
      <c r="H142">
        <f t="shared" si="12"/>
        <v>2024</v>
      </c>
      <c r="I142">
        <f t="shared" si="13"/>
        <v>1</v>
      </c>
      <c r="J142">
        <f t="shared" si="14"/>
        <v>-67.959999999999994</v>
      </c>
    </row>
    <row r="143" spans="1:10" ht="12.5" x14ac:dyDescent="0.25">
      <c r="A143" s="1">
        <v>45311</v>
      </c>
      <c r="B143" s="2" t="s">
        <v>9</v>
      </c>
      <c r="C143" s="3">
        <v>8.49</v>
      </c>
      <c r="D143" s="3">
        <v>11</v>
      </c>
      <c r="E143" s="3">
        <v>93.39</v>
      </c>
      <c r="F143" t="str">
        <f t="shared" si="10"/>
        <v>cogs</v>
      </c>
      <c r="G143" s="7" t="str">
        <f t="shared" si="11"/>
        <v>product 3</v>
      </c>
      <c r="H143">
        <f t="shared" si="12"/>
        <v>2024</v>
      </c>
      <c r="I143">
        <f t="shared" si="13"/>
        <v>1</v>
      </c>
      <c r="J143">
        <f t="shared" si="14"/>
        <v>-93.39</v>
      </c>
    </row>
    <row r="144" spans="1:10" ht="12.5" x14ac:dyDescent="0.25">
      <c r="A144" s="1">
        <v>45311</v>
      </c>
      <c r="B144" s="2" t="s">
        <v>10</v>
      </c>
      <c r="C144" s="2" t="s">
        <v>6</v>
      </c>
      <c r="D144" s="2" t="s">
        <v>6</v>
      </c>
      <c r="E144" s="3">
        <v>99.960000000000008</v>
      </c>
      <c r="F144" t="str">
        <f t="shared" si="10"/>
        <v>marketing</v>
      </c>
      <c r="G144" s="7" t="s">
        <v>6</v>
      </c>
      <c r="H144">
        <f t="shared" si="12"/>
        <v>2024</v>
      </c>
      <c r="I144">
        <f t="shared" si="13"/>
        <v>1</v>
      </c>
      <c r="J144">
        <f t="shared" si="14"/>
        <v>-99.960000000000008</v>
      </c>
    </row>
    <row r="145" spans="1:10" ht="12.5" x14ac:dyDescent="0.25">
      <c r="A145" s="1">
        <v>45311</v>
      </c>
      <c r="B145" s="2" t="s">
        <v>11</v>
      </c>
      <c r="C145" s="3">
        <v>9.99</v>
      </c>
      <c r="D145" s="3">
        <v>32</v>
      </c>
      <c r="E145" s="3">
        <v>319.68</v>
      </c>
      <c r="F145" t="str">
        <f t="shared" si="10"/>
        <v>net sales</v>
      </c>
      <c r="G145" s="7" t="str">
        <f t="shared" si="11"/>
        <v>product 1</v>
      </c>
      <c r="H145">
        <f t="shared" si="12"/>
        <v>2024</v>
      </c>
      <c r="I145">
        <f t="shared" si="13"/>
        <v>1</v>
      </c>
      <c r="J145">
        <f t="shared" si="14"/>
        <v>319.68</v>
      </c>
    </row>
    <row r="146" spans="1:10" ht="12.5" x14ac:dyDescent="0.25">
      <c r="A146" s="1">
        <v>45311</v>
      </c>
      <c r="B146" s="2" t="s">
        <v>12</v>
      </c>
      <c r="C146" s="3">
        <v>24.99</v>
      </c>
      <c r="D146" s="3">
        <v>4</v>
      </c>
      <c r="E146" s="3">
        <v>99.96</v>
      </c>
      <c r="F146" t="str">
        <f t="shared" si="10"/>
        <v>net sales</v>
      </c>
      <c r="G146" s="7" t="str">
        <f t="shared" si="11"/>
        <v>product 2</v>
      </c>
      <c r="H146">
        <f t="shared" si="12"/>
        <v>2024</v>
      </c>
      <c r="I146">
        <f t="shared" si="13"/>
        <v>1</v>
      </c>
      <c r="J146">
        <f t="shared" si="14"/>
        <v>99.96</v>
      </c>
    </row>
    <row r="147" spans="1:10" ht="12.5" x14ac:dyDescent="0.25">
      <c r="A147" s="1">
        <v>45311</v>
      </c>
      <c r="B147" s="2" t="s">
        <v>13</v>
      </c>
      <c r="C147" s="3">
        <v>12.49</v>
      </c>
      <c r="D147" s="3">
        <v>11</v>
      </c>
      <c r="E147" s="3">
        <v>137.39000000000001</v>
      </c>
      <c r="F147" t="str">
        <f t="shared" si="10"/>
        <v>net sales</v>
      </c>
      <c r="G147" s="7" t="str">
        <f t="shared" si="11"/>
        <v>product 3</v>
      </c>
      <c r="H147">
        <f t="shared" si="12"/>
        <v>2024</v>
      </c>
      <c r="I147">
        <f t="shared" si="13"/>
        <v>1</v>
      </c>
      <c r="J147">
        <f t="shared" si="14"/>
        <v>137.39000000000001</v>
      </c>
    </row>
    <row r="148" spans="1:10" ht="12.5" x14ac:dyDescent="0.25">
      <c r="A148" s="1">
        <v>45312</v>
      </c>
      <c r="B148" s="2" t="s">
        <v>7</v>
      </c>
      <c r="C148" s="3">
        <v>5.99</v>
      </c>
      <c r="D148" s="3">
        <v>5</v>
      </c>
      <c r="E148" s="3">
        <v>29.950000000000003</v>
      </c>
      <c r="F148" t="str">
        <f t="shared" si="10"/>
        <v>cogs</v>
      </c>
      <c r="G148" s="7" t="str">
        <f t="shared" si="11"/>
        <v>product 1</v>
      </c>
      <c r="H148">
        <f t="shared" si="12"/>
        <v>2024</v>
      </c>
      <c r="I148">
        <f t="shared" si="13"/>
        <v>1</v>
      </c>
      <c r="J148">
        <f t="shared" si="14"/>
        <v>-29.950000000000003</v>
      </c>
    </row>
    <row r="149" spans="1:10" ht="12.5" x14ac:dyDescent="0.25">
      <c r="A149" s="1">
        <v>45312</v>
      </c>
      <c r="B149" s="2" t="s">
        <v>8</v>
      </c>
      <c r="C149" s="3">
        <v>16.989999999999998</v>
      </c>
      <c r="D149" s="3">
        <v>2</v>
      </c>
      <c r="E149" s="3">
        <v>33.979999999999997</v>
      </c>
      <c r="F149" t="str">
        <f t="shared" si="10"/>
        <v>cogs</v>
      </c>
      <c r="G149" s="7" t="str">
        <f t="shared" si="11"/>
        <v>product 2</v>
      </c>
      <c r="H149">
        <f t="shared" si="12"/>
        <v>2024</v>
      </c>
      <c r="I149">
        <f t="shared" si="13"/>
        <v>1</v>
      </c>
      <c r="J149">
        <f t="shared" si="14"/>
        <v>-33.979999999999997</v>
      </c>
    </row>
    <row r="150" spans="1:10" ht="12.5" x14ac:dyDescent="0.25">
      <c r="A150" s="1">
        <v>45312</v>
      </c>
      <c r="B150" s="2" t="s">
        <v>9</v>
      </c>
      <c r="C150" s="3">
        <v>8.49</v>
      </c>
      <c r="D150" s="3">
        <v>10</v>
      </c>
      <c r="E150" s="3">
        <v>84.9</v>
      </c>
      <c r="F150" t="str">
        <f t="shared" si="10"/>
        <v>cogs</v>
      </c>
      <c r="G150" s="7" t="str">
        <f t="shared" si="11"/>
        <v>product 3</v>
      </c>
      <c r="H150">
        <f t="shared" si="12"/>
        <v>2024</v>
      </c>
      <c r="I150">
        <f t="shared" si="13"/>
        <v>1</v>
      </c>
      <c r="J150">
        <f t="shared" si="14"/>
        <v>-84.9</v>
      </c>
    </row>
    <row r="151" spans="1:10" ht="12.5" x14ac:dyDescent="0.25">
      <c r="A151" s="1">
        <v>45312</v>
      </c>
      <c r="B151" s="2" t="s">
        <v>10</v>
      </c>
      <c r="C151" s="2" t="s">
        <v>6</v>
      </c>
      <c r="D151" s="2" t="s">
        <v>6</v>
      </c>
      <c r="E151" s="3">
        <v>100.03</v>
      </c>
      <c r="F151" t="str">
        <f t="shared" si="10"/>
        <v>marketing</v>
      </c>
      <c r="G151" s="7" t="s">
        <v>6</v>
      </c>
      <c r="H151">
        <f t="shared" si="12"/>
        <v>2024</v>
      </c>
      <c r="I151">
        <f t="shared" si="13"/>
        <v>1</v>
      </c>
      <c r="J151">
        <f t="shared" si="14"/>
        <v>-100.03</v>
      </c>
    </row>
    <row r="152" spans="1:10" ht="12.5" x14ac:dyDescent="0.25">
      <c r="A152" s="1">
        <v>45312</v>
      </c>
      <c r="B152" s="2" t="s">
        <v>11</v>
      </c>
      <c r="C152" s="3">
        <v>9.99</v>
      </c>
      <c r="D152" s="3">
        <v>5</v>
      </c>
      <c r="E152" s="3">
        <v>49.95</v>
      </c>
      <c r="F152" t="str">
        <f t="shared" si="10"/>
        <v>net sales</v>
      </c>
      <c r="G152" s="7" t="str">
        <f t="shared" si="11"/>
        <v>product 1</v>
      </c>
      <c r="H152">
        <f t="shared" si="12"/>
        <v>2024</v>
      </c>
      <c r="I152">
        <f t="shared" si="13"/>
        <v>1</v>
      </c>
      <c r="J152">
        <f t="shared" si="14"/>
        <v>49.95</v>
      </c>
    </row>
    <row r="153" spans="1:10" ht="12.5" x14ac:dyDescent="0.25">
      <c r="A153" s="1">
        <v>45312</v>
      </c>
      <c r="B153" s="2" t="s">
        <v>12</v>
      </c>
      <c r="C153" s="3">
        <v>24.99</v>
      </c>
      <c r="D153" s="3">
        <v>2</v>
      </c>
      <c r="E153" s="3">
        <v>49.98</v>
      </c>
      <c r="F153" t="str">
        <f t="shared" si="10"/>
        <v>net sales</v>
      </c>
      <c r="G153" s="7" t="str">
        <f t="shared" si="11"/>
        <v>product 2</v>
      </c>
      <c r="H153">
        <f t="shared" si="12"/>
        <v>2024</v>
      </c>
      <c r="I153">
        <f t="shared" si="13"/>
        <v>1</v>
      </c>
      <c r="J153">
        <f t="shared" si="14"/>
        <v>49.98</v>
      </c>
    </row>
    <row r="154" spans="1:10" ht="12.5" x14ac:dyDescent="0.25">
      <c r="A154" s="1">
        <v>45312</v>
      </c>
      <c r="B154" s="2" t="s">
        <v>13</v>
      </c>
      <c r="C154" s="3">
        <v>12.49</v>
      </c>
      <c r="D154" s="3">
        <v>10</v>
      </c>
      <c r="E154" s="3">
        <v>124.9</v>
      </c>
      <c r="F154" t="str">
        <f t="shared" si="10"/>
        <v>net sales</v>
      </c>
      <c r="G154" s="7" t="str">
        <f t="shared" si="11"/>
        <v>product 3</v>
      </c>
      <c r="H154">
        <f t="shared" si="12"/>
        <v>2024</v>
      </c>
      <c r="I154">
        <f t="shared" si="13"/>
        <v>1</v>
      </c>
      <c r="J154">
        <f t="shared" si="14"/>
        <v>124.9</v>
      </c>
    </row>
    <row r="155" spans="1:10" ht="12.5" x14ac:dyDescent="0.25">
      <c r="A155" s="1">
        <v>45313</v>
      </c>
      <c r="B155" s="2" t="s">
        <v>7</v>
      </c>
      <c r="C155" s="3">
        <v>5.99</v>
      </c>
      <c r="D155" s="3">
        <v>68</v>
      </c>
      <c r="E155" s="3">
        <v>407.32</v>
      </c>
      <c r="F155" t="str">
        <f t="shared" si="10"/>
        <v>cogs</v>
      </c>
      <c r="G155" s="7" t="str">
        <f t="shared" si="11"/>
        <v>product 1</v>
      </c>
      <c r="H155">
        <f t="shared" si="12"/>
        <v>2024</v>
      </c>
      <c r="I155">
        <f t="shared" si="13"/>
        <v>1</v>
      </c>
      <c r="J155">
        <f t="shared" si="14"/>
        <v>-407.32</v>
      </c>
    </row>
    <row r="156" spans="1:10" ht="12.5" x14ac:dyDescent="0.25">
      <c r="A156" s="1">
        <v>45313</v>
      </c>
      <c r="B156" s="2" t="s">
        <v>8</v>
      </c>
      <c r="C156" s="3">
        <v>16.989999999999998</v>
      </c>
      <c r="D156" s="3">
        <v>6</v>
      </c>
      <c r="E156" s="3">
        <v>101.94</v>
      </c>
      <c r="F156" t="str">
        <f t="shared" si="10"/>
        <v>cogs</v>
      </c>
      <c r="G156" s="7" t="str">
        <f t="shared" si="11"/>
        <v>product 2</v>
      </c>
      <c r="H156">
        <f t="shared" si="12"/>
        <v>2024</v>
      </c>
      <c r="I156">
        <f t="shared" si="13"/>
        <v>1</v>
      </c>
      <c r="J156">
        <f t="shared" si="14"/>
        <v>-101.94</v>
      </c>
    </row>
    <row r="157" spans="1:10" ht="12.5" x14ac:dyDescent="0.25">
      <c r="A157" s="1">
        <v>45313</v>
      </c>
      <c r="B157" s="2" t="s">
        <v>9</v>
      </c>
      <c r="C157" s="3">
        <v>8.49</v>
      </c>
      <c r="D157" s="3">
        <v>246</v>
      </c>
      <c r="E157" s="3">
        <v>2088.54</v>
      </c>
      <c r="F157" t="str">
        <f t="shared" si="10"/>
        <v>cogs</v>
      </c>
      <c r="G157" s="7" t="str">
        <f t="shared" si="11"/>
        <v>product 3</v>
      </c>
      <c r="H157">
        <f t="shared" si="12"/>
        <v>2024</v>
      </c>
      <c r="I157">
        <f t="shared" si="13"/>
        <v>1</v>
      </c>
      <c r="J157">
        <f t="shared" si="14"/>
        <v>-2088.54</v>
      </c>
    </row>
    <row r="158" spans="1:10" ht="12.5" x14ac:dyDescent="0.25">
      <c r="A158" s="1">
        <v>45313</v>
      </c>
      <c r="B158" s="2" t="s">
        <v>10</v>
      </c>
      <c r="C158" s="2" t="s">
        <v>6</v>
      </c>
      <c r="D158" s="2" t="s">
        <v>6</v>
      </c>
      <c r="E158" s="3">
        <v>99.97</v>
      </c>
      <c r="F158" t="str">
        <f t="shared" si="10"/>
        <v>marketing</v>
      </c>
      <c r="G158" s="7" t="s">
        <v>6</v>
      </c>
      <c r="H158">
        <f t="shared" si="12"/>
        <v>2024</v>
      </c>
      <c r="I158">
        <f t="shared" si="13"/>
        <v>1</v>
      </c>
      <c r="J158">
        <f t="shared" si="14"/>
        <v>-99.97</v>
      </c>
    </row>
    <row r="159" spans="1:10" ht="12.5" x14ac:dyDescent="0.25">
      <c r="A159" s="1">
        <v>45313</v>
      </c>
      <c r="B159" s="2" t="s">
        <v>11</v>
      </c>
      <c r="C159" s="3">
        <v>9.99</v>
      </c>
      <c r="D159" s="3">
        <v>68</v>
      </c>
      <c r="E159" s="3">
        <v>679.32</v>
      </c>
      <c r="F159" t="str">
        <f t="shared" si="10"/>
        <v>net sales</v>
      </c>
      <c r="G159" s="7" t="str">
        <f t="shared" si="11"/>
        <v>product 1</v>
      </c>
      <c r="H159">
        <f t="shared" si="12"/>
        <v>2024</v>
      </c>
      <c r="I159">
        <f t="shared" si="13"/>
        <v>1</v>
      </c>
      <c r="J159">
        <f t="shared" si="14"/>
        <v>679.32</v>
      </c>
    </row>
    <row r="160" spans="1:10" ht="12.5" x14ac:dyDescent="0.25">
      <c r="A160" s="1">
        <v>45313</v>
      </c>
      <c r="B160" s="2" t="s">
        <v>12</v>
      </c>
      <c r="C160" s="3">
        <v>24.99</v>
      </c>
      <c r="D160" s="3">
        <v>6</v>
      </c>
      <c r="E160" s="3">
        <v>149.94</v>
      </c>
      <c r="F160" t="str">
        <f t="shared" si="10"/>
        <v>net sales</v>
      </c>
      <c r="G160" s="7" t="str">
        <f t="shared" si="11"/>
        <v>product 2</v>
      </c>
      <c r="H160">
        <f t="shared" si="12"/>
        <v>2024</v>
      </c>
      <c r="I160">
        <f t="shared" si="13"/>
        <v>1</v>
      </c>
      <c r="J160">
        <f t="shared" si="14"/>
        <v>149.94</v>
      </c>
    </row>
    <row r="161" spans="1:10" ht="12.5" x14ac:dyDescent="0.25">
      <c r="A161" s="1">
        <v>45313</v>
      </c>
      <c r="B161" s="2" t="s">
        <v>13</v>
      </c>
      <c r="C161" s="3">
        <v>12.49</v>
      </c>
      <c r="D161" s="3">
        <v>246</v>
      </c>
      <c r="E161" s="3">
        <v>3072.54</v>
      </c>
      <c r="F161" t="str">
        <f t="shared" si="10"/>
        <v>net sales</v>
      </c>
      <c r="G161" s="7" t="str">
        <f t="shared" si="11"/>
        <v>product 3</v>
      </c>
      <c r="H161">
        <f t="shared" si="12"/>
        <v>2024</v>
      </c>
      <c r="I161">
        <f t="shared" si="13"/>
        <v>1</v>
      </c>
      <c r="J161">
        <f t="shared" si="14"/>
        <v>3072.54</v>
      </c>
    </row>
    <row r="162" spans="1:10" ht="12.5" x14ac:dyDescent="0.25">
      <c r="A162" s="1">
        <v>45314</v>
      </c>
      <c r="B162" s="2" t="s">
        <v>7</v>
      </c>
      <c r="C162" s="3">
        <v>5.99</v>
      </c>
      <c r="D162" s="3">
        <v>62</v>
      </c>
      <c r="E162" s="3">
        <v>371.38</v>
      </c>
      <c r="F162" t="str">
        <f t="shared" si="10"/>
        <v>cogs</v>
      </c>
      <c r="G162" s="7" t="str">
        <f t="shared" si="11"/>
        <v>product 1</v>
      </c>
      <c r="H162">
        <f t="shared" si="12"/>
        <v>2024</v>
      </c>
      <c r="I162">
        <f t="shared" si="13"/>
        <v>1</v>
      </c>
      <c r="J162">
        <f t="shared" si="14"/>
        <v>-371.38</v>
      </c>
    </row>
    <row r="163" spans="1:10" ht="12.5" x14ac:dyDescent="0.25">
      <c r="A163" s="1">
        <v>45314</v>
      </c>
      <c r="B163" s="2" t="s">
        <v>8</v>
      </c>
      <c r="C163" s="3">
        <v>16.989999999999998</v>
      </c>
      <c r="D163" s="3">
        <v>3</v>
      </c>
      <c r="E163" s="3">
        <v>50.97</v>
      </c>
      <c r="F163" t="str">
        <f t="shared" si="10"/>
        <v>cogs</v>
      </c>
      <c r="G163" s="7" t="str">
        <f t="shared" si="11"/>
        <v>product 2</v>
      </c>
      <c r="H163">
        <f t="shared" si="12"/>
        <v>2024</v>
      </c>
      <c r="I163">
        <f t="shared" si="13"/>
        <v>1</v>
      </c>
      <c r="J163">
        <f t="shared" si="14"/>
        <v>-50.97</v>
      </c>
    </row>
    <row r="164" spans="1:10" ht="12.5" x14ac:dyDescent="0.25">
      <c r="A164" s="1">
        <v>45314</v>
      </c>
      <c r="B164" s="2" t="s">
        <v>9</v>
      </c>
      <c r="C164" s="3">
        <v>8.49</v>
      </c>
      <c r="D164" s="3">
        <v>233</v>
      </c>
      <c r="E164" s="3">
        <v>1978.17</v>
      </c>
      <c r="F164" t="str">
        <f t="shared" si="10"/>
        <v>cogs</v>
      </c>
      <c r="G164" s="7" t="str">
        <f t="shared" si="11"/>
        <v>product 3</v>
      </c>
      <c r="H164">
        <f t="shared" si="12"/>
        <v>2024</v>
      </c>
      <c r="I164">
        <f t="shared" si="13"/>
        <v>1</v>
      </c>
      <c r="J164">
        <f t="shared" si="14"/>
        <v>-1978.17</v>
      </c>
    </row>
    <row r="165" spans="1:10" ht="12.5" x14ac:dyDescent="0.25">
      <c r="A165" s="1">
        <v>45314</v>
      </c>
      <c r="B165" s="2" t="s">
        <v>10</v>
      </c>
      <c r="C165" s="2" t="s">
        <v>6</v>
      </c>
      <c r="D165" s="2" t="s">
        <v>6</v>
      </c>
      <c r="E165" s="3">
        <v>99.94</v>
      </c>
      <c r="F165" t="str">
        <f t="shared" si="10"/>
        <v>marketing</v>
      </c>
      <c r="G165" s="7" t="s">
        <v>6</v>
      </c>
      <c r="H165">
        <f t="shared" si="12"/>
        <v>2024</v>
      </c>
      <c r="I165">
        <f t="shared" si="13"/>
        <v>1</v>
      </c>
      <c r="J165">
        <f t="shared" si="14"/>
        <v>-99.94</v>
      </c>
    </row>
    <row r="166" spans="1:10" ht="12.5" x14ac:dyDescent="0.25">
      <c r="A166" s="1">
        <v>45314</v>
      </c>
      <c r="B166" s="2" t="s">
        <v>11</v>
      </c>
      <c r="C166" s="3">
        <v>9.99</v>
      </c>
      <c r="D166" s="3">
        <v>62</v>
      </c>
      <c r="E166" s="3">
        <v>619.38</v>
      </c>
      <c r="F166" t="str">
        <f t="shared" si="10"/>
        <v>net sales</v>
      </c>
      <c r="G166" s="7" t="str">
        <f t="shared" si="11"/>
        <v>product 1</v>
      </c>
      <c r="H166">
        <f t="shared" si="12"/>
        <v>2024</v>
      </c>
      <c r="I166">
        <f t="shared" si="13"/>
        <v>1</v>
      </c>
      <c r="J166">
        <f t="shared" si="14"/>
        <v>619.38</v>
      </c>
    </row>
    <row r="167" spans="1:10" ht="12.5" x14ac:dyDescent="0.25">
      <c r="A167" s="1">
        <v>45314</v>
      </c>
      <c r="B167" s="2" t="s">
        <v>12</v>
      </c>
      <c r="C167" s="3">
        <v>24.99</v>
      </c>
      <c r="D167" s="3">
        <v>3</v>
      </c>
      <c r="E167" s="3">
        <v>74.97</v>
      </c>
      <c r="F167" t="str">
        <f t="shared" si="10"/>
        <v>net sales</v>
      </c>
      <c r="G167" s="7" t="str">
        <f t="shared" si="11"/>
        <v>product 2</v>
      </c>
      <c r="H167">
        <f t="shared" si="12"/>
        <v>2024</v>
      </c>
      <c r="I167">
        <f t="shared" si="13"/>
        <v>1</v>
      </c>
      <c r="J167">
        <f t="shared" si="14"/>
        <v>74.97</v>
      </c>
    </row>
    <row r="168" spans="1:10" ht="12.5" x14ac:dyDescent="0.25">
      <c r="A168" s="1">
        <v>45314</v>
      </c>
      <c r="B168" s="2" t="s">
        <v>13</v>
      </c>
      <c r="C168" s="3">
        <v>12.49</v>
      </c>
      <c r="D168" s="3">
        <v>233</v>
      </c>
      <c r="E168" s="3">
        <v>2910.17</v>
      </c>
      <c r="F168" t="str">
        <f t="shared" si="10"/>
        <v>net sales</v>
      </c>
      <c r="G168" s="7" t="str">
        <f t="shared" si="11"/>
        <v>product 3</v>
      </c>
      <c r="H168">
        <f t="shared" si="12"/>
        <v>2024</v>
      </c>
      <c r="I168">
        <f t="shared" si="13"/>
        <v>1</v>
      </c>
      <c r="J168">
        <f t="shared" si="14"/>
        <v>2910.17</v>
      </c>
    </row>
    <row r="169" spans="1:10" ht="12.5" x14ac:dyDescent="0.25">
      <c r="A169" s="1">
        <v>45315</v>
      </c>
      <c r="B169" s="2" t="s">
        <v>7</v>
      </c>
      <c r="C169" s="3">
        <v>5.99</v>
      </c>
      <c r="D169" s="3">
        <v>90</v>
      </c>
      <c r="E169" s="3">
        <v>539.1</v>
      </c>
      <c r="F169" t="str">
        <f t="shared" si="10"/>
        <v>cogs</v>
      </c>
      <c r="G169" s="7" t="str">
        <f t="shared" si="11"/>
        <v>product 1</v>
      </c>
      <c r="H169">
        <f t="shared" si="12"/>
        <v>2024</v>
      </c>
      <c r="I169">
        <f t="shared" si="13"/>
        <v>1</v>
      </c>
      <c r="J169">
        <f t="shared" si="14"/>
        <v>-539.1</v>
      </c>
    </row>
    <row r="170" spans="1:10" ht="12.5" x14ac:dyDescent="0.25">
      <c r="A170" s="1">
        <v>45315</v>
      </c>
      <c r="B170" s="2" t="s">
        <v>8</v>
      </c>
      <c r="C170" s="3">
        <v>16.989999999999998</v>
      </c>
      <c r="D170" s="3">
        <v>4</v>
      </c>
      <c r="E170" s="3">
        <v>67.959999999999994</v>
      </c>
      <c r="F170" t="str">
        <f t="shared" si="10"/>
        <v>cogs</v>
      </c>
      <c r="G170" s="7" t="str">
        <f t="shared" si="11"/>
        <v>product 2</v>
      </c>
      <c r="H170">
        <f t="shared" si="12"/>
        <v>2024</v>
      </c>
      <c r="I170">
        <f t="shared" si="13"/>
        <v>1</v>
      </c>
      <c r="J170">
        <f t="shared" si="14"/>
        <v>-67.959999999999994</v>
      </c>
    </row>
    <row r="171" spans="1:10" ht="12.5" x14ac:dyDescent="0.25">
      <c r="A171" s="1">
        <v>45315</v>
      </c>
      <c r="B171" s="2" t="s">
        <v>9</v>
      </c>
      <c r="C171" s="3">
        <v>8.49</v>
      </c>
      <c r="D171" s="3">
        <v>21</v>
      </c>
      <c r="E171" s="3">
        <v>178.29</v>
      </c>
      <c r="F171" t="str">
        <f t="shared" si="10"/>
        <v>cogs</v>
      </c>
      <c r="G171" s="7" t="str">
        <f t="shared" si="11"/>
        <v>product 3</v>
      </c>
      <c r="H171">
        <f t="shared" si="12"/>
        <v>2024</v>
      </c>
      <c r="I171">
        <f t="shared" si="13"/>
        <v>1</v>
      </c>
      <c r="J171">
        <f t="shared" si="14"/>
        <v>-178.29</v>
      </c>
    </row>
    <row r="172" spans="1:10" ht="12.5" x14ac:dyDescent="0.25">
      <c r="A172" s="1">
        <v>45315</v>
      </c>
      <c r="B172" s="2" t="s">
        <v>10</v>
      </c>
      <c r="C172" s="2" t="s">
        <v>6</v>
      </c>
      <c r="D172" s="2" t="s">
        <v>6</v>
      </c>
      <c r="E172" s="3">
        <v>99.93</v>
      </c>
      <c r="F172" t="str">
        <f t="shared" si="10"/>
        <v>marketing</v>
      </c>
      <c r="G172" s="7" t="s">
        <v>6</v>
      </c>
      <c r="H172">
        <f t="shared" si="12"/>
        <v>2024</v>
      </c>
      <c r="I172">
        <f t="shared" si="13"/>
        <v>1</v>
      </c>
      <c r="J172">
        <f t="shared" si="14"/>
        <v>-99.93</v>
      </c>
    </row>
    <row r="173" spans="1:10" ht="12.5" x14ac:dyDescent="0.25">
      <c r="A173" s="1">
        <v>45315</v>
      </c>
      <c r="B173" s="2" t="s">
        <v>11</v>
      </c>
      <c r="C173" s="3">
        <v>9.99</v>
      </c>
      <c r="D173" s="3">
        <v>90</v>
      </c>
      <c r="E173" s="3">
        <v>899.1</v>
      </c>
      <c r="F173" t="str">
        <f t="shared" si="10"/>
        <v>net sales</v>
      </c>
      <c r="G173" s="7" t="str">
        <f t="shared" si="11"/>
        <v>product 1</v>
      </c>
      <c r="H173">
        <f t="shared" si="12"/>
        <v>2024</v>
      </c>
      <c r="I173">
        <f t="shared" si="13"/>
        <v>1</v>
      </c>
      <c r="J173">
        <f t="shared" si="14"/>
        <v>899.1</v>
      </c>
    </row>
    <row r="174" spans="1:10" ht="12.5" x14ac:dyDescent="0.25">
      <c r="A174" s="1">
        <v>45315</v>
      </c>
      <c r="B174" s="2" t="s">
        <v>12</v>
      </c>
      <c r="C174" s="3">
        <v>24.99</v>
      </c>
      <c r="D174" s="3">
        <v>4</v>
      </c>
      <c r="E174" s="3">
        <v>99.96</v>
      </c>
      <c r="F174" t="str">
        <f t="shared" si="10"/>
        <v>net sales</v>
      </c>
      <c r="G174" s="7" t="str">
        <f t="shared" si="11"/>
        <v>product 2</v>
      </c>
      <c r="H174">
        <f t="shared" si="12"/>
        <v>2024</v>
      </c>
      <c r="I174">
        <f t="shared" si="13"/>
        <v>1</v>
      </c>
      <c r="J174">
        <f t="shared" si="14"/>
        <v>99.96</v>
      </c>
    </row>
    <row r="175" spans="1:10" ht="12.5" x14ac:dyDescent="0.25">
      <c r="A175" s="1">
        <v>45315</v>
      </c>
      <c r="B175" s="2" t="s">
        <v>13</v>
      </c>
      <c r="C175" s="3">
        <v>12.49</v>
      </c>
      <c r="D175" s="3">
        <v>21</v>
      </c>
      <c r="E175" s="3">
        <v>262.29000000000002</v>
      </c>
      <c r="F175" t="str">
        <f t="shared" si="10"/>
        <v>net sales</v>
      </c>
      <c r="G175" s="7" t="str">
        <f t="shared" si="11"/>
        <v>product 3</v>
      </c>
      <c r="H175">
        <f t="shared" si="12"/>
        <v>2024</v>
      </c>
      <c r="I175">
        <f t="shared" si="13"/>
        <v>1</v>
      </c>
      <c r="J175">
        <f t="shared" si="14"/>
        <v>262.29000000000002</v>
      </c>
    </row>
    <row r="176" spans="1:10" ht="12.5" x14ac:dyDescent="0.25">
      <c r="A176" s="1">
        <v>45316</v>
      </c>
      <c r="B176" s="2" t="s">
        <v>7</v>
      </c>
      <c r="C176" s="3">
        <v>5.99</v>
      </c>
      <c r="D176" s="3">
        <v>39</v>
      </c>
      <c r="E176" s="3">
        <v>233.61</v>
      </c>
      <c r="F176" t="str">
        <f t="shared" si="10"/>
        <v>cogs</v>
      </c>
      <c r="G176" s="7" t="str">
        <f t="shared" si="11"/>
        <v>product 1</v>
      </c>
      <c r="H176">
        <f t="shared" si="12"/>
        <v>2024</v>
      </c>
      <c r="I176">
        <f t="shared" si="13"/>
        <v>1</v>
      </c>
      <c r="J176">
        <f t="shared" si="14"/>
        <v>-233.61</v>
      </c>
    </row>
    <row r="177" spans="1:10" ht="12.5" x14ac:dyDescent="0.25">
      <c r="A177" s="1">
        <v>45316</v>
      </c>
      <c r="B177" s="2" t="s">
        <v>8</v>
      </c>
      <c r="C177" s="3">
        <v>16.989999999999998</v>
      </c>
      <c r="D177" s="3">
        <v>3</v>
      </c>
      <c r="E177" s="3">
        <v>50.97</v>
      </c>
      <c r="F177" t="str">
        <f t="shared" si="10"/>
        <v>cogs</v>
      </c>
      <c r="G177" s="7" t="str">
        <f t="shared" si="11"/>
        <v>product 2</v>
      </c>
      <c r="H177">
        <f t="shared" si="12"/>
        <v>2024</v>
      </c>
      <c r="I177">
        <f t="shared" si="13"/>
        <v>1</v>
      </c>
      <c r="J177">
        <f t="shared" si="14"/>
        <v>-50.97</v>
      </c>
    </row>
    <row r="178" spans="1:10" ht="12.5" x14ac:dyDescent="0.25">
      <c r="A178" s="1">
        <v>45316</v>
      </c>
      <c r="B178" s="2" t="s">
        <v>9</v>
      </c>
      <c r="C178" s="3">
        <v>8.49</v>
      </c>
      <c r="D178" s="3">
        <v>39</v>
      </c>
      <c r="E178" s="3">
        <v>331.11</v>
      </c>
      <c r="F178" t="str">
        <f t="shared" si="10"/>
        <v>cogs</v>
      </c>
      <c r="G178" s="7" t="str">
        <f t="shared" si="11"/>
        <v>product 3</v>
      </c>
      <c r="H178">
        <f t="shared" si="12"/>
        <v>2024</v>
      </c>
      <c r="I178">
        <f t="shared" si="13"/>
        <v>1</v>
      </c>
      <c r="J178">
        <f t="shared" si="14"/>
        <v>-331.11</v>
      </c>
    </row>
    <row r="179" spans="1:10" ht="12.5" x14ac:dyDescent="0.25">
      <c r="A179" s="1">
        <v>45316</v>
      </c>
      <c r="B179" s="2" t="s">
        <v>10</v>
      </c>
      <c r="C179" s="2" t="s">
        <v>6</v>
      </c>
      <c r="D179" s="2" t="s">
        <v>6</v>
      </c>
      <c r="E179" s="3">
        <v>99.92</v>
      </c>
      <c r="F179" t="str">
        <f t="shared" si="10"/>
        <v>marketing</v>
      </c>
      <c r="G179" s="7" t="s">
        <v>6</v>
      </c>
      <c r="H179">
        <f t="shared" si="12"/>
        <v>2024</v>
      </c>
      <c r="I179">
        <f t="shared" si="13"/>
        <v>1</v>
      </c>
      <c r="J179">
        <f t="shared" si="14"/>
        <v>-99.92</v>
      </c>
    </row>
    <row r="180" spans="1:10" ht="12.5" x14ac:dyDescent="0.25">
      <c r="A180" s="1">
        <v>45316</v>
      </c>
      <c r="B180" s="2" t="s">
        <v>11</v>
      </c>
      <c r="C180" s="3">
        <v>9.99</v>
      </c>
      <c r="D180" s="3">
        <v>39</v>
      </c>
      <c r="E180" s="3">
        <v>389.61</v>
      </c>
      <c r="F180" t="str">
        <f t="shared" si="10"/>
        <v>net sales</v>
      </c>
      <c r="G180" s="7" t="str">
        <f t="shared" si="11"/>
        <v>product 1</v>
      </c>
      <c r="H180">
        <f t="shared" si="12"/>
        <v>2024</v>
      </c>
      <c r="I180">
        <f t="shared" si="13"/>
        <v>1</v>
      </c>
      <c r="J180">
        <f t="shared" si="14"/>
        <v>389.61</v>
      </c>
    </row>
    <row r="181" spans="1:10" ht="12.5" x14ac:dyDescent="0.25">
      <c r="A181" s="1">
        <v>45316</v>
      </c>
      <c r="B181" s="2" t="s">
        <v>12</v>
      </c>
      <c r="C181" s="3">
        <v>24.99</v>
      </c>
      <c r="D181" s="3">
        <v>3</v>
      </c>
      <c r="E181" s="3">
        <v>74.97</v>
      </c>
      <c r="F181" t="str">
        <f t="shared" si="10"/>
        <v>net sales</v>
      </c>
      <c r="G181" s="7" t="str">
        <f t="shared" si="11"/>
        <v>product 2</v>
      </c>
      <c r="H181">
        <f t="shared" si="12"/>
        <v>2024</v>
      </c>
      <c r="I181">
        <f t="shared" si="13"/>
        <v>1</v>
      </c>
      <c r="J181">
        <f t="shared" si="14"/>
        <v>74.97</v>
      </c>
    </row>
    <row r="182" spans="1:10" ht="12.5" x14ac:dyDescent="0.25">
      <c r="A182" s="1">
        <v>45316</v>
      </c>
      <c r="B182" s="2" t="s">
        <v>13</v>
      </c>
      <c r="C182" s="3">
        <v>12.49</v>
      </c>
      <c r="D182" s="3">
        <v>39</v>
      </c>
      <c r="E182" s="3">
        <v>487.11</v>
      </c>
      <c r="F182" t="str">
        <f t="shared" si="10"/>
        <v>net sales</v>
      </c>
      <c r="G182" s="7" t="str">
        <f t="shared" si="11"/>
        <v>product 3</v>
      </c>
      <c r="H182">
        <f t="shared" si="12"/>
        <v>2024</v>
      </c>
      <c r="I182">
        <f t="shared" si="13"/>
        <v>1</v>
      </c>
      <c r="J182">
        <f t="shared" si="14"/>
        <v>487.11</v>
      </c>
    </row>
    <row r="183" spans="1:10" ht="12.5" x14ac:dyDescent="0.25">
      <c r="A183" s="1">
        <v>45317</v>
      </c>
      <c r="B183" s="2" t="s">
        <v>7</v>
      </c>
      <c r="C183" s="3">
        <v>5.99</v>
      </c>
      <c r="D183" s="3">
        <v>21</v>
      </c>
      <c r="E183" s="3">
        <v>125.79</v>
      </c>
      <c r="F183" t="str">
        <f t="shared" si="10"/>
        <v>cogs</v>
      </c>
      <c r="G183" s="7" t="str">
        <f t="shared" si="11"/>
        <v>product 1</v>
      </c>
      <c r="H183">
        <f t="shared" si="12"/>
        <v>2024</v>
      </c>
      <c r="I183">
        <f t="shared" si="13"/>
        <v>1</v>
      </c>
      <c r="J183">
        <f t="shared" si="14"/>
        <v>-125.79</v>
      </c>
    </row>
    <row r="184" spans="1:10" ht="12.5" x14ac:dyDescent="0.25">
      <c r="A184" s="1">
        <v>45317</v>
      </c>
      <c r="B184" s="2" t="s">
        <v>8</v>
      </c>
      <c r="C184" s="3">
        <v>16.989999999999998</v>
      </c>
      <c r="D184" s="3">
        <v>0</v>
      </c>
      <c r="E184" s="2">
        <f>C184*D184</f>
        <v>0</v>
      </c>
      <c r="F184" t="str">
        <f t="shared" si="10"/>
        <v>cogs</v>
      </c>
      <c r="G184" s="7" t="str">
        <f t="shared" si="11"/>
        <v>product 2</v>
      </c>
      <c r="H184">
        <f t="shared" si="12"/>
        <v>2024</v>
      </c>
      <c r="I184">
        <f t="shared" si="13"/>
        <v>1</v>
      </c>
      <c r="J184">
        <f t="shared" si="14"/>
        <v>0</v>
      </c>
    </row>
    <row r="185" spans="1:10" ht="12.5" x14ac:dyDescent="0.25">
      <c r="A185" s="1">
        <v>45317</v>
      </c>
      <c r="B185" s="2" t="s">
        <v>9</v>
      </c>
      <c r="C185" s="3">
        <v>8.49</v>
      </c>
      <c r="D185" s="3">
        <v>137</v>
      </c>
      <c r="E185" s="3">
        <v>1163.1300000000001</v>
      </c>
      <c r="F185" t="str">
        <f t="shared" si="10"/>
        <v>cogs</v>
      </c>
      <c r="G185" s="7" t="str">
        <f t="shared" si="11"/>
        <v>product 3</v>
      </c>
      <c r="H185">
        <f t="shared" si="12"/>
        <v>2024</v>
      </c>
      <c r="I185">
        <f t="shared" si="13"/>
        <v>1</v>
      </c>
      <c r="J185">
        <f t="shared" si="14"/>
        <v>-1163.1300000000001</v>
      </c>
    </row>
    <row r="186" spans="1:10" ht="12.5" x14ac:dyDescent="0.25">
      <c r="A186" s="1">
        <v>45317</v>
      </c>
      <c r="B186" s="2" t="s">
        <v>10</v>
      </c>
      <c r="C186" s="2" t="s">
        <v>6</v>
      </c>
      <c r="D186" s="2" t="s">
        <v>6</v>
      </c>
      <c r="E186" s="3">
        <v>99.95</v>
      </c>
      <c r="F186" t="str">
        <f t="shared" si="10"/>
        <v>marketing</v>
      </c>
      <c r="G186" s="7" t="s">
        <v>6</v>
      </c>
      <c r="H186">
        <f t="shared" si="12"/>
        <v>2024</v>
      </c>
      <c r="I186">
        <f t="shared" si="13"/>
        <v>1</v>
      </c>
      <c r="J186">
        <f t="shared" si="14"/>
        <v>-99.95</v>
      </c>
    </row>
    <row r="187" spans="1:10" ht="12.5" x14ac:dyDescent="0.25">
      <c r="A187" s="1">
        <v>45317</v>
      </c>
      <c r="B187" s="2" t="s">
        <v>11</v>
      </c>
      <c r="C187" s="3">
        <v>9.99</v>
      </c>
      <c r="D187" s="3">
        <v>21</v>
      </c>
      <c r="E187" s="3">
        <v>209.79</v>
      </c>
      <c r="F187" t="str">
        <f t="shared" si="10"/>
        <v>net sales</v>
      </c>
      <c r="G187" s="7" t="str">
        <f t="shared" si="11"/>
        <v>product 1</v>
      </c>
      <c r="H187">
        <f t="shared" si="12"/>
        <v>2024</v>
      </c>
      <c r="I187">
        <f t="shared" si="13"/>
        <v>1</v>
      </c>
      <c r="J187">
        <f t="shared" si="14"/>
        <v>209.79</v>
      </c>
    </row>
    <row r="188" spans="1:10" ht="12.5" x14ac:dyDescent="0.25">
      <c r="A188" s="1">
        <v>45317</v>
      </c>
      <c r="B188" s="2" t="s">
        <v>12</v>
      </c>
      <c r="C188" s="3">
        <v>24.99</v>
      </c>
      <c r="D188" s="3">
        <v>0</v>
      </c>
      <c r="E188" s="2">
        <f>C188*D188</f>
        <v>0</v>
      </c>
      <c r="F188" t="str">
        <f t="shared" si="10"/>
        <v>net sales</v>
      </c>
      <c r="G188" s="7" t="str">
        <f t="shared" si="11"/>
        <v>product 2</v>
      </c>
      <c r="H188">
        <f t="shared" si="12"/>
        <v>2024</v>
      </c>
      <c r="I188">
        <f t="shared" si="13"/>
        <v>1</v>
      </c>
      <c r="J188">
        <f t="shared" si="14"/>
        <v>0</v>
      </c>
    </row>
    <row r="189" spans="1:10" ht="12.5" x14ac:dyDescent="0.25">
      <c r="A189" s="1">
        <v>45317</v>
      </c>
      <c r="B189" s="2" t="s">
        <v>13</v>
      </c>
      <c r="C189" s="3">
        <v>12.49</v>
      </c>
      <c r="D189" s="3">
        <v>137</v>
      </c>
      <c r="E189" s="3">
        <v>1711.13</v>
      </c>
      <c r="F189" t="str">
        <f t="shared" si="10"/>
        <v>net sales</v>
      </c>
      <c r="G189" s="7" t="str">
        <f t="shared" si="11"/>
        <v>product 3</v>
      </c>
      <c r="H189">
        <f t="shared" si="12"/>
        <v>2024</v>
      </c>
      <c r="I189">
        <f t="shared" si="13"/>
        <v>1</v>
      </c>
      <c r="J189">
        <f t="shared" si="14"/>
        <v>1711.13</v>
      </c>
    </row>
    <row r="190" spans="1:10" ht="12.5" x14ac:dyDescent="0.25">
      <c r="A190" s="1">
        <v>45318</v>
      </c>
      <c r="B190" s="2" t="s">
        <v>7</v>
      </c>
      <c r="C190" s="3">
        <v>5.99</v>
      </c>
      <c r="D190" s="3">
        <v>91</v>
      </c>
      <c r="E190" s="3">
        <v>545.09</v>
      </c>
      <c r="F190" t="str">
        <f t="shared" si="10"/>
        <v>cogs</v>
      </c>
      <c r="G190" s="7" t="str">
        <f t="shared" si="11"/>
        <v>product 1</v>
      </c>
      <c r="H190">
        <f t="shared" si="12"/>
        <v>2024</v>
      </c>
      <c r="I190">
        <f t="shared" si="13"/>
        <v>1</v>
      </c>
      <c r="J190">
        <f t="shared" si="14"/>
        <v>-545.09</v>
      </c>
    </row>
    <row r="191" spans="1:10" ht="12.5" x14ac:dyDescent="0.25">
      <c r="A191" s="1">
        <v>45318</v>
      </c>
      <c r="B191" s="2" t="s">
        <v>8</v>
      </c>
      <c r="C191" s="3">
        <v>16.989999999999998</v>
      </c>
      <c r="D191" s="3">
        <v>7</v>
      </c>
      <c r="E191" s="3">
        <v>118.92999999999999</v>
      </c>
      <c r="F191" t="str">
        <f t="shared" si="10"/>
        <v>cogs</v>
      </c>
      <c r="G191" s="7" t="str">
        <f t="shared" si="11"/>
        <v>product 2</v>
      </c>
      <c r="H191">
        <f t="shared" si="12"/>
        <v>2024</v>
      </c>
      <c r="I191">
        <f t="shared" si="13"/>
        <v>1</v>
      </c>
      <c r="J191">
        <f t="shared" si="14"/>
        <v>-118.92999999999999</v>
      </c>
    </row>
    <row r="192" spans="1:10" ht="12.5" x14ac:dyDescent="0.25">
      <c r="A192" s="1">
        <v>45318</v>
      </c>
      <c r="B192" s="2" t="s">
        <v>9</v>
      </c>
      <c r="C192" s="3">
        <v>8.49</v>
      </c>
      <c r="D192" s="3">
        <v>147</v>
      </c>
      <c r="E192" s="3">
        <v>1248.03</v>
      </c>
      <c r="F192" t="str">
        <f t="shared" si="10"/>
        <v>cogs</v>
      </c>
      <c r="G192" s="7" t="str">
        <f t="shared" si="11"/>
        <v>product 3</v>
      </c>
      <c r="H192">
        <f t="shared" si="12"/>
        <v>2024</v>
      </c>
      <c r="I192">
        <f t="shared" si="13"/>
        <v>1</v>
      </c>
      <c r="J192">
        <f t="shared" si="14"/>
        <v>-1248.03</v>
      </c>
    </row>
    <row r="193" spans="1:10" ht="12.5" x14ac:dyDescent="0.25">
      <c r="A193" s="1">
        <v>45318</v>
      </c>
      <c r="B193" s="2" t="s">
        <v>10</v>
      </c>
      <c r="C193" s="2" t="s">
        <v>6</v>
      </c>
      <c r="D193" s="2" t="s">
        <v>6</v>
      </c>
      <c r="E193" s="3">
        <v>100</v>
      </c>
      <c r="F193" t="str">
        <f t="shared" si="10"/>
        <v>marketing</v>
      </c>
      <c r="G193" s="7" t="s">
        <v>6</v>
      </c>
      <c r="H193">
        <f t="shared" si="12"/>
        <v>2024</v>
      </c>
      <c r="I193">
        <f t="shared" si="13"/>
        <v>1</v>
      </c>
      <c r="J193">
        <f t="shared" si="14"/>
        <v>-100</v>
      </c>
    </row>
    <row r="194" spans="1:10" ht="12.5" x14ac:dyDescent="0.25">
      <c r="A194" s="1">
        <v>45318</v>
      </c>
      <c r="B194" s="2" t="s">
        <v>11</v>
      </c>
      <c r="C194" s="3">
        <v>9.99</v>
      </c>
      <c r="D194" s="3">
        <v>91</v>
      </c>
      <c r="E194" s="3">
        <v>909.09</v>
      </c>
      <c r="F194" t="str">
        <f t="shared" si="10"/>
        <v>net sales</v>
      </c>
      <c r="G194" s="7" t="str">
        <f t="shared" si="11"/>
        <v>product 1</v>
      </c>
      <c r="H194">
        <f t="shared" si="12"/>
        <v>2024</v>
      </c>
      <c r="I194">
        <f t="shared" si="13"/>
        <v>1</v>
      </c>
      <c r="J194">
        <f t="shared" si="14"/>
        <v>909.09</v>
      </c>
    </row>
    <row r="195" spans="1:10" ht="12.5" x14ac:dyDescent="0.25">
      <c r="A195" s="1">
        <v>45318</v>
      </c>
      <c r="B195" s="2" t="s">
        <v>12</v>
      </c>
      <c r="C195" s="3">
        <v>24.99</v>
      </c>
      <c r="D195" s="3">
        <v>7</v>
      </c>
      <c r="E195" s="3">
        <v>174.92999999999998</v>
      </c>
      <c r="F195" t="str">
        <f t="shared" ref="F195:F258" si="15">IFERROR(LEFT(B195,FIND(":",B195)-1),B195)</f>
        <v>net sales</v>
      </c>
      <c r="G195" s="7" t="str">
        <f t="shared" ref="G195:G258" si="16">IFERROR(RIGHT(B195,LEN(B195)-FIND(":",B195)),"")</f>
        <v>product 2</v>
      </c>
      <c r="H195">
        <f t="shared" ref="H195:H258" si="17">YEAR(A195)</f>
        <v>2024</v>
      </c>
      <c r="I195">
        <f t="shared" ref="I195:I258" si="18">MONTH(A195)</f>
        <v>1</v>
      </c>
      <c r="J195">
        <f t="shared" ref="J195:J218" si="19">IF(F195="net sales",E195,
IF(F195="cogs",-E195,
IF(OR(F195="marketing",F195="overhead",F195="payroll",F195="interest","amortization"),-E195,0)))</f>
        <v>174.92999999999998</v>
      </c>
    </row>
    <row r="196" spans="1:10" ht="12.5" x14ac:dyDescent="0.25">
      <c r="A196" s="1">
        <v>45318</v>
      </c>
      <c r="B196" s="2" t="s">
        <v>13</v>
      </c>
      <c r="C196" s="3">
        <v>12.49</v>
      </c>
      <c r="D196" s="3">
        <v>147</v>
      </c>
      <c r="E196" s="3">
        <v>1836.03</v>
      </c>
      <c r="F196" t="str">
        <f t="shared" si="15"/>
        <v>net sales</v>
      </c>
      <c r="G196" s="7" t="str">
        <f t="shared" si="16"/>
        <v>product 3</v>
      </c>
      <c r="H196">
        <f t="shared" si="17"/>
        <v>2024</v>
      </c>
      <c r="I196">
        <f t="shared" si="18"/>
        <v>1</v>
      </c>
      <c r="J196">
        <f t="shared" si="19"/>
        <v>1836.03</v>
      </c>
    </row>
    <row r="197" spans="1:10" ht="12.5" x14ac:dyDescent="0.25">
      <c r="A197" s="1">
        <v>45319</v>
      </c>
      <c r="B197" s="2" t="s">
        <v>7</v>
      </c>
      <c r="C197" s="3">
        <v>5.99</v>
      </c>
      <c r="D197" s="3">
        <v>44</v>
      </c>
      <c r="E197" s="3">
        <v>263.56</v>
      </c>
      <c r="F197" t="str">
        <f t="shared" si="15"/>
        <v>cogs</v>
      </c>
      <c r="G197" s="7" t="str">
        <f t="shared" si="16"/>
        <v>product 1</v>
      </c>
      <c r="H197">
        <f t="shared" si="17"/>
        <v>2024</v>
      </c>
      <c r="I197">
        <f t="shared" si="18"/>
        <v>1</v>
      </c>
      <c r="J197">
        <f t="shared" si="19"/>
        <v>-263.56</v>
      </c>
    </row>
    <row r="198" spans="1:10" ht="12.5" x14ac:dyDescent="0.25">
      <c r="A198" s="1">
        <v>45319</v>
      </c>
      <c r="B198" s="2" t="s">
        <v>8</v>
      </c>
      <c r="C198" s="3">
        <v>16.989999999999998</v>
      </c>
      <c r="D198" s="3">
        <v>6</v>
      </c>
      <c r="E198" s="3">
        <v>101.94</v>
      </c>
      <c r="F198" t="str">
        <f t="shared" si="15"/>
        <v>cogs</v>
      </c>
      <c r="G198" s="7" t="str">
        <f t="shared" si="16"/>
        <v>product 2</v>
      </c>
      <c r="H198">
        <f t="shared" si="17"/>
        <v>2024</v>
      </c>
      <c r="I198">
        <f t="shared" si="18"/>
        <v>1</v>
      </c>
      <c r="J198">
        <f t="shared" si="19"/>
        <v>-101.94</v>
      </c>
    </row>
    <row r="199" spans="1:10" ht="12.5" x14ac:dyDescent="0.25">
      <c r="A199" s="1">
        <v>45319</v>
      </c>
      <c r="B199" s="2" t="s">
        <v>9</v>
      </c>
      <c r="C199" s="3">
        <v>8.49</v>
      </c>
      <c r="D199" s="3">
        <v>225</v>
      </c>
      <c r="E199" s="3">
        <v>1910.25</v>
      </c>
      <c r="F199" t="str">
        <f t="shared" si="15"/>
        <v>cogs</v>
      </c>
      <c r="G199" s="7" t="str">
        <f t="shared" si="16"/>
        <v>product 3</v>
      </c>
      <c r="H199">
        <f t="shared" si="17"/>
        <v>2024</v>
      </c>
      <c r="I199">
        <f t="shared" si="18"/>
        <v>1</v>
      </c>
      <c r="J199">
        <f t="shared" si="19"/>
        <v>-1910.25</v>
      </c>
    </row>
    <row r="200" spans="1:10" ht="12.5" x14ac:dyDescent="0.25">
      <c r="A200" s="1">
        <v>45319</v>
      </c>
      <c r="B200" s="2" t="s">
        <v>10</v>
      </c>
      <c r="C200" s="2" t="s">
        <v>6</v>
      </c>
      <c r="D200" s="2" t="s">
        <v>6</v>
      </c>
      <c r="E200" s="3">
        <v>100.06</v>
      </c>
      <c r="F200" t="str">
        <f t="shared" si="15"/>
        <v>marketing</v>
      </c>
      <c r="G200" s="7" t="s">
        <v>6</v>
      </c>
      <c r="H200">
        <f t="shared" si="17"/>
        <v>2024</v>
      </c>
      <c r="I200">
        <f t="shared" si="18"/>
        <v>1</v>
      </c>
      <c r="J200">
        <f t="shared" si="19"/>
        <v>-100.06</v>
      </c>
    </row>
    <row r="201" spans="1:10" ht="12.5" x14ac:dyDescent="0.25">
      <c r="A201" s="1">
        <v>45319</v>
      </c>
      <c r="B201" s="2" t="s">
        <v>11</v>
      </c>
      <c r="C201" s="3">
        <v>9.99</v>
      </c>
      <c r="D201" s="3">
        <v>44</v>
      </c>
      <c r="E201" s="3">
        <v>439.56</v>
      </c>
      <c r="F201" t="str">
        <f t="shared" si="15"/>
        <v>net sales</v>
      </c>
      <c r="G201" s="7" t="str">
        <f t="shared" si="16"/>
        <v>product 1</v>
      </c>
      <c r="H201">
        <f t="shared" si="17"/>
        <v>2024</v>
      </c>
      <c r="I201">
        <f t="shared" si="18"/>
        <v>1</v>
      </c>
      <c r="J201">
        <f t="shared" si="19"/>
        <v>439.56</v>
      </c>
    </row>
    <row r="202" spans="1:10" ht="12.5" x14ac:dyDescent="0.25">
      <c r="A202" s="1">
        <v>45319</v>
      </c>
      <c r="B202" s="2" t="s">
        <v>12</v>
      </c>
      <c r="C202" s="3">
        <v>24.99</v>
      </c>
      <c r="D202" s="3">
        <v>6</v>
      </c>
      <c r="E202" s="3">
        <v>149.94</v>
      </c>
      <c r="F202" t="str">
        <f t="shared" si="15"/>
        <v>net sales</v>
      </c>
      <c r="G202" s="7" t="str">
        <f t="shared" si="16"/>
        <v>product 2</v>
      </c>
      <c r="H202">
        <f t="shared" si="17"/>
        <v>2024</v>
      </c>
      <c r="I202">
        <f t="shared" si="18"/>
        <v>1</v>
      </c>
      <c r="J202">
        <f t="shared" si="19"/>
        <v>149.94</v>
      </c>
    </row>
    <row r="203" spans="1:10" ht="12.5" x14ac:dyDescent="0.25">
      <c r="A203" s="1">
        <v>45319</v>
      </c>
      <c r="B203" s="2" t="s">
        <v>13</v>
      </c>
      <c r="C203" s="3">
        <v>12.49</v>
      </c>
      <c r="D203" s="3">
        <v>225</v>
      </c>
      <c r="E203" s="3">
        <v>2810.25</v>
      </c>
      <c r="F203" t="str">
        <f t="shared" si="15"/>
        <v>net sales</v>
      </c>
      <c r="G203" s="7" t="str">
        <f t="shared" si="16"/>
        <v>product 3</v>
      </c>
      <c r="H203">
        <f t="shared" si="17"/>
        <v>2024</v>
      </c>
      <c r="I203">
        <f t="shared" si="18"/>
        <v>1</v>
      </c>
      <c r="J203">
        <f t="shared" si="19"/>
        <v>2810.25</v>
      </c>
    </row>
    <row r="204" spans="1:10" ht="12.5" x14ac:dyDescent="0.25">
      <c r="A204" s="1">
        <v>45320</v>
      </c>
      <c r="B204" s="2" t="s">
        <v>7</v>
      </c>
      <c r="C204" s="3">
        <v>5.99</v>
      </c>
      <c r="D204" s="3">
        <v>87</v>
      </c>
      <c r="E204" s="3">
        <v>521.13</v>
      </c>
      <c r="F204" t="str">
        <f t="shared" si="15"/>
        <v>cogs</v>
      </c>
      <c r="G204" s="7" t="str">
        <f t="shared" si="16"/>
        <v>product 1</v>
      </c>
      <c r="H204">
        <f t="shared" si="17"/>
        <v>2024</v>
      </c>
      <c r="I204">
        <f t="shared" si="18"/>
        <v>1</v>
      </c>
      <c r="J204">
        <f t="shared" si="19"/>
        <v>-521.13</v>
      </c>
    </row>
    <row r="205" spans="1:10" ht="12.5" x14ac:dyDescent="0.25">
      <c r="A205" s="1">
        <v>45320</v>
      </c>
      <c r="B205" s="2" t="s">
        <v>8</v>
      </c>
      <c r="C205" s="3">
        <v>16.989999999999998</v>
      </c>
      <c r="D205" s="3">
        <v>1</v>
      </c>
      <c r="E205" s="3">
        <v>16.989999999999998</v>
      </c>
      <c r="F205" t="str">
        <f t="shared" si="15"/>
        <v>cogs</v>
      </c>
      <c r="G205" s="7" t="str">
        <f t="shared" si="16"/>
        <v>product 2</v>
      </c>
      <c r="H205">
        <f t="shared" si="17"/>
        <v>2024</v>
      </c>
      <c r="I205">
        <f t="shared" si="18"/>
        <v>1</v>
      </c>
      <c r="J205">
        <f t="shared" si="19"/>
        <v>-16.989999999999998</v>
      </c>
    </row>
    <row r="206" spans="1:10" ht="12.5" x14ac:dyDescent="0.25">
      <c r="A206" s="1">
        <v>45320</v>
      </c>
      <c r="B206" s="2" t="s">
        <v>9</v>
      </c>
      <c r="C206" s="3">
        <v>8.49</v>
      </c>
      <c r="D206" s="3">
        <v>171</v>
      </c>
      <c r="E206" s="3">
        <v>1451.79</v>
      </c>
      <c r="F206" t="str">
        <f t="shared" si="15"/>
        <v>cogs</v>
      </c>
      <c r="G206" s="7" t="str">
        <f t="shared" si="16"/>
        <v>product 3</v>
      </c>
      <c r="H206">
        <f t="shared" si="17"/>
        <v>2024</v>
      </c>
      <c r="I206">
        <f t="shared" si="18"/>
        <v>1</v>
      </c>
      <c r="J206">
        <f t="shared" si="19"/>
        <v>-1451.79</v>
      </c>
    </row>
    <row r="207" spans="1:10" ht="12.5" x14ac:dyDescent="0.25">
      <c r="A207" s="1">
        <v>45320</v>
      </c>
      <c r="B207" s="2" t="s">
        <v>10</v>
      </c>
      <c r="C207" s="2" t="s">
        <v>6</v>
      </c>
      <c r="D207" s="2" t="s">
        <v>6</v>
      </c>
      <c r="E207" s="3">
        <v>100.01</v>
      </c>
      <c r="F207" t="str">
        <f t="shared" si="15"/>
        <v>marketing</v>
      </c>
      <c r="G207" s="7" t="s">
        <v>6</v>
      </c>
      <c r="H207">
        <f t="shared" si="17"/>
        <v>2024</v>
      </c>
      <c r="I207">
        <f t="shared" si="18"/>
        <v>1</v>
      </c>
      <c r="J207">
        <f t="shared" si="19"/>
        <v>-100.01</v>
      </c>
    </row>
    <row r="208" spans="1:10" ht="12.5" x14ac:dyDescent="0.25">
      <c r="A208" s="1">
        <v>45320</v>
      </c>
      <c r="B208" s="2" t="s">
        <v>11</v>
      </c>
      <c r="C208" s="3">
        <v>9.99</v>
      </c>
      <c r="D208" s="3">
        <v>87</v>
      </c>
      <c r="E208" s="3">
        <v>869.13</v>
      </c>
      <c r="F208" t="str">
        <f t="shared" si="15"/>
        <v>net sales</v>
      </c>
      <c r="G208" s="7" t="str">
        <f t="shared" si="16"/>
        <v>product 1</v>
      </c>
      <c r="H208">
        <f t="shared" si="17"/>
        <v>2024</v>
      </c>
      <c r="I208">
        <f t="shared" si="18"/>
        <v>1</v>
      </c>
      <c r="J208">
        <f t="shared" si="19"/>
        <v>869.13</v>
      </c>
    </row>
    <row r="209" spans="1:10" ht="12.5" x14ac:dyDescent="0.25">
      <c r="A209" s="1">
        <v>45320</v>
      </c>
      <c r="B209" s="2" t="s">
        <v>12</v>
      </c>
      <c r="C209" s="3">
        <v>24.99</v>
      </c>
      <c r="D209" s="3">
        <v>1</v>
      </c>
      <c r="E209" s="3">
        <v>24.99</v>
      </c>
      <c r="F209" t="str">
        <f t="shared" si="15"/>
        <v>net sales</v>
      </c>
      <c r="G209" s="7" t="str">
        <f t="shared" si="16"/>
        <v>product 2</v>
      </c>
      <c r="H209">
        <f t="shared" si="17"/>
        <v>2024</v>
      </c>
      <c r="I209">
        <f t="shared" si="18"/>
        <v>1</v>
      </c>
      <c r="J209">
        <f t="shared" si="19"/>
        <v>24.99</v>
      </c>
    </row>
    <row r="210" spans="1:10" ht="12.5" x14ac:dyDescent="0.25">
      <c r="A210" s="1">
        <v>45320</v>
      </c>
      <c r="B210" s="2" t="s">
        <v>13</v>
      </c>
      <c r="C210" s="3">
        <v>12.49</v>
      </c>
      <c r="D210" s="3">
        <v>171</v>
      </c>
      <c r="E210" s="3">
        <v>2135.79</v>
      </c>
      <c r="F210" t="str">
        <f t="shared" si="15"/>
        <v>net sales</v>
      </c>
      <c r="G210" s="7" t="str">
        <f t="shared" si="16"/>
        <v>product 3</v>
      </c>
      <c r="H210">
        <f t="shared" si="17"/>
        <v>2024</v>
      </c>
      <c r="I210">
        <f t="shared" si="18"/>
        <v>1</v>
      </c>
      <c r="J210">
        <f t="shared" si="19"/>
        <v>2135.79</v>
      </c>
    </row>
    <row r="211" spans="1:10" ht="12.5" x14ac:dyDescent="0.25">
      <c r="A211" s="1">
        <v>45321</v>
      </c>
      <c r="B211" s="2" t="s">
        <v>7</v>
      </c>
      <c r="C211" s="3">
        <v>5.99</v>
      </c>
      <c r="D211" s="3">
        <v>42</v>
      </c>
      <c r="E211" s="3">
        <v>251.58</v>
      </c>
      <c r="F211" t="str">
        <f t="shared" si="15"/>
        <v>cogs</v>
      </c>
      <c r="G211" s="7" t="str">
        <f t="shared" si="16"/>
        <v>product 1</v>
      </c>
      <c r="H211">
        <f t="shared" si="17"/>
        <v>2024</v>
      </c>
      <c r="I211">
        <f t="shared" si="18"/>
        <v>1</v>
      </c>
      <c r="J211">
        <f t="shared" si="19"/>
        <v>-251.58</v>
      </c>
    </row>
    <row r="212" spans="1:10" ht="12.5" x14ac:dyDescent="0.25">
      <c r="A212" s="1">
        <v>45321</v>
      </c>
      <c r="B212" s="2" t="s">
        <v>8</v>
      </c>
      <c r="C212" s="3">
        <v>16.989999999999998</v>
      </c>
      <c r="D212" s="3">
        <v>10</v>
      </c>
      <c r="E212" s="3">
        <v>169.89999999999998</v>
      </c>
      <c r="F212" t="str">
        <f t="shared" si="15"/>
        <v>cogs</v>
      </c>
      <c r="G212" s="7" t="str">
        <f t="shared" si="16"/>
        <v>product 2</v>
      </c>
      <c r="H212">
        <f t="shared" si="17"/>
        <v>2024</v>
      </c>
      <c r="I212">
        <f t="shared" si="18"/>
        <v>1</v>
      </c>
      <c r="J212">
        <f t="shared" si="19"/>
        <v>-169.89999999999998</v>
      </c>
    </row>
    <row r="213" spans="1:10" ht="12.5" x14ac:dyDescent="0.25">
      <c r="A213" s="1">
        <v>45321</v>
      </c>
      <c r="B213" s="2" t="s">
        <v>9</v>
      </c>
      <c r="C213" s="3">
        <v>8.49</v>
      </c>
      <c r="D213" s="3">
        <v>59</v>
      </c>
      <c r="E213" s="3">
        <v>500.91</v>
      </c>
      <c r="F213" t="str">
        <f t="shared" si="15"/>
        <v>cogs</v>
      </c>
      <c r="G213" s="7" t="str">
        <f t="shared" si="16"/>
        <v>product 3</v>
      </c>
      <c r="H213">
        <f t="shared" si="17"/>
        <v>2024</v>
      </c>
      <c r="I213">
        <f t="shared" si="18"/>
        <v>1</v>
      </c>
      <c r="J213">
        <f t="shared" si="19"/>
        <v>-500.91</v>
      </c>
    </row>
    <row r="214" spans="1:10" ht="12.5" x14ac:dyDescent="0.25">
      <c r="A214" s="1">
        <v>45321</v>
      </c>
      <c r="B214" s="2" t="s">
        <v>10</v>
      </c>
      <c r="C214" s="2" t="s">
        <v>6</v>
      </c>
      <c r="D214" s="2" t="s">
        <v>6</v>
      </c>
      <c r="E214" s="3">
        <v>99.94</v>
      </c>
      <c r="F214" t="str">
        <f t="shared" si="15"/>
        <v>marketing</v>
      </c>
      <c r="G214" s="7" t="s">
        <v>6</v>
      </c>
      <c r="H214">
        <f t="shared" si="17"/>
        <v>2024</v>
      </c>
      <c r="I214">
        <f t="shared" si="18"/>
        <v>1</v>
      </c>
      <c r="J214">
        <f t="shared" si="19"/>
        <v>-99.94</v>
      </c>
    </row>
    <row r="215" spans="1:10" ht="12.5" x14ac:dyDescent="0.25">
      <c r="A215" s="1">
        <v>45321</v>
      </c>
      <c r="B215" s="2" t="s">
        <v>11</v>
      </c>
      <c r="C215" s="3">
        <v>9.99</v>
      </c>
      <c r="D215" s="3">
        <v>42</v>
      </c>
      <c r="E215" s="3">
        <v>419.58</v>
      </c>
      <c r="F215" t="str">
        <f t="shared" si="15"/>
        <v>net sales</v>
      </c>
      <c r="G215" s="7" t="str">
        <f t="shared" si="16"/>
        <v>product 1</v>
      </c>
      <c r="H215">
        <f t="shared" si="17"/>
        <v>2024</v>
      </c>
      <c r="I215">
        <f t="shared" si="18"/>
        <v>1</v>
      </c>
      <c r="J215">
        <f t="shared" si="19"/>
        <v>419.58</v>
      </c>
    </row>
    <row r="216" spans="1:10" ht="12.5" x14ac:dyDescent="0.25">
      <c r="A216" s="1">
        <v>45321</v>
      </c>
      <c r="B216" s="2" t="s">
        <v>12</v>
      </c>
      <c r="C216" s="3">
        <v>24.99</v>
      </c>
      <c r="D216" s="3">
        <v>10</v>
      </c>
      <c r="E216" s="3">
        <v>249.89999999999998</v>
      </c>
      <c r="F216" t="str">
        <f t="shared" si="15"/>
        <v>net sales</v>
      </c>
      <c r="G216" s="7" t="str">
        <f t="shared" si="16"/>
        <v>product 2</v>
      </c>
      <c r="H216">
        <f t="shared" si="17"/>
        <v>2024</v>
      </c>
      <c r="I216">
        <f t="shared" si="18"/>
        <v>1</v>
      </c>
      <c r="J216">
        <f t="shared" si="19"/>
        <v>249.89999999999998</v>
      </c>
    </row>
    <row r="217" spans="1:10" ht="12.5" x14ac:dyDescent="0.25">
      <c r="A217" s="1">
        <v>45321</v>
      </c>
      <c r="B217" s="2" t="s">
        <v>13</v>
      </c>
      <c r="C217" s="3">
        <v>12.49</v>
      </c>
      <c r="D217" s="3">
        <v>59</v>
      </c>
      <c r="E217" s="3">
        <v>736.91</v>
      </c>
      <c r="F217" t="str">
        <f t="shared" si="15"/>
        <v>net sales</v>
      </c>
      <c r="G217" s="7" t="str">
        <f t="shared" si="16"/>
        <v>product 3</v>
      </c>
      <c r="H217">
        <f t="shared" si="17"/>
        <v>2024</v>
      </c>
      <c r="I217">
        <f t="shared" si="18"/>
        <v>1</v>
      </c>
      <c r="J217">
        <f t="shared" si="19"/>
        <v>736.91</v>
      </c>
    </row>
    <row r="218" spans="1:10" ht="12.5" x14ac:dyDescent="0.25">
      <c r="A218" s="1">
        <v>45322</v>
      </c>
      <c r="B218" s="2" t="s">
        <v>7</v>
      </c>
      <c r="C218" s="3">
        <v>5.99</v>
      </c>
      <c r="D218" s="3">
        <v>23</v>
      </c>
      <c r="E218" s="3">
        <v>137.77000000000001</v>
      </c>
      <c r="F218" t="str">
        <f t="shared" si="15"/>
        <v>cogs</v>
      </c>
      <c r="G218" s="7" t="str">
        <f t="shared" si="16"/>
        <v>product 1</v>
      </c>
      <c r="H218">
        <f t="shared" si="17"/>
        <v>2024</v>
      </c>
      <c r="I218">
        <f t="shared" si="18"/>
        <v>1</v>
      </c>
      <c r="J218">
        <f t="shared" si="19"/>
        <v>-137.77000000000001</v>
      </c>
    </row>
    <row r="219" spans="1:10" ht="12.5" x14ac:dyDescent="0.25">
      <c r="A219" s="1">
        <v>45322</v>
      </c>
      <c r="B219" s="2" t="s">
        <v>8</v>
      </c>
      <c r="C219" s="3">
        <v>16.989999999999998</v>
      </c>
      <c r="D219" s="3">
        <v>3</v>
      </c>
      <c r="E219" s="3">
        <v>50.97</v>
      </c>
      <c r="F219" t="str">
        <f t="shared" si="15"/>
        <v>cogs</v>
      </c>
      <c r="G219" s="7" t="str">
        <f t="shared" si="16"/>
        <v>product 2</v>
      </c>
      <c r="H219">
        <f t="shared" si="17"/>
        <v>2024</v>
      </c>
      <c r="I219">
        <f t="shared" si="18"/>
        <v>1</v>
      </c>
      <c r="J219">
        <f>IF(F2="net sales",E2,
IF(F2="cogs",-E2,
IF(OR(F2="marketing",F2="overhead",F2="payroll",F2="interest","amortization"),-E2,0)))</f>
        <v>0</v>
      </c>
    </row>
    <row r="220" spans="1:10" ht="12.5" x14ac:dyDescent="0.25">
      <c r="A220" s="1">
        <v>45322</v>
      </c>
      <c r="B220" s="2" t="s">
        <v>9</v>
      </c>
      <c r="C220" s="3">
        <v>8.49</v>
      </c>
      <c r="D220" s="3">
        <v>97</v>
      </c>
      <c r="E220" s="3">
        <v>823.53</v>
      </c>
      <c r="F220" t="str">
        <f t="shared" si="15"/>
        <v>cogs</v>
      </c>
      <c r="G220" s="7" t="str">
        <f t="shared" si="16"/>
        <v>product 3</v>
      </c>
      <c r="H220">
        <f t="shared" si="17"/>
        <v>2024</v>
      </c>
      <c r="I220">
        <f t="shared" si="18"/>
        <v>1</v>
      </c>
      <c r="J220">
        <f t="shared" ref="J220:J283" si="20">IF(F3="net sales",E3,
IF(F3="cogs",-E3,
IF(OR(F3="marketing",F3="overhead",F3="payroll",F3="interest","amortization"),-E3,0)))</f>
        <v>-425.29</v>
      </c>
    </row>
    <row r="221" spans="1:10" ht="12.5" x14ac:dyDescent="0.25">
      <c r="A221" s="1">
        <v>45322</v>
      </c>
      <c r="B221" s="2" t="s">
        <v>10</v>
      </c>
      <c r="C221" s="2" t="s">
        <v>6</v>
      </c>
      <c r="D221" s="2" t="s">
        <v>6</v>
      </c>
      <c r="E221" s="3">
        <v>99.98</v>
      </c>
      <c r="F221" t="str">
        <f t="shared" si="15"/>
        <v>marketing</v>
      </c>
      <c r="G221" s="7" t="s">
        <v>6</v>
      </c>
      <c r="H221">
        <f t="shared" si="17"/>
        <v>2024</v>
      </c>
      <c r="I221">
        <f t="shared" si="18"/>
        <v>1</v>
      </c>
      <c r="J221">
        <f t="shared" si="20"/>
        <v>-50.97</v>
      </c>
    </row>
    <row r="222" spans="1:10" ht="12.5" x14ac:dyDescent="0.25">
      <c r="A222" s="1">
        <v>45322</v>
      </c>
      <c r="B222" s="2" t="s">
        <v>11</v>
      </c>
      <c r="C222" s="3">
        <v>9.99</v>
      </c>
      <c r="D222" s="3">
        <v>23</v>
      </c>
      <c r="E222" s="3">
        <v>229.77</v>
      </c>
      <c r="F222" t="str">
        <f t="shared" si="15"/>
        <v>net sales</v>
      </c>
      <c r="G222" s="7" t="str">
        <f t="shared" si="16"/>
        <v>product 1</v>
      </c>
      <c r="H222">
        <f t="shared" si="17"/>
        <v>2024</v>
      </c>
      <c r="I222">
        <f t="shared" si="18"/>
        <v>1</v>
      </c>
      <c r="J222">
        <f t="shared" si="20"/>
        <v>-662.22</v>
      </c>
    </row>
    <row r="223" spans="1:10" ht="12.5" x14ac:dyDescent="0.25">
      <c r="A223" s="1">
        <v>45322</v>
      </c>
      <c r="B223" s="2" t="s">
        <v>12</v>
      </c>
      <c r="C223" s="3">
        <v>24.99</v>
      </c>
      <c r="D223" s="3">
        <v>3</v>
      </c>
      <c r="E223" s="3">
        <v>74.97</v>
      </c>
      <c r="F223" t="str">
        <f t="shared" si="15"/>
        <v>net sales</v>
      </c>
      <c r="G223" s="7" t="str">
        <f t="shared" si="16"/>
        <v>product 2</v>
      </c>
      <c r="H223">
        <f t="shared" si="17"/>
        <v>2024</v>
      </c>
      <c r="I223">
        <f t="shared" si="18"/>
        <v>1</v>
      </c>
      <c r="J223">
        <f t="shared" si="20"/>
        <v>-99.990000000000009</v>
      </c>
    </row>
    <row r="224" spans="1:10" ht="12.5" x14ac:dyDescent="0.25">
      <c r="A224" s="1">
        <v>45322</v>
      </c>
      <c r="B224" s="2" t="s">
        <v>13</v>
      </c>
      <c r="C224" s="3">
        <v>12.49</v>
      </c>
      <c r="D224" s="3">
        <v>97</v>
      </c>
      <c r="E224" s="3">
        <v>1211.53</v>
      </c>
      <c r="F224" t="str">
        <f t="shared" si="15"/>
        <v>net sales</v>
      </c>
      <c r="G224" s="7" t="str">
        <f t="shared" si="16"/>
        <v>product 3</v>
      </c>
      <c r="H224">
        <f t="shared" si="17"/>
        <v>2024</v>
      </c>
      <c r="I224">
        <f t="shared" si="18"/>
        <v>1</v>
      </c>
      <c r="J224">
        <f t="shared" si="20"/>
        <v>709.29</v>
      </c>
    </row>
    <row r="225" spans="1:10" ht="12.5" x14ac:dyDescent="0.25">
      <c r="A225" s="1">
        <v>45323</v>
      </c>
      <c r="B225" s="2" t="s">
        <v>5</v>
      </c>
      <c r="C225" s="2" t="s">
        <v>6</v>
      </c>
      <c r="D225" s="2" t="s">
        <v>6</v>
      </c>
      <c r="E225" s="3">
        <v>50</v>
      </c>
      <c r="F225" t="str">
        <f t="shared" si="15"/>
        <v>amortization</v>
      </c>
      <c r="G225" s="7" t="s">
        <v>6</v>
      </c>
      <c r="H225">
        <f t="shared" si="17"/>
        <v>2024</v>
      </c>
      <c r="I225">
        <f t="shared" si="18"/>
        <v>2</v>
      </c>
      <c r="J225">
        <f t="shared" si="20"/>
        <v>74.97</v>
      </c>
    </row>
    <row r="226" spans="1:10" ht="12.5" x14ac:dyDescent="0.25">
      <c r="A226" s="1">
        <v>45323</v>
      </c>
      <c r="B226" s="2" t="s">
        <v>7</v>
      </c>
      <c r="C226" s="3">
        <v>5.99</v>
      </c>
      <c r="D226" s="3">
        <v>70</v>
      </c>
      <c r="E226" s="3">
        <v>419.3</v>
      </c>
      <c r="F226" t="str">
        <f t="shared" si="15"/>
        <v>cogs</v>
      </c>
      <c r="G226" s="7" t="str">
        <f t="shared" si="16"/>
        <v>product 1</v>
      </c>
      <c r="H226">
        <f t="shared" si="17"/>
        <v>2024</v>
      </c>
      <c r="I226">
        <f t="shared" si="18"/>
        <v>2</v>
      </c>
      <c r="J226">
        <f t="shared" si="20"/>
        <v>974.22</v>
      </c>
    </row>
    <row r="227" spans="1:10" ht="12.5" x14ac:dyDescent="0.25">
      <c r="A227" s="1">
        <v>45323</v>
      </c>
      <c r="B227" s="2" t="s">
        <v>8</v>
      </c>
      <c r="C227" s="3">
        <v>16.989999999999998</v>
      </c>
      <c r="D227" s="3">
        <v>2</v>
      </c>
      <c r="E227" s="3">
        <v>33.979999999999997</v>
      </c>
      <c r="F227" t="str">
        <f t="shared" si="15"/>
        <v>cogs</v>
      </c>
      <c r="G227" s="7" t="str">
        <f t="shared" si="16"/>
        <v>product 2</v>
      </c>
      <c r="H227">
        <f t="shared" si="17"/>
        <v>2024</v>
      </c>
      <c r="I227">
        <f t="shared" si="18"/>
        <v>2</v>
      </c>
      <c r="J227">
        <f t="shared" si="20"/>
        <v>-2000</v>
      </c>
    </row>
    <row r="228" spans="1:10" ht="12.5" x14ac:dyDescent="0.25">
      <c r="A228" s="1">
        <v>45323</v>
      </c>
      <c r="B228" s="2" t="s">
        <v>9</v>
      </c>
      <c r="C228" s="3">
        <v>8.49</v>
      </c>
      <c r="D228" s="3">
        <v>150</v>
      </c>
      <c r="E228" s="3">
        <v>1273.5</v>
      </c>
      <c r="F228" t="str">
        <f t="shared" si="15"/>
        <v>cogs</v>
      </c>
      <c r="G228" s="7" t="str">
        <f t="shared" si="16"/>
        <v>product 3</v>
      </c>
      <c r="H228">
        <f t="shared" si="17"/>
        <v>2024</v>
      </c>
      <c r="I228">
        <f t="shared" si="18"/>
        <v>2</v>
      </c>
      <c r="J228">
        <f t="shared" si="20"/>
        <v>-389.35</v>
      </c>
    </row>
    <row r="229" spans="1:10" ht="12.5" x14ac:dyDescent="0.25">
      <c r="A229" s="1">
        <v>45323</v>
      </c>
      <c r="B229" s="2" t="s">
        <v>10</v>
      </c>
      <c r="C229" s="2" t="s">
        <v>6</v>
      </c>
      <c r="D229" s="2" t="s">
        <v>6</v>
      </c>
      <c r="E229" s="3">
        <v>100.03</v>
      </c>
      <c r="F229" t="str">
        <f t="shared" si="15"/>
        <v>marketing</v>
      </c>
      <c r="G229" s="7" t="s">
        <v>6</v>
      </c>
      <c r="H229">
        <f t="shared" si="17"/>
        <v>2024</v>
      </c>
      <c r="I229">
        <f t="shared" si="18"/>
        <v>2</v>
      </c>
      <c r="J229">
        <f t="shared" si="20"/>
        <v>-50.97</v>
      </c>
    </row>
    <row r="230" spans="1:10" ht="12.5" x14ac:dyDescent="0.25">
      <c r="A230" s="1">
        <v>45323</v>
      </c>
      <c r="B230" s="2" t="s">
        <v>11</v>
      </c>
      <c r="C230" s="3">
        <v>9.99</v>
      </c>
      <c r="D230" s="3">
        <v>70</v>
      </c>
      <c r="E230" s="3">
        <v>699.30000000000007</v>
      </c>
      <c r="F230" t="str">
        <f t="shared" si="15"/>
        <v>net sales</v>
      </c>
      <c r="G230" s="7" t="str">
        <f t="shared" si="16"/>
        <v>product 1</v>
      </c>
      <c r="H230">
        <f t="shared" si="17"/>
        <v>2024</v>
      </c>
      <c r="I230">
        <f t="shared" si="18"/>
        <v>2</v>
      </c>
      <c r="J230">
        <f t="shared" si="20"/>
        <v>-1918.74</v>
      </c>
    </row>
    <row r="231" spans="1:10" ht="12.5" x14ac:dyDescent="0.25">
      <c r="A231" s="1">
        <v>45323</v>
      </c>
      <c r="B231" s="2" t="s">
        <v>12</v>
      </c>
      <c r="C231" s="3">
        <v>24.99</v>
      </c>
      <c r="D231" s="3">
        <v>2</v>
      </c>
      <c r="E231" s="3">
        <v>49.98</v>
      </c>
      <c r="F231" t="str">
        <f t="shared" si="15"/>
        <v>net sales</v>
      </c>
      <c r="G231" s="7" t="str">
        <f t="shared" si="16"/>
        <v>product 2</v>
      </c>
      <c r="H231">
        <f t="shared" si="17"/>
        <v>2024</v>
      </c>
      <c r="I231">
        <f t="shared" si="18"/>
        <v>2</v>
      </c>
      <c r="J231">
        <f t="shared" si="20"/>
        <v>-99.960000000000008</v>
      </c>
    </row>
    <row r="232" spans="1:10" ht="12.5" x14ac:dyDescent="0.25">
      <c r="A232" s="1">
        <v>45323</v>
      </c>
      <c r="B232" s="2" t="s">
        <v>13</v>
      </c>
      <c r="C232" s="3">
        <v>12.49</v>
      </c>
      <c r="D232" s="3">
        <v>150</v>
      </c>
      <c r="E232" s="3">
        <v>1873.5</v>
      </c>
      <c r="F232" t="str">
        <f t="shared" si="15"/>
        <v>net sales</v>
      </c>
      <c r="G232" s="7" t="str">
        <f t="shared" si="16"/>
        <v>product 3</v>
      </c>
      <c r="H232">
        <f t="shared" si="17"/>
        <v>2024</v>
      </c>
      <c r="I232">
        <f t="shared" si="18"/>
        <v>2</v>
      </c>
      <c r="J232">
        <f t="shared" si="20"/>
        <v>649.35</v>
      </c>
    </row>
    <row r="233" spans="1:10" ht="12.5" x14ac:dyDescent="0.25">
      <c r="A233" s="1">
        <v>45323</v>
      </c>
      <c r="B233" s="2" t="s">
        <v>14</v>
      </c>
      <c r="C233" s="2" t="s">
        <v>6</v>
      </c>
      <c r="D233" s="2" t="s">
        <v>6</v>
      </c>
      <c r="E233" s="3">
        <v>2000</v>
      </c>
      <c r="F233" t="str">
        <f t="shared" si="15"/>
        <v>overhead</v>
      </c>
      <c r="G233" s="7" t="s">
        <v>6</v>
      </c>
      <c r="H233">
        <f t="shared" si="17"/>
        <v>2024</v>
      </c>
      <c r="I233">
        <f t="shared" si="18"/>
        <v>2</v>
      </c>
      <c r="J233">
        <f t="shared" si="20"/>
        <v>74.97</v>
      </c>
    </row>
    <row r="234" spans="1:10" ht="12.5" x14ac:dyDescent="0.25">
      <c r="A234" s="1">
        <v>45324</v>
      </c>
      <c r="B234" s="2" t="s">
        <v>7</v>
      </c>
      <c r="C234" s="3">
        <v>5.99</v>
      </c>
      <c r="D234" s="3">
        <v>85</v>
      </c>
      <c r="E234" s="3">
        <v>509.15000000000003</v>
      </c>
      <c r="F234" t="str">
        <f t="shared" si="15"/>
        <v>cogs</v>
      </c>
      <c r="G234" s="7" t="str">
        <f t="shared" si="16"/>
        <v>product 1</v>
      </c>
      <c r="H234">
        <f t="shared" si="17"/>
        <v>2024</v>
      </c>
      <c r="I234">
        <f t="shared" si="18"/>
        <v>2</v>
      </c>
      <c r="J234">
        <f t="shared" si="20"/>
        <v>2822.7400000000002</v>
      </c>
    </row>
    <row r="235" spans="1:10" ht="12.5" x14ac:dyDescent="0.25">
      <c r="A235" s="1">
        <v>45324</v>
      </c>
      <c r="B235" s="2" t="s">
        <v>8</v>
      </c>
      <c r="C235" s="3">
        <v>16.989999999999998</v>
      </c>
      <c r="D235" s="3">
        <v>7</v>
      </c>
      <c r="E235" s="3">
        <v>118.92999999999999</v>
      </c>
      <c r="F235" t="str">
        <f t="shared" si="15"/>
        <v>cogs</v>
      </c>
      <c r="G235" s="7" t="str">
        <f t="shared" si="16"/>
        <v>product 2</v>
      </c>
      <c r="H235">
        <f t="shared" si="17"/>
        <v>2024</v>
      </c>
      <c r="I235">
        <f t="shared" si="18"/>
        <v>2</v>
      </c>
      <c r="J235">
        <f t="shared" si="20"/>
        <v>-221.63</v>
      </c>
    </row>
    <row r="236" spans="1:10" ht="12.5" x14ac:dyDescent="0.25">
      <c r="A236" s="1">
        <v>45324</v>
      </c>
      <c r="B236" s="2" t="s">
        <v>9</v>
      </c>
      <c r="C236" s="3">
        <v>8.49</v>
      </c>
      <c r="D236" s="3">
        <v>229</v>
      </c>
      <c r="E236" s="3">
        <v>1944.21</v>
      </c>
      <c r="F236" t="str">
        <f t="shared" si="15"/>
        <v>cogs</v>
      </c>
      <c r="G236" s="7" t="str">
        <f t="shared" si="16"/>
        <v>product 3</v>
      </c>
      <c r="H236">
        <f t="shared" si="17"/>
        <v>2024</v>
      </c>
      <c r="I236">
        <f t="shared" si="18"/>
        <v>2</v>
      </c>
      <c r="J236">
        <f t="shared" si="20"/>
        <v>-152.91</v>
      </c>
    </row>
    <row r="237" spans="1:10" ht="12.5" x14ac:dyDescent="0.25">
      <c r="A237" s="1">
        <v>45324</v>
      </c>
      <c r="B237" s="2" t="s">
        <v>10</v>
      </c>
      <c r="C237" s="2" t="s">
        <v>6</v>
      </c>
      <c r="D237" s="2" t="s">
        <v>6</v>
      </c>
      <c r="E237" s="3">
        <v>99.97</v>
      </c>
      <c r="F237" t="str">
        <f t="shared" si="15"/>
        <v>marketing</v>
      </c>
      <c r="G237" s="7" t="s">
        <v>6</v>
      </c>
      <c r="H237">
        <f t="shared" si="17"/>
        <v>2024</v>
      </c>
      <c r="I237">
        <f t="shared" si="18"/>
        <v>2</v>
      </c>
      <c r="J237">
        <f t="shared" si="20"/>
        <v>-1884.78</v>
      </c>
    </row>
    <row r="238" spans="1:10" ht="12.5" x14ac:dyDescent="0.25">
      <c r="A238" s="1">
        <v>45324</v>
      </c>
      <c r="B238" s="2" t="s">
        <v>11</v>
      </c>
      <c r="C238" s="3">
        <v>9.99</v>
      </c>
      <c r="D238" s="3">
        <v>85</v>
      </c>
      <c r="E238" s="3">
        <v>849.15</v>
      </c>
      <c r="F238" t="str">
        <f t="shared" si="15"/>
        <v>net sales</v>
      </c>
      <c r="G238" s="7" t="str">
        <f t="shared" si="16"/>
        <v>product 1</v>
      </c>
      <c r="H238">
        <f t="shared" si="17"/>
        <v>2024</v>
      </c>
      <c r="I238">
        <f t="shared" si="18"/>
        <v>2</v>
      </c>
      <c r="J238">
        <f t="shared" si="20"/>
        <v>-99.91</v>
      </c>
    </row>
    <row r="239" spans="1:10" ht="12.5" x14ac:dyDescent="0.25">
      <c r="A239" s="1">
        <v>45324</v>
      </c>
      <c r="B239" s="2" t="s">
        <v>12</v>
      </c>
      <c r="C239" s="3">
        <v>24.99</v>
      </c>
      <c r="D239" s="3">
        <v>7</v>
      </c>
      <c r="E239" s="3">
        <v>174.92999999999998</v>
      </c>
      <c r="F239" t="str">
        <f t="shared" si="15"/>
        <v>net sales</v>
      </c>
      <c r="G239" s="7" t="str">
        <f t="shared" si="16"/>
        <v>product 2</v>
      </c>
      <c r="H239">
        <f t="shared" si="17"/>
        <v>2024</v>
      </c>
      <c r="I239">
        <f t="shared" si="18"/>
        <v>2</v>
      </c>
      <c r="J239">
        <f t="shared" si="20"/>
        <v>369.63</v>
      </c>
    </row>
    <row r="240" spans="1:10" ht="12.5" x14ac:dyDescent="0.25">
      <c r="A240" s="1">
        <v>45324</v>
      </c>
      <c r="B240" s="2" t="s">
        <v>13</v>
      </c>
      <c r="C240" s="3">
        <v>12.49</v>
      </c>
      <c r="D240" s="3">
        <v>229</v>
      </c>
      <c r="E240" s="3">
        <v>2860.21</v>
      </c>
      <c r="F240" t="str">
        <f t="shared" si="15"/>
        <v>net sales</v>
      </c>
      <c r="G240" s="7" t="str">
        <f t="shared" si="16"/>
        <v>product 3</v>
      </c>
      <c r="H240">
        <f t="shared" si="17"/>
        <v>2024</v>
      </c>
      <c r="I240">
        <f t="shared" si="18"/>
        <v>2</v>
      </c>
      <c r="J240">
        <f t="shared" si="20"/>
        <v>224.91</v>
      </c>
    </row>
    <row r="241" spans="1:10" ht="12.5" x14ac:dyDescent="0.25">
      <c r="A241" s="1">
        <v>45324</v>
      </c>
      <c r="B241" s="2" t="s">
        <v>15</v>
      </c>
      <c r="C241" s="2" t="s">
        <v>6</v>
      </c>
      <c r="D241" s="2" t="s">
        <v>6</v>
      </c>
      <c r="E241" s="3">
        <v>1200</v>
      </c>
      <c r="F241" t="str">
        <f t="shared" si="15"/>
        <v>payroll</v>
      </c>
      <c r="G241" s="7" t="s">
        <v>6</v>
      </c>
      <c r="H241">
        <f t="shared" si="17"/>
        <v>2024</v>
      </c>
      <c r="I241">
        <f t="shared" si="18"/>
        <v>2</v>
      </c>
      <c r="J241">
        <f t="shared" si="20"/>
        <v>2772.78</v>
      </c>
    </row>
    <row r="242" spans="1:10" ht="12.5" x14ac:dyDescent="0.25">
      <c r="A242" s="1">
        <v>45325</v>
      </c>
      <c r="B242" s="2" t="s">
        <v>7</v>
      </c>
      <c r="C242" s="3">
        <v>5.99</v>
      </c>
      <c r="D242" s="3">
        <v>20</v>
      </c>
      <c r="E242" s="3">
        <v>119.80000000000001</v>
      </c>
      <c r="F242" t="str">
        <f t="shared" si="15"/>
        <v>cogs</v>
      </c>
      <c r="G242" s="7" t="str">
        <f t="shared" si="16"/>
        <v>product 1</v>
      </c>
      <c r="H242">
        <f t="shared" si="17"/>
        <v>2024</v>
      </c>
      <c r="I242">
        <f t="shared" si="18"/>
        <v>2</v>
      </c>
      <c r="J242">
        <f t="shared" si="20"/>
        <v>-233.61</v>
      </c>
    </row>
    <row r="243" spans="1:10" ht="12.5" x14ac:dyDescent="0.25">
      <c r="A243" s="1">
        <v>45325</v>
      </c>
      <c r="B243" s="2" t="s">
        <v>8</v>
      </c>
      <c r="C243" s="3">
        <v>16.989999999999998</v>
      </c>
      <c r="D243" s="3">
        <v>2</v>
      </c>
      <c r="E243" s="3">
        <v>33.979999999999997</v>
      </c>
      <c r="F243" t="str">
        <f t="shared" si="15"/>
        <v>cogs</v>
      </c>
      <c r="G243" s="7" t="str">
        <f t="shared" si="16"/>
        <v>product 2</v>
      </c>
      <c r="H243">
        <f t="shared" si="17"/>
        <v>2024</v>
      </c>
      <c r="I243">
        <f t="shared" si="18"/>
        <v>2</v>
      </c>
      <c r="J243">
        <f t="shared" si="20"/>
        <v>-33.979999999999997</v>
      </c>
    </row>
    <row r="244" spans="1:10" ht="12.5" x14ac:dyDescent="0.25">
      <c r="A244" s="1">
        <v>45325</v>
      </c>
      <c r="B244" s="2" t="s">
        <v>9</v>
      </c>
      <c r="C244" s="3">
        <v>8.49</v>
      </c>
      <c r="D244" s="3">
        <v>164</v>
      </c>
      <c r="E244" s="3">
        <v>1392.3600000000001</v>
      </c>
      <c r="F244" t="str">
        <f t="shared" si="15"/>
        <v>cogs</v>
      </c>
      <c r="G244" s="7" t="str">
        <f t="shared" si="16"/>
        <v>product 3</v>
      </c>
      <c r="H244">
        <f t="shared" si="17"/>
        <v>2024</v>
      </c>
      <c r="I244">
        <f t="shared" si="18"/>
        <v>2</v>
      </c>
      <c r="J244">
        <f t="shared" si="20"/>
        <v>-1528.2</v>
      </c>
    </row>
    <row r="245" spans="1:10" ht="12.5" x14ac:dyDescent="0.25">
      <c r="A245" s="1">
        <v>45325</v>
      </c>
      <c r="B245" s="2" t="s">
        <v>10</v>
      </c>
      <c r="C245" s="2" t="s">
        <v>6</v>
      </c>
      <c r="D245" s="2" t="s">
        <v>6</v>
      </c>
      <c r="E245" s="3">
        <v>99.93</v>
      </c>
      <c r="F245" t="str">
        <f t="shared" si="15"/>
        <v>marketing</v>
      </c>
      <c r="G245" s="7" t="s">
        <v>6</v>
      </c>
      <c r="H245">
        <f t="shared" si="17"/>
        <v>2024</v>
      </c>
      <c r="I245">
        <f t="shared" si="18"/>
        <v>2</v>
      </c>
      <c r="J245">
        <f t="shared" si="20"/>
        <v>-99.98</v>
      </c>
    </row>
    <row r="246" spans="1:10" ht="12.5" x14ac:dyDescent="0.25">
      <c r="A246" s="1">
        <v>45325</v>
      </c>
      <c r="B246" s="2" t="s">
        <v>11</v>
      </c>
      <c r="C246" s="3">
        <v>9.99</v>
      </c>
      <c r="D246" s="3">
        <v>20</v>
      </c>
      <c r="E246" s="3">
        <v>199.8</v>
      </c>
      <c r="F246" t="str">
        <f t="shared" si="15"/>
        <v>net sales</v>
      </c>
      <c r="G246" s="7" t="str">
        <f t="shared" si="16"/>
        <v>product 1</v>
      </c>
      <c r="H246">
        <f t="shared" si="17"/>
        <v>2024</v>
      </c>
      <c r="I246">
        <f t="shared" si="18"/>
        <v>2</v>
      </c>
      <c r="J246">
        <f t="shared" si="20"/>
        <v>389.61</v>
      </c>
    </row>
    <row r="247" spans="1:10" ht="12.5" x14ac:dyDescent="0.25">
      <c r="A247" s="1">
        <v>45325</v>
      </c>
      <c r="B247" s="2" t="s">
        <v>12</v>
      </c>
      <c r="C247" s="3">
        <v>24.99</v>
      </c>
      <c r="D247" s="3">
        <v>2</v>
      </c>
      <c r="E247" s="3">
        <v>49.98</v>
      </c>
      <c r="F247" t="str">
        <f t="shared" si="15"/>
        <v>net sales</v>
      </c>
      <c r="G247" s="7" t="str">
        <f t="shared" si="16"/>
        <v>product 2</v>
      </c>
      <c r="H247">
        <f t="shared" si="17"/>
        <v>2024</v>
      </c>
      <c r="I247">
        <f t="shared" si="18"/>
        <v>2</v>
      </c>
      <c r="J247">
        <f t="shared" si="20"/>
        <v>49.98</v>
      </c>
    </row>
    <row r="248" spans="1:10" ht="12.5" x14ac:dyDescent="0.25">
      <c r="A248" s="1">
        <v>45325</v>
      </c>
      <c r="B248" s="2" t="s">
        <v>13</v>
      </c>
      <c r="C248" s="3">
        <v>12.49</v>
      </c>
      <c r="D248" s="3">
        <v>164</v>
      </c>
      <c r="E248" s="3">
        <v>2048.36</v>
      </c>
      <c r="F248" t="str">
        <f t="shared" si="15"/>
        <v>net sales</v>
      </c>
      <c r="G248" s="7" t="str">
        <f t="shared" si="16"/>
        <v>product 3</v>
      </c>
      <c r="H248">
        <f t="shared" si="17"/>
        <v>2024</v>
      </c>
      <c r="I248">
        <f t="shared" si="18"/>
        <v>2</v>
      </c>
      <c r="J248">
        <f t="shared" si="20"/>
        <v>2248.1999999999998</v>
      </c>
    </row>
    <row r="249" spans="1:10" ht="12.5" x14ac:dyDescent="0.25">
      <c r="A249" s="1">
        <v>45326</v>
      </c>
      <c r="B249" s="2" t="s">
        <v>7</v>
      </c>
      <c r="C249" s="3">
        <v>5.99</v>
      </c>
      <c r="D249" s="3">
        <v>47</v>
      </c>
      <c r="E249" s="3">
        <v>281.53000000000003</v>
      </c>
      <c r="F249" t="str">
        <f t="shared" si="15"/>
        <v>cogs</v>
      </c>
      <c r="G249" s="7" t="str">
        <f t="shared" si="16"/>
        <v>product 1</v>
      </c>
      <c r="H249">
        <f t="shared" si="17"/>
        <v>2024</v>
      </c>
      <c r="I249">
        <f t="shared" si="18"/>
        <v>2</v>
      </c>
      <c r="J249">
        <f t="shared" si="20"/>
        <v>-437.27000000000004</v>
      </c>
    </row>
    <row r="250" spans="1:10" ht="12.5" x14ac:dyDescent="0.25">
      <c r="A250" s="1">
        <v>45326</v>
      </c>
      <c r="B250" s="2" t="s">
        <v>8</v>
      </c>
      <c r="C250" s="3">
        <v>16.989999999999998</v>
      </c>
      <c r="D250" s="3">
        <v>0</v>
      </c>
      <c r="E250" s="2">
        <f>C250*D250</f>
        <v>0</v>
      </c>
      <c r="F250" t="str">
        <f t="shared" si="15"/>
        <v>cogs</v>
      </c>
      <c r="G250" s="7" t="str">
        <f t="shared" si="16"/>
        <v>product 2</v>
      </c>
      <c r="H250">
        <f t="shared" si="17"/>
        <v>2024</v>
      </c>
      <c r="I250">
        <f t="shared" si="18"/>
        <v>2</v>
      </c>
      <c r="J250">
        <f t="shared" si="20"/>
        <v>-118.92999999999999</v>
      </c>
    </row>
    <row r="251" spans="1:10" ht="12.5" x14ac:dyDescent="0.25">
      <c r="A251" s="1">
        <v>45326</v>
      </c>
      <c r="B251" s="2" t="s">
        <v>9</v>
      </c>
      <c r="C251" s="3">
        <v>8.49</v>
      </c>
      <c r="D251" s="3">
        <v>181</v>
      </c>
      <c r="E251" s="3">
        <v>1536.69</v>
      </c>
      <c r="F251" t="str">
        <f t="shared" si="15"/>
        <v>cogs</v>
      </c>
      <c r="G251" s="7" t="str">
        <f t="shared" si="16"/>
        <v>product 3</v>
      </c>
      <c r="H251">
        <f t="shared" si="17"/>
        <v>2024</v>
      </c>
      <c r="I251">
        <f t="shared" si="18"/>
        <v>2</v>
      </c>
      <c r="J251">
        <f t="shared" si="20"/>
        <v>-806.55000000000007</v>
      </c>
    </row>
    <row r="252" spans="1:10" ht="12.5" x14ac:dyDescent="0.25">
      <c r="A252" s="1">
        <v>45326</v>
      </c>
      <c r="B252" s="2" t="s">
        <v>10</v>
      </c>
      <c r="C252" s="2" t="s">
        <v>6</v>
      </c>
      <c r="D252" s="2" t="s">
        <v>6</v>
      </c>
      <c r="E252" s="3">
        <v>99.95</v>
      </c>
      <c r="F252" t="str">
        <f t="shared" si="15"/>
        <v>marketing</v>
      </c>
      <c r="G252" s="7" t="s">
        <v>6</v>
      </c>
      <c r="H252">
        <f t="shared" si="17"/>
        <v>2024</v>
      </c>
      <c r="I252">
        <f t="shared" si="18"/>
        <v>2</v>
      </c>
      <c r="J252">
        <f t="shared" si="20"/>
        <v>-100.03</v>
      </c>
    </row>
    <row r="253" spans="1:10" ht="12.5" x14ac:dyDescent="0.25">
      <c r="A253" s="1">
        <v>45326</v>
      </c>
      <c r="B253" s="2" t="s">
        <v>11</v>
      </c>
      <c r="C253" s="3">
        <v>9.99</v>
      </c>
      <c r="D253" s="3">
        <v>47</v>
      </c>
      <c r="E253" s="3">
        <v>469.53000000000003</v>
      </c>
      <c r="F253" t="str">
        <f t="shared" si="15"/>
        <v>net sales</v>
      </c>
      <c r="G253" s="7" t="str">
        <f t="shared" si="16"/>
        <v>product 1</v>
      </c>
      <c r="H253">
        <f t="shared" si="17"/>
        <v>2024</v>
      </c>
      <c r="I253">
        <f t="shared" si="18"/>
        <v>2</v>
      </c>
      <c r="J253">
        <f t="shared" si="20"/>
        <v>729.27</v>
      </c>
    </row>
    <row r="254" spans="1:10" ht="12.5" x14ac:dyDescent="0.25">
      <c r="A254" s="1">
        <v>45326</v>
      </c>
      <c r="B254" s="2" t="s">
        <v>12</v>
      </c>
      <c r="C254" s="3">
        <v>24.99</v>
      </c>
      <c r="D254" s="3">
        <v>0</v>
      </c>
      <c r="E254" s="2">
        <f>C254*D254</f>
        <v>0</v>
      </c>
      <c r="F254" t="str">
        <f t="shared" si="15"/>
        <v>net sales</v>
      </c>
      <c r="G254" s="7" t="str">
        <f t="shared" si="16"/>
        <v>product 2</v>
      </c>
      <c r="H254">
        <f t="shared" si="17"/>
        <v>2024</v>
      </c>
      <c r="I254">
        <f t="shared" si="18"/>
        <v>2</v>
      </c>
      <c r="J254">
        <f t="shared" si="20"/>
        <v>174.92999999999998</v>
      </c>
    </row>
    <row r="255" spans="1:10" ht="12.5" x14ac:dyDescent="0.25">
      <c r="A255" s="1">
        <v>45326</v>
      </c>
      <c r="B255" s="2" t="s">
        <v>13</v>
      </c>
      <c r="C255" s="3">
        <v>12.49</v>
      </c>
      <c r="D255" s="3">
        <v>181</v>
      </c>
      <c r="E255" s="3">
        <v>2260.69</v>
      </c>
      <c r="F255" t="str">
        <f t="shared" si="15"/>
        <v>net sales</v>
      </c>
      <c r="G255" s="7" t="str">
        <f t="shared" si="16"/>
        <v>product 3</v>
      </c>
      <c r="H255">
        <f t="shared" si="17"/>
        <v>2024</v>
      </c>
      <c r="I255">
        <f t="shared" si="18"/>
        <v>2</v>
      </c>
      <c r="J255">
        <f t="shared" si="20"/>
        <v>1186.55</v>
      </c>
    </row>
    <row r="256" spans="1:10" ht="12.5" x14ac:dyDescent="0.25">
      <c r="A256" s="1">
        <v>45327</v>
      </c>
      <c r="B256" s="2" t="s">
        <v>7</v>
      </c>
      <c r="C256" s="3">
        <v>5.99</v>
      </c>
      <c r="D256" s="3">
        <v>19</v>
      </c>
      <c r="E256" s="3">
        <v>113.81</v>
      </c>
      <c r="F256" t="str">
        <f t="shared" si="15"/>
        <v>cogs</v>
      </c>
      <c r="G256" s="7" t="str">
        <f t="shared" si="16"/>
        <v>product 1</v>
      </c>
      <c r="H256">
        <f t="shared" si="17"/>
        <v>2024</v>
      </c>
      <c r="I256">
        <f t="shared" si="18"/>
        <v>2</v>
      </c>
      <c r="J256">
        <f t="shared" si="20"/>
        <v>-1200</v>
      </c>
    </row>
    <row r="257" spans="1:10" ht="12.5" x14ac:dyDescent="0.25">
      <c r="A257" s="1">
        <v>45327</v>
      </c>
      <c r="B257" s="2" t="s">
        <v>8</v>
      </c>
      <c r="C257" s="3">
        <v>16.989999999999998</v>
      </c>
      <c r="D257" s="3">
        <v>4</v>
      </c>
      <c r="E257" s="3">
        <v>67.959999999999994</v>
      </c>
      <c r="F257" t="str">
        <f t="shared" si="15"/>
        <v>cogs</v>
      </c>
      <c r="G257" s="7" t="str">
        <f t="shared" si="16"/>
        <v>product 2</v>
      </c>
      <c r="H257">
        <f t="shared" si="17"/>
        <v>2024</v>
      </c>
      <c r="I257">
        <f t="shared" si="18"/>
        <v>2</v>
      </c>
      <c r="J257">
        <f t="shared" si="20"/>
        <v>-227.62</v>
      </c>
    </row>
    <row r="258" spans="1:10" ht="12.5" x14ac:dyDescent="0.25">
      <c r="A258" s="1">
        <v>45327</v>
      </c>
      <c r="B258" s="2" t="s">
        <v>9</v>
      </c>
      <c r="C258" s="3">
        <v>8.49</v>
      </c>
      <c r="D258" s="3">
        <v>142</v>
      </c>
      <c r="E258" s="3">
        <v>1205.58</v>
      </c>
      <c r="F258" t="str">
        <f t="shared" si="15"/>
        <v>cogs</v>
      </c>
      <c r="G258" s="7" t="str">
        <f t="shared" si="16"/>
        <v>product 3</v>
      </c>
      <c r="H258">
        <f t="shared" si="17"/>
        <v>2024</v>
      </c>
      <c r="I258">
        <f t="shared" si="18"/>
        <v>2</v>
      </c>
      <c r="J258">
        <f t="shared" si="20"/>
        <v>-135.91999999999999</v>
      </c>
    </row>
    <row r="259" spans="1:10" ht="12.5" x14ac:dyDescent="0.25">
      <c r="A259" s="1">
        <v>45327</v>
      </c>
      <c r="B259" s="2" t="s">
        <v>10</v>
      </c>
      <c r="C259" s="2" t="s">
        <v>6</v>
      </c>
      <c r="D259" s="2" t="s">
        <v>6</v>
      </c>
      <c r="E259" s="3">
        <v>100.04</v>
      </c>
      <c r="F259" t="str">
        <f t="shared" ref="F259:F322" si="21">IFERROR(LEFT(B259,FIND(":",B259)-1),B259)</f>
        <v>marketing</v>
      </c>
      <c r="G259" s="7" t="s">
        <v>6</v>
      </c>
      <c r="H259">
        <f t="shared" ref="H259:H322" si="22">YEAR(A259)</f>
        <v>2024</v>
      </c>
      <c r="I259">
        <f t="shared" ref="I259:I322" si="23">MONTH(A259)</f>
        <v>2</v>
      </c>
      <c r="J259">
        <f t="shared" si="20"/>
        <v>-874.47</v>
      </c>
    </row>
    <row r="260" spans="1:10" ht="12.5" x14ac:dyDescent="0.25">
      <c r="A260" s="1">
        <v>45327</v>
      </c>
      <c r="B260" s="2" t="s">
        <v>11</v>
      </c>
      <c r="C260" s="3">
        <v>9.99</v>
      </c>
      <c r="D260" s="3">
        <v>19</v>
      </c>
      <c r="E260" s="3">
        <v>189.81</v>
      </c>
      <c r="F260" t="str">
        <f t="shared" si="21"/>
        <v>net sales</v>
      </c>
      <c r="G260" s="7" t="str">
        <f t="shared" ref="G260:G321" si="24">IFERROR(RIGHT(B260,LEN(B260)-FIND(":",B260)),"")</f>
        <v>product 1</v>
      </c>
      <c r="H260">
        <f t="shared" si="22"/>
        <v>2024</v>
      </c>
      <c r="I260">
        <f t="shared" si="23"/>
        <v>2</v>
      </c>
      <c r="J260">
        <f t="shared" si="20"/>
        <v>-100.08</v>
      </c>
    </row>
    <row r="261" spans="1:10" ht="12.5" x14ac:dyDescent="0.25">
      <c r="A261" s="1">
        <v>45327</v>
      </c>
      <c r="B261" s="2" t="s">
        <v>12</v>
      </c>
      <c r="C261" s="3">
        <v>24.99</v>
      </c>
      <c r="D261" s="3">
        <v>4</v>
      </c>
      <c r="E261" s="3">
        <v>99.96</v>
      </c>
      <c r="F261" t="str">
        <f t="shared" si="21"/>
        <v>net sales</v>
      </c>
      <c r="G261" s="7" t="str">
        <f t="shared" si="24"/>
        <v>product 2</v>
      </c>
      <c r="H261">
        <f t="shared" si="22"/>
        <v>2024</v>
      </c>
      <c r="I261">
        <f t="shared" si="23"/>
        <v>2</v>
      </c>
      <c r="J261">
        <f t="shared" si="20"/>
        <v>379.62</v>
      </c>
    </row>
    <row r="262" spans="1:10" ht="12.5" x14ac:dyDescent="0.25">
      <c r="A262" s="1">
        <v>45327</v>
      </c>
      <c r="B262" s="2" t="s">
        <v>13</v>
      </c>
      <c r="C262" s="3">
        <v>12.49</v>
      </c>
      <c r="D262" s="3">
        <v>142</v>
      </c>
      <c r="E262" s="3">
        <v>1773.58</v>
      </c>
      <c r="F262" t="str">
        <f t="shared" si="21"/>
        <v>net sales</v>
      </c>
      <c r="G262" s="7" t="str">
        <f t="shared" si="24"/>
        <v>product 3</v>
      </c>
      <c r="H262">
        <f t="shared" si="22"/>
        <v>2024</v>
      </c>
      <c r="I262">
        <f t="shared" si="23"/>
        <v>2</v>
      </c>
      <c r="J262">
        <f t="shared" si="20"/>
        <v>199.92</v>
      </c>
    </row>
    <row r="263" spans="1:10" ht="12.5" x14ac:dyDescent="0.25">
      <c r="A263" s="1">
        <v>45328</v>
      </c>
      <c r="B263" s="2" t="s">
        <v>7</v>
      </c>
      <c r="C263" s="3">
        <v>5.99</v>
      </c>
      <c r="D263" s="3">
        <v>77</v>
      </c>
      <c r="E263" s="3">
        <v>461.23</v>
      </c>
      <c r="F263" t="str">
        <f t="shared" si="21"/>
        <v>cogs</v>
      </c>
      <c r="G263" s="7" t="str">
        <f t="shared" si="24"/>
        <v>product 1</v>
      </c>
      <c r="H263">
        <f t="shared" si="22"/>
        <v>2024</v>
      </c>
      <c r="I263">
        <f t="shared" si="23"/>
        <v>2</v>
      </c>
      <c r="J263">
        <f t="shared" si="20"/>
        <v>1286.47</v>
      </c>
    </row>
    <row r="264" spans="1:10" ht="12.5" x14ac:dyDescent="0.25">
      <c r="A264" s="1">
        <v>45328</v>
      </c>
      <c r="B264" s="2" t="s">
        <v>8</v>
      </c>
      <c r="C264" s="3">
        <v>16.989999999999998</v>
      </c>
      <c r="D264" s="3">
        <v>2</v>
      </c>
      <c r="E264" s="3">
        <v>33.979999999999997</v>
      </c>
      <c r="F264" t="str">
        <f t="shared" si="21"/>
        <v>cogs</v>
      </c>
      <c r="G264" s="7" t="str">
        <f t="shared" si="24"/>
        <v>product 2</v>
      </c>
      <c r="H264">
        <f t="shared" si="22"/>
        <v>2024</v>
      </c>
      <c r="I264">
        <f t="shared" si="23"/>
        <v>2</v>
      </c>
      <c r="J264">
        <f t="shared" si="20"/>
        <v>-509.15000000000003</v>
      </c>
    </row>
    <row r="265" spans="1:10" ht="12.5" x14ac:dyDescent="0.25">
      <c r="A265" s="1">
        <v>45328</v>
      </c>
      <c r="B265" s="2" t="s">
        <v>9</v>
      </c>
      <c r="C265" s="3">
        <v>8.49</v>
      </c>
      <c r="D265" s="3">
        <v>198</v>
      </c>
      <c r="E265" s="3">
        <v>1681.02</v>
      </c>
      <c r="F265" t="str">
        <f t="shared" si="21"/>
        <v>cogs</v>
      </c>
      <c r="G265" s="7" t="str">
        <f t="shared" si="24"/>
        <v>product 3</v>
      </c>
      <c r="H265">
        <f t="shared" si="22"/>
        <v>2024</v>
      </c>
      <c r="I265">
        <f t="shared" si="23"/>
        <v>2</v>
      </c>
      <c r="J265">
        <f t="shared" si="20"/>
        <v>-67.959999999999994</v>
      </c>
    </row>
    <row r="266" spans="1:10" ht="12.5" x14ac:dyDescent="0.25">
      <c r="A266" s="1">
        <v>45328</v>
      </c>
      <c r="B266" s="2" t="s">
        <v>10</v>
      </c>
      <c r="C266" s="2" t="s">
        <v>6</v>
      </c>
      <c r="D266" s="2" t="s">
        <v>6</v>
      </c>
      <c r="E266" s="3">
        <v>99.990000000000009</v>
      </c>
      <c r="F266" t="str">
        <f t="shared" si="21"/>
        <v>marketing</v>
      </c>
      <c r="G266" s="7" t="s">
        <v>6</v>
      </c>
      <c r="H266">
        <f t="shared" si="22"/>
        <v>2024</v>
      </c>
      <c r="I266">
        <f t="shared" si="23"/>
        <v>2</v>
      </c>
      <c r="J266">
        <f t="shared" si="20"/>
        <v>-619.77</v>
      </c>
    </row>
    <row r="267" spans="1:10" ht="12.5" x14ac:dyDescent="0.25">
      <c r="A267" s="1">
        <v>45328</v>
      </c>
      <c r="B267" s="2" t="s">
        <v>11</v>
      </c>
      <c r="C267" s="3">
        <v>9.99</v>
      </c>
      <c r="D267" s="3">
        <v>77</v>
      </c>
      <c r="E267" s="3">
        <v>769.23</v>
      </c>
      <c r="F267" t="str">
        <f t="shared" si="21"/>
        <v>net sales</v>
      </c>
      <c r="G267" s="7" t="str">
        <f t="shared" si="24"/>
        <v>product 1</v>
      </c>
      <c r="H267">
        <f t="shared" si="22"/>
        <v>2024</v>
      </c>
      <c r="I267">
        <f t="shared" si="23"/>
        <v>2</v>
      </c>
      <c r="J267">
        <f t="shared" si="20"/>
        <v>-100.01</v>
      </c>
    </row>
    <row r="268" spans="1:10" ht="12.5" x14ac:dyDescent="0.25">
      <c r="A268" s="1">
        <v>45328</v>
      </c>
      <c r="B268" s="2" t="s">
        <v>12</v>
      </c>
      <c r="C268" s="3">
        <v>24.99</v>
      </c>
      <c r="D268" s="3">
        <v>2</v>
      </c>
      <c r="E268" s="3">
        <v>49.98</v>
      </c>
      <c r="F268" t="str">
        <f t="shared" si="21"/>
        <v>net sales</v>
      </c>
      <c r="G268" s="7" t="str">
        <f t="shared" si="24"/>
        <v>product 2</v>
      </c>
      <c r="H268">
        <f t="shared" si="22"/>
        <v>2024</v>
      </c>
      <c r="I268">
        <f t="shared" si="23"/>
        <v>2</v>
      </c>
      <c r="J268">
        <f t="shared" si="20"/>
        <v>849.15</v>
      </c>
    </row>
    <row r="269" spans="1:10" ht="12.5" x14ac:dyDescent="0.25">
      <c r="A269" s="1">
        <v>45328</v>
      </c>
      <c r="B269" s="2" t="s">
        <v>13</v>
      </c>
      <c r="C269" s="3">
        <v>12.49</v>
      </c>
      <c r="D269" s="3">
        <v>198</v>
      </c>
      <c r="E269" s="3">
        <v>2473.02</v>
      </c>
      <c r="F269" t="str">
        <f t="shared" si="21"/>
        <v>net sales</v>
      </c>
      <c r="G269" s="7" t="str">
        <f t="shared" si="24"/>
        <v>product 3</v>
      </c>
      <c r="H269">
        <f t="shared" si="22"/>
        <v>2024</v>
      </c>
      <c r="I269">
        <f t="shared" si="23"/>
        <v>2</v>
      </c>
      <c r="J269">
        <f t="shared" si="20"/>
        <v>99.96</v>
      </c>
    </row>
    <row r="270" spans="1:10" ht="12.5" x14ac:dyDescent="0.25">
      <c r="A270" s="1">
        <v>45329</v>
      </c>
      <c r="B270" s="2" t="s">
        <v>7</v>
      </c>
      <c r="C270" s="3">
        <v>5.99</v>
      </c>
      <c r="D270" s="3">
        <v>19</v>
      </c>
      <c r="E270" s="3">
        <v>113.81</v>
      </c>
      <c r="F270" t="str">
        <f t="shared" si="21"/>
        <v>cogs</v>
      </c>
      <c r="G270" s="7" t="str">
        <f t="shared" si="24"/>
        <v>product 1</v>
      </c>
      <c r="H270">
        <f t="shared" si="22"/>
        <v>2024</v>
      </c>
      <c r="I270">
        <f t="shared" si="23"/>
        <v>2</v>
      </c>
      <c r="J270">
        <f t="shared" si="20"/>
        <v>911.77</v>
      </c>
    </row>
    <row r="271" spans="1:10" ht="12.5" x14ac:dyDescent="0.25">
      <c r="A271" s="1">
        <v>45329</v>
      </c>
      <c r="B271" s="2" t="s">
        <v>8</v>
      </c>
      <c r="C271" s="3">
        <v>16.989999999999998</v>
      </c>
      <c r="D271" s="3">
        <v>4</v>
      </c>
      <c r="E271" s="3">
        <v>67.959999999999994</v>
      </c>
      <c r="F271" t="str">
        <f t="shared" si="21"/>
        <v>cogs</v>
      </c>
      <c r="G271" s="7" t="str">
        <f t="shared" si="24"/>
        <v>product 2</v>
      </c>
      <c r="H271">
        <f t="shared" si="22"/>
        <v>2024</v>
      </c>
      <c r="I271">
        <f t="shared" si="23"/>
        <v>2</v>
      </c>
      <c r="J271">
        <f t="shared" si="20"/>
        <v>-53.910000000000004</v>
      </c>
    </row>
    <row r="272" spans="1:10" ht="12.5" x14ac:dyDescent="0.25">
      <c r="A272" s="1">
        <v>45329</v>
      </c>
      <c r="B272" s="2" t="s">
        <v>9</v>
      </c>
      <c r="C272" s="3">
        <v>8.49</v>
      </c>
      <c r="D272" s="3">
        <v>83</v>
      </c>
      <c r="E272" s="3">
        <v>704.67000000000007</v>
      </c>
      <c r="F272" t="str">
        <f t="shared" si="21"/>
        <v>cogs</v>
      </c>
      <c r="G272" s="7" t="str">
        <f t="shared" si="24"/>
        <v>product 3</v>
      </c>
      <c r="H272">
        <f t="shared" si="22"/>
        <v>2024</v>
      </c>
      <c r="I272">
        <f t="shared" si="23"/>
        <v>2</v>
      </c>
      <c r="J272">
        <f t="shared" si="20"/>
        <v>-118.92999999999999</v>
      </c>
    </row>
    <row r="273" spans="1:10" ht="12.5" x14ac:dyDescent="0.25">
      <c r="A273" s="1">
        <v>45329</v>
      </c>
      <c r="B273" s="2" t="s">
        <v>10</v>
      </c>
      <c r="C273" s="2" t="s">
        <v>6</v>
      </c>
      <c r="D273" s="2" t="s">
        <v>6</v>
      </c>
      <c r="E273" s="3">
        <v>100.06</v>
      </c>
      <c r="F273" t="str">
        <f t="shared" si="21"/>
        <v>marketing</v>
      </c>
      <c r="G273" s="7" t="s">
        <v>6</v>
      </c>
      <c r="H273">
        <f t="shared" si="22"/>
        <v>2024</v>
      </c>
      <c r="I273">
        <f t="shared" si="23"/>
        <v>2</v>
      </c>
      <c r="J273">
        <f t="shared" si="20"/>
        <v>-2114.0100000000002</v>
      </c>
    </row>
    <row r="274" spans="1:10" ht="12.5" x14ac:dyDescent="0.25">
      <c r="A274" s="1">
        <v>45329</v>
      </c>
      <c r="B274" s="2" t="s">
        <v>11</v>
      </c>
      <c r="C274" s="3">
        <v>9.99</v>
      </c>
      <c r="D274" s="3">
        <v>19</v>
      </c>
      <c r="E274" s="3">
        <v>189.81</v>
      </c>
      <c r="F274" t="str">
        <f t="shared" si="21"/>
        <v>net sales</v>
      </c>
      <c r="G274" s="7" t="str">
        <f t="shared" si="24"/>
        <v>product 1</v>
      </c>
      <c r="H274">
        <f t="shared" si="22"/>
        <v>2024</v>
      </c>
      <c r="I274">
        <f t="shared" si="23"/>
        <v>2</v>
      </c>
      <c r="J274">
        <f t="shared" si="20"/>
        <v>-99.92</v>
      </c>
    </row>
    <row r="275" spans="1:10" ht="12.5" x14ac:dyDescent="0.25">
      <c r="A275" s="1">
        <v>45329</v>
      </c>
      <c r="B275" s="2" t="s">
        <v>12</v>
      </c>
      <c r="C275" s="3">
        <v>24.99</v>
      </c>
      <c r="D275" s="3">
        <v>4</v>
      </c>
      <c r="E275" s="3">
        <v>99.96</v>
      </c>
      <c r="F275" t="str">
        <f t="shared" si="21"/>
        <v>net sales</v>
      </c>
      <c r="G275" s="7" t="str">
        <f t="shared" si="24"/>
        <v>product 2</v>
      </c>
      <c r="H275">
        <f t="shared" si="22"/>
        <v>2024</v>
      </c>
      <c r="I275">
        <f t="shared" si="23"/>
        <v>2</v>
      </c>
      <c r="J275">
        <f t="shared" si="20"/>
        <v>89.91</v>
      </c>
    </row>
    <row r="276" spans="1:10" ht="12.5" x14ac:dyDescent="0.25">
      <c r="A276" s="1">
        <v>45329</v>
      </c>
      <c r="B276" s="2" t="s">
        <v>13</v>
      </c>
      <c r="C276" s="3">
        <v>12.49</v>
      </c>
      <c r="D276" s="3">
        <v>83</v>
      </c>
      <c r="E276" s="3">
        <v>1036.67</v>
      </c>
      <c r="F276" t="str">
        <f t="shared" si="21"/>
        <v>net sales</v>
      </c>
      <c r="G276" s="7" t="str">
        <f t="shared" si="24"/>
        <v>product 3</v>
      </c>
      <c r="H276">
        <f t="shared" si="22"/>
        <v>2024</v>
      </c>
      <c r="I276">
        <f t="shared" si="23"/>
        <v>2</v>
      </c>
      <c r="J276">
        <f t="shared" si="20"/>
        <v>174.92999999999998</v>
      </c>
    </row>
    <row r="277" spans="1:10" ht="12.5" x14ac:dyDescent="0.25">
      <c r="A277" s="1">
        <v>45330</v>
      </c>
      <c r="B277" s="2" t="s">
        <v>7</v>
      </c>
      <c r="C277" s="3">
        <v>5.99</v>
      </c>
      <c r="D277" s="3">
        <v>24</v>
      </c>
      <c r="E277" s="3">
        <v>143.76</v>
      </c>
      <c r="F277" t="str">
        <f t="shared" si="21"/>
        <v>cogs</v>
      </c>
      <c r="G277" s="7" t="str">
        <f t="shared" si="24"/>
        <v>product 1</v>
      </c>
      <c r="H277">
        <f t="shared" si="22"/>
        <v>2024</v>
      </c>
      <c r="I277">
        <f t="shared" si="23"/>
        <v>2</v>
      </c>
      <c r="J277">
        <f t="shared" si="20"/>
        <v>3110.01</v>
      </c>
    </row>
    <row r="278" spans="1:10" ht="12.5" x14ac:dyDescent="0.25">
      <c r="A278" s="1">
        <v>45330</v>
      </c>
      <c r="B278" s="2" t="s">
        <v>8</v>
      </c>
      <c r="C278" s="3">
        <v>16.989999999999998</v>
      </c>
      <c r="D278" s="3">
        <v>9</v>
      </c>
      <c r="E278" s="3">
        <v>152.91</v>
      </c>
      <c r="F278" t="str">
        <f t="shared" si="21"/>
        <v>cogs</v>
      </c>
      <c r="G278" s="7" t="str">
        <f t="shared" si="24"/>
        <v>product 2</v>
      </c>
      <c r="H278">
        <f t="shared" si="22"/>
        <v>2024</v>
      </c>
      <c r="I278">
        <f t="shared" si="23"/>
        <v>2</v>
      </c>
      <c r="J278">
        <f t="shared" si="20"/>
        <v>-71.88</v>
      </c>
    </row>
    <row r="279" spans="1:10" ht="12.5" x14ac:dyDescent="0.25">
      <c r="A279" s="1">
        <v>45330</v>
      </c>
      <c r="B279" s="2" t="s">
        <v>9</v>
      </c>
      <c r="C279" s="3">
        <v>8.49</v>
      </c>
      <c r="D279" s="3">
        <v>67</v>
      </c>
      <c r="E279" s="3">
        <v>568.83000000000004</v>
      </c>
      <c r="F279" t="str">
        <f t="shared" si="21"/>
        <v>cogs</v>
      </c>
      <c r="G279" s="7" t="str">
        <f t="shared" si="24"/>
        <v>product 3</v>
      </c>
      <c r="H279">
        <f t="shared" si="22"/>
        <v>2024</v>
      </c>
      <c r="I279">
        <f t="shared" si="23"/>
        <v>2</v>
      </c>
      <c r="J279">
        <f t="shared" si="20"/>
        <v>-169.89999999999998</v>
      </c>
    </row>
    <row r="280" spans="1:10" ht="12.5" x14ac:dyDescent="0.25">
      <c r="A280" s="1">
        <v>45330</v>
      </c>
      <c r="B280" s="2" t="s">
        <v>10</v>
      </c>
      <c r="C280" s="2" t="s">
        <v>6</v>
      </c>
      <c r="D280" s="2" t="s">
        <v>6</v>
      </c>
      <c r="E280" s="3">
        <v>100.06</v>
      </c>
      <c r="F280" t="str">
        <f t="shared" si="21"/>
        <v>marketing</v>
      </c>
      <c r="G280" s="7" t="s">
        <v>6</v>
      </c>
      <c r="H280">
        <f t="shared" si="22"/>
        <v>2024</v>
      </c>
      <c r="I280">
        <f t="shared" si="23"/>
        <v>2</v>
      </c>
      <c r="J280">
        <f t="shared" si="20"/>
        <v>0</v>
      </c>
    </row>
    <row r="281" spans="1:10" ht="12.5" x14ac:dyDescent="0.25">
      <c r="A281" s="1">
        <v>45330</v>
      </c>
      <c r="B281" s="2" t="s">
        <v>11</v>
      </c>
      <c r="C281" s="3">
        <v>9.99</v>
      </c>
      <c r="D281" s="3">
        <v>24</v>
      </c>
      <c r="E281" s="3">
        <v>239.76</v>
      </c>
      <c r="F281" t="str">
        <f t="shared" si="21"/>
        <v>net sales</v>
      </c>
      <c r="G281" s="7" t="str">
        <f t="shared" si="24"/>
        <v>product 1</v>
      </c>
      <c r="H281">
        <f t="shared" si="22"/>
        <v>2024</v>
      </c>
      <c r="I281">
        <f t="shared" si="23"/>
        <v>2</v>
      </c>
      <c r="J281">
        <f t="shared" si="20"/>
        <v>-99.92</v>
      </c>
    </row>
    <row r="282" spans="1:10" ht="12.5" x14ac:dyDescent="0.25">
      <c r="A282" s="1">
        <v>45330</v>
      </c>
      <c r="B282" s="2" t="s">
        <v>12</v>
      </c>
      <c r="C282" s="3">
        <v>24.99</v>
      </c>
      <c r="D282" s="3">
        <v>9</v>
      </c>
      <c r="E282" s="3">
        <v>224.91</v>
      </c>
      <c r="F282" t="str">
        <f t="shared" si="21"/>
        <v>net sales</v>
      </c>
      <c r="G282" s="7" t="str">
        <f t="shared" si="24"/>
        <v>product 2</v>
      </c>
      <c r="H282">
        <f t="shared" si="22"/>
        <v>2024</v>
      </c>
      <c r="I282">
        <f t="shared" si="23"/>
        <v>2</v>
      </c>
      <c r="J282">
        <f t="shared" si="20"/>
        <v>119.88</v>
      </c>
    </row>
    <row r="283" spans="1:10" ht="12.5" x14ac:dyDescent="0.25">
      <c r="A283" s="1">
        <v>45330</v>
      </c>
      <c r="B283" s="2" t="s">
        <v>13</v>
      </c>
      <c r="C283" s="3">
        <v>12.49</v>
      </c>
      <c r="D283" s="3">
        <v>67</v>
      </c>
      <c r="E283" s="3">
        <v>836.83</v>
      </c>
      <c r="F283" t="str">
        <f t="shared" si="21"/>
        <v>net sales</v>
      </c>
      <c r="G283" s="7" t="str">
        <f t="shared" si="24"/>
        <v>product 3</v>
      </c>
      <c r="H283">
        <f t="shared" si="22"/>
        <v>2024</v>
      </c>
      <c r="I283">
        <f t="shared" si="23"/>
        <v>2</v>
      </c>
      <c r="J283">
        <f t="shared" si="20"/>
        <v>249.89999999999998</v>
      </c>
    </row>
    <row r="284" spans="1:10" ht="12.5" x14ac:dyDescent="0.25">
      <c r="A284" s="1">
        <v>45331</v>
      </c>
      <c r="B284" s="2" t="s">
        <v>7</v>
      </c>
      <c r="C284" s="3">
        <v>5.99</v>
      </c>
      <c r="D284" s="3">
        <v>8</v>
      </c>
      <c r="E284" s="3">
        <v>47.92</v>
      </c>
      <c r="F284" t="str">
        <f t="shared" si="21"/>
        <v>cogs</v>
      </c>
      <c r="G284" s="7" t="str">
        <f t="shared" si="24"/>
        <v>product 1</v>
      </c>
      <c r="H284">
        <f t="shared" si="22"/>
        <v>2024</v>
      </c>
      <c r="I284">
        <f t="shared" si="23"/>
        <v>2</v>
      </c>
      <c r="J284">
        <f t="shared" ref="J284:J347" si="25">IF(F67="net sales",E67,
IF(F67="cogs",-E67,
IF(OR(F67="marketing",F67="overhead",F67="payroll",F67="interest","amortization"),-E67,0)))</f>
        <v>0</v>
      </c>
    </row>
    <row r="285" spans="1:10" ht="12.5" x14ac:dyDescent="0.25">
      <c r="A285" s="1">
        <v>45331</v>
      </c>
      <c r="B285" s="2" t="s">
        <v>8</v>
      </c>
      <c r="C285" s="3">
        <v>16.989999999999998</v>
      </c>
      <c r="D285" s="3">
        <v>8</v>
      </c>
      <c r="E285" s="3">
        <v>135.91999999999999</v>
      </c>
      <c r="F285" t="str">
        <f t="shared" si="21"/>
        <v>cogs</v>
      </c>
      <c r="G285" s="7" t="str">
        <f t="shared" si="24"/>
        <v>product 2</v>
      </c>
      <c r="H285">
        <f t="shared" si="22"/>
        <v>2024</v>
      </c>
      <c r="I285">
        <f t="shared" si="23"/>
        <v>2</v>
      </c>
      <c r="J285">
        <f t="shared" si="25"/>
        <v>-593.01</v>
      </c>
    </row>
    <row r="286" spans="1:10" ht="12.5" x14ac:dyDescent="0.25">
      <c r="A286" s="1">
        <v>45331</v>
      </c>
      <c r="B286" s="2" t="s">
        <v>9</v>
      </c>
      <c r="C286" s="3">
        <v>8.49</v>
      </c>
      <c r="D286" s="3">
        <v>150</v>
      </c>
      <c r="E286" s="3">
        <v>1273.5</v>
      </c>
      <c r="F286" t="str">
        <f t="shared" si="21"/>
        <v>cogs</v>
      </c>
      <c r="G286" s="7" t="str">
        <f t="shared" si="24"/>
        <v>product 3</v>
      </c>
      <c r="H286">
        <f t="shared" si="22"/>
        <v>2024</v>
      </c>
      <c r="I286">
        <f t="shared" si="23"/>
        <v>2</v>
      </c>
      <c r="J286">
        <f t="shared" si="25"/>
        <v>-16.989999999999998</v>
      </c>
    </row>
    <row r="287" spans="1:10" ht="12.5" x14ac:dyDescent="0.25">
      <c r="A287" s="1">
        <v>45331</v>
      </c>
      <c r="B287" s="2" t="s">
        <v>10</v>
      </c>
      <c r="C287" s="2" t="s">
        <v>6</v>
      </c>
      <c r="D287" s="2" t="s">
        <v>6</v>
      </c>
      <c r="E287" s="3">
        <v>99.990000000000009</v>
      </c>
      <c r="F287" t="str">
        <f t="shared" si="21"/>
        <v>marketing</v>
      </c>
      <c r="G287" s="7" t="s">
        <v>6</v>
      </c>
      <c r="H287">
        <f t="shared" si="22"/>
        <v>2024</v>
      </c>
      <c r="I287">
        <f t="shared" si="23"/>
        <v>2</v>
      </c>
      <c r="J287">
        <f t="shared" si="25"/>
        <v>-178.29</v>
      </c>
    </row>
    <row r="288" spans="1:10" ht="12.5" x14ac:dyDescent="0.25">
      <c r="A288" s="1">
        <v>45331</v>
      </c>
      <c r="B288" s="2" t="s">
        <v>11</v>
      </c>
      <c r="C288" s="3">
        <v>9.99</v>
      </c>
      <c r="D288" s="3">
        <v>8</v>
      </c>
      <c r="E288" s="3">
        <v>79.92</v>
      </c>
      <c r="F288" t="str">
        <f t="shared" si="21"/>
        <v>net sales</v>
      </c>
      <c r="G288" s="7" t="str">
        <f t="shared" si="24"/>
        <v>product 1</v>
      </c>
      <c r="H288">
        <f t="shared" si="22"/>
        <v>2024</v>
      </c>
      <c r="I288">
        <f t="shared" si="23"/>
        <v>2</v>
      </c>
      <c r="J288">
        <f t="shared" si="25"/>
        <v>-100.05</v>
      </c>
    </row>
    <row r="289" spans="1:10" ht="12.5" x14ac:dyDescent="0.25">
      <c r="A289" s="1">
        <v>45331</v>
      </c>
      <c r="B289" s="2" t="s">
        <v>12</v>
      </c>
      <c r="C289" s="3">
        <v>24.99</v>
      </c>
      <c r="D289" s="3">
        <v>8</v>
      </c>
      <c r="E289" s="3">
        <v>199.92</v>
      </c>
      <c r="F289" t="str">
        <f t="shared" si="21"/>
        <v>net sales</v>
      </c>
      <c r="G289" s="7" t="str">
        <f t="shared" si="24"/>
        <v>product 2</v>
      </c>
      <c r="H289">
        <f t="shared" si="22"/>
        <v>2024</v>
      </c>
      <c r="I289">
        <f t="shared" si="23"/>
        <v>2</v>
      </c>
      <c r="J289">
        <f t="shared" si="25"/>
        <v>989.01</v>
      </c>
    </row>
    <row r="290" spans="1:10" ht="12.5" x14ac:dyDescent="0.25">
      <c r="A290" s="1">
        <v>45331</v>
      </c>
      <c r="B290" s="2" t="s">
        <v>13</v>
      </c>
      <c r="C290" s="3">
        <v>12.49</v>
      </c>
      <c r="D290" s="3">
        <v>150</v>
      </c>
      <c r="E290" s="3">
        <v>1873.5</v>
      </c>
      <c r="F290" t="str">
        <f t="shared" si="21"/>
        <v>net sales</v>
      </c>
      <c r="G290" s="7" t="str">
        <f t="shared" si="24"/>
        <v>product 3</v>
      </c>
      <c r="H290">
        <f t="shared" si="22"/>
        <v>2024</v>
      </c>
      <c r="I290">
        <f t="shared" si="23"/>
        <v>2</v>
      </c>
      <c r="J290">
        <f t="shared" si="25"/>
        <v>24.99</v>
      </c>
    </row>
    <row r="291" spans="1:10" ht="12.5" x14ac:dyDescent="0.25">
      <c r="A291" s="1">
        <v>45332</v>
      </c>
      <c r="B291" s="2" t="s">
        <v>7</v>
      </c>
      <c r="C291" s="3">
        <v>5.99</v>
      </c>
      <c r="D291" s="3">
        <v>62</v>
      </c>
      <c r="E291" s="3">
        <v>371.38</v>
      </c>
      <c r="F291" t="str">
        <f t="shared" si="21"/>
        <v>cogs</v>
      </c>
      <c r="G291" s="7" t="str">
        <f t="shared" si="24"/>
        <v>product 1</v>
      </c>
      <c r="H291">
        <f t="shared" si="22"/>
        <v>2024</v>
      </c>
      <c r="I291">
        <f t="shared" si="23"/>
        <v>2</v>
      </c>
      <c r="J291">
        <f t="shared" si="25"/>
        <v>262.29000000000002</v>
      </c>
    </row>
    <row r="292" spans="1:10" ht="12.5" x14ac:dyDescent="0.25">
      <c r="A292" s="1">
        <v>45332</v>
      </c>
      <c r="B292" s="2" t="s">
        <v>8</v>
      </c>
      <c r="C292" s="3">
        <v>16.989999999999998</v>
      </c>
      <c r="D292" s="3">
        <v>5</v>
      </c>
      <c r="E292" s="3">
        <v>84.949999999999989</v>
      </c>
      <c r="F292" t="str">
        <f t="shared" si="21"/>
        <v>cogs</v>
      </c>
      <c r="G292" s="7" t="str">
        <f t="shared" si="24"/>
        <v>product 2</v>
      </c>
      <c r="H292">
        <f t="shared" si="22"/>
        <v>2024</v>
      </c>
      <c r="I292">
        <f t="shared" si="23"/>
        <v>2</v>
      </c>
      <c r="J292">
        <f t="shared" si="25"/>
        <v>-125.79</v>
      </c>
    </row>
    <row r="293" spans="1:10" ht="12.5" x14ac:dyDescent="0.25">
      <c r="A293" s="1">
        <v>45332</v>
      </c>
      <c r="B293" s="2" t="s">
        <v>9</v>
      </c>
      <c r="C293" s="3">
        <v>8.49</v>
      </c>
      <c r="D293" s="3">
        <v>55</v>
      </c>
      <c r="E293" s="3">
        <v>466.95</v>
      </c>
      <c r="F293" t="str">
        <f t="shared" si="21"/>
        <v>cogs</v>
      </c>
      <c r="G293" s="7" t="str">
        <f t="shared" si="24"/>
        <v>product 3</v>
      </c>
      <c r="H293">
        <f t="shared" si="22"/>
        <v>2024</v>
      </c>
      <c r="I293">
        <f t="shared" si="23"/>
        <v>2</v>
      </c>
      <c r="J293">
        <f t="shared" si="25"/>
        <v>-33.979999999999997</v>
      </c>
    </row>
    <row r="294" spans="1:10" ht="12.5" x14ac:dyDescent="0.25">
      <c r="A294" s="1">
        <v>45332</v>
      </c>
      <c r="B294" s="2" t="s">
        <v>10</v>
      </c>
      <c r="C294" s="2" t="s">
        <v>6</v>
      </c>
      <c r="D294" s="2" t="s">
        <v>6</v>
      </c>
      <c r="E294" s="3">
        <v>100.03</v>
      </c>
      <c r="F294" t="str">
        <f t="shared" si="21"/>
        <v>marketing</v>
      </c>
      <c r="G294" s="7" t="s">
        <v>6</v>
      </c>
      <c r="H294">
        <f t="shared" si="22"/>
        <v>2024</v>
      </c>
      <c r="I294">
        <f t="shared" si="23"/>
        <v>2</v>
      </c>
      <c r="J294">
        <f t="shared" si="25"/>
        <v>-1332.93</v>
      </c>
    </row>
    <row r="295" spans="1:10" ht="12.5" x14ac:dyDescent="0.25">
      <c r="A295" s="1">
        <v>45332</v>
      </c>
      <c r="B295" s="2" t="s">
        <v>11</v>
      </c>
      <c r="C295" s="3">
        <v>9.99</v>
      </c>
      <c r="D295" s="3">
        <v>62</v>
      </c>
      <c r="E295" s="3">
        <v>619.38</v>
      </c>
      <c r="F295" t="str">
        <f t="shared" si="21"/>
        <v>net sales</v>
      </c>
      <c r="G295" s="7" t="str">
        <f t="shared" si="24"/>
        <v>product 1</v>
      </c>
      <c r="H295">
        <f t="shared" si="22"/>
        <v>2024</v>
      </c>
      <c r="I295">
        <f t="shared" si="23"/>
        <v>2</v>
      </c>
      <c r="J295">
        <f t="shared" si="25"/>
        <v>-99.94</v>
      </c>
    </row>
    <row r="296" spans="1:10" ht="12.5" x14ac:dyDescent="0.25">
      <c r="A296" s="1">
        <v>45332</v>
      </c>
      <c r="B296" s="2" t="s">
        <v>12</v>
      </c>
      <c r="C296" s="3">
        <v>24.99</v>
      </c>
      <c r="D296" s="3">
        <v>5</v>
      </c>
      <c r="E296" s="3">
        <v>124.94999999999999</v>
      </c>
      <c r="F296" t="str">
        <f t="shared" si="21"/>
        <v>net sales</v>
      </c>
      <c r="G296" s="7" t="str">
        <f t="shared" si="24"/>
        <v>product 2</v>
      </c>
      <c r="H296">
        <f t="shared" si="22"/>
        <v>2024</v>
      </c>
      <c r="I296">
        <f t="shared" si="23"/>
        <v>2</v>
      </c>
      <c r="J296">
        <f t="shared" si="25"/>
        <v>209.79</v>
      </c>
    </row>
    <row r="297" spans="1:10" ht="12.5" x14ac:dyDescent="0.25">
      <c r="A297" s="1">
        <v>45332</v>
      </c>
      <c r="B297" s="2" t="s">
        <v>13</v>
      </c>
      <c r="C297" s="3">
        <v>12.49</v>
      </c>
      <c r="D297" s="3">
        <v>55</v>
      </c>
      <c r="E297" s="3">
        <v>686.95</v>
      </c>
      <c r="F297" t="str">
        <f t="shared" si="21"/>
        <v>net sales</v>
      </c>
      <c r="G297" s="7" t="str">
        <f t="shared" si="24"/>
        <v>product 3</v>
      </c>
      <c r="H297">
        <f t="shared" si="22"/>
        <v>2024</v>
      </c>
      <c r="I297">
        <f t="shared" si="23"/>
        <v>2</v>
      </c>
      <c r="J297">
        <f t="shared" si="25"/>
        <v>49.98</v>
      </c>
    </row>
    <row r="298" spans="1:10" ht="12.5" x14ac:dyDescent="0.25">
      <c r="A298" s="1">
        <v>45333</v>
      </c>
      <c r="B298" s="2" t="s">
        <v>7</v>
      </c>
      <c r="C298" s="3">
        <v>5.99</v>
      </c>
      <c r="D298" s="3">
        <v>75</v>
      </c>
      <c r="E298" s="3">
        <v>449.25</v>
      </c>
      <c r="F298" t="str">
        <f t="shared" si="21"/>
        <v>cogs</v>
      </c>
      <c r="G298" s="7" t="str">
        <f t="shared" si="24"/>
        <v>product 1</v>
      </c>
      <c r="H298">
        <f t="shared" si="22"/>
        <v>2024</v>
      </c>
      <c r="I298">
        <f t="shared" si="23"/>
        <v>2</v>
      </c>
      <c r="J298">
        <f t="shared" si="25"/>
        <v>1960.93</v>
      </c>
    </row>
    <row r="299" spans="1:10" ht="12.5" x14ac:dyDescent="0.25">
      <c r="A299" s="1">
        <v>45333</v>
      </c>
      <c r="B299" s="2" t="s">
        <v>8</v>
      </c>
      <c r="C299" s="3">
        <v>16.989999999999998</v>
      </c>
      <c r="D299" s="3">
        <v>0</v>
      </c>
      <c r="E299" s="2">
        <f>C299*D299</f>
        <v>0</v>
      </c>
      <c r="F299" t="str">
        <f t="shared" si="21"/>
        <v>cogs</v>
      </c>
      <c r="G299" s="7" t="str">
        <f t="shared" si="24"/>
        <v>product 2</v>
      </c>
      <c r="H299">
        <f t="shared" si="22"/>
        <v>2024</v>
      </c>
      <c r="I299">
        <f t="shared" si="23"/>
        <v>2</v>
      </c>
      <c r="J299">
        <f t="shared" si="25"/>
        <v>-347.42</v>
      </c>
    </row>
    <row r="300" spans="1:10" ht="12.5" x14ac:dyDescent="0.25">
      <c r="A300" s="1">
        <v>45333</v>
      </c>
      <c r="B300" s="2" t="s">
        <v>9</v>
      </c>
      <c r="C300" s="3">
        <v>8.49</v>
      </c>
      <c r="D300" s="3">
        <v>237</v>
      </c>
      <c r="E300" s="3">
        <v>2012.13</v>
      </c>
      <c r="F300" t="str">
        <f t="shared" si="21"/>
        <v>cogs</v>
      </c>
      <c r="G300" s="7" t="str">
        <f t="shared" si="24"/>
        <v>product 3</v>
      </c>
      <c r="H300">
        <f t="shared" si="22"/>
        <v>2024</v>
      </c>
      <c r="I300">
        <f t="shared" si="23"/>
        <v>2</v>
      </c>
      <c r="J300">
        <f t="shared" si="25"/>
        <v>-84.949999999999989</v>
      </c>
    </row>
    <row r="301" spans="1:10" ht="12.5" x14ac:dyDescent="0.25">
      <c r="A301" s="1">
        <v>45333</v>
      </c>
      <c r="B301" s="2" t="s">
        <v>10</v>
      </c>
      <c r="C301" s="2" t="s">
        <v>6</v>
      </c>
      <c r="D301" s="2" t="s">
        <v>6</v>
      </c>
      <c r="E301" s="3">
        <v>100.03</v>
      </c>
      <c r="F301" t="str">
        <f t="shared" si="21"/>
        <v>marketing</v>
      </c>
      <c r="G301" s="7" t="s">
        <v>6</v>
      </c>
      <c r="H301">
        <f t="shared" si="22"/>
        <v>2024</v>
      </c>
      <c r="I301">
        <f t="shared" si="23"/>
        <v>2</v>
      </c>
      <c r="J301">
        <f t="shared" si="25"/>
        <v>-144.33000000000001</v>
      </c>
    </row>
    <row r="302" spans="1:10" ht="12.5" x14ac:dyDescent="0.25">
      <c r="A302" s="1">
        <v>45333</v>
      </c>
      <c r="B302" s="2" t="s">
        <v>11</v>
      </c>
      <c r="C302" s="3">
        <v>9.99</v>
      </c>
      <c r="D302" s="3">
        <v>75</v>
      </c>
      <c r="E302" s="3">
        <v>749.25</v>
      </c>
      <c r="F302" t="str">
        <f t="shared" si="21"/>
        <v>net sales</v>
      </c>
      <c r="G302" s="7" t="str">
        <f t="shared" si="24"/>
        <v>product 1</v>
      </c>
      <c r="H302">
        <f t="shared" si="22"/>
        <v>2024</v>
      </c>
      <c r="I302">
        <f t="shared" si="23"/>
        <v>2</v>
      </c>
      <c r="J302">
        <f t="shared" si="25"/>
        <v>-100.08</v>
      </c>
    </row>
    <row r="303" spans="1:10" ht="12.5" x14ac:dyDescent="0.25">
      <c r="A303" s="1">
        <v>45333</v>
      </c>
      <c r="B303" s="2" t="s">
        <v>12</v>
      </c>
      <c r="C303" s="3">
        <v>24.99</v>
      </c>
      <c r="D303" s="3">
        <v>0</v>
      </c>
      <c r="E303" s="2">
        <f>C303*D303</f>
        <v>0</v>
      </c>
      <c r="F303" t="str">
        <f t="shared" si="21"/>
        <v>net sales</v>
      </c>
      <c r="G303" s="7" t="str">
        <f t="shared" si="24"/>
        <v>product 2</v>
      </c>
      <c r="H303">
        <f t="shared" si="22"/>
        <v>2024</v>
      </c>
      <c r="I303">
        <f t="shared" si="23"/>
        <v>2</v>
      </c>
      <c r="J303">
        <f t="shared" si="25"/>
        <v>579.41999999999996</v>
      </c>
    </row>
    <row r="304" spans="1:10" ht="12.5" x14ac:dyDescent="0.25">
      <c r="A304" s="1">
        <v>45333</v>
      </c>
      <c r="B304" s="2" t="s">
        <v>13</v>
      </c>
      <c r="C304" s="3">
        <v>12.49</v>
      </c>
      <c r="D304" s="3">
        <v>237</v>
      </c>
      <c r="E304" s="3">
        <v>2960.13</v>
      </c>
      <c r="F304" t="str">
        <f t="shared" si="21"/>
        <v>net sales</v>
      </c>
      <c r="G304" s="7" t="str">
        <f t="shared" si="24"/>
        <v>product 3</v>
      </c>
      <c r="H304">
        <f t="shared" si="22"/>
        <v>2024</v>
      </c>
      <c r="I304">
        <f t="shared" si="23"/>
        <v>2</v>
      </c>
      <c r="J304">
        <f t="shared" si="25"/>
        <v>124.94999999999999</v>
      </c>
    </row>
    <row r="305" spans="1:10" ht="12.5" x14ac:dyDescent="0.25">
      <c r="A305" s="1">
        <v>45334</v>
      </c>
      <c r="B305" s="2" t="s">
        <v>7</v>
      </c>
      <c r="C305" s="3">
        <v>5.99</v>
      </c>
      <c r="D305" s="3">
        <v>74</v>
      </c>
      <c r="E305" s="3">
        <v>443.26</v>
      </c>
      <c r="F305" t="str">
        <f t="shared" si="21"/>
        <v>cogs</v>
      </c>
      <c r="G305" s="7" t="str">
        <f t="shared" si="24"/>
        <v>product 1</v>
      </c>
      <c r="H305">
        <f t="shared" si="22"/>
        <v>2024</v>
      </c>
      <c r="I305">
        <f t="shared" si="23"/>
        <v>2</v>
      </c>
      <c r="J305">
        <f t="shared" si="25"/>
        <v>212.33</v>
      </c>
    </row>
    <row r="306" spans="1:10" ht="12.5" x14ac:dyDescent="0.25">
      <c r="A306" s="1">
        <v>45334</v>
      </c>
      <c r="B306" s="2" t="s">
        <v>8</v>
      </c>
      <c r="C306" s="3">
        <v>16.989999999999998</v>
      </c>
      <c r="D306" s="3">
        <v>1</v>
      </c>
      <c r="E306" s="3">
        <v>16.989999999999998</v>
      </c>
      <c r="F306" t="str">
        <f t="shared" si="21"/>
        <v>cogs</v>
      </c>
      <c r="G306" s="7" t="str">
        <f t="shared" si="24"/>
        <v>product 2</v>
      </c>
      <c r="H306">
        <f t="shared" si="22"/>
        <v>2024</v>
      </c>
      <c r="I306">
        <f t="shared" si="23"/>
        <v>2</v>
      </c>
      <c r="J306">
        <f t="shared" si="25"/>
        <v>-107.82000000000001</v>
      </c>
    </row>
    <row r="307" spans="1:10" ht="12.5" x14ac:dyDescent="0.25">
      <c r="A307" s="1">
        <v>45334</v>
      </c>
      <c r="B307" s="2" t="s">
        <v>9</v>
      </c>
      <c r="C307" s="3">
        <v>8.49</v>
      </c>
      <c r="D307" s="3">
        <v>18</v>
      </c>
      <c r="E307" s="3">
        <v>152.82</v>
      </c>
      <c r="F307" t="str">
        <f t="shared" si="21"/>
        <v>cogs</v>
      </c>
      <c r="G307" s="7" t="str">
        <f t="shared" si="24"/>
        <v>product 3</v>
      </c>
      <c r="H307">
        <f t="shared" si="22"/>
        <v>2024</v>
      </c>
      <c r="I307">
        <f t="shared" si="23"/>
        <v>2</v>
      </c>
      <c r="J307">
        <f t="shared" si="25"/>
        <v>-33.979999999999997</v>
      </c>
    </row>
    <row r="308" spans="1:10" ht="12.5" x14ac:dyDescent="0.25">
      <c r="A308" s="1">
        <v>45334</v>
      </c>
      <c r="B308" s="2" t="s">
        <v>10</v>
      </c>
      <c r="C308" s="2" t="s">
        <v>6</v>
      </c>
      <c r="D308" s="2" t="s">
        <v>6</v>
      </c>
      <c r="E308" s="3">
        <v>99.91</v>
      </c>
      <c r="F308" t="str">
        <f t="shared" si="21"/>
        <v>marketing</v>
      </c>
      <c r="G308" s="7" t="s">
        <v>6</v>
      </c>
      <c r="H308">
        <f t="shared" si="22"/>
        <v>2024</v>
      </c>
      <c r="I308">
        <f t="shared" si="23"/>
        <v>2</v>
      </c>
      <c r="J308">
        <f t="shared" si="25"/>
        <v>-950.88</v>
      </c>
    </row>
    <row r="309" spans="1:10" ht="12.5" x14ac:dyDescent="0.25">
      <c r="A309" s="1">
        <v>45334</v>
      </c>
      <c r="B309" s="2" t="s">
        <v>11</v>
      </c>
      <c r="C309" s="3">
        <v>9.99</v>
      </c>
      <c r="D309" s="3">
        <v>74</v>
      </c>
      <c r="E309" s="3">
        <v>739.26</v>
      </c>
      <c r="F309" t="str">
        <f t="shared" si="21"/>
        <v>net sales</v>
      </c>
      <c r="G309" s="7" t="str">
        <f t="shared" si="24"/>
        <v>product 1</v>
      </c>
      <c r="H309">
        <f t="shared" si="22"/>
        <v>2024</v>
      </c>
      <c r="I309">
        <f t="shared" si="23"/>
        <v>2</v>
      </c>
      <c r="J309">
        <f t="shared" si="25"/>
        <v>-99.98</v>
      </c>
    </row>
    <row r="310" spans="1:10" ht="12.5" x14ac:dyDescent="0.25">
      <c r="A310" s="1">
        <v>45334</v>
      </c>
      <c r="B310" s="2" t="s">
        <v>12</v>
      </c>
      <c r="C310" s="3">
        <v>24.99</v>
      </c>
      <c r="D310" s="3">
        <v>1</v>
      </c>
      <c r="E310" s="3">
        <v>24.99</v>
      </c>
      <c r="F310" t="str">
        <f t="shared" si="21"/>
        <v>net sales</v>
      </c>
      <c r="G310" s="7" t="str">
        <f t="shared" si="24"/>
        <v>product 2</v>
      </c>
      <c r="H310">
        <f t="shared" si="22"/>
        <v>2024</v>
      </c>
      <c r="I310">
        <f t="shared" si="23"/>
        <v>2</v>
      </c>
      <c r="J310">
        <f t="shared" si="25"/>
        <v>179.82</v>
      </c>
    </row>
    <row r="311" spans="1:10" ht="12.5" x14ac:dyDescent="0.25">
      <c r="A311" s="1">
        <v>45334</v>
      </c>
      <c r="B311" s="2" t="s">
        <v>13</v>
      </c>
      <c r="C311" s="3">
        <v>12.49</v>
      </c>
      <c r="D311" s="3">
        <v>18</v>
      </c>
      <c r="E311" s="3">
        <v>224.82</v>
      </c>
      <c r="F311" t="str">
        <f t="shared" si="21"/>
        <v>net sales</v>
      </c>
      <c r="G311" s="7" t="str">
        <f t="shared" si="24"/>
        <v>product 3</v>
      </c>
      <c r="H311">
        <f t="shared" si="22"/>
        <v>2024</v>
      </c>
      <c r="I311">
        <f t="shared" si="23"/>
        <v>2</v>
      </c>
      <c r="J311">
        <f t="shared" si="25"/>
        <v>49.98</v>
      </c>
    </row>
    <row r="312" spans="1:10" ht="12.5" x14ac:dyDescent="0.25">
      <c r="A312" s="1">
        <v>45335</v>
      </c>
      <c r="B312" s="2" t="s">
        <v>7</v>
      </c>
      <c r="C312" s="3">
        <v>5.99</v>
      </c>
      <c r="D312" s="3">
        <v>7</v>
      </c>
      <c r="E312" s="3">
        <v>41.93</v>
      </c>
      <c r="F312" t="str">
        <f t="shared" si="21"/>
        <v>cogs</v>
      </c>
      <c r="G312" s="7" t="str">
        <f t="shared" si="24"/>
        <v>product 1</v>
      </c>
      <c r="H312">
        <f t="shared" si="22"/>
        <v>2024</v>
      </c>
      <c r="I312">
        <f t="shared" si="23"/>
        <v>2</v>
      </c>
      <c r="J312">
        <f t="shared" si="25"/>
        <v>1398.88</v>
      </c>
    </row>
    <row r="313" spans="1:10" ht="12.5" x14ac:dyDescent="0.25">
      <c r="A313" s="1">
        <v>45335</v>
      </c>
      <c r="B313" s="2" t="s">
        <v>8</v>
      </c>
      <c r="C313" s="3">
        <v>16.989999999999998</v>
      </c>
      <c r="D313" s="3">
        <v>1</v>
      </c>
      <c r="E313" s="3">
        <v>16.989999999999998</v>
      </c>
      <c r="F313" t="str">
        <f t="shared" si="21"/>
        <v>cogs</v>
      </c>
      <c r="G313" s="7" t="str">
        <f t="shared" si="24"/>
        <v>product 2</v>
      </c>
      <c r="H313">
        <f t="shared" si="22"/>
        <v>2024</v>
      </c>
      <c r="I313">
        <f t="shared" si="23"/>
        <v>2</v>
      </c>
      <c r="J313">
        <f t="shared" si="25"/>
        <v>-485.19</v>
      </c>
    </row>
    <row r="314" spans="1:10" ht="12.5" x14ac:dyDescent="0.25">
      <c r="A314" s="1">
        <v>45335</v>
      </c>
      <c r="B314" s="2" t="s">
        <v>9</v>
      </c>
      <c r="C314" s="3">
        <v>8.49</v>
      </c>
      <c r="D314" s="3">
        <v>126</v>
      </c>
      <c r="E314" s="3">
        <v>1069.74</v>
      </c>
      <c r="F314" t="str">
        <f t="shared" si="21"/>
        <v>cogs</v>
      </c>
      <c r="G314" s="7" t="str">
        <f t="shared" si="24"/>
        <v>product 3</v>
      </c>
      <c r="H314">
        <f t="shared" si="22"/>
        <v>2024</v>
      </c>
      <c r="I314">
        <f t="shared" si="23"/>
        <v>2</v>
      </c>
      <c r="J314">
        <f t="shared" si="25"/>
        <v>-16.989999999999998</v>
      </c>
    </row>
    <row r="315" spans="1:10" ht="12.5" x14ac:dyDescent="0.25">
      <c r="A315" s="1">
        <v>45335</v>
      </c>
      <c r="B315" s="2" t="s">
        <v>10</v>
      </c>
      <c r="C315" s="2" t="s">
        <v>6</v>
      </c>
      <c r="D315" s="2" t="s">
        <v>6</v>
      </c>
      <c r="E315" s="3">
        <v>100.04</v>
      </c>
      <c r="F315" t="str">
        <f t="shared" si="21"/>
        <v>marketing</v>
      </c>
      <c r="G315" s="7" t="s">
        <v>6</v>
      </c>
      <c r="H315">
        <f t="shared" si="22"/>
        <v>2024</v>
      </c>
      <c r="I315">
        <f t="shared" si="23"/>
        <v>2</v>
      </c>
      <c r="J315">
        <f t="shared" si="25"/>
        <v>-1137.6600000000001</v>
      </c>
    </row>
    <row r="316" spans="1:10" ht="12.5" x14ac:dyDescent="0.25">
      <c r="A316" s="1">
        <v>45335</v>
      </c>
      <c r="B316" s="2" t="s">
        <v>11</v>
      </c>
      <c r="C316" s="3">
        <v>9.99</v>
      </c>
      <c r="D316" s="3">
        <v>7</v>
      </c>
      <c r="E316" s="3">
        <v>69.930000000000007</v>
      </c>
      <c r="F316" t="str">
        <f t="shared" si="21"/>
        <v>net sales</v>
      </c>
      <c r="G316" s="7" t="str">
        <f t="shared" si="24"/>
        <v>product 1</v>
      </c>
      <c r="H316">
        <f t="shared" si="22"/>
        <v>2024</v>
      </c>
      <c r="I316">
        <f t="shared" si="23"/>
        <v>2</v>
      </c>
      <c r="J316">
        <f t="shared" si="25"/>
        <v>-99.9</v>
      </c>
    </row>
    <row r="317" spans="1:10" ht="12.5" x14ac:dyDescent="0.25">
      <c r="A317" s="1">
        <v>45335</v>
      </c>
      <c r="B317" s="2" t="s">
        <v>12</v>
      </c>
      <c r="C317" s="3">
        <v>24.99</v>
      </c>
      <c r="D317" s="3">
        <v>1</v>
      </c>
      <c r="E317" s="3">
        <v>24.99</v>
      </c>
      <c r="F317" t="str">
        <f t="shared" si="21"/>
        <v>net sales</v>
      </c>
      <c r="G317" s="7" t="str">
        <f t="shared" si="24"/>
        <v>product 2</v>
      </c>
      <c r="H317">
        <f t="shared" si="22"/>
        <v>2024</v>
      </c>
      <c r="I317">
        <f t="shared" si="23"/>
        <v>2</v>
      </c>
      <c r="J317">
        <f t="shared" si="25"/>
        <v>809.19</v>
      </c>
    </row>
    <row r="318" spans="1:10" ht="12.5" x14ac:dyDescent="0.25">
      <c r="A318" s="1">
        <v>45335</v>
      </c>
      <c r="B318" s="2" t="s">
        <v>13</v>
      </c>
      <c r="C318" s="3">
        <v>12.49</v>
      </c>
      <c r="D318" s="3">
        <v>126</v>
      </c>
      <c r="E318" s="3">
        <v>1573.74</v>
      </c>
      <c r="F318" t="str">
        <f t="shared" si="21"/>
        <v>net sales</v>
      </c>
      <c r="G318" s="7" t="str">
        <f t="shared" si="24"/>
        <v>product 3</v>
      </c>
      <c r="H318">
        <f t="shared" si="22"/>
        <v>2024</v>
      </c>
      <c r="I318">
        <f t="shared" si="23"/>
        <v>2</v>
      </c>
      <c r="J318">
        <f t="shared" si="25"/>
        <v>24.99</v>
      </c>
    </row>
    <row r="319" spans="1:10" ht="12.5" x14ac:dyDescent="0.25">
      <c r="A319" s="1">
        <v>45336</v>
      </c>
      <c r="B319" s="2" t="s">
        <v>7</v>
      </c>
      <c r="C319" s="3">
        <v>5.99</v>
      </c>
      <c r="D319" s="3">
        <v>56</v>
      </c>
      <c r="E319" s="3">
        <v>335.44</v>
      </c>
      <c r="F319" t="str">
        <f t="shared" si="21"/>
        <v>cogs</v>
      </c>
      <c r="G319" s="7" t="str">
        <f t="shared" si="24"/>
        <v>product 1</v>
      </c>
      <c r="H319">
        <f t="shared" si="22"/>
        <v>2024</v>
      </c>
      <c r="I319">
        <f t="shared" si="23"/>
        <v>2</v>
      </c>
      <c r="J319">
        <f t="shared" si="25"/>
        <v>1673.66</v>
      </c>
    </row>
    <row r="320" spans="1:10" ht="12.5" x14ac:dyDescent="0.25">
      <c r="A320" s="1">
        <v>45336</v>
      </c>
      <c r="B320" s="2" t="s">
        <v>8</v>
      </c>
      <c r="C320" s="3">
        <v>16.989999999999998</v>
      </c>
      <c r="D320" s="3">
        <v>7</v>
      </c>
      <c r="E320" s="3">
        <v>118.92999999999999</v>
      </c>
      <c r="F320" t="str">
        <f t="shared" si="21"/>
        <v>cogs</v>
      </c>
      <c r="G320" s="7" t="str">
        <f t="shared" si="24"/>
        <v>product 2</v>
      </c>
      <c r="H320">
        <f t="shared" si="22"/>
        <v>2024</v>
      </c>
      <c r="I320">
        <f t="shared" si="23"/>
        <v>2</v>
      </c>
      <c r="J320">
        <f t="shared" si="25"/>
        <v>-113.81</v>
      </c>
    </row>
    <row r="321" spans="1:10" ht="12.5" x14ac:dyDescent="0.25">
      <c r="A321" s="1">
        <v>45336</v>
      </c>
      <c r="B321" s="2" t="s">
        <v>9</v>
      </c>
      <c r="C321" s="3">
        <v>8.49</v>
      </c>
      <c r="D321" s="3">
        <v>225</v>
      </c>
      <c r="E321" s="3">
        <v>1910.25</v>
      </c>
      <c r="F321" t="str">
        <f t="shared" si="21"/>
        <v>cogs</v>
      </c>
      <c r="G321" s="7" t="str">
        <f t="shared" si="24"/>
        <v>product 3</v>
      </c>
      <c r="H321">
        <f t="shared" si="22"/>
        <v>2024</v>
      </c>
      <c r="I321">
        <f t="shared" si="23"/>
        <v>2</v>
      </c>
      <c r="J321">
        <f t="shared" si="25"/>
        <v>-84.949999999999989</v>
      </c>
    </row>
    <row r="322" spans="1:10" ht="12.5" x14ac:dyDescent="0.25">
      <c r="A322" s="1">
        <v>45336</v>
      </c>
      <c r="B322" s="2" t="s">
        <v>10</v>
      </c>
      <c r="C322" s="2" t="s">
        <v>6</v>
      </c>
      <c r="D322" s="2" t="s">
        <v>6</v>
      </c>
      <c r="E322" s="3">
        <v>99.92</v>
      </c>
      <c r="F322" t="str">
        <f t="shared" si="21"/>
        <v>marketing</v>
      </c>
      <c r="G322" s="7" t="s">
        <v>6</v>
      </c>
      <c r="H322">
        <f t="shared" si="22"/>
        <v>2024</v>
      </c>
      <c r="I322">
        <f t="shared" si="23"/>
        <v>2</v>
      </c>
      <c r="J322">
        <f t="shared" si="25"/>
        <v>-1273.5</v>
      </c>
    </row>
    <row r="323" spans="1:10" ht="12.5" x14ac:dyDescent="0.25">
      <c r="A323" s="1">
        <v>45336</v>
      </c>
      <c r="B323" s="2" t="s">
        <v>11</v>
      </c>
      <c r="C323" s="3">
        <v>9.99</v>
      </c>
      <c r="D323" s="3">
        <v>56</v>
      </c>
      <c r="E323" s="3">
        <v>559.44000000000005</v>
      </c>
      <c r="F323" t="str">
        <f t="shared" ref="F323:F386" si="26">IFERROR(LEFT(B323,FIND(":",B323)-1),B323)</f>
        <v>net sales</v>
      </c>
      <c r="G323" s="7" t="str">
        <f t="shared" ref="G323:G386" si="27">IFERROR(RIGHT(B323,LEN(B323)-FIND(":",B323)),"")</f>
        <v>product 1</v>
      </c>
      <c r="H323">
        <f t="shared" ref="H323:H386" si="28">YEAR(A323)</f>
        <v>2024</v>
      </c>
      <c r="I323">
        <f t="shared" ref="I323:I386" si="29">MONTH(A323)</f>
        <v>2</v>
      </c>
      <c r="J323">
        <f t="shared" si="25"/>
        <v>-1297</v>
      </c>
    </row>
    <row r="324" spans="1:10" ht="12.5" x14ac:dyDescent="0.25">
      <c r="A324" s="1">
        <v>45336</v>
      </c>
      <c r="B324" s="2" t="s">
        <v>12</v>
      </c>
      <c r="C324" s="3">
        <v>24.99</v>
      </c>
      <c r="D324" s="3">
        <v>7</v>
      </c>
      <c r="E324" s="3">
        <v>174.92999999999998</v>
      </c>
      <c r="F324" t="str">
        <f t="shared" si="26"/>
        <v>net sales</v>
      </c>
      <c r="G324" s="7" t="str">
        <f t="shared" si="27"/>
        <v>product 2</v>
      </c>
      <c r="H324">
        <f t="shared" si="28"/>
        <v>2024</v>
      </c>
      <c r="I324">
        <f t="shared" si="29"/>
        <v>2</v>
      </c>
      <c r="J324">
        <f t="shared" si="25"/>
        <v>-99.91</v>
      </c>
    </row>
    <row r="325" spans="1:10" ht="12.5" x14ac:dyDescent="0.25">
      <c r="A325" s="1">
        <v>45336</v>
      </c>
      <c r="B325" s="2" t="s">
        <v>13</v>
      </c>
      <c r="C325" s="3">
        <v>12.49</v>
      </c>
      <c r="D325" s="3">
        <v>225</v>
      </c>
      <c r="E325" s="3">
        <v>2810.25</v>
      </c>
      <c r="F325" t="str">
        <f t="shared" si="26"/>
        <v>net sales</v>
      </c>
      <c r="G325" s="7" t="str">
        <f t="shared" si="27"/>
        <v>product 3</v>
      </c>
      <c r="H325">
        <f t="shared" si="28"/>
        <v>2024</v>
      </c>
      <c r="I325">
        <f t="shared" si="29"/>
        <v>2</v>
      </c>
      <c r="J325">
        <f t="shared" si="25"/>
        <v>189.81</v>
      </c>
    </row>
    <row r="326" spans="1:10" ht="12.5" x14ac:dyDescent="0.25">
      <c r="A326" s="1">
        <v>45337</v>
      </c>
      <c r="B326" s="2" t="s">
        <v>7</v>
      </c>
      <c r="C326" s="3">
        <v>5.99</v>
      </c>
      <c r="D326" s="3">
        <v>63</v>
      </c>
      <c r="E326" s="3">
        <v>377.37</v>
      </c>
      <c r="F326" t="str">
        <f t="shared" si="26"/>
        <v>cogs</v>
      </c>
      <c r="G326" s="7" t="str">
        <f t="shared" si="27"/>
        <v>product 1</v>
      </c>
      <c r="H326">
        <f t="shared" si="28"/>
        <v>2024</v>
      </c>
      <c r="I326">
        <f t="shared" si="29"/>
        <v>2</v>
      </c>
      <c r="J326">
        <f t="shared" si="25"/>
        <v>124.94999999999999</v>
      </c>
    </row>
    <row r="327" spans="1:10" ht="12.5" x14ac:dyDescent="0.25">
      <c r="A327" s="1">
        <v>45337</v>
      </c>
      <c r="B327" s="2" t="s">
        <v>8</v>
      </c>
      <c r="C327" s="3">
        <v>16.989999999999998</v>
      </c>
      <c r="D327" s="3">
        <v>2</v>
      </c>
      <c r="E327" s="3">
        <v>33.979999999999997</v>
      </c>
      <c r="F327" t="str">
        <f t="shared" si="26"/>
        <v>cogs</v>
      </c>
      <c r="G327" s="7" t="str">
        <f t="shared" si="27"/>
        <v>product 2</v>
      </c>
      <c r="H327">
        <f t="shared" si="28"/>
        <v>2024</v>
      </c>
      <c r="I327">
        <f t="shared" si="29"/>
        <v>2</v>
      </c>
      <c r="J327">
        <f t="shared" si="25"/>
        <v>1873.5</v>
      </c>
    </row>
    <row r="328" spans="1:10" ht="12.5" x14ac:dyDescent="0.25">
      <c r="A328" s="1">
        <v>45337</v>
      </c>
      <c r="B328" s="2" t="s">
        <v>9</v>
      </c>
      <c r="C328" s="3">
        <v>8.49</v>
      </c>
      <c r="D328" s="3">
        <v>43</v>
      </c>
      <c r="E328" s="3">
        <v>365.07</v>
      </c>
      <c r="F328" t="str">
        <f t="shared" si="26"/>
        <v>cogs</v>
      </c>
      <c r="G328" s="7" t="str">
        <f t="shared" si="27"/>
        <v>product 3</v>
      </c>
      <c r="H328">
        <f t="shared" si="28"/>
        <v>2024</v>
      </c>
      <c r="I328">
        <f t="shared" si="29"/>
        <v>2</v>
      </c>
      <c r="J328">
        <f t="shared" si="25"/>
        <v>-324.25</v>
      </c>
    </row>
    <row r="329" spans="1:10" ht="12.5" x14ac:dyDescent="0.25">
      <c r="A329" s="1">
        <v>45337</v>
      </c>
      <c r="B329" s="2" t="s">
        <v>16</v>
      </c>
      <c r="C329" s="2" t="s">
        <v>6</v>
      </c>
      <c r="D329" s="2" t="s">
        <v>6</v>
      </c>
      <c r="E329" s="3">
        <v>1242.56</v>
      </c>
      <c r="F329" t="str">
        <f t="shared" si="26"/>
        <v>interest</v>
      </c>
      <c r="G329" s="7" t="s">
        <v>6</v>
      </c>
      <c r="H329">
        <f t="shared" si="28"/>
        <v>2024</v>
      </c>
      <c r="I329">
        <f t="shared" si="29"/>
        <v>2</v>
      </c>
      <c r="J329">
        <f t="shared" si="25"/>
        <v>-47.92</v>
      </c>
    </row>
    <row r="330" spans="1:10" ht="12.5" x14ac:dyDescent="0.25">
      <c r="A330" s="1">
        <v>45337</v>
      </c>
      <c r="B330" s="2" t="s">
        <v>10</v>
      </c>
      <c r="C330" s="2" t="s">
        <v>6</v>
      </c>
      <c r="D330" s="2" t="s">
        <v>6</v>
      </c>
      <c r="E330" s="3">
        <v>99.91</v>
      </c>
      <c r="F330" t="str">
        <f t="shared" si="26"/>
        <v>marketing</v>
      </c>
      <c r="G330" s="7" t="s">
        <v>6</v>
      </c>
      <c r="H330">
        <f t="shared" si="28"/>
        <v>2024</v>
      </c>
      <c r="I330">
        <f t="shared" si="29"/>
        <v>2</v>
      </c>
      <c r="J330">
        <f t="shared" si="25"/>
        <v>-135.91999999999999</v>
      </c>
    </row>
    <row r="331" spans="1:10" ht="12.5" x14ac:dyDescent="0.25">
      <c r="A331" s="1">
        <v>45337</v>
      </c>
      <c r="B331" s="2" t="s">
        <v>11</v>
      </c>
      <c r="C331" s="3">
        <v>9.99</v>
      </c>
      <c r="D331" s="3">
        <v>63</v>
      </c>
      <c r="E331" s="3">
        <v>629.37</v>
      </c>
      <c r="F331" t="str">
        <f t="shared" si="26"/>
        <v>net sales</v>
      </c>
      <c r="G331" s="7" t="str">
        <f t="shared" si="27"/>
        <v>product 1</v>
      </c>
      <c r="H331">
        <f t="shared" si="28"/>
        <v>2024</v>
      </c>
      <c r="I331">
        <f t="shared" si="29"/>
        <v>2</v>
      </c>
      <c r="J331">
        <f t="shared" si="25"/>
        <v>-1731.96</v>
      </c>
    </row>
    <row r="332" spans="1:10" ht="12.5" x14ac:dyDescent="0.25">
      <c r="A332" s="1">
        <v>45337</v>
      </c>
      <c r="B332" s="2" t="s">
        <v>12</v>
      </c>
      <c r="C332" s="3">
        <v>24.99</v>
      </c>
      <c r="D332" s="3">
        <v>2</v>
      </c>
      <c r="E332" s="3">
        <v>49.98</v>
      </c>
      <c r="F332" t="str">
        <f t="shared" si="26"/>
        <v>net sales</v>
      </c>
      <c r="G332" s="7" t="str">
        <f t="shared" si="27"/>
        <v>product 2</v>
      </c>
      <c r="H332">
        <f t="shared" si="28"/>
        <v>2024</v>
      </c>
      <c r="I332">
        <f t="shared" si="29"/>
        <v>2</v>
      </c>
      <c r="J332">
        <f t="shared" si="25"/>
        <v>-99.990000000000009</v>
      </c>
    </row>
    <row r="333" spans="1:10" ht="12.5" x14ac:dyDescent="0.25">
      <c r="A333" s="1">
        <v>45337</v>
      </c>
      <c r="B333" s="2" t="s">
        <v>13</v>
      </c>
      <c r="C333" s="3">
        <v>12.49</v>
      </c>
      <c r="D333" s="3">
        <v>43</v>
      </c>
      <c r="E333" s="3">
        <v>537.07000000000005</v>
      </c>
      <c r="F333" t="str">
        <f t="shared" si="26"/>
        <v>net sales</v>
      </c>
      <c r="G333" s="7" t="str">
        <f t="shared" si="27"/>
        <v>product 3</v>
      </c>
      <c r="H333">
        <f t="shared" si="28"/>
        <v>2024</v>
      </c>
      <c r="I333">
        <f t="shared" si="29"/>
        <v>2</v>
      </c>
      <c r="J333">
        <f t="shared" si="25"/>
        <v>79.92</v>
      </c>
    </row>
    <row r="334" spans="1:10" ht="12.5" x14ac:dyDescent="0.25">
      <c r="A334" s="1">
        <v>45337</v>
      </c>
      <c r="B334" s="2" t="s">
        <v>14</v>
      </c>
      <c r="C334" s="2" t="s">
        <v>6</v>
      </c>
      <c r="D334" s="2" t="s">
        <v>6</v>
      </c>
      <c r="E334" s="3">
        <v>305.56</v>
      </c>
      <c r="F334" t="str">
        <f t="shared" si="26"/>
        <v>overhead</v>
      </c>
      <c r="G334" s="7" t="s">
        <v>6</v>
      </c>
      <c r="H334">
        <f t="shared" si="28"/>
        <v>2024</v>
      </c>
      <c r="I334">
        <f t="shared" si="29"/>
        <v>2</v>
      </c>
      <c r="J334">
        <f t="shared" si="25"/>
        <v>199.92</v>
      </c>
    </row>
    <row r="335" spans="1:10" ht="12.5" x14ac:dyDescent="0.25">
      <c r="A335" s="1">
        <v>45338</v>
      </c>
      <c r="B335" s="2" t="s">
        <v>7</v>
      </c>
      <c r="C335" s="3">
        <v>5.99</v>
      </c>
      <c r="D335" s="3">
        <v>23</v>
      </c>
      <c r="E335" s="3">
        <v>137.77000000000001</v>
      </c>
      <c r="F335" t="str">
        <f t="shared" si="26"/>
        <v>cogs</v>
      </c>
      <c r="G335" s="7" t="str">
        <f t="shared" si="27"/>
        <v>product 1</v>
      </c>
      <c r="H335">
        <f t="shared" si="28"/>
        <v>2024</v>
      </c>
      <c r="I335">
        <f t="shared" si="29"/>
        <v>2</v>
      </c>
      <c r="J335">
        <f t="shared" si="25"/>
        <v>2547.96</v>
      </c>
    </row>
    <row r="336" spans="1:10" ht="12.5" x14ac:dyDescent="0.25">
      <c r="A336" s="1">
        <v>45338</v>
      </c>
      <c r="B336" s="2" t="s">
        <v>8</v>
      </c>
      <c r="C336" s="3">
        <v>16.989999999999998</v>
      </c>
      <c r="D336" s="3">
        <v>5</v>
      </c>
      <c r="E336" s="3">
        <v>84.949999999999989</v>
      </c>
      <c r="F336" t="str">
        <f t="shared" si="26"/>
        <v>cogs</v>
      </c>
      <c r="G336" s="7" t="str">
        <f t="shared" si="27"/>
        <v>product 2</v>
      </c>
      <c r="H336">
        <f t="shared" si="28"/>
        <v>2024</v>
      </c>
      <c r="I336">
        <f t="shared" si="29"/>
        <v>2</v>
      </c>
      <c r="J336">
        <f t="shared" si="25"/>
        <v>-395.34000000000003</v>
      </c>
    </row>
    <row r="337" spans="1:10" ht="12.5" x14ac:dyDescent="0.25">
      <c r="A337" s="1">
        <v>45338</v>
      </c>
      <c r="B337" s="2" t="s">
        <v>9</v>
      </c>
      <c r="C337" s="3">
        <v>8.49</v>
      </c>
      <c r="D337" s="3">
        <v>4</v>
      </c>
      <c r="E337" s="3">
        <v>33.96</v>
      </c>
      <c r="F337" t="str">
        <f t="shared" si="26"/>
        <v>cogs</v>
      </c>
      <c r="G337" s="7" t="str">
        <f t="shared" si="27"/>
        <v>product 3</v>
      </c>
      <c r="H337">
        <f t="shared" si="28"/>
        <v>2024</v>
      </c>
      <c r="I337">
        <f t="shared" si="29"/>
        <v>2</v>
      </c>
      <c r="J337">
        <f t="shared" si="25"/>
        <v>-33.979999999999997</v>
      </c>
    </row>
    <row r="338" spans="1:10" ht="12.5" x14ac:dyDescent="0.25">
      <c r="A338" s="1">
        <v>45338</v>
      </c>
      <c r="B338" s="2" t="s">
        <v>10</v>
      </c>
      <c r="C338" s="2" t="s">
        <v>6</v>
      </c>
      <c r="D338" s="2" t="s">
        <v>6</v>
      </c>
      <c r="E338" s="3">
        <v>100.05</v>
      </c>
      <c r="F338" t="str">
        <f t="shared" si="26"/>
        <v>marketing</v>
      </c>
      <c r="G338" s="7" t="s">
        <v>6</v>
      </c>
      <c r="H338">
        <f t="shared" si="28"/>
        <v>2024</v>
      </c>
      <c r="I338">
        <f t="shared" si="29"/>
        <v>2</v>
      </c>
      <c r="J338">
        <f t="shared" si="25"/>
        <v>-212.25</v>
      </c>
    </row>
    <row r="339" spans="1:10" ht="12.5" x14ac:dyDescent="0.25">
      <c r="A339" s="1">
        <v>45338</v>
      </c>
      <c r="B339" s="2" t="s">
        <v>11</v>
      </c>
      <c r="C339" s="3">
        <v>9.99</v>
      </c>
      <c r="D339" s="3">
        <v>23</v>
      </c>
      <c r="E339" s="3">
        <v>229.77</v>
      </c>
      <c r="F339" t="str">
        <f t="shared" si="26"/>
        <v>net sales</v>
      </c>
      <c r="G339" s="7" t="str">
        <f t="shared" si="27"/>
        <v>product 1</v>
      </c>
      <c r="H339">
        <f t="shared" si="28"/>
        <v>2024</v>
      </c>
      <c r="I339">
        <f t="shared" si="29"/>
        <v>2</v>
      </c>
      <c r="J339">
        <f t="shared" si="25"/>
        <v>-99.98</v>
      </c>
    </row>
    <row r="340" spans="1:10" ht="12.5" x14ac:dyDescent="0.25">
      <c r="A340" s="1">
        <v>45338</v>
      </c>
      <c r="B340" s="2" t="s">
        <v>12</v>
      </c>
      <c r="C340" s="3">
        <v>24.99</v>
      </c>
      <c r="D340" s="3">
        <v>5</v>
      </c>
      <c r="E340" s="3">
        <v>124.94999999999999</v>
      </c>
      <c r="F340" t="str">
        <f t="shared" si="26"/>
        <v>net sales</v>
      </c>
      <c r="G340" s="7" t="str">
        <f t="shared" si="27"/>
        <v>product 2</v>
      </c>
      <c r="H340">
        <f t="shared" si="28"/>
        <v>2024</v>
      </c>
      <c r="I340">
        <f t="shared" si="29"/>
        <v>2</v>
      </c>
      <c r="J340">
        <f t="shared" si="25"/>
        <v>659.34</v>
      </c>
    </row>
    <row r="341" spans="1:10" ht="12.5" x14ac:dyDescent="0.25">
      <c r="A341" s="1">
        <v>45338</v>
      </c>
      <c r="B341" s="2" t="s">
        <v>13</v>
      </c>
      <c r="C341" s="3">
        <v>12.49</v>
      </c>
      <c r="D341" s="3">
        <v>4</v>
      </c>
      <c r="E341" s="3">
        <v>49.96</v>
      </c>
      <c r="F341" t="str">
        <f t="shared" si="26"/>
        <v>net sales</v>
      </c>
      <c r="G341" s="7" t="str">
        <f t="shared" si="27"/>
        <v>product 3</v>
      </c>
      <c r="H341">
        <f t="shared" si="28"/>
        <v>2024</v>
      </c>
      <c r="I341">
        <f t="shared" si="29"/>
        <v>2</v>
      </c>
      <c r="J341">
        <f t="shared" si="25"/>
        <v>49.98</v>
      </c>
    </row>
    <row r="342" spans="1:10" ht="12.5" x14ac:dyDescent="0.25">
      <c r="A342" s="1">
        <v>45338</v>
      </c>
      <c r="B342" s="2" t="s">
        <v>15</v>
      </c>
      <c r="C342" s="2" t="s">
        <v>6</v>
      </c>
      <c r="D342" s="2" t="s">
        <v>6</v>
      </c>
      <c r="E342" s="3">
        <v>1200</v>
      </c>
      <c r="F342" t="str">
        <f t="shared" si="26"/>
        <v>payroll</v>
      </c>
      <c r="G342" s="7" t="s">
        <v>6</v>
      </c>
      <c r="H342">
        <f t="shared" si="28"/>
        <v>2024</v>
      </c>
      <c r="I342">
        <f t="shared" si="29"/>
        <v>2</v>
      </c>
      <c r="J342">
        <f t="shared" si="25"/>
        <v>312.25</v>
      </c>
    </row>
    <row r="343" spans="1:10" ht="12.5" x14ac:dyDescent="0.25">
      <c r="A343" s="1">
        <v>45339</v>
      </c>
      <c r="B343" s="2" t="s">
        <v>7</v>
      </c>
      <c r="C343" s="3">
        <v>5.99</v>
      </c>
      <c r="D343" s="3">
        <v>42</v>
      </c>
      <c r="E343" s="3">
        <v>251.58</v>
      </c>
      <c r="F343" t="str">
        <f t="shared" si="26"/>
        <v>cogs</v>
      </c>
      <c r="G343" s="7" t="str">
        <f t="shared" si="27"/>
        <v>product 1</v>
      </c>
      <c r="H343">
        <f t="shared" si="28"/>
        <v>2024</v>
      </c>
      <c r="I343">
        <f t="shared" si="29"/>
        <v>2</v>
      </c>
      <c r="J343">
        <f t="shared" si="25"/>
        <v>-509.15000000000003</v>
      </c>
    </row>
    <row r="344" spans="1:10" ht="12.5" x14ac:dyDescent="0.25">
      <c r="A344" s="1">
        <v>45339</v>
      </c>
      <c r="B344" s="2" t="s">
        <v>8</v>
      </c>
      <c r="C344" s="3">
        <v>16.989999999999998</v>
      </c>
      <c r="D344" s="3">
        <v>6</v>
      </c>
      <c r="E344" s="3">
        <v>101.94</v>
      </c>
      <c r="F344" t="str">
        <f t="shared" si="26"/>
        <v>cogs</v>
      </c>
      <c r="G344" s="7" t="str">
        <f t="shared" si="27"/>
        <v>product 2</v>
      </c>
      <c r="H344">
        <f t="shared" si="28"/>
        <v>2024</v>
      </c>
      <c r="I344">
        <f t="shared" si="29"/>
        <v>2</v>
      </c>
      <c r="J344">
        <f t="shared" si="25"/>
        <v>-118.92999999999999</v>
      </c>
    </row>
    <row r="345" spans="1:10" ht="12.5" x14ac:dyDescent="0.25">
      <c r="A345" s="1">
        <v>45339</v>
      </c>
      <c r="B345" s="2" t="s">
        <v>9</v>
      </c>
      <c r="C345" s="3">
        <v>8.49</v>
      </c>
      <c r="D345" s="3">
        <v>179</v>
      </c>
      <c r="E345" s="3">
        <v>1519.71</v>
      </c>
      <c r="F345" t="str">
        <f t="shared" si="26"/>
        <v>cogs</v>
      </c>
      <c r="G345" s="7" t="str">
        <f t="shared" si="27"/>
        <v>product 3</v>
      </c>
      <c r="H345">
        <f t="shared" si="28"/>
        <v>2024</v>
      </c>
      <c r="I345">
        <f t="shared" si="29"/>
        <v>2</v>
      </c>
      <c r="J345">
        <f t="shared" si="25"/>
        <v>-2012.13</v>
      </c>
    </row>
    <row r="346" spans="1:10" ht="12.5" x14ac:dyDescent="0.25">
      <c r="A346" s="1">
        <v>45339</v>
      </c>
      <c r="B346" s="2" t="s">
        <v>10</v>
      </c>
      <c r="C346" s="2" t="s">
        <v>6</v>
      </c>
      <c r="D346" s="2" t="s">
        <v>6</v>
      </c>
      <c r="E346" s="3">
        <v>100.04</v>
      </c>
      <c r="F346" t="str">
        <f t="shared" si="26"/>
        <v>marketing</v>
      </c>
      <c r="G346" s="7" t="s">
        <v>6</v>
      </c>
      <c r="H346">
        <f t="shared" si="28"/>
        <v>2024</v>
      </c>
      <c r="I346">
        <f t="shared" si="29"/>
        <v>2</v>
      </c>
      <c r="J346">
        <f t="shared" si="25"/>
        <v>-100.09</v>
      </c>
    </row>
    <row r="347" spans="1:10" ht="12.5" x14ac:dyDescent="0.25">
      <c r="A347" s="1">
        <v>45339</v>
      </c>
      <c r="B347" s="2" t="s">
        <v>11</v>
      </c>
      <c r="C347" s="3">
        <v>9.99</v>
      </c>
      <c r="D347" s="3">
        <v>42</v>
      </c>
      <c r="E347" s="3">
        <v>419.58</v>
      </c>
      <c r="F347" t="str">
        <f t="shared" si="26"/>
        <v>net sales</v>
      </c>
      <c r="G347" s="7" t="str">
        <f t="shared" si="27"/>
        <v>product 1</v>
      </c>
      <c r="H347">
        <f t="shared" si="28"/>
        <v>2024</v>
      </c>
      <c r="I347">
        <f t="shared" si="29"/>
        <v>2</v>
      </c>
      <c r="J347">
        <f t="shared" si="25"/>
        <v>849.15</v>
      </c>
    </row>
    <row r="348" spans="1:10" ht="12.5" x14ac:dyDescent="0.25">
      <c r="A348" s="1">
        <v>45339</v>
      </c>
      <c r="B348" s="2" t="s">
        <v>12</v>
      </c>
      <c r="C348" s="3">
        <v>24.99</v>
      </c>
      <c r="D348" s="3">
        <v>6</v>
      </c>
      <c r="E348" s="3">
        <v>149.94</v>
      </c>
      <c r="F348" t="str">
        <f t="shared" si="26"/>
        <v>net sales</v>
      </c>
      <c r="G348" s="7" t="str">
        <f t="shared" si="27"/>
        <v>product 2</v>
      </c>
      <c r="H348">
        <f t="shared" si="28"/>
        <v>2024</v>
      </c>
      <c r="I348">
        <f t="shared" si="29"/>
        <v>2</v>
      </c>
      <c r="J348">
        <f t="shared" ref="J348:J411" si="30">IF(F131="net sales",E131,
IF(F131="cogs",-E131,
IF(OR(F131="marketing",F131="overhead",F131="payroll",F131="interest","amortization"),-E131,0)))</f>
        <v>174.92999999999998</v>
      </c>
    </row>
    <row r="349" spans="1:10" ht="12.5" x14ac:dyDescent="0.25">
      <c r="A349" s="1">
        <v>45339</v>
      </c>
      <c r="B349" s="2" t="s">
        <v>13</v>
      </c>
      <c r="C349" s="3">
        <v>12.49</v>
      </c>
      <c r="D349" s="3">
        <v>179</v>
      </c>
      <c r="E349" s="3">
        <v>2235.71</v>
      </c>
      <c r="F349" t="str">
        <f t="shared" si="26"/>
        <v>net sales</v>
      </c>
      <c r="G349" s="7" t="str">
        <f t="shared" si="27"/>
        <v>product 3</v>
      </c>
      <c r="H349">
        <f t="shared" si="28"/>
        <v>2024</v>
      </c>
      <c r="I349">
        <f t="shared" si="29"/>
        <v>2</v>
      </c>
      <c r="J349">
        <f t="shared" si="30"/>
        <v>2960.13</v>
      </c>
    </row>
    <row r="350" spans="1:10" ht="12.5" x14ac:dyDescent="0.25">
      <c r="A350" s="1">
        <v>45340</v>
      </c>
      <c r="B350" s="2" t="s">
        <v>7</v>
      </c>
      <c r="C350" s="3">
        <v>5.99</v>
      </c>
      <c r="D350" s="3">
        <v>8</v>
      </c>
      <c r="E350" s="3">
        <v>47.92</v>
      </c>
      <c r="F350" t="str">
        <f t="shared" si="26"/>
        <v>cogs</v>
      </c>
      <c r="G350" s="7" t="str">
        <f t="shared" si="27"/>
        <v>product 1</v>
      </c>
      <c r="H350">
        <f t="shared" si="28"/>
        <v>2024</v>
      </c>
      <c r="I350">
        <f t="shared" si="29"/>
        <v>2</v>
      </c>
      <c r="J350">
        <f t="shared" si="30"/>
        <v>-551.08000000000004</v>
      </c>
    </row>
    <row r="351" spans="1:10" ht="12.5" x14ac:dyDescent="0.25">
      <c r="A351" s="1">
        <v>45340</v>
      </c>
      <c r="B351" s="2" t="s">
        <v>8</v>
      </c>
      <c r="C351" s="3">
        <v>16.989999999999998</v>
      </c>
      <c r="D351" s="3">
        <v>3</v>
      </c>
      <c r="E351" s="3">
        <v>50.97</v>
      </c>
      <c r="F351" t="str">
        <f t="shared" si="26"/>
        <v>cogs</v>
      </c>
      <c r="G351" s="7" t="str">
        <f t="shared" si="27"/>
        <v>product 2</v>
      </c>
      <c r="H351">
        <f t="shared" si="28"/>
        <v>2024</v>
      </c>
      <c r="I351">
        <f t="shared" si="29"/>
        <v>2</v>
      </c>
      <c r="J351">
        <f t="shared" si="30"/>
        <v>-101.94</v>
      </c>
    </row>
    <row r="352" spans="1:10" ht="12.5" x14ac:dyDescent="0.25">
      <c r="A352" s="1">
        <v>45340</v>
      </c>
      <c r="B352" s="2" t="s">
        <v>9</v>
      </c>
      <c r="C352" s="3">
        <v>8.49</v>
      </c>
      <c r="D352" s="3">
        <v>89</v>
      </c>
      <c r="E352" s="3">
        <v>755.61</v>
      </c>
      <c r="F352" t="str">
        <f t="shared" si="26"/>
        <v>cogs</v>
      </c>
      <c r="G352" s="7" t="str">
        <f t="shared" si="27"/>
        <v>product 3</v>
      </c>
      <c r="H352">
        <f t="shared" si="28"/>
        <v>2024</v>
      </c>
      <c r="I352">
        <f t="shared" si="29"/>
        <v>2</v>
      </c>
      <c r="J352">
        <f t="shared" si="30"/>
        <v>-1842.3300000000002</v>
      </c>
    </row>
    <row r="353" spans="1:10" ht="12.5" x14ac:dyDescent="0.25">
      <c r="A353" s="1">
        <v>45340</v>
      </c>
      <c r="B353" s="2" t="s">
        <v>10</v>
      </c>
      <c r="C353" s="2" t="s">
        <v>6</v>
      </c>
      <c r="D353" s="2" t="s">
        <v>6</v>
      </c>
      <c r="E353" s="3">
        <v>100.04</v>
      </c>
      <c r="F353" t="str">
        <f t="shared" si="26"/>
        <v>marketing</v>
      </c>
      <c r="G353" s="7" t="s">
        <v>6</v>
      </c>
      <c r="H353">
        <f t="shared" si="28"/>
        <v>2024</v>
      </c>
      <c r="I353">
        <f t="shared" si="29"/>
        <v>2</v>
      </c>
      <c r="J353">
        <f t="shared" si="30"/>
        <v>-99.93</v>
      </c>
    </row>
    <row r="354" spans="1:10" ht="12.5" x14ac:dyDescent="0.25">
      <c r="A354" s="1">
        <v>45340</v>
      </c>
      <c r="B354" s="2" t="s">
        <v>11</v>
      </c>
      <c r="C354" s="3">
        <v>9.99</v>
      </c>
      <c r="D354" s="3">
        <v>8</v>
      </c>
      <c r="E354" s="3">
        <v>79.92</v>
      </c>
      <c r="F354" t="str">
        <f t="shared" si="26"/>
        <v>net sales</v>
      </c>
      <c r="G354" s="7" t="str">
        <f t="shared" si="27"/>
        <v>product 1</v>
      </c>
      <c r="H354">
        <f t="shared" si="28"/>
        <v>2024</v>
      </c>
      <c r="I354">
        <f t="shared" si="29"/>
        <v>2</v>
      </c>
      <c r="J354">
        <f t="shared" si="30"/>
        <v>919.08</v>
      </c>
    </row>
    <row r="355" spans="1:10" ht="12.5" x14ac:dyDescent="0.25">
      <c r="A355" s="1">
        <v>45340</v>
      </c>
      <c r="B355" s="2" t="s">
        <v>12</v>
      </c>
      <c r="C355" s="3">
        <v>24.99</v>
      </c>
      <c r="D355" s="3">
        <v>3</v>
      </c>
      <c r="E355" s="3">
        <v>74.97</v>
      </c>
      <c r="F355" t="str">
        <f t="shared" si="26"/>
        <v>net sales</v>
      </c>
      <c r="G355" s="7" t="str">
        <f t="shared" si="27"/>
        <v>product 2</v>
      </c>
      <c r="H355">
        <f t="shared" si="28"/>
        <v>2024</v>
      </c>
      <c r="I355">
        <f t="shared" si="29"/>
        <v>2</v>
      </c>
      <c r="J355">
        <f t="shared" si="30"/>
        <v>149.94</v>
      </c>
    </row>
    <row r="356" spans="1:10" ht="12.5" x14ac:dyDescent="0.25">
      <c r="A356" s="1">
        <v>45340</v>
      </c>
      <c r="B356" s="2" t="s">
        <v>13</v>
      </c>
      <c r="C356" s="3">
        <v>12.49</v>
      </c>
      <c r="D356" s="3">
        <v>89</v>
      </c>
      <c r="E356" s="3">
        <v>1111.6100000000001</v>
      </c>
      <c r="F356" t="str">
        <f t="shared" si="26"/>
        <v>net sales</v>
      </c>
      <c r="G356" s="7" t="str">
        <f t="shared" si="27"/>
        <v>product 3</v>
      </c>
      <c r="H356">
        <f t="shared" si="28"/>
        <v>2024</v>
      </c>
      <c r="I356">
        <f t="shared" si="29"/>
        <v>2</v>
      </c>
      <c r="J356">
        <f t="shared" si="30"/>
        <v>2710.33</v>
      </c>
    </row>
    <row r="357" spans="1:10" ht="12.5" x14ac:dyDescent="0.25">
      <c r="A357" s="1">
        <v>45341</v>
      </c>
      <c r="B357" s="2" t="s">
        <v>7</v>
      </c>
      <c r="C357" s="3">
        <v>5.99</v>
      </c>
      <c r="D357" s="3">
        <v>8</v>
      </c>
      <c r="E357" s="3">
        <v>47.92</v>
      </c>
      <c r="F357" t="str">
        <f t="shared" si="26"/>
        <v>cogs</v>
      </c>
      <c r="G357" s="7" t="str">
        <f t="shared" si="27"/>
        <v>product 1</v>
      </c>
      <c r="H357">
        <f t="shared" si="28"/>
        <v>2024</v>
      </c>
      <c r="I357">
        <f t="shared" si="29"/>
        <v>2</v>
      </c>
      <c r="J357">
        <f t="shared" si="30"/>
        <v>-1200</v>
      </c>
    </row>
    <row r="358" spans="1:10" ht="12.5" x14ac:dyDescent="0.25">
      <c r="A358" s="1">
        <v>45341</v>
      </c>
      <c r="B358" s="2" t="s">
        <v>8</v>
      </c>
      <c r="C358" s="3">
        <v>16.989999999999998</v>
      </c>
      <c r="D358" s="3">
        <v>8</v>
      </c>
      <c r="E358" s="3">
        <v>135.91999999999999</v>
      </c>
      <c r="F358" t="str">
        <f t="shared" si="26"/>
        <v>cogs</v>
      </c>
      <c r="G358" s="7" t="str">
        <f t="shared" si="27"/>
        <v>product 2</v>
      </c>
      <c r="H358">
        <f t="shared" si="28"/>
        <v>2024</v>
      </c>
      <c r="I358">
        <f t="shared" si="29"/>
        <v>2</v>
      </c>
      <c r="J358">
        <f t="shared" si="30"/>
        <v>-191.68</v>
      </c>
    </row>
    <row r="359" spans="1:10" ht="12.5" x14ac:dyDescent="0.25">
      <c r="A359" s="1">
        <v>45341</v>
      </c>
      <c r="B359" s="2" t="s">
        <v>9</v>
      </c>
      <c r="C359" s="3">
        <v>8.49</v>
      </c>
      <c r="D359" s="3">
        <v>0</v>
      </c>
      <c r="E359" s="2">
        <f>C359*D359</f>
        <v>0</v>
      </c>
      <c r="F359" t="str">
        <f t="shared" si="26"/>
        <v>cogs</v>
      </c>
      <c r="G359" s="7" t="str">
        <f t="shared" si="27"/>
        <v>product 3</v>
      </c>
      <c r="H359">
        <f t="shared" si="28"/>
        <v>2024</v>
      </c>
      <c r="I359">
        <f t="shared" si="29"/>
        <v>2</v>
      </c>
      <c r="J359">
        <f t="shared" si="30"/>
        <v>-67.959999999999994</v>
      </c>
    </row>
    <row r="360" spans="1:10" ht="12.5" x14ac:dyDescent="0.25">
      <c r="A360" s="1">
        <v>45341</v>
      </c>
      <c r="B360" s="2" t="s">
        <v>10</v>
      </c>
      <c r="C360" s="2" t="s">
        <v>6</v>
      </c>
      <c r="D360" s="2" t="s">
        <v>6</v>
      </c>
      <c r="E360" s="3">
        <v>100.08</v>
      </c>
      <c r="F360" t="str">
        <f t="shared" si="26"/>
        <v>marketing</v>
      </c>
      <c r="G360" s="7" t="s">
        <v>6</v>
      </c>
      <c r="H360">
        <f t="shared" si="28"/>
        <v>2024</v>
      </c>
      <c r="I360">
        <f t="shared" si="29"/>
        <v>2</v>
      </c>
      <c r="J360">
        <f t="shared" si="30"/>
        <v>-93.39</v>
      </c>
    </row>
    <row r="361" spans="1:10" ht="12.5" x14ac:dyDescent="0.25">
      <c r="A361" s="1">
        <v>45341</v>
      </c>
      <c r="B361" s="2" t="s">
        <v>11</v>
      </c>
      <c r="C361" s="3">
        <v>9.99</v>
      </c>
      <c r="D361" s="3">
        <v>8</v>
      </c>
      <c r="E361" s="3">
        <v>79.92</v>
      </c>
      <c r="F361" t="str">
        <f t="shared" si="26"/>
        <v>net sales</v>
      </c>
      <c r="G361" s="7" t="str">
        <f t="shared" si="27"/>
        <v>product 1</v>
      </c>
      <c r="H361">
        <f t="shared" si="28"/>
        <v>2024</v>
      </c>
      <c r="I361">
        <f t="shared" si="29"/>
        <v>2</v>
      </c>
      <c r="J361">
        <f t="shared" si="30"/>
        <v>-99.960000000000008</v>
      </c>
    </row>
    <row r="362" spans="1:10" ht="12.5" x14ac:dyDescent="0.25">
      <c r="A362" s="1">
        <v>45341</v>
      </c>
      <c r="B362" s="2" t="s">
        <v>12</v>
      </c>
      <c r="C362" s="3">
        <v>24.99</v>
      </c>
      <c r="D362" s="3">
        <v>8</v>
      </c>
      <c r="E362" s="3">
        <v>199.92</v>
      </c>
      <c r="F362" t="str">
        <f t="shared" si="26"/>
        <v>net sales</v>
      </c>
      <c r="G362" s="7" t="str">
        <f t="shared" si="27"/>
        <v>product 2</v>
      </c>
      <c r="H362">
        <f t="shared" si="28"/>
        <v>2024</v>
      </c>
      <c r="I362">
        <f t="shared" si="29"/>
        <v>2</v>
      </c>
      <c r="J362">
        <f t="shared" si="30"/>
        <v>319.68</v>
      </c>
    </row>
    <row r="363" spans="1:10" ht="12.5" x14ac:dyDescent="0.25">
      <c r="A363" s="1">
        <v>45341</v>
      </c>
      <c r="B363" s="2" t="s">
        <v>13</v>
      </c>
      <c r="C363" s="3">
        <v>12.49</v>
      </c>
      <c r="D363" s="3">
        <v>0</v>
      </c>
      <c r="E363" s="2">
        <f>C363*D363</f>
        <v>0</v>
      </c>
      <c r="F363" t="str">
        <f t="shared" si="26"/>
        <v>net sales</v>
      </c>
      <c r="G363" s="7" t="str">
        <f t="shared" si="27"/>
        <v>product 3</v>
      </c>
      <c r="H363">
        <f t="shared" si="28"/>
        <v>2024</v>
      </c>
      <c r="I363">
        <f t="shared" si="29"/>
        <v>2</v>
      </c>
      <c r="J363">
        <f t="shared" si="30"/>
        <v>99.96</v>
      </c>
    </row>
    <row r="364" spans="1:10" ht="12.5" x14ac:dyDescent="0.25">
      <c r="A364" s="1">
        <v>45342</v>
      </c>
      <c r="B364" s="2" t="s">
        <v>7</v>
      </c>
      <c r="C364" s="3">
        <v>5.99</v>
      </c>
      <c r="D364" s="3">
        <v>46</v>
      </c>
      <c r="E364" s="3">
        <v>275.54000000000002</v>
      </c>
      <c r="F364" t="str">
        <f t="shared" si="26"/>
        <v>cogs</v>
      </c>
      <c r="G364" s="7" t="str">
        <f t="shared" si="27"/>
        <v>product 1</v>
      </c>
      <c r="H364">
        <f t="shared" si="28"/>
        <v>2024</v>
      </c>
      <c r="I364">
        <f t="shared" si="29"/>
        <v>2</v>
      </c>
      <c r="J364">
        <f t="shared" si="30"/>
        <v>137.39000000000001</v>
      </c>
    </row>
    <row r="365" spans="1:10" ht="12.5" x14ac:dyDescent="0.25">
      <c r="A365" s="1">
        <v>45342</v>
      </c>
      <c r="B365" s="2" t="s">
        <v>8</v>
      </c>
      <c r="C365" s="3">
        <v>16.989999999999998</v>
      </c>
      <c r="D365" s="3">
        <v>1</v>
      </c>
      <c r="E365" s="3">
        <v>16.989999999999998</v>
      </c>
      <c r="F365" t="str">
        <f t="shared" si="26"/>
        <v>cogs</v>
      </c>
      <c r="G365" s="7" t="str">
        <f t="shared" si="27"/>
        <v>product 2</v>
      </c>
      <c r="H365">
        <f t="shared" si="28"/>
        <v>2024</v>
      </c>
      <c r="I365">
        <f t="shared" si="29"/>
        <v>2</v>
      </c>
      <c r="J365">
        <f t="shared" si="30"/>
        <v>-29.950000000000003</v>
      </c>
    </row>
    <row r="366" spans="1:10" ht="12.5" x14ac:dyDescent="0.25">
      <c r="A366" s="1">
        <v>45342</v>
      </c>
      <c r="B366" s="2" t="s">
        <v>9</v>
      </c>
      <c r="C366" s="3">
        <v>8.49</v>
      </c>
      <c r="D366" s="3">
        <v>43</v>
      </c>
      <c r="E366" s="3">
        <v>365.07</v>
      </c>
      <c r="F366" t="str">
        <f t="shared" si="26"/>
        <v>cogs</v>
      </c>
      <c r="G366" s="7" t="str">
        <f t="shared" si="27"/>
        <v>product 3</v>
      </c>
      <c r="H366">
        <f t="shared" si="28"/>
        <v>2024</v>
      </c>
      <c r="I366">
        <f t="shared" si="29"/>
        <v>2</v>
      </c>
      <c r="J366">
        <f t="shared" si="30"/>
        <v>-33.979999999999997</v>
      </c>
    </row>
    <row r="367" spans="1:10" ht="12.5" x14ac:dyDescent="0.25">
      <c r="A367" s="1">
        <v>45342</v>
      </c>
      <c r="B367" s="2" t="s">
        <v>10</v>
      </c>
      <c r="C367" s="2" t="s">
        <v>6</v>
      </c>
      <c r="D367" s="2" t="s">
        <v>6</v>
      </c>
      <c r="E367" s="3">
        <v>100</v>
      </c>
      <c r="F367" t="str">
        <f t="shared" si="26"/>
        <v>marketing</v>
      </c>
      <c r="G367" s="7" t="s">
        <v>6</v>
      </c>
      <c r="H367">
        <f t="shared" si="28"/>
        <v>2024</v>
      </c>
      <c r="I367">
        <f t="shared" si="29"/>
        <v>2</v>
      </c>
      <c r="J367">
        <f t="shared" si="30"/>
        <v>-84.9</v>
      </c>
    </row>
    <row r="368" spans="1:10" ht="12.5" x14ac:dyDescent="0.25">
      <c r="A368" s="1">
        <v>45342</v>
      </c>
      <c r="B368" s="2" t="s">
        <v>11</v>
      </c>
      <c r="C368" s="3">
        <v>9.99</v>
      </c>
      <c r="D368" s="3">
        <v>46</v>
      </c>
      <c r="E368" s="3">
        <v>459.54</v>
      </c>
      <c r="F368" t="str">
        <f t="shared" si="26"/>
        <v>net sales</v>
      </c>
      <c r="G368" s="7" t="str">
        <f t="shared" si="27"/>
        <v>product 1</v>
      </c>
      <c r="H368">
        <f t="shared" si="28"/>
        <v>2024</v>
      </c>
      <c r="I368">
        <f t="shared" si="29"/>
        <v>2</v>
      </c>
      <c r="J368">
        <f t="shared" si="30"/>
        <v>-100.03</v>
      </c>
    </row>
    <row r="369" spans="1:10" ht="12.5" x14ac:dyDescent="0.25">
      <c r="A369" s="1">
        <v>45342</v>
      </c>
      <c r="B369" s="2" t="s">
        <v>12</v>
      </c>
      <c r="C369" s="3">
        <v>24.99</v>
      </c>
      <c r="D369" s="3">
        <v>1</v>
      </c>
      <c r="E369" s="3">
        <v>24.99</v>
      </c>
      <c r="F369" t="str">
        <f t="shared" si="26"/>
        <v>net sales</v>
      </c>
      <c r="G369" s="7" t="str">
        <f t="shared" si="27"/>
        <v>product 2</v>
      </c>
      <c r="H369">
        <f t="shared" si="28"/>
        <v>2024</v>
      </c>
      <c r="I369">
        <f t="shared" si="29"/>
        <v>2</v>
      </c>
      <c r="J369">
        <f t="shared" si="30"/>
        <v>49.95</v>
      </c>
    </row>
    <row r="370" spans="1:10" ht="12.5" x14ac:dyDescent="0.25">
      <c r="A370" s="1">
        <v>45342</v>
      </c>
      <c r="B370" s="2" t="s">
        <v>13</v>
      </c>
      <c r="C370" s="3">
        <v>12.49</v>
      </c>
      <c r="D370" s="3">
        <v>43</v>
      </c>
      <c r="E370" s="3">
        <v>537.07000000000005</v>
      </c>
      <c r="F370" t="str">
        <f t="shared" si="26"/>
        <v>net sales</v>
      </c>
      <c r="G370" s="7" t="str">
        <f t="shared" si="27"/>
        <v>product 3</v>
      </c>
      <c r="H370">
        <f t="shared" si="28"/>
        <v>2024</v>
      </c>
      <c r="I370">
        <f t="shared" si="29"/>
        <v>2</v>
      </c>
      <c r="J370">
        <f t="shared" si="30"/>
        <v>49.98</v>
      </c>
    </row>
    <row r="371" spans="1:10" ht="12.5" x14ac:dyDescent="0.25">
      <c r="A371" s="1">
        <v>45343</v>
      </c>
      <c r="B371" s="2" t="s">
        <v>7</v>
      </c>
      <c r="C371" s="3">
        <v>5.99</v>
      </c>
      <c r="D371" s="3">
        <v>37</v>
      </c>
      <c r="E371" s="3">
        <v>221.63</v>
      </c>
      <c r="F371" t="str">
        <f t="shared" si="26"/>
        <v>cogs</v>
      </c>
      <c r="G371" s="7" t="str">
        <f t="shared" si="27"/>
        <v>product 1</v>
      </c>
      <c r="H371">
        <f t="shared" si="28"/>
        <v>2024</v>
      </c>
      <c r="I371">
        <f t="shared" si="29"/>
        <v>2</v>
      </c>
      <c r="J371">
        <f t="shared" si="30"/>
        <v>124.9</v>
      </c>
    </row>
    <row r="372" spans="1:10" ht="12.5" x14ac:dyDescent="0.25">
      <c r="A372" s="1">
        <v>45343</v>
      </c>
      <c r="B372" s="2" t="s">
        <v>8</v>
      </c>
      <c r="C372" s="3">
        <v>16.989999999999998</v>
      </c>
      <c r="D372" s="3">
        <v>9</v>
      </c>
      <c r="E372" s="3">
        <v>152.91</v>
      </c>
      <c r="F372" t="str">
        <f t="shared" si="26"/>
        <v>cogs</v>
      </c>
      <c r="G372" s="7" t="str">
        <f t="shared" si="27"/>
        <v>product 2</v>
      </c>
      <c r="H372">
        <f t="shared" si="28"/>
        <v>2024</v>
      </c>
      <c r="I372">
        <f t="shared" si="29"/>
        <v>2</v>
      </c>
      <c r="J372">
        <f t="shared" si="30"/>
        <v>-407.32</v>
      </c>
    </row>
    <row r="373" spans="1:10" ht="12.5" x14ac:dyDescent="0.25">
      <c r="A373" s="1">
        <v>45343</v>
      </c>
      <c r="B373" s="2" t="s">
        <v>9</v>
      </c>
      <c r="C373" s="3">
        <v>8.49</v>
      </c>
      <c r="D373" s="3">
        <v>65</v>
      </c>
      <c r="E373" s="3">
        <v>551.85</v>
      </c>
      <c r="F373" t="str">
        <f t="shared" si="26"/>
        <v>cogs</v>
      </c>
      <c r="G373" s="7" t="str">
        <f t="shared" si="27"/>
        <v>product 3</v>
      </c>
      <c r="H373">
        <f t="shared" si="28"/>
        <v>2024</v>
      </c>
      <c r="I373">
        <f t="shared" si="29"/>
        <v>2</v>
      </c>
      <c r="J373">
        <f t="shared" si="30"/>
        <v>-101.94</v>
      </c>
    </row>
    <row r="374" spans="1:10" ht="12.5" x14ac:dyDescent="0.25">
      <c r="A374" s="1">
        <v>45343</v>
      </c>
      <c r="B374" s="2" t="s">
        <v>10</v>
      </c>
      <c r="C374" s="2" t="s">
        <v>6</v>
      </c>
      <c r="D374" s="2" t="s">
        <v>6</v>
      </c>
      <c r="E374" s="3">
        <v>99.92</v>
      </c>
      <c r="F374" t="str">
        <f t="shared" si="26"/>
        <v>marketing</v>
      </c>
      <c r="G374" s="7" t="s">
        <v>6</v>
      </c>
      <c r="H374">
        <f t="shared" si="28"/>
        <v>2024</v>
      </c>
      <c r="I374">
        <f t="shared" si="29"/>
        <v>2</v>
      </c>
      <c r="J374">
        <f t="shared" si="30"/>
        <v>-2088.54</v>
      </c>
    </row>
    <row r="375" spans="1:10" ht="12.5" x14ac:dyDescent="0.25">
      <c r="A375" s="1">
        <v>45343</v>
      </c>
      <c r="B375" s="2" t="s">
        <v>11</v>
      </c>
      <c r="C375" s="3">
        <v>9.99</v>
      </c>
      <c r="D375" s="3">
        <v>37</v>
      </c>
      <c r="E375" s="3">
        <v>369.63</v>
      </c>
      <c r="F375" t="str">
        <f t="shared" si="26"/>
        <v>net sales</v>
      </c>
      <c r="G375" s="7" t="str">
        <f t="shared" si="27"/>
        <v>product 1</v>
      </c>
      <c r="H375">
        <f t="shared" si="28"/>
        <v>2024</v>
      </c>
      <c r="I375">
        <f t="shared" si="29"/>
        <v>2</v>
      </c>
      <c r="J375">
        <f t="shared" si="30"/>
        <v>-99.97</v>
      </c>
    </row>
    <row r="376" spans="1:10" ht="12.5" x14ac:dyDescent="0.25">
      <c r="A376" s="1">
        <v>45343</v>
      </c>
      <c r="B376" s="2" t="s">
        <v>12</v>
      </c>
      <c r="C376" s="3">
        <v>24.99</v>
      </c>
      <c r="D376" s="3">
        <v>9</v>
      </c>
      <c r="E376" s="3">
        <v>224.91</v>
      </c>
      <c r="F376" t="str">
        <f t="shared" si="26"/>
        <v>net sales</v>
      </c>
      <c r="G376" s="7" t="str">
        <f t="shared" si="27"/>
        <v>product 2</v>
      </c>
      <c r="H376">
        <f t="shared" si="28"/>
        <v>2024</v>
      </c>
      <c r="I376">
        <f t="shared" si="29"/>
        <v>2</v>
      </c>
      <c r="J376">
        <f t="shared" si="30"/>
        <v>679.32</v>
      </c>
    </row>
    <row r="377" spans="1:10" ht="12.5" x14ac:dyDescent="0.25">
      <c r="A377" s="1">
        <v>45343</v>
      </c>
      <c r="B377" s="2" t="s">
        <v>13</v>
      </c>
      <c r="C377" s="3">
        <v>12.49</v>
      </c>
      <c r="D377" s="3">
        <v>65</v>
      </c>
      <c r="E377" s="3">
        <v>811.85</v>
      </c>
      <c r="F377" t="str">
        <f t="shared" si="26"/>
        <v>net sales</v>
      </c>
      <c r="G377" s="7" t="str">
        <f t="shared" si="27"/>
        <v>product 3</v>
      </c>
      <c r="H377">
        <f t="shared" si="28"/>
        <v>2024</v>
      </c>
      <c r="I377">
        <f t="shared" si="29"/>
        <v>2</v>
      </c>
      <c r="J377">
        <f t="shared" si="30"/>
        <v>149.94</v>
      </c>
    </row>
    <row r="378" spans="1:10" ht="12.5" x14ac:dyDescent="0.25">
      <c r="A378" s="1">
        <v>45344</v>
      </c>
      <c r="B378" s="2" t="s">
        <v>7</v>
      </c>
      <c r="C378" s="3">
        <v>5.99</v>
      </c>
      <c r="D378" s="3">
        <v>74</v>
      </c>
      <c r="E378" s="3">
        <v>443.26</v>
      </c>
      <c r="F378" t="str">
        <f t="shared" si="26"/>
        <v>cogs</v>
      </c>
      <c r="G378" s="7" t="str">
        <f t="shared" si="27"/>
        <v>product 1</v>
      </c>
      <c r="H378">
        <f t="shared" si="28"/>
        <v>2024</v>
      </c>
      <c r="I378">
        <f t="shared" si="29"/>
        <v>2</v>
      </c>
      <c r="J378">
        <f t="shared" si="30"/>
        <v>3072.54</v>
      </c>
    </row>
    <row r="379" spans="1:10" ht="12.5" x14ac:dyDescent="0.25">
      <c r="A379" s="1">
        <v>45344</v>
      </c>
      <c r="B379" s="2" t="s">
        <v>8</v>
      </c>
      <c r="C379" s="3">
        <v>16.989999999999998</v>
      </c>
      <c r="D379" s="3">
        <v>0</v>
      </c>
      <c r="E379" s="2">
        <f>C379*D379</f>
        <v>0</v>
      </c>
      <c r="F379" t="str">
        <f t="shared" si="26"/>
        <v>cogs</v>
      </c>
      <c r="G379" s="7" t="str">
        <f t="shared" si="27"/>
        <v>product 2</v>
      </c>
      <c r="H379">
        <f t="shared" si="28"/>
        <v>2024</v>
      </c>
      <c r="I379">
        <f t="shared" si="29"/>
        <v>2</v>
      </c>
      <c r="J379">
        <f t="shared" si="30"/>
        <v>-371.38</v>
      </c>
    </row>
    <row r="380" spans="1:10" ht="12.5" x14ac:dyDescent="0.25">
      <c r="A380" s="1">
        <v>45344</v>
      </c>
      <c r="B380" s="2" t="s">
        <v>9</v>
      </c>
      <c r="C380" s="3">
        <v>8.49</v>
      </c>
      <c r="D380" s="3">
        <v>20</v>
      </c>
      <c r="E380" s="3">
        <v>169.8</v>
      </c>
      <c r="F380" t="str">
        <f t="shared" si="26"/>
        <v>cogs</v>
      </c>
      <c r="G380" s="7" t="str">
        <f t="shared" si="27"/>
        <v>product 3</v>
      </c>
      <c r="H380">
        <f t="shared" si="28"/>
        <v>2024</v>
      </c>
      <c r="I380">
        <f t="shared" si="29"/>
        <v>2</v>
      </c>
      <c r="J380">
        <f t="shared" si="30"/>
        <v>-50.97</v>
      </c>
    </row>
    <row r="381" spans="1:10" ht="12.5" x14ac:dyDescent="0.25">
      <c r="A381" s="1">
        <v>45344</v>
      </c>
      <c r="B381" s="2" t="s">
        <v>10</v>
      </c>
      <c r="C381" s="2" t="s">
        <v>6</v>
      </c>
      <c r="D381" s="2" t="s">
        <v>6</v>
      </c>
      <c r="E381" s="3">
        <v>100.05</v>
      </c>
      <c r="F381" t="str">
        <f t="shared" si="26"/>
        <v>marketing</v>
      </c>
      <c r="G381" s="7" t="s">
        <v>6</v>
      </c>
      <c r="H381">
        <f t="shared" si="28"/>
        <v>2024</v>
      </c>
      <c r="I381">
        <f t="shared" si="29"/>
        <v>2</v>
      </c>
      <c r="J381">
        <f t="shared" si="30"/>
        <v>-1978.17</v>
      </c>
    </row>
    <row r="382" spans="1:10" ht="12.5" x14ac:dyDescent="0.25">
      <c r="A382" s="1">
        <v>45344</v>
      </c>
      <c r="B382" s="2" t="s">
        <v>11</v>
      </c>
      <c r="C382" s="3">
        <v>9.99</v>
      </c>
      <c r="D382" s="3">
        <v>74</v>
      </c>
      <c r="E382" s="3">
        <v>739.26</v>
      </c>
      <c r="F382" t="str">
        <f t="shared" si="26"/>
        <v>net sales</v>
      </c>
      <c r="G382" s="7" t="str">
        <f t="shared" si="27"/>
        <v>product 1</v>
      </c>
      <c r="H382">
        <f t="shared" si="28"/>
        <v>2024</v>
      </c>
      <c r="I382">
        <f t="shared" si="29"/>
        <v>2</v>
      </c>
      <c r="J382">
        <f t="shared" si="30"/>
        <v>-99.94</v>
      </c>
    </row>
    <row r="383" spans="1:10" ht="12.5" x14ac:dyDescent="0.25">
      <c r="A383" s="1">
        <v>45344</v>
      </c>
      <c r="B383" s="2" t="s">
        <v>12</v>
      </c>
      <c r="C383" s="3">
        <v>24.99</v>
      </c>
      <c r="D383" s="3">
        <v>0</v>
      </c>
      <c r="E383" s="2">
        <f>C383*D383</f>
        <v>0</v>
      </c>
      <c r="F383" t="str">
        <f t="shared" si="26"/>
        <v>net sales</v>
      </c>
      <c r="G383" s="7" t="str">
        <f t="shared" si="27"/>
        <v>product 2</v>
      </c>
      <c r="H383">
        <f t="shared" si="28"/>
        <v>2024</v>
      </c>
      <c r="I383">
        <f t="shared" si="29"/>
        <v>2</v>
      </c>
      <c r="J383">
        <f t="shared" si="30"/>
        <v>619.38</v>
      </c>
    </row>
    <row r="384" spans="1:10" ht="12.5" x14ac:dyDescent="0.25">
      <c r="A384" s="1">
        <v>45344</v>
      </c>
      <c r="B384" s="2" t="s">
        <v>13</v>
      </c>
      <c r="C384" s="3">
        <v>12.49</v>
      </c>
      <c r="D384" s="3">
        <v>20</v>
      </c>
      <c r="E384" s="3">
        <v>249.8</v>
      </c>
      <c r="F384" t="str">
        <f t="shared" si="26"/>
        <v>net sales</v>
      </c>
      <c r="G384" s="7" t="str">
        <f t="shared" si="27"/>
        <v>product 3</v>
      </c>
      <c r="H384">
        <f t="shared" si="28"/>
        <v>2024</v>
      </c>
      <c r="I384">
        <f t="shared" si="29"/>
        <v>2</v>
      </c>
      <c r="J384">
        <f t="shared" si="30"/>
        <v>74.97</v>
      </c>
    </row>
    <row r="385" spans="1:10" ht="12.5" x14ac:dyDescent="0.25">
      <c r="A385" s="1">
        <v>45345</v>
      </c>
      <c r="B385" s="2" t="s">
        <v>7</v>
      </c>
      <c r="C385" s="3">
        <v>5.99</v>
      </c>
      <c r="D385" s="3">
        <v>9</v>
      </c>
      <c r="E385" s="3">
        <v>53.910000000000004</v>
      </c>
      <c r="F385" t="str">
        <f t="shared" si="26"/>
        <v>cogs</v>
      </c>
      <c r="G385" s="7" t="str">
        <f t="shared" si="27"/>
        <v>product 1</v>
      </c>
      <c r="H385">
        <f t="shared" si="28"/>
        <v>2024</v>
      </c>
      <c r="I385">
        <f t="shared" si="29"/>
        <v>2</v>
      </c>
      <c r="J385">
        <f t="shared" si="30"/>
        <v>2910.17</v>
      </c>
    </row>
    <row r="386" spans="1:10" ht="12.5" x14ac:dyDescent="0.25">
      <c r="A386" s="1">
        <v>45345</v>
      </c>
      <c r="B386" s="2" t="s">
        <v>8</v>
      </c>
      <c r="C386" s="3">
        <v>16.989999999999998</v>
      </c>
      <c r="D386" s="3">
        <v>6</v>
      </c>
      <c r="E386" s="3">
        <v>101.94</v>
      </c>
      <c r="F386" t="str">
        <f t="shared" si="26"/>
        <v>cogs</v>
      </c>
      <c r="G386" s="7" t="str">
        <f t="shared" si="27"/>
        <v>product 2</v>
      </c>
      <c r="H386">
        <f t="shared" si="28"/>
        <v>2024</v>
      </c>
      <c r="I386">
        <f t="shared" si="29"/>
        <v>2</v>
      </c>
      <c r="J386">
        <f t="shared" si="30"/>
        <v>-539.1</v>
      </c>
    </row>
    <row r="387" spans="1:10" ht="12.5" x14ac:dyDescent="0.25">
      <c r="A387" s="1">
        <v>45345</v>
      </c>
      <c r="B387" s="2" t="s">
        <v>9</v>
      </c>
      <c r="C387" s="3">
        <v>8.49</v>
      </c>
      <c r="D387" s="3">
        <v>241</v>
      </c>
      <c r="E387" s="3">
        <v>2046.0900000000001</v>
      </c>
      <c r="F387" t="str">
        <f t="shared" ref="F387:F450" si="31">IFERROR(LEFT(B387,FIND(":",B387)-1),B387)</f>
        <v>cogs</v>
      </c>
      <c r="G387" s="7" t="str">
        <f t="shared" ref="G387:G450" si="32">IFERROR(RIGHT(B387,LEN(B387)-FIND(":",B387)),"")</f>
        <v>product 3</v>
      </c>
      <c r="H387">
        <f t="shared" ref="H387:H450" si="33">YEAR(A387)</f>
        <v>2024</v>
      </c>
      <c r="I387">
        <f t="shared" ref="I387:I450" si="34">MONTH(A387)</f>
        <v>2</v>
      </c>
      <c r="J387">
        <f t="shared" si="30"/>
        <v>-67.959999999999994</v>
      </c>
    </row>
    <row r="388" spans="1:10" ht="12.5" x14ac:dyDescent="0.25">
      <c r="A388" s="1">
        <v>45345</v>
      </c>
      <c r="B388" s="2" t="s">
        <v>10</v>
      </c>
      <c r="C388" s="2" t="s">
        <v>6</v>
      </c>
      <c r="D388" s="2" t="s">
        <v>6</v>
      </c>
      <c r="E388" s="3">
        <v>99.93</v>
      </c>
      <c r="F388" t="str">
        <f t="shared" si="31"/>
        <v>marketing</v>
      </c>
      <c r="G388" s="7" t="s">
        <v>6</v>
      </c>
      <c r="H388">
        <f t="shared" si="33"/>
        <v>2024</v>
      </c>
      <c r="I388">
        <f t="shared" si="34"/>
        <v>2</v>
      </c>
      <c r="J388">
        <f t="shared" si="30"/>
        <v>-178.29</v>
      </c>
    </row>
    <row r="389" spans="1:10" ht="12.5" x14ac:dyDescent="0.25">
      <c r="A389" s="1">
        <v>45345</v>
      </c>
      <c r="B389" s="2" t="s">
        <v>11</v>
      </c>
      <c r="C389" s="3">
        <v>9.99</v>
      </c>
      <c r="D389" s="3">
        <v>9</v>
      </c>
      <c r="E389" s="3">
        <v>89.91</v>
      </c>
      <c r="F389" t="str">
        <f t="shared" si="31"/>
        <v>net sales</v>
      </c>
      <c r="G389" s="7" t="str">
        <f t="shared" si="32"/>
        <v>product 1</v>
      </c>
      <c r="H389">
        <f t="shared" si="33"/>
        <v>2024</v>
      </c>
      <c r="I389">
        <f t="shared" si="34"/>
        <v>2</v>
      </c>
      <c r="J389">
        <f t="shared" si="30"/>
        <v>-99.93</v>
      </c>
    </row>
    <row r="390" spans="1:10" ht="12.5" x14ac:dyDescent="0.25">
      <c r="A390" s="1">
        <v>45345</v>
      </c>
      <c r="B390" s="2" t="s">
        <v>12</v>
      </c>
      <c r="C390" s="3">
        <v>24.99</v>
      </c>
      <c r="D390" s="3">
        <v>6</v>
      </c>
      <c r="E390" s="3">
        <v>149.94</v>
      </c>
      <c r="F390" t="str">
        <f t="shared" si="31"/>
        <v>net sales</v>
      </c>
      <c r="G390" s="7" t="str">
        <f t="shared" si="32"/>
        <v>product 2</v>
      </c>
      <c r="H390">
        <f t="shared" si="33"/>
        <v>2024</v>
      </c>
      <c r="I390">
        <f t="shared" si="34"/>
        <v>2</v>
      </c>
      <c r="J390">
        <f t="shared" si="30"/>
        <v>899.1</v>
      </c>
    </row>
    <row r="391" spans="1:10" ht="12.5" x14ac:dyDescent="0.25">
      <c r="A391" s="1">
        <v>45345</v>
      </c>
      <c r="B391" s="2" t="s">
        <v>13</v>
      </c>
      <c r="C391" s="3">
        <v>12.49</v>
      </c>
      <c r="D391" s="3">
        <v>241</v>
      </c>
      <c r="E391" s="3">
        <v>3010.09</v>
      </c>
      <c r="F391" t="str">
        <f t="shared" si="31"/>
        <v>net sales</v>
      </c>
      <c r="G391" s="7" t="str">
        <f t="shared" si="32"/>
        <v>product 3</v>
      </c>
      <c r="H391">
        <f t="shared" si="33"/>
        <v>2024</v>
      </c>
      <c r="I391">
        <f t="shared" si="34"/>
        <v>2</v>
      </c>
      <c r="J391">
        <f t="shared" si="30"/>
        <v>99.96</v>
      </c>
    </row>
    <row r="392" spans="1:10" ht="12.5" x14ac:dyDescent="0.25">
      <c r="A392" s="1">
        <v>45346</v>
      </c>
      <c r="B392" s="2" t="s">
        <v>7</v>
      </c>
      <c r="C392" s="3">
        <v>5.99</v>
      </c>
      <c r="D392" s="3">
        <v>35</v>
      </c>
      <c r="E392" s="3">
        <v>209.65</v>
      </c>
      <c r="F392" t="str">
        <f t="shared" si="31"/>
        <v>cogs</v>
      </c>
      <c r="G392" s="7" t="str">
        <f t="shared" si="32"/>
        <v>product 1</v>
      </c>
      <c r="H392">
        <f t="shared" si="33"/>
        <v>2024</v>
      </c>
      <c r="I392">
        <f t="shared" si="34"/>
        <v>2</v>
      </c>
      <c r="J392">
        <f t="shared" si="30"/>
        <v>262.29000000000002</v>
      </c>
    </row>
    <row r="393" spans="1:10" ht="12.5" x14ac:dyDescent="0.25">
      <c r="A393" s="1">
        <v>45346</v>
      </c>
      <c r="B393" s="2" t="s">
        <v>8</v>
      </c>
      <c r="C393" s="3">
        <v>16.989999999999998</v>
      </c>
      <c r="D393" s="3">
        <v>7</v>
      </c>
      <c r="E393" s="3">
        <v>118.92999999999999</v>
      </c>
      <c r="F393" t="str">
        <f t="shared" si="31"/>
        <v>cogs</v>
      </c>
      <c r="G393" s="7" t="str">
        <f t="shared" si="32"/>
        <v>product 2</v>
      </c>
      <c r="H393">
        <f t="shared" si="33"/>
        <v>2024</v>
      </c>
      <c r="I393">
        <f t="shared" si="34"/>
        <v>2</v>
      </c>
      <c r="J393">
        <f t="shared" si="30"/>
        <v>-233.61</v>
      </c>
    </row>
    <row r="394" spans="1:10" ht="12.5" x14ac:dyDescent="0.25">
      <c r="A394" s="1">
        <v>45346</v>
      </c>
      <c r="B394" s="2" t="s">
        <v>9</v>
      </c>
      <c r="C394" s="3">
        <v>8.49</v>
      </c>
      <c r="D394" s="3">
        <v>90</v>
      </c>
      <c r="E394" s="3">
        <v>764.1</v>
      </c>
      <c r="F394" t="str">
        <f t="shared" si="31"/>
        <v>cogs</v>
      </c>
      <c r="G394" s="7" t="str">
        <f t="shared" si="32"/>
        <v>product 3</v>
      </c>
      <c r="H394">
        <f t="shared" si="33"/>
        <v>2024</v>
      </c>
      <c r="I394">
        <f t="shared" si="34"/>
        <v>2</v>
      </c>
      <c r="J394">
        <f t="shared" si="30"/>
        <v>-50.97</v>
      </c>
    </row>
    <row r="395" spans="1:10" ht="12.5" x14ac:dyDescent="0.25">
      <c r="A395" s="1">
        <v>45346</v>
      </c>
      <c r="B395" s="2" t="s">
        <v>10</v>
      </c>
      <c r="C395" s="2" t="s">
        <v>6</v>
      </c>
      <c r="D395" s="2" t="s">
        <v>6</v>
      </c>
      <c r="E395" s="3">
        <v>99.97</v>
      </c>
      <c r="F395" t="str">
        <f t="shared" si="31"/>
        <v>marketing</v>
      </c>
      <c r="G395" s="7" t="s">
        <v>6</v>
      </c>
      <c r="H395">
        <f t="shared" si="33"/>
        <v>2024</v>
      </c>
      <c r="I395">
        <f t="shared" si="34"/>
        <v>2</v>
      </c>
      <c r="J395">
        <f t="shared" si="30"/>
        <v>-331.11</v>
      </c>
    </row>
    <row r="396" spans="1:10" ht="12.5" x14ac:dyDescent="0.25">
      <c r="A396" s="1">
        <v>45346</v>
      </c>
      <c r="B396" s="2" t="s">
        <v>11</v>
      </c>
      <c r="C396" s="3">
        <v>9.99</v>
      </c>
      <c r="D396" s="3">
        <v>35</v>
      </c>
      <c r="E396" s="3">
        <v>349.65000000000003</v>
      </c>
      <c r="F396" t="str">
        <f t="shared" si="31"/>
        <v>net sales</v>
      </c>
      <c r="G396" s="7" t="str">
        <f t="shared" si="32"/>
        <v>product 1</v>
      </c>
      <c r="H396">
        <f t="shared" si="33"/>
        <v>2024</v>
      </c>
      <c r="I396">
        <f t="shared" si="34"/>
        <v>2</v>
      </c>
      <c r="J396">
        <f t="shared" si="30"/>
        <v>-99.92</v>
      </c>
    </row>
    <row r="397" spans="1:10" ht="12.5" x14ac:dyDescent="0.25">
      <c r="A397" s="1">
        <v>45346</v>
      </c>
      <c r="B397" s="2" t="s">
        <v>12</v>
      </c>
      <c r="C397" s="3">
        <v>24.99</v>
      </c>
      <c r="D397" s="3">
        <v>7</v>
      </c>
      <c r="E397" s="3">
        <v>174.92999999999998</v>
      </c>
      <c r="F397" t="str">
        <f t="shared" si="31"/>
        <v>net sales</v>
      </c>
      <c r="G397" s="7" t="str">
        <f t="shared" si="32"/>
        <v>product 2</v>
      </c>
      <c r="H397">
        <f t="shared" si="33"/>
        <v>2024</v>
      </c>
      <c r="I397">
        <f t="shared" si="34"/>
        <v>2</v>
      </c>
      <c r="J397">
        <f t="shared" si="30"/>
        <v>389.61</v>
      </c>
    </row>
    <row r="398" spans="1:10" ht="12.5" x14ac:dyDescent="0.25">
      <c r="A398" s="1">
        <v>45346</v>
      </c>
      <c r="B398" s="2" t="s">
        <v>13</v>
      </c>
      <c r="C398" s="3">
        <v>12.49</v>
      </c>
      <c r="D398" s="3">
        <v>90</v>
      </c>
      <c r="E398" s="3">
        <v>1124.0999999999999</v>
      </c>
      <c r="F398" t="str">
        <f t="shared" si="31"/>
        <v>net sales</v>
      </c>
      <c r="G398" s="7" t="str">
        <f t="shared" si="32"/>
        <v>product 3</v>
      </c>
      <c r="H398">
        <f t="shared" si="33"/>
        <v>2024</v>
      </c>
      <c r="I398">
        <f t="shared" si="34"/>
        <v>2</v>
      </c>
      <c r="J398">
        <f t="shared" si="30"/>
        <v>74.97</v>
      </c>
    </row>
    <row r="399" spans="1:10" ht="12.5" x14ac:dyDescent="0.25">
      <c r="A399" s="1">
        <v>45347</v>
      </c>
      <c r="B399" s="2" t="s">
        <v>7</v>
      </c>
      <c r="C399" s="3">
        <v>5.99</v>
      </c>
      <c r="D399" s="3">
        <v>28</v>
      </c>
      <c r="E399" s="3">
        <v>167.72</v>
      </c>
      <c r="F399" t="str">
        <f t="shared" si="31"/>
        <v>cogs</v>
      </c>
      <c r="G399" s="7" t="str">
        <f t="shared" si="32"/>
        <v>product 1</v>
      </c>
      <c r="H399">
        <f t="shared" si="33"/>
        <v>2024</v>
      </c>
      <c r="I399">
        <f t="shared" si="34"/>
        <v>2</v>
      </c>
      <c r="J399">
        <f t="shared" si="30"/>
        <v>487.11</v>
      </c>
    </row>
    <row r="400" spans="1:10" ht="12.5" x14ac:dyDescent="0.25">
      <c r="A400" s="1">
        <v>45347</v>
      </c>
      <c r="B400" s="2" t="s">
        <v>8</v>
      </c>
      <c r="C400" s="3">
        <v>16.989999999999998</v>
      </c>
      <c r="D400" s="3">
        <v>8</v>
      </c>
      <c r="E400" s="3">
        <v>135.91999999999999</v>
      </c>
      <c r="F400" t="str">
        <f t="shared" si="31"/>
        <v>cogs</v>
      </c>
      <c r="G400" s="7" t="str">
        <f t="shared" si="32"/>
        <v>product 2</v>
      </c>
      <c r="H400">
        <f t="shared" si="33"/>
        <v>2024</v>
      </c>
      <c r="I400">
        <f t="shared" si="34"/>
        <v>2</v>
      </c>
      <c r="J400">
        <f t="shared" si="30"/>
        <v>-125.79</v>
      </c>
    </row>
    <row r="401" spans="1:10" ht="12.5" x14ac:dyDescent="0.25">
      <c r="A401" s="1">
        <v>45347</v>
      </c>
      <c r="B401" s="2" t="s">
        <v>9</v>
      </c>
      <c r="C401" s="3">
        <v>8.49</v>
      </c>
      <c r="D401" s="3">
        <v>83</v>
      </c>
      <c r="E401" s="3">
        <v>704.67000000000007</v>
      </c>
      <c r="F401" t="str">
        <f t="shared" si="31"/>
        <v>cogs</v>
      </c>
      <c r="G401" s="7" t="str">
        <f t="shared" si="32"/>
        <v>product 3</v>
      </c>
      <c r="H401">
        <f t="shared" si="33"/>
        <v>2024</v>
      </c>
      <c r="I401">
        <f t="shared" si="34"/>
        <v>2</v>
      </c>
      <c r="J401">
        <f t="shared" si="30"/>
        <v>0</v>
      </c>
    </row>
    <row r="402" spans="1:10" ht="12.5" x14ac:dyDescent="0.25">
      <c r="A402" s="1">
        <v>45347</v>
      </c>
      <c r="B402" s="2" t="s">
        <v>10</v>
      </c>
      <c r="C402" s="2" t="s">
        <v>6</v>
      </c>
      <c r="D402" s="2" t="s">
        <v>6</v>
      </c>
      <c r="E402" s="3">
        <v>99.92</v>
      </c>
      <c r="F402" t="str">
        <f t="shared" si="31"/>
        <v>marketing</v>
      </c>
      <c r="G402" s="7" t="s">
        <v>6</v>
      </c>
      <c r="H402">
        <f t="shared" si="33"/>
        <v>2024</v>
      </c>
      <c r="I402">
        <f t="shared" si="34"/>
        <v>2</v>
      </c>
      <c r="J402">
        <f t="shared" si="30"/>
        <v>-1163.1300000000001</v>
      </c>
    </row>
    <row r="403" spans="1:10" ht="12.5" x14ac:dyDescent="0.25">
      <c r="A403" s="1">
        <v>45347</v>
      </c>
      <c r="B403" s="2" t="s">
        <v>11</v>
      </c>
      <c r="C403" s="3">
        <v>9.99</v>
      </c>
      <c r="D403" s="3">
        <v>28</v>
      </c>
      <c r="E403" s="3">
        <v>279.72000000000003</v>
      </c>
      <c r="F403" t="str">
        <f t="shared" si="31"/>
        <v>net sales</v>
      </c>
      <c r="G403" s="7" t="str">
        <f t="shared" si="32"/>
        <v>product 1</v>
      </c>
      <c r="H403">
        <f t="shared" si="33"/>
        <v>2024</v>
      </c>
      <c r="I403">
        <f t="shared" si="34"/>
        <v>2</v>
      </c>
      <c r="J403">
        <f t="shared" si="30"/>
        <v>-99.95</v>
      </c>
    </row>
    <row r="404" spans="1:10" ht="12.5" x14ac:dyDescent="0.25">
      <c r="A404" s="1">
        <v>45347</v>
      </c>
      <c r="B404" s="2" t="s">
        <v>12</v>
      </c>
      <c r="C404" s="3">
        <v>24.99</v>
      </c>
      <c r="D404" s="3">
        <v>8</v>
      </c>
      <c r="E404" s="3">
        <v>199.92</v>
      </c>
      <c r="F404" t="str">
        <f t="shared" si="31"/>
        <v>net sales</v>
      </c>
      <c r="G404" s="7" t="str">
        <f t="shared" si="32"/>
        <v>product 2</v>
      </c>
      <c r="H404">
        <f t="shared" si="33"/>
        <v>2024</v>
      </c>
      <c r="I404">
        <f t="shared" si="34"/>
        <v>2</v>
      </c>
      <c r="J404">
        <f t="shared" si="30"/>
        <v>209.79</v>
      </c>
    </row>
    <row r="405" spans="1:10" ht="12.5" x14ac:dyDescent="0.25">
      <c r="A405" s="1">
        <v>45347</v>
      </c>
      <c r="B405" s="2" t="s">
        <v>13</v>
      </c>
      <c r="C405" s="3">
        <v>12.49</v>
      </c>
      <c r="D405" s="3">
        <v>83</v>
      </c>
      <c r="E405" s="3">
        <v>1036.67</v>
      </c>
      <c r="F405" t="str">
        <f t="shared" si="31"/>
        <v>net sales</v>
      </c>
      <c r="G405" s="7" t="str">
        <f t="shared" si="32"/>
        <v>product 3</v>
      </c>
      <c r="H405">
        <f t="shared" si="33"/>
        <v>2024</v>
      </c>
      <c r="I405">
        <f t="shared" si="34"/>
        <v>2</v>
      </c>
      <c r="J405">
        <f t="shared" si="30"/>
        <v>0</v>
      </c>
    </row>
    <row r="406" spans="1:10" ht="12.5" x14ac:dyDescent="0.25">
      <c r="A406" s="1">
        <v>45348</v>
      </c>
      <c r="B406" s="2" t="s">
        <v>7</v>
      </c>
      <c r="C406" s="3">
        <v>5.99</v>
      </c>
      <c r="D406" s="3">
        <v>37</v>
      </c>
      <c r="E406" s="3">
        <v>221.63</v>
      </c>
      <c r="F406" t="str">
        <f t="shared" si="31"/>
        <v>cogs</v>
      </c>
      <c r="G406" s="7" t="str">
        <f t="shared" si="32"/>
        <v>product 1</v>
      </c>
      <c r="H406">
        <f t="shared" si="33"/>
        <v>2024</v>
      </c>
      <c r="I406">
        <f t="shared" si="34"/>
        <v>2</v>
      </c>
      <c r="J406">
        <f t="shared" si="30"/>
        <v>1711.13</v>
      </c>
    </row>
    <row r="407" spans="1:10" ht="12.5" x14ac:dyDescent="0.25">
      <c r="A407" s="1">
        <v>45348</v>
      </c>
      <c r="B407" s="2" t="s">
        <v>8</v>
      </c>
      <c r="C407" s="3">
        <v>16.989999999999998</v>
      </c>
      <c r="D407" s="3">
        <v>10</v>
      </c>
      <c r="E407" s="3">
        <v>169.89999999999998</v>
      </c>
      <c r="F407" t="str">
        <f t="shared" si="31"/>
        <v>cogs</v>
      </c>
      <c r="G407" s="7" t="str">
        <f t="shared" si="32"/>
        <v>product 2</v>
      </c>
      <c r="H407">
        <f t="shared" si="33"/>
        <v>2024</v>
      </c>
      <c r="I407">
        <f t="shared" si="34"/>
        <v>2</v>
      </c>
      <c r="J407">
        <f t="shared" si="30"/>
        <v>-545.09</v>
      </c>
    </row>
    <row r="408" spans="1:10" ht="12.5" x14ac:dyDescent="0.25">
      <c r="A408" s="1">
        <v>45348</v>
      </c>
      <c r="B408" s="2" t="s">
        <v>9</v>
      </c>
      <c r="C408" s="3">
        <v>8.49</v>
      </c>
      <c r="D408" s="3">
        <v>7</v>
      </c>
      <c r="E408" s="3">
        <v>59.43</v>
      </c>
      <c r="F408" t="str">
        <f t="shared" si="31"/>
        <v>cogs</v>
      </c>
      <c r="G408" s="7" t="str">
        <f t="shared" si="32"/>
        <v>product 3</v>
      </c>
      <c r="H408">
        <f t="shared" si="33"/>
        <v>2024</v>
      </c>
      <c r="I408">
        <f t="shared" si="34"/>
        <v>2</v>
      </c>
      <c r="J408">
        <f t="shared" si="30"/>
        <v>-118.92999999999999</v>
      </c>
    </row>
    <row r="409" spans="1:10" ht="12.5" x14ac:dyDescent="0.25">
      <c r="A409" s="1">
        <v>45348</v>
      </c>
      <c r="B409" s="2" t="s">
        <v>10</v>
      </c>
      <c r="C409" s="2" t="s">
        <v>6</v>
      </c>
      <c r="D409" s="2" t="s">
        <v>6</v>
      </c>
      <c r="E409" s="3">
        <v>99.95</v>
      </c>
      <c r="F409" t="str">
        <f t="shared" si="31"/>
        <v>marketing</v>
      </c>
      <c r="G409" s="7" t="s">
        <v>6</v>
      </c>
      <c r="H409">
        <f t="shared" si="33"/>
        <v>2024</v>
      </c>
      <c r="I409">
        <f t="shared" si="34"/>
        <v>2</v>
      </c>
      <c r="J409">
        <f t="shared" si="30"/>
        <v>-1248.03</v>
      </c>
    </row>
    <row r="410" spans="1:10" ht="12.5" x14ac:dyDescent="0.25">
      <c r="A410" s="1">
        <v>45348</v>
      </c>
      <c r="B410" s="2" t="s">
        <v>11</v>
      </c>
      <c r="C410" s="3">
        <v>9.99</v>
      </c>
      <c r="D410" s="3">
        <v>37</v>
      </c>
      <c r="E410" s="3">
        <v>369.63</v>
      </c>
      <c r="F410" t="str">
        <f t="shared" si="31"/>
        <v>net sales</v>
      </c>
      <c r="G410" s="7" t="str">
        <f t="shared" si="32"/>
        <v>product 1</v>
      </c>
      <c r="H410">
        <f t="shared" si="33"/>
        <v>2024</v>
      </c>
      <c r="I410">
        <f t="shared" si="34"/>
        <v>2</v>
      </c>
      <c r="J410">
        <f t="shared" si="30"/>
        <v>-100</v>
      </c>
    </row>
    <row r="411" spans="1:10" ht="12.5" x14ac:dyDescent="0.25">
      <c r="A411" s="1">
        <v>45348</v>
      </c>
      <c r="B411" s="2" t="s">
        <v>12</v>
      </c>
      <c r="C411" s="3">
        <v>24.99</v>
      </c>
      <c r="D411" s="3">
        <v>10</v>
      </c>
      <c r="E411" s="3">
        <v>249.89999999999998</v>
      </c>
      <c r="F411" t="str">
        <f t="shared" si="31"/>
        <v>net sales</v>
      </c>
      <c r="G411" s="7" t="str">
        <f t="shared" si="32"/>
        <v>product 2</v>
      </c>
      <c r="H411">
        <f t="shared" si="33"/>
        <v>2024</v>
      </c>
      <c r="I411">
        <f t="shared" si="34"/>
        <v>2</v>
      </c>
      <c r="J411">
        <f t="shared" si="30"/>
        <v>909.09</v>
      </c>
    </row>
    <row r="412" spans="1:10" ht="12.5" x14ac:dyDescent="0.25">
      <c r="A412" s="1">
        <v>45348</v>
      </c>
      <c r="B412" s="2" t="s">
        <v>13</v>
      </c>
      <c r="C412" s="3">
        <v>12.49</v>
      </c>
      <c r="D412" s="3">
        <v>7</v>
      </c>
      <c r="E412" s="3">
        <v>87.43</v>
      </c>
      <c r="F412" t="str">
        <f t="shared" si="31"/>
        <v>net sales</v>
      </c>
      <c r="G412" s="7" t="str">
        <f t="shared" si="32"/>
        <v>product 3</v>
      </c>
      <c r="H412">
        <f t="shared" si="33"/>
        <v>2024</v>
      </c>
      <c r="I412">
        <f t="shared" si="34"/>
        <v>2</v>
      </c>
      <c r="J412">
        <f t="shared" ref="J412:J475" si="35">IF(F195="net sales",E195,
IF(F195="cogs",-E195,
IF(OR(F195="marketing",F195="overhead",F195="payroll",F195="interest","amortization"),-E195,0)))</f>
        <v>174.92999999999998</v>
      </c>
    </row>
    <row r="413" spans="1:10" ht="12.5" x14ac:dyDescent="0.25">
      <c r="A413" s="1">
        <v>45349</v>
      </c>
      <c r="B413" s="2" t="s">
        <v>7</v>
      </c>
      <c r="C413" s="3">
        <v>5.99</v>
      </c>
      <c r="D413" s="3">
        <v>6</v>
      </c>
      <c r="E413" s="3">
        <v>35.94</v>
      </c>
      <c r="F413" t="str">
        <f t="shared" si="31"/>
        <v>cogs</v>
      </c>
      <c r="G413" s="7" t="str">
        <f t="shared" si="32"/>
        <v>product 1</v>
      </c>
      <c r="H413">
        <f t="shared" si="33"/>
        <v>2024</v>
      </c>
      <c r="I413">
        <f t="shared" si="34"/>
        <v>2</v>
      </c>
      <c r="J413">
        <f t="shared" si="35"/>
        <v>1836.03</v>
      </c>
    </row>
    <row r="414" spans="1:10" ht="12.5" x14ac:dyDescent="0.25">
      <c r="A414" s="1">
        <v>45349</v>
      </c>
      <c r="B414" s="2" t="s">
        <v>8</v>
      </c>
      <c r="C414" s="3">
        <v>16.989999999999998</v>
      </c>
      <c r="D414" s="3">
        <v>5</v>
      </c>
      <c r="E414" s="3">
        <v>84.949999999999989</v>
      </c>
      <c r="F414" t="str">
        <f t="shared" si="31"/>
        <v>cogs</v>
      </c>
      <c r="G414" s="7" t="str">
        <f t="shared" si="32"/>
        <v>product 2</v>
      </c>
      <c r="H414">
        <f t="shared" si="33"/>
        <v>2024</v>
      </c>
      <c r="I414">
        <f t="shared" si="34"/>
        <v>2</v>
      </c>
      <c r="J414">
        <f t="shared" si="35"/>
        <v>-263.56</v>
      </c>
    </row>
    <row r="415" spans="1:10" ht="12.5" x14ac:dyDescent="0.25">
      <c r="A415" s="1">
        <v>45349</v>
      </c>
      <c r="B415" s="2" t="s">
        <v>9</v>
      </c>
      <c r="C415" s="3">
        <v>8.49</v>
      </c>
      <c r="D415" s="3">
        <v>16</v>
      </c>
      <c r="E415" s="3">
        <v>135.84</v>
      </c>
      <c r="F415" t="str">
        <f t="shared" si="31"/>
        <v>cogs</v>
      </c>
      <c r="G415" s="7" t="str">
        <f t="shared" si="32"/>
        <v>product 3</v>
      </c>
      <c r="H415">
        <f t="shared" si="33"/>
        <v>2024</v>
      </c>
      <c r="I415">
        <f t="shared" si="34"/>
        <v>2</v>
      </c>
      <c r="J415">
        <f t="shared" si="35"/>
        <v>-101.94</v>
      </c>
    </row>
    <row r="416" spans="1:10" ht="12.5" x14ac:dyDescent="0.25">
      <c r="A416" s="1">
        <v>45349</v>
      </c>
      <c r="B416" s="2" t="s">
        <v>10</v>
      </c>
      <c r="C416" s="2" t="s">
        <v>6</v>
      </c>
      <c r="D416" s="2" t="s">
        <v>6</v>
      </c>
      <c r="E416" s="3">
        <v>100.09</v>
      </c>
      <c r="F416" t="str">
        <f t="shared" si="31"/>
        <v>marketing</v>
      </c>
      <c r="G416" s="7" t="s">
        <v>6</v>
      </c>
      <c r="H416">
        <f t="shared" si="33"/>
        <v>2024</v>
      </c>
      <c r="I416">
        <f t="shared" si="34"/>
        <v>2</v>
      </c>
      <c r="J416">
        <f t="shared" si="35"/>
        <v>-1910.25</v>
      </c>
    </row>
    <row r="417" spans="1:10" ht="12.5" x14ac:dyDescent="0.25">
      <c r="A417" s="1">
        <v>45349</v>
      </c>
      <c r="B417" s="2" t="s">
        <v>11</v>
      </c>
      <c r="C417" s="3">
        <v>9.99</v>
      </c>
      <c r="D417" s="3">
        <v>6</v>
      </c>
      <c r="E417" s="3">
        <v>59.94</v>
      </c>
      <c r="F417" t="str">
        <f t="shared" si="31"/>
        <v>net sales</v>
      </c>
      <c r="G417" s="7" t="str">
        <f t="shared" si="32"/>
        <v>product 1</v>
      </c>
      <c r="H417">
        <f t="shared" si="33"/>
        <v>2024</v>
      </c>
      <c r="I417">
        <f t="shared" si="34"/>
        <v>2</v>
      </c>
      <c r="J417">
        <f t="shared" si="35"/>
        <v>-100.06</v>
      </c>
    </row>
    <row r="418" spans="1:10" ht="12.5" x14ac:dyDescent="0.25">
      <c r="A418" s="1">
        <v>45349</v>
      </c>
      <c r="B418" s="2" t="s">
        <v>12</v>
      </c>
      <c r="C418" s="3">
        <v>24.99</v>
      </c>
      <c r="D418" s="3">
        <v>5</v>
      </c>
      <c r="E418" s="3">
        <v>124.94999999999999</v>
      </c>
      <c r="F418" t="str">
        <f t="shared" si="31"/>
        <v>net sales</v>
      </c>
      <c r="G418" s="7" t="str">
        <f t="shared" si="32"/>
        <v>product 2</v>
      </c>
      <c r="H418">
        <f t="shared" si="33"/>
        <v>2024</v>
      </c>
      <c r="I418">
        <f t="shared" si="34"/>
        <v>2</v>
      </c>
      <c r="J418">
        <f t="shared" si="35"/>
        <v>439.56</v>
      </c>
    </row>
    <row r="419" spans="1:10" ht="12.5" x14ac:dyDescent="0.25">
      <c r="A419" s="1">
        <v>45349</v>
      </c>
      <c r="B419" s="2" t="s">
        <v>13</v>
      </c>
      <c r="C419" s="3">
        <v>12.49</v>
      </c>
      <c r="D419" s="3">
        <v>16</v>
      </c>
      <c r="E419" s="3">
        <v>199.84</v>
      </c>
      <c r="F419" t="str">
        <f t="shared" si="31"/>
        <v>net sales</v>
      </c>
      <c r="G419" s="7" t="str">
        <f t="shared" si="32"/>
        <v>product 3</v>
      </c>
      <c r="H419">
        <f t="shared" si="33"/>
        <v>2024</v>
      </c>
      <c r="I419">
        <f t="shared" si="34"/>
        <v>2</v>
      </c>
      <c r="J419">
        <f t="shared" si="35"/>
        <v>149.94</v>
      </c>
    </row>
    <row r="420" spans="1:10" ht="12.5" x14ac:dyDescent="0.25">
      <c r="A420" s="1">
        <v>45350</v>
      </c>
      <c r="B420" s="2" t="s">
        <v>7</v>
      </c>
      <c r="C420" s="3">
        <v>5.99</v>
      </c>
      <c r="D420" s="3">
        <v>27</v>
      </c>
      <c r="E420" s="3">
        <v>161.73000000000002</v>
      </c>
      <c r="F420" t="str">
        <f t="shared" si="31"/>
        <v>cogs</v>
      </c>
      <c r="G420" s="7" t="str">
        <f t="shared" si="32"/>
        <v>product 1</v>
      </c>
      <c r="H420">
        <f t="shared" si="33"/>
        <v>2024</v>
      </c>
      <c r="I420">
        <f t="shared" si="34"/>
        <v>2</v>
      </c>
      <c r="J420">
        <f t="shared" si="35"/>
        <v>2810.25</v>
      </c>
    </row>
    <row r="421" spans="1:10" ht="12.5" x14ac:dyDescent="0.25">
      <c r="A421" s="1">
        <v>45350</v>
      </c>
      <c r="B421" s="2" t="s">
        <v>8</v>
      </c>
      <c r="C421" s="3">
        <v>16.989999999999998</v>
      </c>
      <c r="D421" s="3">
        <v>10</v>
      </c>
      <c r="E421" s="3">
        <v>169.89999999999998</v>
      </c>
      <c r="F421" t="str">
        <f t="shared" si="31"/>
        <v>cogs</v>
      </c>
      <c r="G421" s="7" t="str">
        <f t="shared" si="32"/>
        <v>product 2</v>
      </c>
      <c r="H421">
        <f t="shared" si="33"/>
        <v>2024</v>
      </c>
      <c r="I421">
        <f t="shared" si="34"/>
        <v>2</v>
      </c>
      <c r="J421">
        <f t="shared" si="35"/>
        <v>-521.13</v>
      </c>
    </row>
    <row r="422" spans="1:10" ht="12.5" x14ac:dyDescent="0.25">
      <c r="A422" s="1">
        <v>45350</v>
      </c>
      <c r="B422" s="2" t="s">
        <v>9</v>
      </c>
      <c r="C422" s="3">
        <v>8.49</v>
      </c>
      <c r="D422" s="3">
        <v>0</v>
      </c>
      <c r="E422" s="2">
        <f>C422*D422</f>
        <v>0</v>
      </c>
      <c r="F422" t="str">
        <f t="shared" si="31"/>
        <v>cogs</v>
      </c>
      <c r="G422" s="7" t="str">
        <f t="shared" si="32"/>
        <v>product 3</v>
      </c>
      <c r="H422">
        <f t="shared" si="33"/>
        <v>2024</v>
      </c>
      <c r="I422">
        <f t="shared" si="34"/>
        <v>2</v>
      </c>
      <c r="J422">
        <f t="shared" si="35"/>
        <v>-16.989999999999998</v>
      </c>
    </row>
    <row r="423" spans="1:10" ht="12.5" x14ac:dyDescent="0.25">
      <c r="A423" s="1">
        <v>45350</v>
      </c>
      <c r="B423" s="2" t="s">
        <v>10</v>
      </c>
      <c r="C423" s="2" t="s">
        <v>6</v>
      </c>
      <c r="D423" s="2" t="s">
        <v>6</v>
      </c>
      <c r="E423" s="3">
        <v>99.960000000000008</v>
      </c>
      <c r="F423" t="str">
        <f t="shared" si="31"/>
        <v>marketing</v>
      </c>
      <c r="G423" s="7" t="s">
        <v>6</v>
      </c>
      <c r="H423">
        <f t="shared" si="33"/>
        <v>2024</v>
      </c>
      <c r="I423">
        <f t="shared" si="34"/>
        <v>2</v>
      </c>
      <c r="J423">
        <f t="shared" si="35"/>
        <v>-1451.79</v>
      </c>
    </row>
    <row r="424" spans="1:10" ht="12.5" x14ac:dyDescent="0.25">
      <c r="A424" s="1">
        <v>45350</v>
      </c>
      <c r="B424" s="2" t="s">
        <v>11</v>
      </c>
      <c r="C424" s="3">
        <v>9.99</v>
      </c>
      <c r="D424" s="3">
        <v>27</v>
      </c>
      <c r="E424" s="3">
        <v>269.73</v>
      </c>
      <c r="F424" t="str">
        <f t="shared" si="31"/>
        <v>net sales</v>
      </c>
      <c r="G424" s="7" t="str">
        <f t="shared" si="32"/>
        <v>product 1</v>
      </c>
      <c r="H424">
        <f t="shared" si="33"/>
        <v>2024</v>
      </c>
      <c r="I424">
        <f t="shared" si="34"/>
        <v>2</v>
      </c>
      <c r="J424">
        <f t="shared" si="35"/>
        <v>-100.01</v>
      </c>
    </row>
    <row r="425" spans="1:10" ht="12.5" x14ac:dyDescent="0.25">
      <c r="A425" s="1">
        <v>45350</v>
      </c>
      <c r="B425" s="2" t="s">
        <v>12</v>
      </c>
      <c r="C425" s="3">
        <v>24.99</v>
      </c>
      <c r="D425" s="3">
        <v>10</v>
      </c>
      <c r="E425" s="3">
        <v>249.89999999999998</v>
      </c>
      <c r="F425" t="str">
        <f t="shared" si="31"/>
        <v>net sales</v>
      </c>
      <c r="G425" s="7" t="str">
        <f t="shared" si="32"/>
        <v>product 2</v>
      </c>
      <c r="H425">
        <f t="shared" si="33"/>
        <v>2024</v>
      </c>
      <c r="I425">
        <f t="shared" si="34"/>
        <v>2</v>
      </c>
      <c r="J425">
        <f t="shared" si="35"/>
        <v>869.13</v>
      </c>
    </row>
    <row r="426" spans="1:10" ht="12.5" x14ac:dyDescent="0.25">
      <c r="A426" s="1">
        <v>45350</v>
      </c>
      <c r="B426" s="2" t="s">
        <v>13</v>
      </c>
      <c r="C426" s="3">
        <v>12.49</v>
      </c>
      <c r="D426" s="3">
        <v>0</v>
      </c>
      <c r="E426" s="2">
        <f>C426*D426</f>
        <v>0</v>
      </c>
      <c r="F426" t="str">
        <f t="shared" si="31"/>
        <v>net sales</v>
      </c>
      <c r="G426" s="7" t="str">
        <f t="shared" si="32"/>
        <v>product 3</v>
      </c>
      <c r="H426">
        <f t="shared" si="33"/>
        <v>2024</v>
      </c>
      <c r="I426">
        <f t="shared" si="34"/>
        <v>2</v>
      </c>
      <c r="J426">
        <f t="shared" si="35"/>
        <v>24.99</v>
      </c>
    </row>
    <row r="427" spans="1:10" ht="12.5" x14ac:dyDescent="0.25">
      <c r="A427" s="1">
        <v>45351</v>
      </c>
      <c r="B427" s="2" t="s">
        <v>7</v>
      </c>
      <c r="C427" s="3">
        <v>5.99</v>
      </c>
      <c r="D427" s="3">
        <v>95</v>
      </c>
      <c r="E427" s="3">
        <v>569.05000000000007</v>
      </c>
      <c r="F427" t="str">
        <f t="shared" si="31"/>
        <v>cogs</v>
      </c>
      <c r="G427" s="7" t="str">
        <f t="shared" si="32"/>
        <v>product 1</v>
      </c>
      <c r="H427">
        <f t="shared" si="33"/>
        <v>2024</v>
      </c>
      <c r="I427">
        <f t="shared" si="34"/>
        <v>2</v>
      </c>
      <c r="J427">
        <f t="shared" si="35"/>
        <v>2135.79</v>
      </c>
    </row>
    <row r="428" spans="1:10" ht="12.5" x14ac:dyDescent="0.25">
      <c r="A428" s="1">
        <v>45351</v>
      </c>
      <c r="B428" s="2" t="s">
        <v>8</v>
      </c>
      <c r="C428" s="3">
        <v>16.989999999999998</v>
      </c>
      <c r="D428" s="3">
        <v>7</v>
      </c>
      <c r="E428" s="3">
        <v>118.92999999999999</v>
      </c>
      <c r="F428" t="str">
        <f t="shared" si="31"/>
        <v>cogs</v>
      </c>
      <c r="G428" s="7" t="str">
        <f t="shared" si="32"/>
        <v>product 2</v>
      </c>
      <c r="H428">
        <f t="shared" si="33"/>
        <v>2024</v>
      </c>
      <c r="I428">
        <f t="shared" si="34"/>
        <v>2</v>
      </c>
      <c r="J428">
        <f t="shared" si="35"/>
        <v>-251.58</v>
      </c>
    </row>
    <row r="429" spans="1:10" ht="12.5" x14ac:dyDescent="0.25">
      <c r="A429" s="1">
        <v>45351</v>
      </c>
      <c r="B429" s="2" t="s">
        <v>9</v>
      </c>
      <c r="C429" s="3">
        <v>8.49</v>
      </c>
      <c r="D429" s="3">
        <v>113</v>
      </c>
      <c r="E429" s="3">
        <v>959.37</v>
      </c>
      <c r="F429" t="str">
        <f t="shared" si="31"/>
        <v>cogs</v>
      </c>
      <c r="G429" s="7" t="str">
        <f t="shared" si="32"/>
        <v>product 3</v>
      </c>
      <c r="H429">
        <f t="shared" si="33"/>
        <v>2024</v>
      </c>
      <c r="I429">
        <f t="shared" si="34"/>
        <v>2</v>
      </c>
      <c r="J429">
        <f t="shared" si="35"/>
        <v>-169.89999999999998</v>
      </c>
    </row>
    <row r="430" spans="1:10" ht="12.5" x14ac:dyDescent="0.25">
      <c r="A430" s="1">
        <v>45351</v>
      </c>
      <c r="B430" s="2" t="s">
        <v>10</v>
      </c>
      <c r="C430" s="2" t="s">
        <v>6</v>
      </c>
      <c r="D430" s="2" t="s">
        <v>6</v>
      </c>
      <c r="E430" s="3">
        <v>100.04</v>
      </c>
      <c r="F430" t="str">
        <f t="shared" si="31"/>
        <v>marketing</v>
      </c>
      <c r="G430" s="7" t="s">
        <v>6</v>
      </c>
      <c r="H430">
        <f t="shared" si="33"/>
        <v>2024</v>
      </c>
      <c r="I430">
        <f t="shared" si="34"/>
        <v>2</v>
      </c>
      <c r="J430">
        <f t="shared" si="35"/>
        <v>-500.91</v>
      </c>
    </row>
    <row r="431" spans="1:10" ht="12.5" x14ac:dyDescent="0.25">
      <c r="A431" s="1">
        <v>45351</v>
      </c>
      <c r="B431" s="2" t="s">
        <v>11</v>
      </c>
      <c r="C431" s="3">
        <v>9.99</v>
      </c>
      <c r="D431" s="3">
        <v>95</v>
      </c>
      <c r="E431" s="3">
        <v>949.05000000000007</v>
      </c>
      <c r="F431" t="str">
        <f t="shared" si="31"/>
        <v>net sales</v>
      </c>
      <c r="G431" s="7" t="str">
        <f t="shared" si="32"/>
        <v>product 1</v>
      </c>
      <c r="H431">
        <f t="shared" si="33"/>
        <v>2024</v>
      </c>
      <c r="I431">
        <f t="shared" si="34"/>
        <v>2</v>
      </c>
      <c r="J431">
        <f t="shared" si="35"/>
        <v>-99.94</v>
      </c>
    </row>
    <row r="432" spans="1:10" ht="12.5" x14ac:dyDescent="0.25">
      <c r="A432" s="1">
        <v>45351</v>
      </c>
      <c r="B432" s="2" t="s">
        <v>12</v>
      </c>
      <c r="C432" s="3">
        <v>24.99</v>
      </c>
      <c r="D432" s="3">
        <v>7</v>
      </c>
      <c r="E432" s="3">
        <v>174.92999999999998</v>
      </c>
      <c r="F432" t="str">
        <f t="shared" si="31"/>
        <v>net sales</v>
      </c>
      <c r="G432" s="7" t="str">
        <f t="shared" si="32"/>
        <v>product 2</v>
      </c>
      <c r="H432">
        <f t="shared" si="33"/>
        <v>2024</v>
      </c>
      <c r="I432">
        <f t="shared" si="34"/>
        <v>2</v>
      </c>
      <c r="J432">
        <f t="shared" si="35"/>
        <v>419.58</v>
      </c>
    </row>
    <row r="433" spans="1:10" ht="12.5" x14ac:dyDescent="0.25">
      <c r="A433" s="1">
        <v>45351</v>
      </c>
      <c r="B433" s="2" t="s">
        <v>13</v>
      </c>
      <c r="C433" s="3">
        <v>12.49</v>
      </c>
      <c r="D433" s="3">
        <v>113</v>
      </c>
      <c r="E433" s="3">
        <v>1411.3700000000001</v>
      </c>
      <c r="F433" t="str">
        <f t="shared" si="31"/>
        <v>net sales</v>
      </c>
      <c r="G433" s="7" t="str">
        <f t="shared" si="32"/>
        <v>product 3</v>
      </c>
      <c r="H433">
        <f t="shared" si="33"/>
        <v>2024</v>
      </c>
      <c r="I433">
        <f t="shared" si="34"/>
        <v>2</v>
      </c>
      <c r="J433">
        <f t="shared" si="35"/>
        <v>249.89999999999998</v>
      </c>
    </row>
    <row r="434" spans="1:10" ht="12.5" x14ac:dyDescent="0.25">
      <c r="A434" s="1">
        <v>45352</v>
      </c>
      <c r="B434" s="2" t="s">
        <v>5</v>
      </c>
      <c r="C434" s="2" t="s">
        <v>6</v>
      </c>
      <c r="D434" s="2" t="s">
        <v>6</v>
      </c>
      <c r="E434" s="3">
        <v>50</v>
      </c>
      <c r="F434" t="str">
        <f t="shared" si="31"/>
        <v>amortization</v>
      </c>
      <c r="G434" s="7" t="s">
        <v>6</v>
      </c>
      <c r="H434">
        <f t="shared" si="33"/>
        <v>2024</v>
      </c>
      <c r="I434">
        <f t="shared" si="34"/>
        <v>3</v>
      </c>
      <c r="J434">
        <f t="shared" si="35"/>
        <v>736.91</v>
      </c>
    </row>
    <row r="435" spans="1:10" ht="12.5" x14ac:dyDescent="0.25">
      <c r="A435" s="1">
        <v>45352</v>
      </c>
      <c r="B435" s="2" t="s">
        <v>7</v>
      </c>
      <c r="C435" s="3">
        <v>5.99</v>
      </c>
      <c r="D435" s="3">
        <v>5</v>
      </c>
      <c r="E435" s="3">
        <v>29.950000000000003</v>
      </c>
      <c r="F435" t="str">
        <f t="shared" si="31"/>
        <v>cogs</v>
      </c>
      <c r="G435" s="7" t="str">
        <f t="shared" si="32"/>
        <v>product 1</v>
      </c>
      <c r="H435">
        <f t="shared" si="33"/>
        <v>2024</v>
      </c>
      <c r="I435">
        <f t="shared" si="34"/>
        <v>3</v>
      </c>
      <c r="J435">
        <f t="shared" si="35"/>
        <v>-137.77000000000001</v>
      </c>
    </row>
    <row r="436" spans="1:10" ht="12.5" x14ac:dyDescent="0.25">
      <c r="A436" s="1">
        <v>45352</v>
      </c>
      <c r="B436" s="2" t="s">
        <v>8</v>
      </c>
      <c r="C436" s="3">
        <v>16.989999999999998</v>
      </c>
      <c r="D436" s="3">
        <v>9</v>
      </c>
      <c r="E436" s="3">
        <v>152.91</v>
      </c>
      <c r="F436" t="str">
        <f t="shared" si="31"/>
        <v>cogs</v>
      </c>
      <c r="G436" s="7" t="str">
        <f t="shared" si="32"/>
        <v>product 2</v>
      </c>
      <c r="H436">
        <f t="shared" si="33"/>
        <v>2024</v>
      </c>
      <c r="I436">
        <f t="shared" si="34"/>
        <v>3</v>
      </c>
      <c r="J436">
        <f t="shared" si="35"/>
        <v>-50.97</v>
      </c>
    </row>
    <row r="437" spans="1:10" ht="12.5" x14ac:dyDescent="0.25">
      <c r="A437" s="1">
        <v>45352</v>
      </c>
      <c r="B437" s="2" t="s">
        <v>9</v>
      </c>
      <c r="C437" s="3">
        <v>8.49</v>
      </c>
      <c r="D437" s="3">
        <v>44</v>
      </c>
      <c r="E437" s="3">
        <v>373.56</v>
      </c>
      <c r="F437" t="str">
        <f t="shared" si="31"/>
        <v>cogs</v>
      </c>
      <c r="G437" s="7" t="str">
        <f t="shared" si="32"/>
        <v>product 3</v>
      </c>
      <c r="H437">
        <f t="shared" si="33"/>
        <v>2024</v>
      </c>
      <c r="I437">
        <f t="shared" si="34"/>
        <v>3</v>
      </c>
      <c r="J437">
        <f t="shared" si="35"/>
        <v>-823.53</v>
      </c>
    </row>
    <row r="438" spans="1:10" ht="12.5" x14ac:dyDescent="0.25">
      <c r="A438" s="1">
        <v>45352</v>
      </c>
      <c r="B438" s="2" t="s">
        <v>10</v>
      </c>
      <c r="C438" s="2" t="s">
        <v>6</v>
      </c>
      <c r="D438" s="2" t="s">
        <v>6</v>
      </c>
      <c r="E438" s="3">
        <v>99.95</v>
      </c>
      <c r="F438" t="str">
        <f t="shared" si="31"/>
        <v>marketing</v>
      </c>
      <c r="G438" s="7" t="s">
        <v>6</v>
      </c>
      <c r="H438">
        <f t="shared" si="33"/>
        <v>2024</v>
      </c>
      <c r="I438">
        <f t="shared" si="34"/>
        <v>3</v>
      </c>
      <c r="J438">
        <f t="shared" si="35"/>
        <v>-99.98</v>
      </c>
    </row>
    <row r="439" spans="1:10" ht="12.5" x14ac:dyDescent="0.25">
      <c r="A439" s="1">
        <v>45352</v>
      </c>
      <c r="B439" s="2" t="s">
        <v>11</v>
      </c>
      <c r="C439" s="3">
        <v>9.99</v>
      </c>
      <c r="D439" s="3">
        <v>5</v>
      </c>
      <c r="E439" s="3">
        <v>49.95</v>
      </c>
      <c r="F439" t="str">
        <f t="shared" si="31"/>
        <v>net sales</v>
      </c>
      <c r="G439" s="7" t="str">
        <f t="shared" si="32"/>
        <v>product 1</v>
      </c>
      <c r="H439">
        <f t="shared" si="33"/>
        <v>2024</v>
      </c>
      <c r="I439">
        <f t="shared" si="34"/>
        <v>3</v>
      </c>
      <c r="J439">
        <f t="shared" si="35"/>
        <v>229.77</v>
      </c>
    </row>
    <row r="440" spans="1:10" ht="12.5" x14ac:dyDescent="0.25">
      <c r="A440" s="1">
        <v>45352</v>
      </c>
      <c r="B440" s="2" t="s">
        <v>12</v>
      </c>
      <c r="C440" s="3">
        <v>24.99</v>
      </c>
      <c r="D440" s="3">
        <v>9</v>
      </c>
      <c r="E440" s="3">
        <v>224.91</v>
      </c>
      <c r="F440" t="str">
        <f t="shared" si="31"/>
        <v>net sales</v>
      </c>
      <c r="G440" s="7" t="str">
        <f t="shared" si="32"/>
        <v>product 2</v>
      </c>
      <c r="H440">
        <f t="shared" si="33"/>
        <v>2024</v>
      </c>
      <c r="I440">
        <f t="shared" si="34"/>
        <v>3</v>
      </c>
      <c r="J440">
        <f t="shared" si="35"/>
        <v>74.97</v>
      </c>
    </row>
    <row r="441" spans="1:10" ht="12.5" x14ac:dyDescent="0.25">
      <c r="A441" s="1">
        <v>45352</v>
      </c>
      <c r="B441" s="2" t="s">
        <v>13</v>
      </c>
      <c r="C441" s="3">
        <v>12.49</v>
      </c>
      <c r="D441" s="3">
        <v>44</v>
      </c>
      <c r="E441" s="3">
        <v>549.56000000000006</v>
      </c>
      <c r="F441" t="str">
        <f t="shared" si="31"/>
        <v>net sales</v>
      </c>
      <c r="G441" s="7" t="str">
        <f t="shared" si="32"/>
        <v>product 3</v>
      </c>
      <c r="H441">
        <f t="shared" si="33"/>
        <v>2024</v>
      </c>
      <c r="I441">
        <f t="shared" si="34"/>
        <v>3</v>
      </c>
      <c r="J441">
        <f t="shared" si="35"/>
        <v>1211.53</v>
      </c>
    </row>
    <row r="442" spans="1:10" ht="12.5" x14ac:dyDescent="0.25">
      <c r="A442" s="1">
        <v>45352</v>
      </c>
      <c r="B442" s="2" t="s">
        <v>14</v>
      </c>
      <c r="C442" s="2" t="s">
        <v>6</v>
      </c>
      <c r="D442" s="2" t="s">
        <v>6</v>
      </c>
      <c r="E442" s="3">
        <v>2000</v>
      </c>
      <c r="F442" t="str">
        <f t="shared" si="31"/>
        <v>overhead</v>
      </c>
      <c r="G442" s="7" t="s">
        <v>6</v>
      </c>
      <c r="H442">
        <f t="shared" si="33"/>
        <v>2024</v>
      </c>
      <c r="I442">
        <f t="shared" si="34"/>
        <v>3</v>
      </c>
      <c r="J442">
        <f t="shared" si="35"/>
        <v>0</v>
      </c>
    </row>
    <row r="443" spans="1:10" ht="12.5" x14ac:dyDescent="0.25">
      <c r="A443" s="1">
        <v>45352</v>
      </c>
      <c r="B443" s="2" t="s">
        <v>15</v>
      </c>
      <c r="C443" s="2" t="s">
        <v>6</v>
      </c>
      <c r="D443" s="2" t="s">
        <v>6</v>
      </c>
      <c r="E443" s="3">
        <v>1200</v>
      </c>
      <c r="F443" t="str">
        <f t="shared" si="31"/>
        <v>payroll</v>
      </c>
      <c r="G443" s="7" t="s">
        <v>6</v>
      </c>
      <c r="H443">
        <f t="shared" si="33"/>
        <v>2024</v>
      </c>
      <c r="I443">
        <f t="shared" si="34"/>
        <v>3</v>
      </c>
      <c r="J443">
        <f t="shared" si="35"/>
        <v>-419.3</v>
      </c>
    </row>
    <row r="444" spans="1:10" ht="12.5" x14ac:dyDescent="0.25">
      <c r="A444" s="1">
        <v>45353</v>
      </c>
      <c r="B444" s="2" t="s">
        <v>7</v>
      </c>
      <c r="C444" s="3">
        <v>5.99</v>
      </c>
      <c r="D444" s="3">
        <v>4</v>
      </c>
      <c r="E444" s="3">
        <v>23.96</v>
      </c>
      <c r="F444" t="str">
        <f t="shared" si="31"/>
        <v>cogs</v>
      </c>
      <c r="G444" s="7" t="str">
        <f t="shared" si="32"/>
        <v>product 1</v>
      </c>
      <c r="H444">
        <f t="shared" si="33"/>
        <v>2024</v>
      </c>
      <c r="I444">
        <f t="shared" si="34"/>
        <v>3</v>
      </c>
      <c r="J444">
        <f t="shared" si="35"/>
        <v>-33.979999999999997</v>
      </c>
    </row>
    <row r="445" spans="1:10" ht="12.5" x14ac:dyDescent="0.25">
      <c r="A445" s="1">
        <v>45353</v>
      </c>
      <c r="B445" s="2" t="s">
        <v>8</v>
      </c>
      <c r="C445" s="3">
        <v>16.989999999999998</v>
      </c>
      <c r="D445" s="3">
        <v>5</v>
      </c>
      <c r="E445" s="3">
        <v>84.949999999999989</v>
      </c>
      <c r="F445" t="str">
        <f t="shared" si="31"/>
        <v>cogs</v>
      </c>
      <c r="G445" s="7" t="str">
        <f t="shared" si="32"/>
        <v>product 2</v>
      </c>
      <c r="H445">
        <f t="shared" si="33"/>
        <v>2024</v>
      </c>
      <c r="I445">
        <f t="shared" si="34"/>
        <v>3</v>
      </c>
      <c r="J445">
        <f t="shared" si="35"/>
        <v>-1273.5</v>
      </c>
    </row>
    <row r="446" spans="1:10" ht="12.5" x14ac:dyDescent="0.25">
      <c r="A446" s="1">
        <v>45353</v>
      </c>
      <c r="B446" s="2" t="s">
        <v>9</v>
      </c>
      <c r="C446" s="3">
        <v>8.49</v>
      </c>
      <c r="D446" s="3">
        <v>95</v>
      </c>
      <c r="E446" s="3">
        <v>806.55000000000007</v>
      </c>
      <c r="F446" t="str">
        <f t="shared" si="31"/>
        <v>cogs</v>
      </c>
      <c r="G446" s="7" t="str">
        <f t="shared" si="32"/>
        <v>product 3</v>
      </c>
      <c r="H446">
        <f t="shared" si="33"/>
        <v>2024</v>
      </c>
      <c r="I446">
        <f t="shared" si="34"/>
        <v>3</v>
      </c>
      <c r="J446">
        <f t="shared" si="35"/>
        <v>-100.03</v>
      </c>
    </row>
    <row r="447" spans="1:10" ht="12.5" x14ac:dyDescent="0.25">
      <c r="A447" s="1">
        <v>45353</v>
      </c>
      <c r="B447" s="2" t="s">
        <v>10</v>
      </c>
      <c r="C447" s="2" t="s">
        <v>6</v>
      </c>
      <c r="D447" s="2" t="s">
        <v>6</v>
      </c>
      <c r="E447" s="3">
        <v>100.04</v>
      </c>
      <c r="F447" t="str">
        <f t="shared" si="31"/>
        <v>marketing</v>
      </c>
      <c r="G447" s="7" t="s">
        <v>6</v>
      </c>
      <c r="H447">
        <f t="shared" si="33"/>
        <v>2024</v>
      </c>
      <c r="I447">
        <f t="shared" si="34"/>
        <v>3</v>
      </c>
      <c r="J447">
        <f t="shared" si="35"/>
        <v>699.30000000000007</v>
      </c>
    </row>
    <row r="448" spans="1:10" ht="12.5" x14ac:dyDescent="0.25">
      <c r="A448" s="1">
        <v>45353</v>
      </c>
      <c r="B448" s="2" t="s">
        <v>11</v>
      </c>
      <c r="C448" s="3">
        <v>9.99</v>
      </c>
      <c r="D448" s="3">
        <v>4</v>
      </c>
      <c r="E448" s="3">
        <v>39.96</v>
      </c>
      <c r="F448" t="str">
        <f t="shared" si="31"/>
        <v>net sales</v>
      </c>
      <c r="G448" s="7" t="str">
        <f t="shared" si="32"/>
        <v>product 1</v>
      </c>
      <c r="H448">
        <f t="shared" si="33"/>
        <v>2024</v>
      </c>
      <c r="I448">
        <f t="shared" si="34"/>
        <v>3</v>
      </c>
      <c r="J448">
        <f t="shared" si="35"/>
        <v>49.98</v>
      </c>
    </row>
    <row r="449" spans="1:10" ht="12.5" x14ac:dyDescent="0.25">
      <c r="A449" s="1">
        <v>45353</v>
      </c>
      <c r="B449" s="2" t="s">
        <v>12</v>
      </c>
      <c r="C449" s="3">
        <v>24.99</v>
      </c>
      <c r="D449" s="3">
        <v>5</v>
      </c>
      <c r="E449" s="3">
        <v>124.94999999999999</v>
      </c>
      <c r="F449" t="str">
        <f t="shared" si="31"/>
        <v>net sales</v>
      </c>
      <c r="G449" s="7" t="str">
        <f t="shared" si="32"/>
        <v>product 2</v>
      </c>
      <c r="H449">
        <f t="shared" si="33"/>
        <v>2024</v>
      </c>
      <c r="I449">
        <f t="shared" si="34"/>
        <v>3</v>
      </c>
      <c r="J449">
        <f t="shared" si="35"/>
        <v>1873.5</v>
      </c>
    </row>
    <row r="450" spans="1:10" ht="12.5" x14ac:dyDescent="0.25">
      <c r="A450" s="1">
        <v>45353</v>
      </c>
      <c r="B450" s="2" t="s">
        <v>13</v>
      </c>
      <c r="C450" s="3">
        <v>12.49</v>
      </c>
      <c r="D450" s="3">
        <v>95</v>
      </c>
      <c r="E450" s="3">
        <v>1186.55</v>
      </c>
      <c r="F450" t="str">
        <f t="shared" si="31"/>
        <v>net sales</v>
      </c>
      <c r="G450" s="7" t="str">
        <f t="shared" si="32"/>
        <v>product 3</v>
      </c>
      <c r="H450">
        <f t="shared" si="33"/>
        <v>2024</v>
      </c>
      <c r="I450">
        <f t="shared" si="34"/>
        <v>3</v>
      </c>
      <c r="J450">
        <f t="shared" si="35"/>
        <v>-2000</v>
      </c>
    </row>
    <row r="451" spans="1:10" ht="12.5" x14ac:dyDescent="0.25">
      <c r="A451" s="1">
        <v>45354</v>
      </c>
      <c r="B451" s="2" t="s">
        <v>7</v>
      </c>
      <c r="C451" s="3">
        <v>5.99</v>
      </c>
      <c r="D451" s="3">
        <v>1</v>
      </c>
      <c r="E451" s="3">
        <v>5.99</v>
      </c>
      <c r="F451" t="str">
        <f t="shared" ref="F451:F514" si="36">IFERROR(LEFT(B451,FIND(":",B451)-1),B451)</f>
        <v>cogs</v>
      </c>
      <c r="G451" s="7" t="str">
        <f t="shared" ref="G451:G514" si="37">IFERROR(RIGHT(B451,LEN(B451)-FIND(":",B451)),"")</f>
        <v>product 1</v>
      </c>
      <c r="H451">
        <f t="shared" ref="H451:H514" si="38">YEAR(A451)</f>
        <v>2024</v>
      </c>
      <c r="I451">
        <f t="shared" ref="I451:I514" si="39">MONTH(A451)</f>
        <v>3</v>
      </c>
      <c r="J451">
        <f t="shared" si="35"/>
        <v>-509.15000000000003</v>
      </c>
    </row>
    <row r="452" spans="1:10" ht="12.5" x14ac:dyDescent="0.25">
      <c r="A452" s="1">
        <v>45354</v>
      </c>
      <c r="B452" s="2" t="s">
        <v>8</v>
      </c>
      <c r="C452" s="3">
        <v>16.989999999999998</v>
      </c>
      <c r="D452" s="3">
        <v>2</v>
      </c>
      <c r="E452" s="3">
        <v>33.979999999999997</v>
      </c>
      <c r="F452" t="str">
        <f t="shared" si="36"/>
        <v>cogs</v>
      </c>
      <c r="G452" s="7" t="str">
        <f t="shared" si="37"/>
        <v>product 2</v>
      </c>
      <c r="H452">
        <f t="shared" si="38"/>
        <v>2024</v>
      </c>
      <c r="I452">
        <f t="shared" si="39"/>
        <v>3</v>
      </c>
      <c r="J452">
        <f t="shared" si="35"/>
        <v>-118.92999999999999</v>
      </c>
    </row>
    <row r="453" spans="1:10" ht="12.5" x14ac:dyDescent="0.25">
      <c r="A453" s="1">
        <v>45354</v>
      </c>
      <c r="B453" s="2" t="s">
        <v>9</v>
      </c>
      <c r="C453" s="3">
        <v>8.49</v>
      </c>
      <c r="D453" s="3">
        <v>122</v>
      </c>
      <c r="E453" s="3">
        <v>1035.78</v>
      </c>
      <c r="F453" t="str">
        <f t="shared" si="36"/>
        <v>cogs</v>
      </c>
      <c r="G453" s="7" t="str">
        <f t="shared" si="37"/>
        <v>product 3</v>
      </c>
      <c r="H453">
        <f t="shared" si="38"/>
        <v>2024</v>
      </c>
      <c r="I453">
        <f t="shared" si="39"/>
        <v>3</v>
      </c>
      <c r="J453">
        <f t="shared" si="35"/>
        <v>-1944.21</v>
      </c>
    </row>
    <row r="454" spans="1:10" ht="12.5" x14ac:dyDescent="0.25">
      <c r="A454" s="1">
        <v>45354</v>
      </c>
      <c r="B454" s="2" t="s">
        <v>10</v>
      </c>
      <c r="C454" s="2" t="s">
        <v>6</v>
      </c>
      <c r="D454" s="2" t="s">
        <v>6</v>
      </c>
      <c r="E454" s="3">
        <v>100</v>
      </c>
      <c r="F454" t="str">
        <f t="shared" si="36"/>
        <v>marketing</v>
      </c>
      <c r="G454" s="7" t="s">
        <v>6</v>
      </c>
      <c r="H454">
        <f t="shared" si="38"/>
        <v>2024</v>
      </c>
      <c r="I454">
        <f t="shared" si="39"/>
        <v>3</v>
      </c>
      <c r="J454">
        <f t="shared" si="35"/>
        <v>-99.97</v>
      </c>
    </row>
    <row r="455" spans="1:10" ht="12.5" x14ac:dyDescent="0.25">
      <c r="A455" s="1">
        <v>45354</v>
      </c>
      <c r="B455" s="2" t="s">
        <v>11</v>
      </c>
      <c r="C455" s="3">
        <v>9.99</v>
      </c>
      <c r="D455" s="3">
        <v>1</v>
      </c>
      <c r="E455" s="3">
        <v>9.99</v>
      </c>
      <c r="F455" t="str">
        <f t="shared" si="36"/>
        <v>net sales</v>
      </c>
      <c r="G455" s="7" t="str">
        <f t="shared" si="37"/>
        <v>product 1</v>
      </c>
      <c r="H455">
        <f t="shared" si="38"/>
        <v>2024</v>
      </c>
      <c r="I455">
        <f t="shared" si="39"/>
        <v>3</v>
      </c>
      <c r="J455">
        <f t="shared" si="35"/>
        <v>849.15</v>
      </c>
    </row>
    <row r="456" spans="1:10" ht="12.5" x14ac:dyDescent="0.25">
      <c r="A456" s="1">
        <v>45354</v>
      </c>
      <c r="B456" s="2" t="s">
        <v>12</v>
      </c>
      <c r="C456" s="3">
        <v>24.99</v>
      </c>
      <c r="D456" s="3">
        <v>2</v>
      </c>
      <c r="E456" s="3">
        <v>49.98</v>
      </c>
      <c r="F456" t="str">
        <f t="shared" si="36"/>
        <v>net sales</v>
      </c>
      <c r="G456" s="7" t="str">
        <f t="shared" si="37"/>
        <v>product 2</v>
      </c>
      <c r="H456">
        <f t="shared" si="38"/>
        <v>2024</v>
      </c>
      <c r="I456">
        <f t="shared" si="39"/>
        <v>3</v>
      </c>
      <c r="J456">
        <f t="shared" si="35"/>
        <v>174.92999999999998</v>
      </c>
    </row>
    <row r="457" spans="1:10" ht="12.5" x14ac:dyDescent="0.25">
      <c r="A457" s="1">
        <v>45354</v>
      </c>
      <c r="B457" s="2" t="s">
        <v>13</v>
      </c>
      <c r="C457" s="3">
        <v>12.49</v>
      </c>
      <c r="D457" s="3">
        <v>122</v>
      </c>
      <c r="E457" s="3">
        <v>1523.78</v>
      </c>
      <c r="F457" t="str">
        <f t="shared" si="36"/>
        <v>net sales</v>
      </c>
      <c r="G457" s="7" t="str">
        <f t="shared" si="37"/>
        <v>product 3</v>
      </c>
      <c r="H457">
        <f t="shared" si="38"/>
        <v>2024</v>
      </c>
      <c r="I457">
        <f t="shared" si="39"/>
        <v>3</v>
      </c>
      <c r="J457">
        <f t="shared" si="35"/>
        <v>2860.21</v>
      </c>
    </row>
    <row r="458" spans="1:10" ht="12.5" x14ac:dyDescent="0.25">
      <c r="A458" s="1">
        <v>45355</v>
      </c>
      <c r="B458" s="2" t="s">
        <v>7</v>
      </c>
      <c r="C458" s="3">
        <v>5.99</v>
      </c>
      <c r="D458" s="3">
        <v>2</v>
      </c>
      <c r="E458" s="3">
        <v>11.98</v>
      </c>
      <c r="F458" t="str">
        <f t="shared" si="36"/>
        <v>cogs</v>
      </c>
      <c r="G458" s="7" t="str">
        <f t="shared" si="37"/>
        <v>product 1</v>
      </c>
      <c r="H458">
        <f t="shared" si="38"/>
        <v>2024</v>
      </c>
      <c r="I458">
        <f t="shared" si="39"/>
        <v>3</v>
      </c>
      <c r="J458">
        <f t="shared" si="35"/>
        <v>-1200</v>
      </c>
    </row>
    <row r="459" spans="1:10" ht="12.5" x14ac:dyDescent="0.25">
      <c r="A459" s="1">
        <v>45355</v>
      </c>
      <c r="B459" s="2" t="s">
        <v>8</v>
      </c>
      <c r="C459" s="3">
        <v>16.989999999999998</v>
      </c>
      <c r="D459" s="3">
        <v>7</v>
      </c>
      <c r="E459" s="3">
        <v>118.92999999999999</v>
      </c>
      <c r="F459" t="str">
        <f t="shared" si="36"/>
        <v>cogs</v>
      </c>
      <c r="G459" s="7" t="str">
        <f t="shared" si="37"/>
        <v>product 2</v>
      </c>
      <c r="H459">
        <f t="shared" si="38"/>
        <v>2024</v>
      </c>
      <c r="I459">
        <f t="shared" si="39"/>
        <v>3</v>
      </c>
      <c r="J459">
        <f t="shared" si="35"/>
        <v>-119.80000000000001</v>
      </c>
    </row>
    <row r="460" spans="1:10" ht="12.5" x14ac:dyDescent="0.25">
      <c r="A460" s="1">
        <v>45355</v>
      </c>
      <c r="B460" s="2" t="s">
        <v>9</v>
      </c>
      <c r="C460" s="3">
        <v>8.49</v>
      </c>
      <c r="D460" s="3">
        <v>176</v>
      </c>
      <c r="E460" s="3">
        <v>1494.24</v>
      </c>
      <c r="F460" t="str">
        <f t="shared" si="36"/>
        <v>cogs</v>
      </c>
      <c r="G460" s="7" t="str">
        <f t="shared" si="37"/>
        <v>product 3</v>
      </c>
      <c r="H460">
        <f t="shared" si="38"/>
        <v>2024</v>
      </c>
      <c r="I460">
        <f t="shared" si="39"/>
        <v>3</v>
      </c>
      <c r="J460">
        <f t="shared" si="35"/>
        <v>-33.979999999999997</v>
      </c>
    </row>
    <row r="461" spans="1:10" ht="12.5" x14ac:dyDescent="0.25">
      <c r="A461" s="1">
        <v>45355</v>
      </c>
      <c r="B461" s="2" t="s">
        <v>10</v>
      </c>
      <c r="C461" s="2" t="s">
        <v>6</v>
      </c>
      <c r="D461" s="2" t="s">
        <v>6</v>
      </c>
      <c r="E461" s="3">
        <v>100.01</v>
      </c>
      <c r="F461" t="str">
        <f t="shared" si="36"/>
        <v>marketing</v>
      </c>
      <c r="G461" s="7" t="s">
        <v>6</v>
      </c>
      <c r="H461">
        <f t="shared" si="38"/>
        <v>2024</v>
      </c>
      <c r="I461">
        <f t="shared" si="39"/>
        <v>3</v>
      </c>
      <c r="J461">
        <f t="shared" si="35"/>
        <v>-1392.3600000000001</v>
      </c>
    </row>
    <row r="462" spans="1:10" ht="12.5" x14ac:dyDescent="0.25">
      <c r="A462" s="1">
        <v>45355</v>
      </c>
      <c r="B462" s="2" t="s">
        <v>11</v>
      </c>
      <c r="C462" s="3">
        <v>9.99</v>
      </c>
      <c r="D462" s="3">
        <v>2</v>
      </c>
      <c r="E462" s="3">
        <v>19.98</v>
      </c>
      <c r="F462" t="str">
        <f t="shared" si="36"/>
        <v>net sales</v>
      </c>
      <c r="G462" s="7" t="str">
        <f t="shared" si="37"/>
        <v>product 1</v>
      </c>
      <c r="H462">
        <f t="shared" si="38"/>
        <v>2024</v>
      </c>
      <c r="I462">
        <f t="shared" si="39"/>
        <v>3</v>
      </c>
      <c r="J462">
        <f t="shared" si="35"/>
        <v>-99.93</v>
      </c>
    </row>
    <row r="463" spans="1:10" ht="12.5" x14ac:dyDescent="0.25">
      <c r="A463" s="1">
        <v>45355</v>
      </c>
      <c r="B463" s="2" t="s">
        <v>12</v>
      </c>
      <c r="C463" s="3">
        <v>24.99</v>
      </c>
      <c r="D463" s="3">
        <v>7</v>
      </c>
      <c r="E463" s="3">
        <v>174.92999999999998</v>
      </c>
      <c r="F463" t="str">
        <f t="shared" si="36"/>
        <v>net sales</v>
      </c>
      <c r="G463" s="7" t="str">
        <f t="shared" si="37"/>
        <v>product 2</v>
      </c>
      <c r="H463">
        <f t="shared" si="38"/>
        <v>2024</v>
      </c>
      <c r="I463">
        <f t="shared" si="39"/>
        <v>3</v>
      </c>
      <c r="J463">
        <f t="shared" si="35"/>
        <v>199.8</v>
      </c>
    </row>
    <row r="464" spans="1:10" ht="12.5" x14ac:dyDescent="0.25">
      <c r="A464" s="1">
        <v>45355</v>
      </c>
      <c r="B464" s="2" t="s">
        <v>13</v>
      </c>
      <c r="C464" s="3">
        <v>12.49</v>
      </c>
      <c r="D464" s="3">
        <v>176</v>
      </c>
      <c r="E464" s="3">
        <v>2198.2400000000002</v>
      </c>
      <c r="F464" t="str">
        <f t="shared" si="36"/>
        <v>net sales</v>
      </c>
      <c r="G464" s="7" t="str">
        <f t="shared" si="37"/>
        <v>product 3</v>
      </c>
      <c r="H464">
        <f t="shared" si="38"/>
        <v>2024</v>
      </c>
      <c r="I464">
        <f t="shared" si="39"/>
        <v>3</v>
      </c>
      <c r="J464">
        <f t="shared" si="35"/>
        <v>49.98</v>
      </c>
    </row>
    <row r="465" spans="1:10" ht="12.5" x14ac:dyDescent="0.25">
      <c r="A465" s="1">
        <v>45356</v>
      </c>
      <c r="B465" s="2" t="s">
        <v>7</v>
      </c>
      <c r="C465" s="3">
        <v>5.99</v>
      </c>
      <c r="D465" s="3">
        <v>53</v>
      </c>
      <c r="E465" s="3">
        <v>317.47000000000003</v>
      </c>
      <c r="F465" t="str">
        <f t="shared" si="36"/>
        <v>cogs</v>
      </c>
      <c r="G465" s="7" t="str">
        <f t="shared" si="37"/>
        <v>product 1</v>
      </c>
      <c r="H465">
        <f t="shared" si="38"/>
        <v>2024</v>
      </c>
      <c r="I465">
        <f t="shared" si="39"/>
        <v>3</v>
      </c>
      <c r="J465">
        <f t="shared" si="35"/>
        <v>2048.36</v>
      </c>
    </row>
    <row r="466" spans="1:10" ht="12.5" x14ac:dyDescent="0.25">
      <c r="A466" s="1">
        <v>45356</v>
      </c>
      <c r="B466" s="2" t="s">
        <v>8</v>
      </c>
      <c r="C466" s="3">
        <v>16.989999999999998</v>
      </c>
      <c r="D466" s="3">
        <v>5</v>
      </c>
      <c r="E466" s="3">
        <v>84.949999999999989</v>
      </c>
      <c r="F466" t="str">
        <f t="shared" si="36"/>
        <v>cogs</v>
      </c>
      <c r="G466" s="7" t="str">
        <f t="shared" si="37"/>
        <v>product 2</v>
      </c>
      <c r="H466">
        <f t="shared" si="38"/>
        <v>2024</v>
      </c>
      <c r="I466">
        <f t="shared" si="39"/>
        <v>3</v>
      </c>
      <c r="J466">
        <f t="shared" si="35"/>
        <v>-281.53000000000003</v>
      </c>
    </row>
    <row r="467" spans="1:10" ht="12.5" x14ac:dyDescent="0.25">
      <c r="A467" s="1">
        <v>45356</v>
      </c>
      <c r="B467" s="2" t="s">
        <v>9</v>
      </c>
      <c r="C467" s="3">
        <v>8.49</v>
      </c>
      <c r="D467" s="3">
        <v>127</v>
      </c>
      <c r="E467" s="3">
        <v>1078.23</v>
      </c>
      <c r="F467" t="str">
        <f t="shared" si="36"/>
        <v>cogs</v>
      </c>
      <c r="G467" s="7" t="str">
        <f t="shared" si="37"/>
        <v>product 3</v>
      </c>
      <c r="H467">
        <f t="shared" si="38"/>
        <v>2024</v>
      </c>
      <c r="I467">
        <f t="shared" si="39"/>
        <v>3</v>
      </c>
      <c r="J467">
        <f t="shared" si="35"/>
        <v>0</v>
      </c>
    </row>
    <row r="468" spans="1:10" ht="12.5" x14ac:dyDescent="0.25">
      <c r="A468" s="1">
        <v>45356</v>
      </c>
      <c r="B468" s="2" t="s">
        <v>10</v>
      </c>
      <c r="C468" s="2" t="s">
        <v>6</v>
      </c>
      <c r="D468" s="2" t="s">
        <v>6</v>
      </c>
      <c r="E468" s="3">
        <v>100.07000000000001</v>
      </c>
      <c r="F468" t="str">
        <f t="shared" si="36"/>
        <v>marketing</v>
      </c>
      <c r="G468" s="7" t="s">
        <v>6</v>
      </c>
      <c r="H468">
        <f t="shared" si="38"/>
        <v>2024</v>
      </c>
      <c r="I468">
        <f t="shared" si="39"/>
        <v>3</v>
      </c>
      <c r="J468">
        <f t="shared" si="35"/>
        <v>-1536.69</v>
      </c>
    </row>
    <row r="469" spans="1:10" ht="12.5" x14ac:dyDescent="0.25">
      <c r="A469" s="1">
        <v>45356</v>
      </c>
      <c r="B469" s="2" t="s">
        <v>11</v>
      </c>
      <c r="C469" s="3">
        <v>9.99</v>
      </c>
      <c r="D469" s="3">
        <v>53</v>
      </c>
      <c r="E469" s="3">
        <v>529.47</v>
      </c>
      <c r="F469" t="str">
        <f t="shared" si="36"/>
        <v>net sales</v>
      </c>
      <c r="G469" s="7" t="str">
        <f t="shared" si="37"/>
        <v>product 1</v>
      </c>
      <c r="H469">
        <f t="shared" si="38"/>
        <v>2024</v>
      </c>
      <c r="I469">
        <f t="shared" si="39"/>
        <v>3</v>
      </c>
      <c r="J469">
        <f t="shared" si="35"/>
        <v>-99.95</v>
      </c>
    </row>
    <row r="470" spans="1:10" ht="12.5" x14ac:dyDescent="0.25">
      <c r="A470" s="1">
        <v>45356</v>
      </c>
      <c r="B470" s="2" t="s">
        <v>12</v>
      </c>
      <c r="C470" s="3">
        <v>24.99</v>
      </c>
      <c r="D470" s="3">
        <v>5</v>
      </c>
      <c r="E470" s="3">
        <v>124.94999999999999</v>
      </c>
      <c r="F470" t="str">
        <f t="shared" si="36"/>
        <v>net sales</v>
      </c>
      <c r="G470" s="7" t="str">
        <f t="shared" si="37"/>
        <v>product 2</v>
      </c>
      <c r="H470">
        <f t="shared" si="38"/>
        <v>2024</v>
      </c>
      <c r="I470">
        <f t="shared" si="39"/>
        <v>3</v>
      </c>
      <c r="J470">
        <f t="shared" si="35"/>
        <v>469.53000000000003</v>
      </c>
    </row>
    <row r="471" spans="1:10" ht="12.5" x14ac:dyDescent="0.25">
      <c r="A471" s="1">
        <v>45356</v>
      </c>
      <c r="B471" s="2" t="s">
        <v>13</v>
      </c>
      <c r="C471" s="3">
        <v>12.49</v>
      </c>
      <c r="D471" s="3">
        <v>127</v>
      </c>
      <c r="E471" s="3">
        <v>1586.23</v>
      </c>
      <c r="F471" t="str">
        <f t="shared" si="36"/>
        <v>net sales</v>
      </c>
      <c r="G471" s="7" t="str">
        <f t="shared" si="37"/>
        <v>product 3</v>
      </c>
      <c r="H471">
        <f t="shared" si="38"/>
        <v>2024</v>
      </c>
      <c r="I471">
        <f t="shared" si="39"/>
        <v>3</v>
      </c>
      <c r="J471">
        <f t="shared" si="35"/>
        <v>0</v>
      </c>
    </row>
    <row r="472" spans="1:10" ht="12.5" x14ac:dyDescent="0.25">
      <c r="A472" s="1">
        <v>45357</v>
      </c>
      <c r="B472" s="2" t="s">
        <v>7</v>
      </c>
      <c r="C472" s="3">
        <v>5.99</v>
      </c>
      <c r="D472" s="3">
        <v>3</v>
      </c>
      <c r="E472" s="3">
        <v>17.97</v>
      </c>
      <c r="F472" t="str">
        <f t="shared" si="36"/>
        <v>cogs</v>
      </c>
      <c r="G472" s="7" t="str">
        <f t="shared" si="37"/>
        <v>product 1</v>
      </c>
      <c r="H472">
        <f t="shared" si="38"/>
        <v>2024</v>
      </c>
      <c r="I472">
        <f t="shared" si="39"/>
        <v>3</v>
      </c>
      <c r="J472">
        <f t="shared" si="35"/>
        <v>2260.69</v>
      </c>
    </row>
    <row r="473" spans="1:10" ht="12.5" x14ac:dyDescent="0.25">
      <c r="A473" s="1">
        <v>45357</v>
      </c>
      <c r="B473" s="2" t="s">
        <v>8</v>
      </c>
      <c r="C473" s="3">
        <v>16.989999999999998</v>
      </c>
      <c r="D473" s="3">
        <v>3</v>
      </c>
      <c r="E473" s="3">
        <v>50.97</v>
      </c>
      <c r="F473" t="str">
        <f t="shared" si="36"/>
        <v>cogs</v>
      </c>
      <c r="G473" s="7" t="str">
        <f t="shared" si="37"/>
        <v>product 2</v>
      </c>
      <c r="H473">
        <f t="shared" si="38"/>
        <v>2024</v>
      </c>
      <c r="I473">
        <f t="shared" si="39"/>
        <v>3</v>
      </c>
      <c r="J473">
        <f t="shared" si="35"/>
        <v>-113.81</v>
      </c>
    </row>
    <row r="474" spans="1:10" ht="12.5" x14ac:dyDescent="0.25">
      <c r="A474" s="1">
        <v>45357</v>
      </c>
      <c r="B474" s="2" t="s">
        <v>9</v>
      </c>
      <c r="C474" s="3">
        <v>8.49</v>
      </c>
      <c r="D474" s="3">
        <v>200</v>
      </c>
      <c r="E474" s="3">
        <v>1698</v>
      </c>
      <c r="F474" t="str">
        <f t="shared" si="36"/>
        <v>cogs</v>
      </c>
      <c r="G474" s="7" t="str">
        <f t="shared" si="37"/>
        <v>product 3</v>
      </c>
      <c r="H474">
        <f t="shared" si="38"/>
        <v>2024</v>
      </c>
      <c r="I474">
        <f t="shared" si="39"/>
        <v>3</v>
      </c>
      <c r="J474">
        <f t="shared" si="35"/>
        <v>-67.959999999999994</v>
      </c>
    </row>
    <row r="475" spans="1:10" ht="12.5" x14ac:dyDescent="0.25">
      <c r="A475" s="1">
        <v>45357</v>
      </c>
      <c r="B475" s="2" t="s">
        <v>10</v>
      </c>
      <c r="C475" s="2" t="s">
        <v>6</v>
      </c>
      <c r="D475" s="2" t="s">
        <v>6</v>
      </c>
      <c r="E475" s="3">
        <v>100.01</v>
      </c>
      <c r="F475" t="str">
        <f t="shared" si="36"/>
        <v>marketing</v>
      </c>
      <c r="G475" s="7" t="s">
        <v>6</v>
      </c>
      <c r="H475">
        <f t="shared" si="38"/>
        <v>2024</v>
      </c>
      <c r="I475">
        <f t="shared" si="39"/>
        <v>3</v>
      </c>
      <c r="J475">
        <f t="shared" si="35"/>
        <v>-1205.58</v>
      </c>
    </row>
    <row r="476" spans="1:10" ht="12.5" x14ac:dyDescent="0.25">
      <c r="A476" s="1">
        <v>45357</v>
      </c>
      <c r="B476" s="2" t="s">
        <v>11</v>
      </c>
      <c r="C476" s="3">
        <v>9.99</v>
      </c>
      <c r="D476" s="3">
        <v>3</v>
      </c>
      <c r="E476" s="3">
        <v>29.97</v>
      </c>
      <c r="F476" t="str">
        <f t="shared" si="36"/>
        <v>net sales</v>
      </c>
      <c r="G476" s="7" t="str">
        <f t="shared" si="37"/>
        <v>product 1</v>
      </c>
      <c r="H476">
        <f t="shared" si="38"/>
        <v>2024</v>
      </c>
      <c r="I476">
        <f t="shared" si="39"/>
        <v>3</v>
      </c>
      <c r="J476">
        <f t="shared" ref="J476:J539" si="40">IF(F259="net sales",E259,
IF(F259="cogs",-E259,
IF(OR(F259="marketing",F259="overhead",F259="payroll",F259="interest","amortization"),-E259,0)))</f>
        <v>-100.04</v>
      </c>
    </row>
    <row r="477" spans="1:10" ht="12.5" x14ac:dyDescent="0.25">
      <c r="A477" s="1">
        <v>45357</v>
      </c>
      <c r="B477" s="2" t="s">
        <v>12</v>
      </c>
      <c r="C477" s="3">
        <v>24.99</v>
      </c>
      <c r="D477" s="3">
        <v>3</v>
      </c>
      <c r="E477" s="3">
        <v>74.97</v>
      </c>
      <c r="F477" t="str">
        <f t="shared" si="36"/>
        <v>net sales</v>
      </c>
      <c r="G477" s="7" t="str">
        <f t="shared" si="37"/>
        <v>product 2</v>
      </c>
      <c r="H477">
        <f t="shared" si="38"/>
        <v>2024</v>
      </c>
      <c r="I477">
        <f t="shared" si="39"/>
        <v>3</v>
      </c>
      <c r="J477">
        <f t="shared" si="40"/>
        <v>189.81</v>
      </c>
    </row>
    <row r="478" spans="1:10" ht="12.5" x14ac:dyDescent="0.25">
      <c r="A478" s="1">
        <v>45357</v>
      </c>
      <c r="B478" s="2" t="s">
        <v>13</v>
      </c>
      <c r="C478" s="3">
        <v>12.49</v>
      </c>
      <c r="D478" s="3">
        <v>200</v>
      </c>
      <c r="E478" s="3">
        <v>2498</v>
      </c>
      <c r="F478" t="str">
        <f t="shared" si="36"/>
        <v>net sales</v>
      </c>
      <c r="G478" s="7" t="str">
        <f t="shared" si="37"/>
        <v>product 3</v>
      </c>
      <c r="H478">
        <f t="shared" si="38"/>
        <v>2024</v>
      </c>
      <c r="I478">
        <f t="shared" si="39"/>
        <v>3</v>
      </c>
      <c r="J478">
        <f t="shared" si="40"/>
        <v>99.96</v>
      </c>
    </row>
    <row r="479" spans="1:10" ht="12.5" x14ac:dyDescent="0.25">
      <c r="A479" s="1">
        <v>45358</v>
      </c>
      <c r="B479" s="2" t="s">
        <v>7</v>
      </c>
      <c r="C479" s="3">
        <v>5.99</v>
      </c>
      <c r="D479" s="3">
        <v>60</v>
      </c>
      <c r="E479" s="3">
        <v>359.40000000000003</v>
      </c>
      <c r="F479" t="str">
        <f t="shared" si="36"/>
        <v>cogs</v>
      </c>
      <c r="G479" s="7" t="str">
        <f t="shared" si="37"/>
        <v>product 1</v>
      </c>
      <c r="H479">
        <f t="shared" si="38"/>
        <v>2024</v>
      </c>
      <c r="I479">
        <f t="shared" si="39"/>
        <v>3</v>
      </c>
      <c r="J479">
        <f t="shared" si="40"/>
        <v>1773.58</v>
      </c>
    </row>
    <row r="480" spans="1:10" ht="12.5" x14ac:dyDescent="0.25">
      <c r="A480" s="1">
        <v>45358</v>
      </c>
      <c r="B480" s="2" t="s">
        <v>8</v>
      </c>
      <c r="C480" s="3">
        <v>16.989999999999998</v>
      </c>
      <c r="D480" s="3">
        <v>10</v>
      </c>
      <c r="E480" s="3">
        <v>169.89999999999998</v>
      </c>
      <c r="F480" t="str">
        <f t="shared" si="36"/>
        <v>cogs</v>
      </c>
      <c r="G480" s="7" t="str">
        <f t="shared" si="37"/>
        <v>product 2</v>
      </c>
      <c r="H480">
        <f t="shared" si="38"/>
        <v>2024</v>
      </c>
      <c r="I480">
        <f t="shared" si="39"/>
        <v>3</v>
      </c>
      <c r="J480">
        <f t="shared" si="40"/>
        <v>-461.23</v>
      </c>
    </row>
    <row r="481" spans="1:10" ht="12.5" x14ac:dyDescent="0.25">
      <c r="A481" s="1">
        <v>45358</v>
      </c>
      <c r="B481" s="2" t="s">
        <v>9</v>
      </c>
      <c r="C481" s="3">
        <v>8.49</v>
      </c>
      <c r="D481" s="3">
        <v>189</v>
      </c>
      <c r="E481" s="3">
        <v>1604.6100000000001</v>
      </c>
      <c r="F481" t="str">
        <f t="shared" si="36"/>
        <v>cogs</v>
      </c>
      <c r="G481" s="7" t="str">
        <f t="shared" si="37"/>
        <v>product 3</v>
      </c>
      <c r="H481">
        <f t="shared" si="38"/>
        <v>2024</v>
      </c>
      <c r="I481">
        <f t="shared" si="39"/>
        <v>3</v>
      </c>
      <c r="J481">
        <f t="shared" si="40"/>
        <v>-33.979999999999997</v>
      </c>
    </row>
    <row r="482" spans="1:10" ht="12.5" x14ac:dyDescent="0.25">
      <c r="A482" s="1">
        <v>45358</v>
      </c>
      <c r="B482" s="2" t="s">
        <v>10</v>
      </c>
      <c r="C482" s="2" t="s">
        <v>6</v>
      </c>
      <c r="D482" s="2" t="s">
        <v>6</v>
      </c>
      <c r="E482" s="3">
        <v>100.03</v>
      </c>
      <c r="F482" t="str">
        <f t="shared" si="36"/>
        <v>marketing</v>
      </c>
      <c r="G482" s="7" t="s">
        <v>6</v>
      </c>
      <c r="H482">
        <f t="shared" si="38"/>
        <v>2024</v>
      </c>
      <c r="I482">
        <f t="shared" si="39"/>
        <v>3</v>
      </c>
      <c r="J482">
        <f t="shared" si="40"/>
        <v>-1681.02</v>
      </c>
    </row>
    <row r="483" spans="1:10" ht="12.5" x14ac:dyDescent="0.25">
      <c r="A483" s="1">
        <v>45358</v>
      </c>
      <c r="B483" s="2" t="s">
        <v>11</v>
      </c>
      <c r="C483" s="3">
        <v>9.99</v>
      </c>
      <c r="D483" s="3">
        <v>60</v>
      </c>
      <c r="E483" s="3">
        <v>599.4</v>
      </c>
      <c r="F483" t="str">
        <f t="shared" si="36"/>
        <v>net sales</v>
      </c>
      <c r="G483" s="7" t="str">
        <f t="shared" si="37"/>
        <v>product 1</v>
      </c>
      <c r="H483">
        <f t="shared" si="38"/>
        <v>2024</v>
      </c>
      <c r="I483">
        <f t="shared" si="39"/>
        <v>3</v>
      </c>
      <c r="J483">
        <f t="shared" si="40"/>
        <v>-99.990000000000009</v>
      </c>
    </row>
    <row r="484" spans="1:10" ht="12.5" x14ac:dyDescent="0.25">
      <c r="A484" s="1">
        <v>45358</v>
      </c>
      <c r="B484" s="2" t="s">
        <v>12</v>
      </c>
      <c r="C484" s="3">
        <v>24.99</v>
      </c>
      <c r="D484" s="3">
        <v>10</v>
      </c>
      <c r="E484" s="3">
        <v>249.89999999999998</v>
      </c>
      <c r="F484" t="str">
        <f t="shared" si="36"/>
        <v>net sales</v>
      </c>
      <c r="G484" s="7" t="str">
        <f t="shared" si="37"/>
        <v>product 2</v>
      </c>
      <c r="H484">
        <f t="shared" si="38"/>
        <v>2024</v>
      </c>
      <c r="I484">
        <f t="shared" si="39"/>
        <v>3</v>
      </c>
      <c r="J484">
        <f t="shared" si="40"/>
        <v>769.23</v>
      </c>
    </row>
    <row r="485" spans="1:10" ht="12.5" x14ac:dyDescent="0.25">
      <c r="A485" s="1">
        <v>45358</v>
      </c>
      <c r="B485" s="2" t="s">
        <v>13</v>
      </c>
      <c r="C485" s="3">
        <v>12.49</v>
      </c>
      <c r="D485" s="3">
        <v>189</v>
      </c>
      <c r="E485" s="3">
        <v>2360.61</v>
      </c>
      <c r="F485" t="str">
        <f t="shared" si="36"/>
        <v>net sales</v>
      </c>
      <c r="G485" s="7" t="str">
        <f t="shared" si="37"/>
        <v>product 3</v>
      </c>
      <c r="H485">
        <f t="shared" si="38"/>
        <v>2024</v>
      </c>
      <c r="I485">
        <f t="shared" si="39"/>
        <v>3</v>
      </c>
      <c r="J485">
        <f t="shared" si="40"/>
        <v>49.98</v>
      </c>
    </row>
    <row r="486" spans="1:10" ht="12.5" x14ac:dyDescent="0.25">
      <c r="A486" s="1">
        <v>45359</v>
      </c>
      <c r="B486" s="2" t="s">
        <v>7</v>
      </c>
      <c r="C486" s="3">
        <v>5.99</v>
      </c>
      <c r="D486" s="3">
        <v>1</v>
      </c>
      <c r="E486" s="3">
        <v>5.99</v>
      </c>
      <c r="F486" t="str">
        <f t="shared" si="36"/>
        <v>cogs</v>
      </c>
      <c r="G486" s="7" t="str">
        <f t="shared" si="37"/>
        <v>product 1</v>
      </c>
      <c r="H486">
        <f t="shared" si="38"/>
        <v>2024</v>
      </c>
      <c r="I486">
        <f t="shared" si="39"/>
        <v>3</v>
      </c>
      <c r="J486">
        <f t="shared" si="40"/>
        <v>2473.02</v>
      </c>
    </row>
    <row r="487" spans="1:10" ht="12.5" x14ac:dyDescent="0.25">
      <c r="A487" s="1">
        <v>45359</v>
      </c>
      <c r="B487" s="2" t="s">
        <v>8</v>
      </c>
      <c r="C487" s="3">
        <v>16.989999999999998</v>
      </c>
      <c r="D487" s="3">
        <v>6</v>
      </c>
      <c r="E487" s="3">
        <v>101.94</v>
      </c>
      <c r="F487" t="str">
        <f t="shared" si="36"/>
        <v>cogs</v>
      </c>
      <c r="G487" s="7" t="str">
        <f t="shared" si="37"/>
        <v>product 2</v>
      </c>
      <c r="H487">
        <f t="shared" si="38"/>
        <v>2024</v>
      </c>
      <c r="I487">
        <f t="shared" si="39"/>
        <v>3</v>
      </c>
      <c r="J487">
        <f t="shared" si="40"/>
        <v>-113.81</v>
      </c>
    </row>
    <row r="488" spans="1:10" ht="12.5" x14ac:dyDescent="0.25">
      <c r="A488" s="1">
        <v>45359</v>
      </c>
      <c r="B488" s="2" t="s">
        <v>9</v>
      </c>
      <c r="C488" s="3">
        <v>8.49</v>
      </c>
      <c r="D488" s="3">
        <v>57</v>
      </c>
      <c r="E488" s="3">
        <v>483.93</v>
      </c>
      <c r="F488" t="str">
        <f t="shared" si="36"/>
        <v>cogs</v>
      </c>
      <c r="G488" s="7" t="str">
        <f t="shared" si="37"/>
        <v>product 3</v>
      </c>
      <c r="H488">
        <f t="shared" si="38"/>
        <v>2024</v>
      </c>
      <c r="I488">
        <f t="shared" si="39"/>
        <v>3</v>
      </c>
      <c r="J488">
        <f t="shared" si="40"/>
        <v>-67.959999999999994</v>
      </c>
    </row>
    <row r="489" spans="1:10" ht="12.5" x14ac:dyDescent="0.25">
      <c r="A489" s="1">
        <v>45359</v>
      </c>
      <c r="B489" s="2" t="s">
        <v>10</v>
      </c>
      <c r="C489" s="2" t="s">
        <v>6</v>
      </c>
      <c r="D489" s="2" t="s">
        <v>6</v>
      </c>
      <c r="E489" s="3">
        <v>99.9</v>
      </c>
      <c r="F489" t="str">
        <f t="shared" si="36"/>
        <v>marketing</v>
      </c>
      <c r="G489" s="7" t="s">
        <v>6</v>
      </c>
      <c r="H489">
        <f t="shared" si="38"/>
        <v>2024</v>
      </c>
      <c r="I489">
        <f t="shared" si="39"/>
        <v>3</v>
      </c>
      <c r="J489">
        <f t="shared" si="40"/>
        <v>-704.67000000000007</v>
      </c>
    </row>
    <row r="490" spans="1:10" ht="12.5" x14ac:dyDescent="0.25">
      <c r="A490" s="1">
        <v>45359</v>
      </c>
      <c r="B490" s="2" t="s">
        <v>11</v>
      </c>
      <c r="C490" s="3">
        <v>9.99</v>
      </c>
      <c r="D490" s="3">
        <v>1</v>
      </c>
      <c r="E490" s="3">
        <v>9.99</v>
      </c>
      <c r="F490" t="str">
        <f t="shared" si="36"/>
        <v>net sales</v>
      </c>
      <c r="G490" s="7" t="str">
        <f t="shared" si="37"/>
        <v>product 1</v>
      </c>
      <c r="H490">
        <f t="shared" si="38"/>
        <v>2024</v>
      </c>
      <c r="I490">
        <f t="shared" si="39"/>
        <v>3</v>
      </c>
      <c r="J490">
        <f t="shared" si="40"/>
        <v>-100.06</v>
      </c>
    </row>
    <row r="491" spans="1:10" ht="12.5" x14ac:dyDescent="0.25">
      <c r="A491" s="1">
        <v>45359</v>
      </c>
      <c r="B491" s="2" t="s">
        <v>12</v>
      </c>
      <c r="C491" s="3">
        <v>24.99</v>
      </c>
      <c r="D491" s="3">
        <v>6</v>
      </c>
      <c r="E491" s="3">
        <v>149.94</v>
      </c>
      <c r="F491" t="str">
        <f t="shared" si="36"/>
        <v>net sales</v>
      </c>
      <c r="G491" s="7" t="str">
        <f t="shared" si="37"/>
        <v>product 2</v>
      </c>
      <c r="H491">
        <f t="shared" si="38"/>
        <v>2024</v>
      </c>
      <c r="I491">
        <f t="shared" si="39"/>
        <v>3</v>
      </c>
      <c r="J491">
        <f t="shared" si="40"/>
        <v>189.81</v>
      </c>
    </row>
    <row r="492" spans="1:10" ht="12.5" x14ac:dyDescent="0.25">
      <c r="A492" s="1">
        <v>45359</v>
      </c>
      <c r="B492" s="2" t="s">
        <v>13</v>
      </c>
      <c r="C492" s="3">
        <v>12.49</v>
      </c>
      <c r="D492" s="3">
        <v>57</v>
      </c>
      <c r="E492" s="3">
        <v>711.93000000000006</v>
      </c>
      <c r="F492" t="str">
        <f t="shared" si="36"/>
        <v>net sales</v>
      </c>
      <c r="G492" s="7" t="str">
        <f t="shared" si="37"/>
        <v>product 3</v>
      </c>
      <c r="H492">
        <f t="shared" si="38"/>
        <v>2024</v>
      </c>
      <c r="I492">
        <f t="shared" si="39"/>
        <v>3</v>
      </c>
      <c r="J492">
        <f t="shared" si="40"/>
        <v>99.96</v>
      </c>
    </row>
    <row r="493" spans="1:10" ht="12.5" x14ac:dyDescent="0.25">
      <c r="A493" s="1">
        <v>45360</v>
      </c>
      <c r="B493" s="2" t="s">
        <v>7</v>
      </c>
      <c r="C493" s="3">
        <v>5.99</v>
      </c>
      <c r="D493" s="3">
        <v>45</v>
      </c>
      <c r="E493" s="3">
        <v>269.55</v>
      </c>
      <c r="F493" t="str">
        <f t="shared" si="36"/>
        <v>cogs</v>
      </c>
      <c r="G493" s="7" t="str">
        <f t="shared" si="37"/>
        <v>product 1</v>
      </c>
      <c r="H493">
        <f t="shared" si="38"/>
        <v>2024</v>
      </c>
      <c r="I493">
        <f t="shared" si="39"/>
        <v>3</v>
      </c>
      <c r="J493">
        <f t="shared" si="40"/>
        <v>1036.67</v>
      </c>
    </row>
    <row r="494" spans="1:10" ht="12.5" x14ac:dyDescent="0.25">
      <c r="A494" s="1">
        <v>45360</v>
      </c>
      <c r="B494" s="2" t="s">
        <v>8</v>
      </c>
      <c r="C494" s="3">
        <v>16.989999999999998</v>
      </c>
      <c r="D494" s="3">
        <v>5</v>
      </c>
      <c r="E494" s="3">
        <v>84.949999999999989</v>
      </c>
      <c r="F494" t="str">
        <f t="shared" si="36"/>
        <v>cogs</v>
      </c>
      <c r="G494" s="7" t="str">
        <f t="shared" si="37"/>
        <v>product 2</v>
      </c>
      <c r="H494">
        <f t="shared" si="38"/>
        <v>2024</v>
      </c>
      <c r="I494">
        <f t="shared" si="39"/>
        <v>3</v>
      </c>
      <c r="J494">
        <f t="shared" si="40"/>
        <v>-143.76</v>
      </c>
    </row>
    <row r="495" spans="1:10" ht="12.5" x14ac:dyDescent="0.25">
      <c r="A495" s="1">
        <v>45360</v>
      </c>
      <c r="B495" s="2" t="s">
        <v>9</v>
      </c>
      <c r="C495" s="3">
        <v>8.49</v>
      </c>
      <c r="D495" s="3">
        <v>133</v>
      </c>
      <c r="E495" s="3">
        <v>1129.17</v>
      </c>
      <c r="F495" t="str">
        <f t="shared" si="36"/>
        <v>cogs</v>
      </c>
      <c r="G495" s="7" t="str">
        <f t="shared" si="37"/>
        <v>product 3</v>
      </c>
      <c r="H495">
        <f t="shared" si="38"/>
        <v>2024</v>
      </c>
      <c r="I495">
        <f t="shared" si="39"/>
        <v>3</v>
      </c>
      <c r="J495">
        <f t="shared" si="40"/>
        <v>-152.91</v>
      </c>
    </row>
    <row r="496" spans="1:10" ht="12.5" x14ac:dyDescent="0.25">
      <c r="A496" s="1">
        <v>45360</v>
      </c>
      <c r="B496" s="2" t="s">
        <v>10</v>
      </c>
      <c r="C496" s="2" t="s">
        <v>6</v>
      </c>
      <c r="D496" s="2" t="s">
        <v>6</v>
      </c>
      <c r="E496" s="3">
        <v>99.92</v>
      </c>
      <c r="F496" t="str">
        <f t="shared" si="36"/>
        <v>marketing</v>
      </c>
      <c r="G496" s="7" t="s">
        <v>6</v>
      </c>
      <c r="H496">
        <f t="shared" si="38"/>
        <v>2024</v>
      </c>
      <c r="I496">
        <f t="shared" si="39"/>
        <v>3</v>
      </c>
      <c r="J496">
        <f t="shared" si="40"/>
        <v>-568.83000000000004</v>
      </c>
    </row>
    <row r="497" spans="1:10" ht="12.5" x14ac:dyDescent="0.25">
      <c r="A497" s="1">
        <v>45360</v>
      </c>
      <c r="B497" s="2" t="s">
        <v>11</v>
      </c>
      <c r="C497" s="3">
        <v>9.99</v>
      </c>
      <c r="D497" s="3">
        <v>45</v>
      </c>
      <c r="E497" s="3">
        <v>449.55</v>
      </c>
      <c r="F497" t="str">
        <f t="shared" si="36"/>
        <v>net sales</v>
      </c>
      <c r="G497" s="7" t="str">
        <f t="shared" si="37"/>
        <v>product 1</v>
      </c>
      <c r="H497">
        <f t="shared" si="38"/>
        <v>2024</v>
      </c>
      <c r="I497">
        <f t="shared" si="39"/>
        <v>3</v>
      </c>
      <c r="J497">
        <f t="shared" si="40"/>
        <v>-100.06</v>
      </c>
    </row>
    <row r="498" spans="1:10" ht="12.5" x14ac:dyDescent="0.25">
      <c r="A498" s="1">
        <v>45360</v>
      </c>
      <c r="B498" s="2" t="s">
        <v>12</v>
      </c>
      <c r="C498" s="3">
        <v>24.99</v>
      </c>
      <c r="D498" s="3">
        <v>5</v>
      </c>
      <c r="E498" s="3">
        <v>124.94999999999999</v>
      </c>
      <c r="F498" t="str">
        <f t="shared" si="36"/>
        <v>net sales</v>
      </c>
      <c r="G498" s="7" t="str">
        <f t="shared" si="37"/>
        <v>product 2</v>
      </c>
      <c r="H498">
        <f t="shared" si="38"/>
        <v>2024</v>
      </c>
      <c r="I498">
        <f t="shared" si="39"/>
        <v>3</v>
      </c>
      <c r="J498">
        <f t="shared" si="40"/>
        <v>239.76</v>
      </c>
    </row>
    <row r="499" spans="1:10" ht="12.5" x14ac:dyDescent="0.25">
      <c r="A499" s="1">
        <v>45360</v>
      </c>
      <c r="B499" s="2" t="s">
        <v>13</v>
      </c>
      <c r="C499" s="3">
        <v>12.49</v>
      </c>
      <c r="D499" s="3">
        <v>133</v>
      </c>
      <c r="E499" s="3">
        <v>1661.17</v>
      </c>
      <c r="F499" t="str">
        <f t="shared" si="36"/>
        <v>net sales</v>
      </c>
      <c r="G499" s="7" t="str">
        <f t="shared" si="37"/>
        <v>product 3</v>
      </c>
      <c r="H499">
        <f t="shared" si="38"/>
        <v>2024</v>
      </c>
      <c r="I499">
        <f t="shared" si="39"/>
        <v>3</v>
      </c>
      <c r="J499">
        <f t="shared" si="40"/>
        <v>224.91</v>
      </c>
    </row>
    <row r="500" spans="1:10" ht="12.5" x14ac:dyDescent="0.25">
      <c r="A500" s="1">
        <v>45361</v>
      </c>
      <c r="B500" s="2" t="s">
        <v>7</v>
      </c>
      <c r="C500" s="3">
        <v>5.99</v>
      </c>
      <c r="D500" s="3">
        <v>88</v>
      </c>
      <c r="E500" s="3">
        <v>527.12</v>
      </c>
      <c r="F500" t="str">
        <f t="shared" si="36"/>
        <v>cogs</v>
      </c>
      <c r="G500" s="7" t="str">
        <f t="shared" si="37"/>
        <v>product 1</v>
      </c>
      <c r="H500">
        <f t="shared" si="38"/>
        <v>2024</v>
      </c>
      <c r="I500">
        <f t="shared" si="39"/>
        <v>3</v>
      </c>
      <c r="J500">
        <f t="shared" si="40"/>
        <v>836.83</v>
      </c>
    </row>
    <row r="501" spans="1:10" ht="12.5" x14ac:dyDescent="0.25">
      <c r="A501" s="1">
        <v>45361</v>
      </c>
      <c r="B501" s="2" t="s">
        <v>8</v>
      </c>
      <c r="C501" s="3">
        <v>16.989999999999998</v>
      </c>
      <c r="D501" s="3">
        <v>5</v>
      </c>
      <c r="E501" s="3">
        <v>84.949999999999989</v>
      </c>
      <c r="F501" t="str">
        <f t="shared" si="36"/>
        <v>cogs</v>
      </c>
      <c r="G501" s="7" t="str">
        <f t="shared" si="37"/>
        <v>product 2</v>
      </c>
      <c r="H501">
        <f t="shared" si="38"/>
        <v>2024</v>
      </c>
      <c r="I501">
        <f t="shared" si="39"/>
        <v>3</v>
      </c>
      <c r="J501">
        <f t="shared" si="40"/>
        <v>-47.92</v>
      </c>
    </row>
    <row r="502" spans="1:10" ht="12.5" x14ac:dyDescent="0.25">
      <c r="A502" s="1">
        <v>45361</v>
      </c>
      <c r="B502" s="2" t="s">
        <v>9</v>
      </c>
      <c r="C502" s="3">
        <v>8.49</v>
      </c>
      <c r="D502" s="3">
        <v>42</v>
      </c>
      <c r="E502" s="3">
        <v>356.58</v>
      </c>
      <c r="F502" t="str">
        <f t="shared" si="36"/>
        <v>cogs</v>
      </c>
      <c r="G502" s="7" t="str">
        <f t="shared" si="37"/>
        <v>product 3</v>
      </c>
      <c r="H502">
        <f t="shared" si="38"/>
        <v>2024</v>
      </c>
      <c r="I502">
        <f t="shared" si="39"/>
        <v>3</v>
      </c>
      <c r="J502">
        <f t="shared" si="40"/>
        <v>-135.91999999999999</v>
      </c>
    </row>
    <row r="503" spans="1:10" ht="12.5" x14ac:dyDescent="0.25">
      <c r="A503" s="1">
        <v>45361</v>
      </c>
      <c r="B503" s="2" t="s">
        <v>10</v>
      </c>
      <c r="C503" s="2" t="s">
        <v>6</v>
      </c>
      <c r="D503" s="2" t="s">
        <v>6</v>
      </c>
      <c r="E503" s="3">
        <v>100.09</v>
      </c>
      <c r="F503" t="str">
        <f t="shared" si="36"/>
        <v>marketing</v>
      </c>
      <c r="G503" s="7" t="s">
        <v>6</v>
      </c>
      <c r="H503">
        <f t="shared" si="38"/>
        <v>2024</v>
      </c>
      <c r="I503">
        <f t="shared" si="39"/>
        <v>3</v>
      </c>
      <c r="J503">
        <f t="shared" si="40"/>
        <v>-1273.5</v>
      </c>
    </row>
    <row r="504" spans="1:10" ht="12.5" x14ac:dyDescent="0.25">
      <c r="A504" s="1">
        <v>45361</v>
      </c>
      <c r="B504" s="2" t="s">
        <v>11</v>
      </c>
      <c r="C504" s="3">
        <v>9.99</v>
      </c>
      <c r="D504" s="3">
        <v>88</v>
      </c>
      <c r="E504" s="3">
        <v>879.12</v>
      </c>
      <c r="F504" t="str">
        <f t="shared" si="36"/>
        <v>net sales</v>
      </c>
      <c r="G504" s="7" t="str">
        <f t="shared" si="37"/>
        <v>product 1</v>
      </c>
      <c r="H504">
        <f t="shared" si="38"/>
        <v>2024</v>
      </c>
      <c r="I504">
        <f t="shared" si="39"/>
        <v>3</v>
      </c>
      <c r="J504">
        <f t="shared" si="40"/>
        <v>-99.990000000000009</v>
      </c>
    </row>
    <row r="505" spans="1:10" ht="12.5" x14ac:dyDescent="0.25">
      <c r="A505" s="1">
        <v>45361</v>
      </c>
      <c r="B505" s="2" t="s">
        <v>12</v>
      </c>
      <c r="C505" s="3">
        <v>24.99</v>
      </c>
      <c r="D505" s="3">
        <v>5</v>
      </c>
      <c r="E505" s="3">
        <v>124.94999999999999</v>
      </c>
      <c r="F505" t="str">
        <f t="shared" si="36"/>
        <v>net sales</v>
      </c>
      <c r="G505" s="7" t="str">
        <f t="shared" si="37"/>
        <v>product 2</v>
      </c>
      <c r="H505">
        <f t="shared" si="38"/>
        <v>2024</v>
      </c>
      <c r="I505">
        <f t="shared" si="39"/>
        <v>3</v>
      </c>
      <c r="J505">
        <f t="shared" si="40"/>
        <v>79.92</v>
      </c>
    </row>
    <row r="506" spans="1:10" ht="12.5" x14ac:dyDescent="0.25">
      <c r="A506" s="1">
        <v>45361</v>
      </c>
      <c r="B506" s="2" t="s">
        <v>13</v>
      </c>
      <c r="C506" s="3">
        <v>12.49</v>
      </c>
      <c r="D506" s="3">
        <v>42</v>
      </c>
      <c r="E506" s="3">
        <v>524.58000000000004</v>
      </c>
      <c r="F506" t="str">
        <f t="shared" si="36"/>
        <v>net sales</v>
      </c>
      <c r="G506" s="7" t="str">
        <f t="shared" si="37"/>
        <v>product 3</v>
      </c>
      <c r="H506">
        <f t="shared" si="38"/>
        <v>2024</v>
      </c>
      <c r="I506">
        <f t="shared" si="39"/>
        <v>3</v>
      </c>
      <c r="J506">
        <f t="shared" si="40"/>
        <v>199.92</v>
      </c>
    </row>
    <row r="507" spans="1:10" ht="12.5" x14ac:dyDescent="0.25">
      <c r="A507" s="1">
        <v>45362</v>
      </c>
      <c r="B507" s="2" t="s">
        <v>7</v>
      </c>
      <c r="C507" s="3">
        <v>5.99</v>
      </c>
      <c r="D507" s="3">
        <v>46</v>
      </c>
      <c r="E507" s="3">
        <v>275.54000000000002</v>
      </c>
      <c r="F507" t="str">
        <f t="shared" si="36"/>
        <v>cogs</v>
      </c>
      <c r="G507" s="7" t="str">
        <f t="shared" si="37"/>
        <v>product 1</v>
      </c>
      <c r="H507">
        <f t="shared" si="38"/>
        <v>2024</v>
      </c>
      <c r="I507">
        <f t="shared" si="39"/>
        <v>3</v>
      </c>
      <c r="J507">
        <f t="shared" si="40"/>
        <v>1873.5</v>
      </c>
    </row>
    <row r="508" spans="1:10" ht="12.5" x14ac:dyDescent="0.25">
      <c r="A508" s="1">
        <v>45362</v>
      </c>
      <c r="B508" s="2" t="s">
        <v>8</v>
      </c>
      <c r="C508" s="3">
        <v>16.989999999999998</v>
      </c>
      <c r="D508" s="3">
        <v>9</v>
      </c>
      <c r="E508" s="3">
        <v>152.91</v>
      </c>
      <c r="F508" t="str">
        <f t="shared" si="36"/>
        <v>cogs</v>
      </c>
      <c r="G508" s="7" t="str">
        <f t="shared" si="37"/>
        <v>product 2</v>
      </c>
      <c r="H508">
        <f t="shared" si="38"/>
        <v>2024</v>
      </c>
      <c r="I508">
        <f t="shared" si="39"/>
        <v>3</v>
      </c>
      <c r="J508">
        <f t="shared" si="40"/>
        <v>-371.38</v>
      </c>
    </row>
    <row r="509" spans="1:10" ht="12.5" x14ac:dyDescent="0.25">
      <c r="A509" s="1">
        <v>45362</v>
      </c>
      <c r="B509" s="2" t="s">
        <v>9</v>
      </c>
      <c r="C509" s="3">
        <v>8.49</v>
      </c>
      <c r="D509" s="3">
        <v>79</v>
      </c>
      <c r="E509" s="3">
        <v>670.71</v>
      </c>
      <c r="F509" t="str">
        <f t="shared" si="36"/>
        <v>cogs</v>
      </c>
      <c r="G509" s="7" t="str">
        <f t="shared" si="37"/>
        <v>product 3</v>
      </c>
      <c r="H509">
        <f t="shared" si="38"/>
        <v>2024</v>
      </c>
      <c r="I509">
        <f t="shared" si="39"/>
        <v>3</v>
      </c>
      <c r="J509">
        <f t="shared" si="40"/>
        <v>-84.949999999999989</v>
      </c>
    </row>
    <row r="510" spans="1:10" ht="12.5" x14ac:dyDescent="0.25">
      <c r="A510" s="1">
        <v>45362</v>
      </c>
      <c r="B510" s="2" t="s">
        <v>10</v>
      </c>
      <c r="C510" s="2" t="s">
        <v>6</v>
      </c>
      <c r="D510" s="2" t="s">
        <v>6</v>
      </c>
      <c r="E510" s="3">
        <v>99.95</v>
      </c>
      <c r="F510" t="str">
        <f t="shared" si="36"/>
        <v>marketing</v>
      </c>
      <c r="G510" s="7" t="s">
        <v>6</v>
      </c>
      <c r="H510">
        <f t="shared" si="38"/>
        <v>2024</v>
      </c>
      <c r="I510">
        <f t="shared" si="39"/>
        <v>3</v>
      </c>
      <c r="J510">
        <f t="shared" si="40"/>
        <v>-466.95</v>
      </c>
    </row>
    <row r="511" spans="1:10" ht="12.5" x14ac:dyDescent="0.25">
      <c r="A511" s="1">
        <v>45362</v>
      </c>
      <c r="B511" s="2" t="s">
        <v>11</v>
      </c>
      <c r="C511" s="3">
        <v>9.99</v>
      </c>
      <c r="D511" s="3">
        <v>46</v>
      </c>
      <c r="E511" s="3">
        <v>459.54</v>
      </c>
      <c r="F511" t="str">
        <f t="shared" si="36"/>
        <v>net sales</v>
      </c>
      <c r="G511" s="7" t="str">
        <f t="shared" si="37"/>
        <v>product 1</v>
      </c>
      <c r="H511">
        <f t="shared" si="38"/>
        <v>2024</v>
      </c>
      <c r="I511">
        <f t="shared" si="39"/>
        <v>3</v>
      </c>
      <c r="J511">
        <f t="shared" si="40"/>
        <v>-100.03</v>
      </c>
    </row>
    <row r="512" spans="1:10" ht="12.5" x14ac:dyDescent="0.25">
      <c r="A512" s="1">
        <v>45362</v>
      </c>
      <c r="B512" s="2" t="s">
        <v>12</v>
      </c>
      <c r="C512" s="3">
        <v>24.99</v>
      </c>
      <c r="D512" s="3">
        <v>9</v>
      </c>
      <c r="E512" s="3">
        <v>224.91</v>
      </c>
      <c r="F512" t="str">
        <f t="shared" si="36"/>
        <v>net sales</v>
      </c>
      <c r="G512" s="7" t="str">
        <f t="shared" si="37"/>
        <v>product 2</v>
      </c>
      <c r="H512">
        <f t="shared" si="38"/>
        <v>2024</v>
      </c>
      <c r="I512">
        <f t="shared" si="39"/>
        <v>3</v>
      </c>
      <c r="J512">
        <f t="shared" si="40"/>
        <v>619.38</v>
      </c>
    </row>
    <row r="513" spans="1:10" ht="12.5" x14ac:dyDescent="0.25">
      <c r="A513" s="1">
        <v>45362</v>
      </c>
      <c r="B513" s="2" t="s">
        <v>13</v>
      </c>
      <c r="C513" s="3">
        <v>12.49</v>
      </c>
      <c r="D513" s="3">
        <v>79</v>
      </c>
      <c r="E513" s="3">
        <v>986.71</v>
      </c>
      <c r="F513" t="str">
        <f t="shared" si="36"/>
        <v>net sales</v>
      </c>
      <c r="G513" s="7" t="str">
        <f t="shared" si="37"/>
        <v>product 3</v>
      </c>
      <c r="H513">
        <f t="shared" si="38"/>
        <v>2024</v>
      </c>
      <c r="I513">
        <f t="shared" si="39"/>
        <v>3</v>
      </c>
      <c r="J513">
        <f t="shared" si="40"/>
        <v>124.94999999999999</v>
      </c>
    </row>
    <row r="514" spans="1:10" ht="12.5" x14ac:dyDescent="0.25">
      <c r="A514" s="1">
        <v>45363</v>
      </c>
      <c r="B514" s="2" t="s">
        <v>7</v>
      </c>
      <c r="C514" s="3">
        <v>5.99</v>
      </c>
      <c r="D514" s="3">
        <v>99</v>
      </c>
      <c r="E514" s="3">
        <v>593.01</v>
      </c>
      <c r="F514" t="str">
        <f t="shared" si="36"/>
        <v>cogs</v>
      </c>
      <c r="G514" s="7" t="str">
        <f t="shared" si="37"/>
        <v>product 1</v>
      </c>
      <c r="H514">
        <f t="shared" si="38"/>
        <v>2024</v>
      </c>
      <c r="I514">
        <f t="shared" si="39"/>
        <v>3</v>
      </c>
      <c r="J514">
        <f t="shared" si="40"/>
        <v>686.95</v>
      </c>
    </row>
    <row r="515" spans="1:10" ht="12.5" x14ac:dyDescent="0.25">
      <c r="A515" s="1">
        <v>45363</v>
      </c>
      <c r="B515" s="2" t="s">
        <v>8</v>
      </c>
      <c r="C515" s="3">
        <v>16.989999999999998</v>
      </c>
      <c r="D515" s="3">
        <v>2</v>
      </c>
      <c r="E515" s="3">
        <v>33.979999999999997</v>
      </c>
      <c r="F515" t="str">
        <f t="shared" ref="F515:F578" si="41">IFERROR(LEFT(B515,FIND(":",B515)-1),B515)</f>
        <v>cogs</v>
      </c>
      <c r="G515" s="7" t="str">
        <f t="shared" ref="G515:G578" si="42">IFERROR(RIGHT(B515,LEN(B515)-FIND(":",B515)),"")</f>
        <v>product 2</v>
      </c>
      <c r="H515">
        <f t="shared" ref="H515:H578" si="43">YEAR(A515)</f>
        <v>2024</v>
      </c>
      <c r="I515">
        <f t="shared" ref="I515:I578" si="44">MONTH(A515)</f>
        <v>3</v>
      </c>
      <c r="J515">
        <f t="shared" si="40"/>
        <v>-449.25</v>
      </c>
    </row>
    <row r="516" spans="1:10" ht="12.5" x14ac:dyDescent="0.25">
      <c r="A516" s="1">
        <v>45363</v>
      </c>
      <c r="B516" s="2" t="s">
        <v>9</v>
      </c>
      <c r="C516" s="3">
        <v>8.49</v>
      </c>
      <c r="D516" s="3">
        <v>126</v>
      </c>
      <c r="E516" s="3">
        <v>1069.74</v>
      </c>
      <c r="F516" t="str">
        <f t="shared" si="41"/>
        <v>cogs</v>
      </c>
      <c r="G516" s="7" t="str">
        <f t="shared" si="42"/>
        <v>product 3</v>
      </c>
      <c r="H516">
        <f t="shared" si="43"/>
        <v>2024</v>
      </c>
      <c r="I516">
        <f t="shared" si="44"/>
        <v>3</v>
      </c>
      <c r="J516">
        <f t="shared" si="40"/>
        <v>0</v>
      </c>
    </row>
    <row r="517" spans="1:10" ht="12.5" x14ac:dyDescent="0.25">
      <c r="A517" s="1">
        <v>45363</v>
      </c>
      <c r="B517" s="2" t="s">
        <v>10</v>
      </c>
      <c r="C517" s="2" t="s">
        <v>6</v>
      </c>
      <c r="D517" s="2" t="s">
        <v>6</v>
      </c>
      <c r="E517" s="3">
        <v>100.07000000000001</v>
      </c>
      <c r="F517" t="str">
        <f t="shared" si="41"/>
        <v>marketing</v>
      </c>
      <c r="G517" s="7" t="s">
        <v>6</v>
      </c>
      <c r="H517">
        <f t="shared" si="43"/>
        <v>2024</v>
      </c>
      <c r="I517">
        <f t="shared" si="44"/>
        <v>3</v>
      </c>
      <c r="J517">
        <f t="shared" si="40"/>
        <v>-2012.13</v>
      </c>
    </row>
    <row r="518" spans="1:10" ht="12.5" x14ac:dyDescent="0.25">
      <c r="A518" s="1">
        <v>45363</v>
      </c>
      <c r="B518" s="2" t="s">
        <v>11</v>
      </c>
      <c r="C518" s="3">
        <v>9.99</v>
      </c>
      <c r="D518" s="3">
        <v>99</v>
      </c>
      <c r="E518" s="3">
        <v>989.01</v>
      </c>
      <c r="F518" t="str">
        <f t="shared" si="41"/>
        <v>net sales</v>
      </c>
      <c r="G518" s="7" t="str">
        <f t="shared" si="42"/>
        <v>product 1</v>
      </c>
      <c r="H518">
        <f t="shared" si="43"/>
        <v>2024</v>
      </c>
      <c r="I518">
        <f t="shared" si="44"/>
        <v>3</v>
      </c>
      <c r="J518">
        <f t="shared" si="40"/>
        <v>-100.03</v>
      </c>
    </row>
    <row r="519" spans="1:10" ht="12.5" x14ac:dyDescent="0.25">
      <c r="A519" s="1">
        <v>45363</v>
      </c>
      <c r="B519" s="2" t="s">
        <v>12</v>
      </c>
      <c r="C519" s="3">
        <v>24.99</v>
      </c>
      <c r="D519" s="3">
        <v>2</v>
      </c>
      <c r="E519" s="3">
        <v>49.98</v>
      </c>
      <c r="F519" t="str">
        <f t="shared" si="41"/>
        <v>net sales</v>
      </c>
      <c r="G519" s="7" t="str">
        <f t="shared" si="42"/>
        <v>product 2</v>
      </c>
      <c r="H519">
        <f t="shared" si="43"/>
        <v>2024</v>
      </c>
      <c r="I519">
        <f t="shared" si="44"/>
        <v>3</v>
      </c>
      <c r="J519">
        <f t="shared" si="40"/>
        <v>749.25</v>
      </c>
    </row>
    <row r="520" spans="1:10" ht="12.5" x14ac:dyDescent="0.25">
      <c r="A520" s="1">
        <v>45363</v>
      </c>
      <c r="B520" s="2" t="s">
        <v>13</v>
      </c>
      <c r="C520" s="3">
        <v>12.49</v>
      </c>
      <c r="D520" s="3">
        <v>126</v>
      </c>
      <c r="E520" s="3">
        <v>1573.74</v>
      </c>
      <c r="F520" t="str">
        <f t="shared" si="41"/>
        <v>net sales</v>
      </c>
      <c r="G520" s="7" t="str">
        <f t="shared" si="42"/>
        <v>product 3</v>
      </c>
      <c r="H520">
        <f t="shared" si="43"/>
        <v>2024</v>
      </c>
      <c r="I520">
        <f t="shared" si="44"/>
        <v>3</v>
      </c>
      <c r="J520">
        <f t="shared" si="40"/>
        <v>0</v>
      </c>
    </row>
    <row r="521" spans="1:10" ht="12.5" x14ac:dyDescent="0.25">
      <c r="A521" s="1">
        <v>45364</v>
      </c>
      <c r="B521" s="2" t="s">
        <v>7</v>
      </c>
      <c r="C521" s="3">
        <v>5.99</v>
      </c>
      <c r="D521" s="3">
        <v>51</v>
      </c>
      <c r="E521" s="3">
        <v>305.49</v>
      </c>
      <c r="F521" t="str">
        <f t="shared" si="41"/>
        <v>cogs</v>
      </c>
      <c r="G521" s="7" t="str">
        <f t="shared" si="42"/>
        <v>product 1</v>
      </c>
      <c r="H521">
        <f t="shared" si="43"/>
        <v>2024</v>
      </c>
      <c r="I521">
        <f t="shared" si="44"/>
        <v>3</v>
      </c>
      <c r="J521">
        <f t="shared" si="40"/>
        <v>2960.13</v>
      </c>
    </row>
    <row r="522" spans="1:10" ht="12.5" x14ac:dyDescent="0.25">
      <c r="A522" s="1">
        <v>45364</v>
      </c>
      <c r="B522" s="2" t="s">
        <v>8</v>
      </c>
      <c r="C522" s="3">
        <v>16.989999999999998</v>
      </c>
      <c r="D522" s="3">
        <v>8</v>
      </c>
      <c r="E522" s="3">
        <v>135.91999999999999</v>
      </c>
      <c r="F522" t="str">
        <f t="shared" si="41"/>
        <v>cogs</v>
      </c>
      <c r="G522" s="7" t="str">
        <f t="shared" si="42"/>
        <v>product 2</v>
      </c>
      <c r="H522">
        <f t="shared" si="43"/>
        <v>2024</v>
      </c>
      <c r="I522">
        <f t="shared" si="44"/>
        <v>3</v>
      </c>
      <c r="J522">
        <f t="shared" si="40"/>
        <v>-443.26</v>
      </c>
    </row>
    <row r="523" spans="1:10" ht="12.5" x14ac:dyDescent="0.25">
      <c r="A523" s="1">
        <v>45364</v>
      </c>
      <c r="B523" s="2" t="s">
        <v>9</v>
      </c>
      <c r="C523" s="3">
        <v>8.49</v>
      </c>
      <c r="D523" s="3">
        <v>118</v>
      </c>
      <c r="E523" s="3">
        <v>1001.82</v>
      </c>
      <c r="F523" t="str">
        <f t="shared" si="41"/>
        <v>cogs</v>
      </c>
      <c r="G523" s="7" t="str">
        <f t="shared" si="42"/>
        <v>product 3</v>
      </c>
      <c r="H523">
        <f t="shared" si="43"/>
        <v>2024</v>
      </c>
      <c r="I523">
        <f t="shared" si="44"/>
        <v>3</v>
      </c>
      <c r="J523">
        <f t="shared" si="40"/>
        <v>-16.989999999999998</v>
      </c>
    </row>
    <row r="524" spans="1:10" ht="12.5" x14ac:dyDescent="0.25">
      <c r="A524" s="1">
        <v>45364</v>
      </c>
      <c r="B524" s="2" t="s">
        <v>10</v>
      </c>
      <c r="C524" s="2" t="s">
        <v>6</v>
      </c>
      <c r="D524" s="2" t="s">
        <v>6</v>
      </c>
      <c r="E524" s="3">
        <v>99.92</v>
      </c>
      <c r="F524" t="str">
        <f t="shared" si="41"/>
        <v>marketing</v>
      </c>
      <c r="G524" s="7" t="s">
        <v>6</v>
      </c>
      <c r="H524">
        <f t="shared" si="43"/>
        <v>2024</v>
      </c>
      <c r="I524">
        <f t="shared" si="44"/>
        <v>3</v>
      </c>
      <c r="J524">
        <f t="shared" si="40"/>
        <v>-152.82</v>
      </c>
    </row>
    <row r="525" spans="1:10" ht="12.5" x14ac:dyDescent="0.25">
      <c r="A525" s="1">
        <v>45364</v>
      </c>
      <c r="B525" s="2" t="s">
        <v>11</v>
      </c>
      <c r="C525" s="3">
        <v>9.99</v>
      </c>
      <c r="D525" s="3">
        <v>51</v>
      </c>
      <c r="E525" s="3">
        <v>509.49</v>
      </c>
      <c r="F525" t="str">
        <f t="shared" si="41"/>
        <v>net sales</v>
      </c>
      <c r="G525" s="7" t="str">
        <f t="shared" si="42"/>
        <v>product 1</v>
      </c>
      <c r="H525">
        <f t="shared" si="43"/>
        <v>2024</v>
      </c>
      <c r="I525">
        <f t="shared" si="44"/>
        <v>3</v>
      </c>
      <c r="J525">
        <f t="shared" si="40"/>
        <v>-99.91</v>
      </c>
    </row>
    <row r="526" spans="1:10" ht="12.5" x14ac:dyDescent="0.25">
      <c r="A526" s="1">
        <v>45364</v>
      </c>
      <c r="B526" s="2" t="s">
        <v>12</v>
      </c>
      <c r="C526" s="3">
        <v>24.99</v>
      </c>
      <c r="D526" s="3">
        <v>8</v>
      </c>
      <c r="E526" s="3">
        <v>199.92</v>
      </c>
      <c r="F526" t="str">
        <f t="shared" si="41"/>
        <v>net sales</v>
      </c>
      <c r="G526" s="7" t="str">
        <f t="shared" si="42"/>
        <v>product 2</v>
      </c>
      <c r="H526">
        <f t="shared" si="43"/>
        <v>2024</v>
      </c>
      <c r="I526">
        <f t="shared" si="44"/>
        <v>3</v>
      </c>
      <c r="J526">
        <f t="shared" si="40"/>
        <v>739.26</v>
      </c>
    </row>
    <row r="527" spans="1:10" ht="12.5" x14ac:dyDescent="0.25">
      <c r="A527" s="1">
        <v>45364</v>
      </c>
      <c r="B527" s="2" t="s">
        <v>13</v>
      </c>
      <c r="C527" s="3">
        <v>12.49</v>
      </c>
      <c r="D527" s="3">
        <v>118</v>
      </c>
      <c r="E527" s="3">
        <v>1473.82</v>
      </c>
      <c r="F527" t="str">
        <f t="shared" si="41"/>
        <v>net sales</v>
      </c>
      <c r="G527" s="7" t="str">
        <f t="shared" si="42"/>
        <v>product 3</v>
      </c>
      <c r="H527">
        <f t="shared" si="43"/>
        <v>2024</v>
      </c>
      <c r="I527">
        <f t="shared" si="44"/>
        <v>3</v>
      </c>
      <c r="J527">
        <f t="shared" si="40"/>
        <v>24.99</v>
      </c>
    </row>
    <row r="528" spans="1:10" ht="12.5" x14ac:dyDescent="0.25">
      <c r="A528" s="1">
        <v>45365</v>
      </c>
      <c r="B528" s="2" t="s">
        <v>7</v>
      </c>
      <c r="C528" s="3">
        <v>5.99</v>
      </c>
      <c r="D528" s="3">
        <v>69</v>
      </c>
      <c r="E528" s="3">
        <v>413.31</v>
      </c>
      <c r="F528" t="str">
        <f t="shared" si="41"/>
        <v>cogs</v>
      </c>
      <c r="G528" s="7" t="str">
        <f t="shared" si="42"/>
        <v>product 1</v>
      </c>
      <c r="H528">
        <f t="shared" si="43"/>
        <v>2024</v>
      </c>
      <c r="I528">
        <f t="shared" si="44"/>
        <v>3</v>
      </c>
      <c r="J528">
        <f t="shared" si="40"/>
        <v>224.82</v>
      </c>
    </row>
    <row r="529" spans="1:10" ht="12.5" x14ac:dyDescent="0.25">
      <c r="A529" s="1">
        <v>45365</v>
      </c>
      <c r="B529" s="2" t="s">
        <v>8</v>
      </c>
      <c r="C529" s="3">
        <v>16.989999999999998</v>
      </c>
      <c r="D529" s="3">
        <v>2</v>
      </c>
      <c r="E529" s="3">
        <v>33.979999999999997</v>
      </c>
      <c r="F529" t="str">
        <f t="shared" si="41"/>
        <v>cogs</v>
      </c>
      <c r="G529" s="7" t="str">
        <f t="shared" si="42"/>
        <v>product 2</v>
      </c>
      <c r="H529">
        <f t="shared" si="43"/>
        <v>2024</v>
      </c>
      <c r="I529">
        <f t="shared" si="44"/>
        <v>3</v>
      </c>
      <c r="J529">
        <f t="shared" si="40"/>
        <v>-41.93</v>
      </c>
    </row>
    <row r="530" spans="1:10" ht="12.5" x14ac:dyDescent="0.25">
      <c r="A530" s="1">
        <v>45365</v>
      </c>
      <c r="B530" s="2" t="s">
        <v>9</v>
      </c>
      <c r="C530" s="3">
        <v>8.49</v>
      </c>
      <c r="D530" s="3">
        <v>82</v>
      </c>
      <c r="E530" s="3">
        <v>696.18000000000006</v>
      </c>
      <c r="F530" t="str">
        <f t="shared" si="41"/>
        <v>cogs</v>
      </c>
      <c r="G530" s="7" t="str">
        <f t="shared" si="42"/>
        <v>product 3</v>
      </c>
      <c r="H530">
        <f t="shared" si="43"/>
        <v>2024</v>
      </c>
      <c r="I530">
        <f t="shared" si="44"/>
        <v>3</v>
      </c>
      <c r="J530">
        <f t="shared" si="40"/>
        <v>-16.989999999999998</v>
      </c>
    </row>
    <row r="531" spans="1:10" ht="12.5" x14ac:dyDescent="0.25">
      <c r="A531" s="1">
        <v>45365</v>
      </c>
      <c r="B531" s="2" t="s">
        <v>10</v>
      </c>
      <c r="C531" s="2" t="s">
        <v>6</v>
      </c>
      <c r="D531" s="2" t="s">
        <v>6</v>
      </c>
      <c r="E531" s="3">
        <v>100.10000000000001</v>
      </c>
      <c r="F531" t="str">
        <f t="shared" si="41"/>
        <v>marketing</v>
      </c>
      <c r="G531" s="7" t="s">
        <v>6</v>
      </c>
      <c r="H531">
        <f t="shared" si="43"/>
        <v>2024</v>
      </c>
      <c r="I531">
        <f t="shared" si="44"/>
        <v>3</v>
      </c>
      <c r="J531">
        <f t="shared" si="40"/>
        <v>-1069.74</v>
      </c>
    </row>
    <row r="532" spans="1:10" ht="12.5" x14ac:dyDescent="0.25">
      <c r="A532" s="1">
        <v>45365</v>
      </c>
      <c r="B532" s="2" t="s">
        <v>11</v>
      </c>
      <c r="C532" s="3">
        <v>9.99</v>
      </c>
      <c r="D532" s="3">
        <v>69</v>
      </c>
      <c r="E532" s="3">
        <v>689.31000000000006</v>
      </c>
      <c r="F532" t="str">
        <f t="shared" si="41"/>
        <v>net sales</v>
      </c>
      <c r="G532" s="7" t="str">
        <f t="shared" si="42"/>
        <v>product 1</v>
      </c>
      <c r="H532">
        <f t="shared" si="43"/>
        <v>2024</v>
      </c>
      <c r="I532">
        <f t="shared" si="44"/>
        <v>3</v>
      </c>
      <c r="J532">
        <f t="shared" si="40"/>
        <v>-100.04</v>
      </c>
    </row>
    <row r="533" spans="1:10" ht="12.5" x14ac:dyDescent="0.25">
      <c r="A533" s="1">
        <v>45365</v>
      </c>
      <c r="B533" s="2" t="s">
        <v>12</v>
      </c>
      <c r="C533" s="3">
        <v>24.99</v>
      </c>
      <c r="D533" s="3">
        <v>2</v>
      </c>
      <c r="E533" s="3">
        <v>49.98</v>
      </c>
      <c r="F533" t="str">
        <f t="shared" si="41"/>
        <v>net sales</v>
      </c>
      <c r="G533" s="7" t="str">
        <f t="shared" si="42"/>
        <v>product 2</v>
      </c>
      <c r="H533">
        <f t="shared" si="43"/>
        <v>2024</v>
      </c>
      <c r="I533">
        <f t="shared" si="44"/>
        <v>3</v>
      </c>
      <c r="J533">
        <f t="shared" si="40"/>
        <v>69.930000000000007</v>
      </c>
    </row>
    <row r="534" spans="1:10" ht="12.5" x14ac:dyDescent="0.25">
      <c r="A534" s="1">
        <v>45365</v>
      </c>
      <c r="B534" s="2" t="s">
        <v>13</v>
      </c>
      <c r="C534" s="3">
        <v>12.49</v>
      </c>
      <c r="D534" s="3">
        <v>82</v>
      </c>
      <c r="E534" s="3">
        <v>1024.18</v>
      </c>
      <c r="F534" t="str">
        <f t="shared" si="41"/>
        <v>net sales</v>
      </c>
      <c r="G534" s="7" t="str">
        <f t="shared" si="42"/>
        <v>product 3</v>
      </c>
      <c r="H534">
        <f t="shared" si="43"/>
        <v>2024</v>
      </c>
      <c r="I534">
        <f t="shared" si="44"/>
        <v>3</v>
      </c>
      <c r="J534">
        <f t="shared" si="40"/>
        <v>24.99</v>
      </c>
    </row>
    <row r="535" spans="1:10" ht="12.5" x14ac:dyDescent="0.25">
      <c r="A535" s="1">
        <v>45366</v>
      </c>
      <c r="B535" s="2" t="s">
        <v>7</v>
      </c>
      <c r="C535" s="3">
        <v>5.99</v>
      </c>
      <c r="D535" s="3">
        <v>28</v>
      </c>
      <c r="E535" s="3">
        <v>167.72</v>
      </c>
      <c r="F535" t="str">
        <f t="shared" si="41"/>
        <v>cogs</v>
      </c>
      <c r="G535" s="7" t="str">
        <f t="shared" si="42"/>
        <v>product 1</v>
      </c>
      <c r="H535">
        <f t="shared" si="43"/>
        <v>2024</v>
      </c>
      <c r="I535">
        <f t="shared" si="44"/>
        <v>3</v>
      </c>
      <c r="J535">
        <f t="shared" si="40"/>
        <v>1573.74</v>
      </c>
    </row>
    <row r="536" spans="1:10" ht="12.5" x14ac:dyDescent="0.25">
      <c r="A536" s="1">
        <v>45366</v>
      </c>
      <c r="B536" s="2" t="s">
        <v>8</v>
      </c>
      <c r="C536" s="3">
        <v>16.989999999999998</v>
      </c>
      <c r="D536" s="3">
        <v>1</v>
      </c>
      <c r="E536" s="3">
        <v>16.989999999999998</v>
      </c>
      <c r="F536" t="str">
        <f t="shared" si="41"/>
        <v>cogs</v>
      </c>
      <c r="G536" s="7" t="str">
        <f t="shared" si="42"/>
        <v>product 2</v>
      </c>
      <c r="H536">
        <f t="shared" si="43"/>
        <v>2024</v>
      </c>
      <c r="I536">
        <f t="shared" si="44"/>
        <v>3</v>
      </c>
      <c r="J536">
        <f t="shared" si="40"/>
        <v>-335.44</v>
      </c>
    </row>
    <row r="537" spans="1:10" ht="12.5" x14ac:dyDescent="0.25">
      <c r="A537" s="1">
        <v>45366</v>
      </c>
      <c r="B537" s="2" t="s">
        <v>9</v>
      </c>
      <c r="C537" s="3">
        <v>8.49</v>
      </c>
      <c r="D537" s="3">
        <v>237</v>
      </c>
      <c r="E537" s="3">
        <v>2012.13</v>
      </c>
      <c r="F537" t="str">
        <f t="shared" si="41"/>
        <v>cogs</v>
      </c>
      <c r="G537" s="7" t="str">
        <f t="shared" si="42"/>
        <v>product 3</v>
      </c>
      <c r="H537">
        <f t="shared" si="43"/>
        <v>2024</v>
      </c>
      <c r="I537">
        <f t="shared" si="44"/>
        <v>3</v>
      </c>
      <c r="J537">
        <f t="shared" si="40"/>
        <v>-118.92999999999999</v>
      </c>
    </row>
    <row r="538" spans="1:10" ht="12.5" x14ac:dyDescent="0.25">
      <c r="A538" s="1">
        <v>45366</v>
      </c>
      <c r="B538" s="2" t="s">
        <v>16</v>
      </c>
      <c r="C538" s="2" t="s">
        <v>6</v>
      </c>
      <c r="D538" s="2" t="s">
        <v>6</v>
      </c>
      <c r="E538" s="3">
        <v>1214.1199999999999</v>
      </c>
      <c r="F538" t="str">
        <f t="shared" si="41"/>
        <v>interest</v>
      </c>
      <c r="G538" s="7" t="s">
        <v>6</v>
      </c>
      <c r="H538">
        <f t="shared" si="43"/>
        <v>2024</v>
      </c>
      <c r="I538">
        <f t="shared" si="44"/>
        <v>3</v>
      </c>
      <c r="J538">
        <f t="shared" si="40"/>
        <v>-1910.25</v>
      </c>
    </row>
    <row r="539" spans="1:10" ht="12.5" x14ac:dyDescent="0.25">
      <c r="A539" s="1">
        <v>45366</v>
      </c>
      <c r="B539" s="2" t="s">
        <v>10</v>
      </c>
      <c r="C539" s="2" t="s">
        <v>6</v>
      </c>
      <c r="D539" s="2" t="s">
        <v>6</v>
      </c>
      <c r="E539" s="3">
        <v>99.990000000000009</v>
      </c>
      <c r="F539" t="str">
        <f t="shared" si="41"/>
        <v>marketing</v>
      </c>
      <c r="G539" s="7" t="s">
        <v>6</v>
      </c>
      <c r="H539">
        <f t="shared" si="43"/>
        <v>2024</v>
      </c>
      <c r="I539">
        <f t="shared" si="44"/>
        <v>3</v>
      </c>
      <c r="J539">
        <f t="shared" si="40"/>
        <v>-99.92</v>
      </c>
    </row>
    <row r="540" spans="1:10" ht="12.5" x14ac:dyDescent="0.25">
      <c r="A540" s="1">
        <v>45366</v>
      </c>
      <c r="B540" s="2" t="s">
        <v>11</v>
      </c>
      <c r="C540" s="3">
        <v>9.99</v>
      </c>
      <c r="D540" s="3">
        <v>28</v>
      </c>
      <c r="E540" s="3">
        <v>279.72000000000003</v>
      </c>
      <c r="F540" t="str">
        <f t="shared" si="41"/>
        <v>net sales</v>
      </c>
      <c r="G540" s="7" t="str">
        <f t="shared" si="42"/>
        <v>product 1</v>
      </c>
      <c r="H540">
        <f t="shared" si="43"/>
        <v>2024</v>
      </c>
      <c r="I540">
        <f t="shared" si="44"/>
        <v>3</v>
      </c>
      <c r="J540">
        <f t="shared" ref="J540:J603" si="45">IF(F323="net sales",E323,
IF(F323="cogs",-E323,
IF(OR(F323="marketing",F323="overhead",F323="payroll",F323="interest","amortization"),-E323,0)))</f>
        <v>559.44000000000005</v>
      </c>
    </row>
    <row r="541" spans="1:10" ht="12.5" x14ac:dyDescent="0.25">
      <c r="A541" s="1">
        <v>45366</v>
      </c>
      <c r="B541" s="2" t="s">
        <v>12</v>
      </c>
      <c r="C541" s="3">
        <v>24.99</v>
      </c>
      <c r="D541" s="3">
        <v>1</v>
      </c>
      <c r="E541" s="3">
        <v>24.99</v>
      </c>
      <c r="F541" t="str">
        <f t="shared" si="41"/>
        <v>net sales</v>
      </c>
      <c r="G541" s="7" t="str">
        <f t="shared" si="42"/>
        <v>product 2</v>
      </c>
      <c r="H541">
        <f t="shared" si="43"/>
        <v>2024</v>
      </c>
      <c r="I541">
        <f t="shared" si="44"/>
        <v>3</v>
      </c>
      <c r="J541">
        <f t="shared" si="45"/>
        <v>174.92999999999998</v>
      </c>
    </row>
    <row r="542" spans="1:10" ht="12.5" x14ac:dyDescent="0.25">
      <c r="A542" s="1">
        <v>45366</v>
      </c>
      <c r="B542" s="2" t="s">
        <v>13</v>
      </c>
      <c r="C542" s="3">
        <v>12.49</v>
      </c>
      <c r="D542" s="3">
        <v>237</v>
      </c>
      <c r="E542" s="3">
        <v>2960.13</v>
      </c>
      <c r="F542" t="str">
        <f t="shared" si="41"/>
        <v>net sales</v>
      </c>
      <c r="G542" s="7" t="str">
        <f t="shared" si="42"/>
        <v>product 3</v>
      </c>
      <c r="H542">
        <f t="shared" si="43"/>
        <v>2024</v>
      </c>
      <c r="I542">
        <f t="shared" si="44"/>
        <v>3</v>
      </c>
      <c r="J542">
        <f t="shared" si="45"/>
        <v>2810.25</v>
      </c>
    </row>
    <row r="543" spans="1:10" ht="12.5" x14ac:dyDescent="0.25">
      <c r="A543" s="1">
        <v>45366</v>
      </c>
      <c r="B543" s="2" t="s">
        <v>14</v>
      </c>
      <c r="C543" s="2" t="s">
        <v>6</v>
      </c>
      <c r="D543" s="2" t="s">
        <v>6</v>
      </c>
      <c r="E543" s="3">
        <v>303.52999999999997</v>
      </c>
      <c r="F543" t="str">
        <f t="shared" si="41"/>
        <v>overhead</v>
      </c>
      <c r="G543" s="7" t="s">
        <v>6</v>
      </c>
      <c r="H543">
        <f t="shared" si="43"/>
        <v>2024</v>
      </c>
      <c r="I543">
        <f t="shared" si="44"/>
        <v>3</v>
      </c>
      <c r="J543">
        <f t="shared" si="45"/>
        <v>-377.37</v>
      </c>
    </row>
    <row r="544" spans="1:10" ht="12.5" x14ac:dyDescent="0.25">
      <c r="A544" s="1">
        <v>45366</v>
      </c>
      <c r="B544" s="2" t="s">
        <v>15</v>
      </c>
      <c r="C544" s="2" t="s">
        <v>6</v>
      </c>
      <c r="D544" s="2" t="s">
        <v>6</v>
      </c>
      <c r="E544" s="3">
        <v>1200</v>
      </c>
      <c r="F544" t="str">
        <f t="shared" si="41"/>
        <v>payroll</v>
      </c>
      <c r="G544" s="7" t="s">
        <v>6</v>
      </c>
      <c r="H544">
        <f t="shared" si="43"/>
        <v>2024</v>
      </c>
      <c r="I544">
        <f t="shared" si="44"/>
        <v>3</v>
      </c>
      <c r="J544">
        <f t="shared" si="45"/>
        <v>-33.979999999999997</v>
      </c>
    </row>
    <row r="545" spans="1:10" ht="12.5" x14ac:dyDescent="0.25">
      <c r="A545" s="1">
        <v>45367</v>
      </c>
      <c r="B545" s="2" t="s">
        <v>7</v>
      </c>
      <c r="C545" s="3">
        <v>5.99</v>
      </c>
      <c r="D545" s="3">
        <v>98</v>
      </c>
      <c r="E545" s="3">
        <v>587.02</v>
      </c>
      <c r="F545" t="str">
        <f t="shared" si="41"/>
        <v>cogs</v>
      </c>
      <c r="G545" s="7" t="str">
        <f t="shared" si="42"/>
        <v>product 1</v>
      </c>
      <c r="H545">
        <f t="shared" si="43"/>
        <v>2024</v>
      </c>
      <c r="I545">
        <f t="shared" si="44"/>
        <v>3</v>
      </c>
      <c r="J545">
        <f t="shared" si="45"/>
        <v>-365.07</v>
      </c>
    </row>
    <row r="546" spans="1:10" ht="12.5" x14ac:dyDescent="0.25">
      <c r="A546" s="1">
        <v>45367</v>
      </c>
      <c r="B546" s="2" t="s">
        <v>8</v>
      </c>
      <c r="C546" s="3">
        <v>16.989999999999998</v>
      </c>
      <c r="D546" s="3">
        <v>8</v>
      </c>
      <c r="E546" s="3">
        <v>135.91999999999999</v>
      </c>
      <c r="F546" t="str">
        <f t="shared" si="41"/>
        <v>cogs</v>
      </c>
      <c r="G546" s="7" t="str">
        <f t="shared" si="42"/>
        <v>product 2</v>
      </c>
      <c r="H546">
        <f t="shared" si="43"/>
        <v>2024</v>
      </c>
      <c r="I546">
        <f t="shared" si="44"/>
        <v>3</v>
      </c>
      <c r="J546">
        <f t="shared" si="45"/>
        <v>-1242.56</v>
      </c>
    </row>
    <row r="547" spans="1:10" ht="12.5" x14ac:dyDescent="0.25">
      <c r="A547" s="1">
        <v>45367</v>
      </c>
      <c r="B547" s="2" t="s">
        <v>9</v>
      </c>
      <c r="C547" s="3">
        <v>8.49</v>
      </c>
      <c r="D547" s="3">
        <v>82</v>
      </c>
      <c r="E547" s="3">
        <v>696.18000000000006</v>
      </c>
      <c r="F547" t="str">
        <f t="shared" si="41"/>
        <v>cogs</v>
      </c>
      <c r="G547" s="7" t="str">
        <f t="shared" si="42"/>
        <v>product 3</v>
      </c>
      <c r="H547">
        <f t="shared" si="43"/>
        <v>2024</v>
      </c>
      <c r="I547">
        <f t="shared" si="44"/>
        <v>3</v>
      </c>
      <c r="J547">
        <f t="shared" si="45"/>
        <v>-99.91</v>
      </c>
    </row>
    <row r="548" spans="1:10" ht="12.5" x14ac:dyDescent="0.25">
      <c r="A548" s="1">
        <v>45367</v>
      </c>
      <c r="B548" s="2" t="s">
        <v>10</v>
      </c>
      <c r="C548" s="2" t="s">
        <v>6</v>
      </c>
      <c r="D548" s="2" t="s">
        <v>6</v>
      </c>
      <c r="E548" s="3">
        <v>99.91</v>
      </c>
      <c r="F548" t="str">
        <f t="shared" si="41"/>
        <v>marketing</v>
      </c>
      <c r="G548" s="7" t="s">
        <v>6</v>
      </c>
      <c r="H548">
        <f t="shared" si="43"/>
        <v>2024</v>
      </c>
      <c r="I548">
        <f t="shared" si="44"/>
        <v>3</v>
      </c>
      <c r="J548">
        <f t="shared" si="45"/>
        <v>629.37</v>
      </c>
    </row>
    <row r="549" spans="1:10" ht="12.5" x14ac:dyDescent="0.25">
      <c r="A549" s="1">
        <v>45367</v>
      </c>
      <c r="B549" s="2" t="s">
        <v>11</v>
      </c>
      <c r="C549" s="3">
        <v>9.99</v>
      </c>
      <c r="D549" s="3">
        <v>98</v>
      </c>
      <c r="E549" s="3">
        <v>979.02</v>
      </c>
      <c r="F549" t="str">
        <f t="shared" si="41"/>
        <v>net sales</v>
      </c>
      <c r="G549" s="7" t="str">
        <f t="shared" si="42"/>
        <v>product 1</v>
      </c>
      <c r="H549">
        <f t="shared" si="43"/>
        <v>2024</v>
      </c>
      <c r="I549">
        <f t="shared" si="44"/>
        <v>3</v>
      </c>
      <c r="J549">
        <f t="shared" si="45"/>
        <v>49.98</v>
      </c>
    </row>
    <row r="550" spans="1:10" ht="12.5" x14ac:dyDescent="0.25">
      <c r="A550" s="1">
        <v>45367</v>
      </c>
      <c r="B550" s="2" t="s">
        <v>12</v>
      </c>
      <c r="C550" s="3">
        <v>24.99</v>
      </c>
      <c r="D550" s="3">
        <v>8</v>
      </c>
      <c r="E550" s="3">
        <v>199.92</v>
      </c>
      <c r="F550" t="str">
        <f t="shared" si="41"/>
        <v>net sales</v>
      </c>
      <c r="G550" s="7" t="str">
        <f t="shared" si="42"/>
        <v>product 2</v>
      </c>
      <c r="H550">
        <f t="shared" si="43"/>
        <v>2024</v>
      </c>
      <c r="I550">
        <f t="shared" si="44"/>
        <v>3</v>
      </c>
      <c r="J550">
        <f t="shared" si="45"/>
        <v>537.07000000000005</v>
      </c>
    </row>
    <row r="551" spans="1:10" ht="12.5" x14ac:dyDescent="0.25">
      <c r="A551" s="1">
        <v>45367</v>
      </c>
      <c r="B551" s="2" t="s">
        <v>13</v>
      </c>
      <c r="C551" s="3">
        <v>12.49</v>
      </c>
      <c r="D551" s="3">
        <v>82</v>
      </c>
      <c r="E551" s="3">
        <v>1024.18</v>
      </c>
      <c r="F551" t="str">
        <f t="shared" si="41"/>
        <v>net sales</v>
      </c>
      <c r="G551" s="7" t="str">
        <f t="shared" si="42"/>
        <v>product 3</v>
      </c>
      <c r="H551">
        <f t="shared" si="43"/>
        <v>2024</v>
      </c>
      <c r="I551">
        <f t="shared" si="44"/>
        <v>3</v>
      </c>
      <c r="J551">
        <f t="shared" si="45"/>
        <v>-305.56</v>
      </c>
    </row>
    <row r="552" spans="1:10" ht="12.5" x14ac:dyDescent="0.25">
      <c r="A552" s="1">
        <v>45368</v>
      </c>
      <c r="B552" s="2" t="s">
        <v>7</v>
      </c>
      <c r="C552" s="3">
        <v>5.99</v>
      </c>
      <c r="D552" s="3">
        <v>47</v>
      </c>
      <c r="E552" s="3">
        <v>281.53000000000003</v>
      </c>
      <c r="F552" t="str">
        <f t="shared" si="41"/>
        <v>cogs</v>
      </c>
      <c r="G552" s="7" t="str">
        <f t="shared" si="42"/>
        <v>product 1</v>
      </c>
      <c r="H552">
        <f t="shared" si="43"/>
        <v>2024</v>
      </c>
      <c r="I552">
        <f t="shared" si="44"/>
        <v>3</v>
      </c>
      <c r="J552">
        <f t="shared" si="45"/>
        <v>-137.77000000000001</v>
      </c>
    </row>
    <row r="553" spans="1:10" ht="12.5" x14ac:dyDescent="0.25">
      <c r="A553" s="1">
        <v>45368</v>
      </c>
      <c r="B553" s="2" t="s">
        <v>8</v>
      </c>
      <c r="C553" s="3">
        <v>16.989999999999998</v>
      </c>
      <c r="D553" s="3">
        <v>3</v>
      </c>
      <c r="E553" s="3">
        <v>50.97</v>
      </c>
      <c r="F553" t="str">
        <f t="shared" si="41"/>
        <v>cogs</v>
      </c>
      <c r="G553" s="7" t="str">
        <f t="shared" si="42"/>
        <v>product 2</v>
      </c>
      <c r="H553">
        <f t="shared" si="43"/>
        <v>2024</v>
      </c>
      <c r="I553">
        <f t="shared" si="44"/>
        <v>3</v>
      </c>
      <c r="J553">
        <f t="shared" si="45"/>
        <v>-84.949999999999989</v>
      </c>
    </row>
    <row r="554" spans="1:10" ht="12.5" x14ac:dyDescent="0.25">
      <c r="A554" s="1">
        <v>45368</v>
      </c>
      <c r="B554" s="2" t="s">
        <v>9</v>
      </c>
      <c r="C554" s="3">
        <v>8.49</v>
      </c>
      <c r="D554" s="3">
        <v>74</v>
      </c>
      <c r="E554" s="3">
        <v>628.26</v>
      </c>
      <c r="F554" t="str">
        <f t="shared" si="41"/>
        <v>cogs</v>
      </c>
      <c r="G554" s="7" t="str">
        <f t="shared" si="42"/>
        <v>product 3</v>
      </c>
      <c r="H554">
        <f t="shared" si="43"/>
        <v>2024</v>
      </c>
      <c r="I554">
        <f t="shared" si="44"/>
        <v>3</v>
      </c>
      <c r="J554">
        <f t="shared" si="45"/>
        <v>-33.96</v>
      </c>
    </row>
    <row r="555" spans="1:10" ht="12.5" x14ac:dyDescent="0.25">
      <c r="A555" s="1">
        <v>45368</v>
      </c>
      <c r="B555" s="2" t="s">
        <v>10</v>
      </c>
      <c r="C555" s="2" t="s">
        <v>6</v>
      </c>
      <c r="D555" s="2" t="s">
        <v>6</v>
      </c>
      <c r="E555" s="3">
        <v>100.09</v>
      </c>
      <c r="F555" t="str">
        <f t="shared" si="41"/>
        <v>marketing</v>
      </c>
      <c r="G555" s="7" t="s">
        <v>6</v>
      </c>
      <c r="H555">
        <f t="shared" si="43"/>
        <v>2024</v>
      </c>
      <c r="I555">
        <f t="shared" si="44"/>
        <v>3</v>
      </c>
      <c r="J555">
        <f t="shared" si="45"/>
        <v>-100.05</v>
      </c>
    </row>
    <row r="556" spans="1:10" ht="12.5" x14ac:dyDescent="0.25">
      <c r="A556" s="1">
        <v>45368</v>
      </c>
      <c r="B556" s="2" t="s">
        <v>11</v>
      </c>
      <c r="C556" s="3">
        <v>9.99</v>
      </c>
      <c r="D556" s="3">
        <v>47</v>
      </c>
      <c r="E556" s="3">
        <v>469.53000000000003</v>
      </c>
      <c r="F556" t="str">
        <f t="shared" si="41"/>
        <v>net sales</v>
      </c>
      <c r="G556" s="7" t="str">
        <f t="shared" si="42"/>
        <v>product 1</v>
      </c>
      <c r="H556">
        <f t="shared" si="43"/>
        <v>2024</v>
      </c>
      <c r="I556">
        <f t="shared" si="44"/>
        <v>3</v>
      </c>
      <c r="J556">
        <f t="shared" si="45"/>
        <v>229.77</v>
      </c>
    </row>
    <row r="557" spans="1:10" ht="12.5" x14ac:dyDescent="0.25">
      <c r="A557" s="1">
        <v>45368</v>
      </c>
      <c r="B557" s="2" t="s">
        <v>12</v>
      </c>
      <c r="C557" s="3">
        <v>24.99</v>
      </c>
      <c r="D557" s="3">
        <v>3</v>
      </c>
      <c r="E557" s="3">
        <v>74.97</v>
      </c>
      <c r="F557" t="str">
        <f t="shared" si="41"/>
        <v>net sales</v>
      </c>
      <c r="G557" s="7" t="str">
        <f t="shared" si="42"/>
        <v>product 2</v>
      </c>
      <c r="H557">
        <f t="shared" si="43"/>
        <v>2024</v>
      </c>
      <c r="I557">
        <f t="shared" si="44"/>
        <v>3</v>
      </c>
      <c r="J557">
        <f t="shared" si="45"/>
        <v>124.94999999999999</v>
      </c>
    </row>
    <row r="558" spans="1:10" ht="12.5" x14ac:dyDescent="0.25">
      <c r="A558" s="1">
        <v>45368</v>
      </c>
      <c r="B558" s="2" t="s">
        <v>13</v>
      </c>
      <c r="C558" s="3">
        <v>12.49</v>
      </c>
      <c r="D558" s="3">
        <v>74</v>
      </c>
      <c r="E558" s="3">
        <v>924.26</v>
      </c>
      <c r="F558" t="str">
        <f t="shared" si="41"/>
        <v>net sales</v>
      </c>
      <c r="G558" s="7" t="str">
        <f t="shared" si="42"/>
        <v>product 3</v>
      </c>
      <c r="H558">
        <f t="shared" si="43"/>
        <v>2024</v>
      </c>
      <c r="I558">
        <f t="shared" si="44"/>
        <v>3</v>
      </c>
      <c r="J558">
        <f t="shared" si="45"/>
        <v>49.96</v>
      </c>
    </row>
    <row r="559" spans="1:10" ht="12.5" x14ac:dyDescent="0.25">
      <c r="A559" s="1">
        <v>45369</v>
      </c>
      <c r="B559" s="2" t="s">
        <v>7</v>
      </c>
      <c r="C559" s="3">
        <v>5.99</v>
      </c>
      <c r="D559" s="3">
        <v>44</v>
      </c>
      <c r="E559" s="3">
        <v>263.56</v>
      </c>
      <c r="F559" t="str">
        <f t="shared" si="41"/>
        <v>cogs</v>
      </c>
      <c r="G559" s="7" t="str">
        <f t="shared" si="42"/>
        <v>product 1</v>
      </c>
      <c r="H559">
        <f t="shared" si="43"/>
        <v>2024</v>
      </c>
      <c r="I559">
        <f t="shared" si="44"/>
        <v>3</v>
      </c>
      <c r="J559">
        <f t="shared" si="45"/>
        <v>-1200</v>
      </c>
    </row>
    <row r="560" spans="1:10" ht="12.5" x14ac:dyDescent="0.25">
      <c r="A560" s="1">
        <v>45369</v>
      </c>
      <c r="B560" s="2" t="s">
        <v>8</v>
      </c>
      <c r="C560" s="3">
        <v>16.989999999999998</v>
      </c>
      <c r="D560" s="3">
        <v>4</v>
      </c>
      <c r="E560" s="3">
        <v>67.959999999999994</v>
      </c>
      <c r="F560" t="str">
        <f t="shared" si="41"/>
        <v>cogs</v>
      </c>
      <c r="G560" s="7" t="str">
        <f t="shared" si="42"/>
        <v>product 2</v>
      </c>
      <c r="H560">
        <f t="shared" si="43"/>
        <v>2024</v>
      </c>
      <c r="I560">
        <f t="shared" si="44"/>
        <v>3</v>
      </c>
      <c r="J560">
        <f t="shared" si="45"/>
        <v>-251.58</v>
      </c>
    </row>
    <row r="561" spans="1:10" ht="12.5" x14ac:dyDescent="0.25">
      <c r="A561" s="1">
        <v>45369</v>
      </c>
      <c r="B561" s="2" t="s">
        <v>9</v>
      </c>
      <c r="C561" s="3">
        <v>8.49</v>
      </c>
      <c r="D561" s="3">
        <v>95</v>
      </c>
      <c r="E561" s="3">
        <v>806.55000000000007</v>
      </c>
      <c r="F561" t="str">
        <f t="shared" si="41"/>
        <v>cogs</v>
      </c>
      <c r="G561" s="7" t="str">
        <f t="shared" si="42"/>
        <v>product 3</v>
      </c>
      <c r="H561">
        <f t="shared" si="43"/>
        <v>2024</v>
      </c>
      <c r="I561">
        <f t="shared" si="44"/>
        <v>3</v>
      </c>
      <c r="J561">
        <f t="shared" si="45"/>
        <v>-101.94</v>
      </c>
    </row>
    <row r="562" spans="1:10" ht="12.5" x14ac:dyDescent="0.25">
      <c r="A562" s="1">
        <v>45369</v>
      </c>
      <c r="B562" s="2" t="s">
        <v>10</v>
      </c>
      <c r="C562" s="2" t="s">
        <v>6</v>
      </c>
      <c r="D562" s="2" t="s">
        <v>6</v>
      </c>
      <c r="E562" s="3">
        <v>99.92</v>
      </c>
      <c r="F562" t="str">
        <f t="shared" si="41"/>
        <v>marketing</v>
      </c>
      <c r="G562" s="7" t="s">
        <v>6</v>
      </c>
      <c r="H562">
        <f t="shared" si="43"/>
        <v>2024</v>
      </c>
      <c r="I562">
        <f t="shared" si="44"/>
        <v>3</v>
      </c>
      <c r="J562">
        <f t="shared" si="45"/>
        <v>-1519.71</v>
      </c>
    </row>
    <row r="563" spans="1:10" ht="12.5" x14ac:dyDescent="0.25">
      <c r="A563" s="1">
        <v>45369</v>
      </c>
      <c r="B563" s="2" t="s">
        <v>11</v>
      </c>
      <c r="C563" s="3">
        <v>9.99</v>
      </c>
      <c r="D563" s="3">
        <v>44</v>
      </c>
      <c r="E563" s="3">
        <v>439.56</v>
      </c>
      <c r="F563" t="str">
        <f t="shared" si="41"/>
        <v>net sales</v>
      </c>
      <c r="G563" s="7" t="str">
        <f t="shared" si="42"/>
        <v>product 1</v>
      </c>
      <c r="H563">
        <f t="shared" si="43"/>
        <v>2024</v>
      </c>
      <c r="I563">
        <f t="shared" si="44"/>
        <v>3</v>
      </c>
      <c r="J563">
        <f t="shared" si="45"/>
        <v>-100.04</v>
      </c>
    </row>
    <row r="564" spans="1:10" ht="12.5" x14ac:dyDescent="0.25">
      <c r="A564" s="1">
        <v>45369</v>
      </c>
      <c r="B564" s="2" t="s">
        <v>12</v>
      </c>
      <c r="C564" s="3">
        <v>24.99</v>
      </c>
      <c r="D564" s="3">
        <v>4</v>
      </c>
      <c r="E564" s="3">
        <v>99.96</v>
      </c>
      <c r="F564" t="str">
        <f t="shared" si="41"/>
        <v>net sales</v>
      </c>
      <c r="G564" s="7" t="str">
        <f t="shared" si="42"/>
        <v>product 2</v>
      </c>
      <c r="H564">
        <f t="shared" si="43"/>
        <v>2024</v>
      </c>
      <c r="I564">
        <f t="shared" si="44"/>
        <v>3</v>
      </c>
      <c r="J564">
        <f t="shared" si="45"/>
        <v>419.58</v>
      </c>
    </row>
    <row r="565" spans="1:10" ht="12.5" x14ac:dyDescent="0.25">
      <c r="A565" s="1">
        <v>45369</v>
      </c>
      <c r="B565" s="2" t="s">
        <v>13</v>
      </c>
      <c r="C565" s="3">
        <v>12.49</v>
      </c>
      <c r="D565" s="3">
        <v>95</v>
      </c>
      <c r="E565" s="3">
        <v>1186.55</v>
      </c>
      <c r="F565" t="str">
        <f t="shared" si="41"/>
        <v>net sales</v>
      </c>
      <c r="G565" s="7" t="str">
        <f t="shared" si="42"/>
        <v>product 3</v>
      </c>
      <c r="H565">
        <f t="shared" si="43"/>
        <v>2024</v>
      </c>
      <c r="I565">
        <f t="shared" si="44"/>
        <v>3</v>
      </c>
      <c r="J565">
        <f t="shared" si="45"/>
        <v>149.94</v>
      </c>
    </row>
    <row r="566" spans="1:10" ht="12.5" x14ac:dyDescent="0.25">
      <c r="A566" s="1">
        <v>45370</v>
      </c>
      <c r="B566" s="2" t="s">
        <v>7</v>
      </c>
      <c r="C566" s="3">
        <v>5.99</v>
      </c>
      <c r="D566" s="3">
        <v>33</v>
      </c>
      <c r="E566" s="3">
        <v>197.67000000000002</v>
      </c>
      <c r="F566" t="str">
        <f t="shared" si="41"/>
        <v>cogs</v>
      </c>
      <c r="G566" s="7" t="str">
        <f t="shared" si="42"/>
        <v>product 1</v>
      </c>
      <c r="H566">
        <f t="shared" si="43"/>
        <v>2024</v>
      </c>
      <c r="I566">
        <f t="shared" si="44"/>
        <v>3</v>
      </c>
      <c r="J566">
        <f t="shared" si="45"/>
        <v>2235.71</v>
      </c>
    </row>
    <row r="567" spans="1:10" ht="12.5" x14ac:dyDescent="0.25">
      <c r="A567" s="1">
        <v>45370</v>
      </c>
      <c r="B567" s="2" t="s">
        <v>8</v>
      </c>
      <c r="C567" s="3">
        <v>16.989999999999998</v>
      </c>
      <c r="D567" s="3">
        <v>4</v>
      </c>
      <c r="E567" s="3">
        <v>67.959999999999994</v>
      </c>
      <c r="F567" t="str">
        <f t="shared" si="41"/>
        <v>cogs</v>
      </c>
      <c r="G567" s="7" t="str">
        <f t="shared" si="42"/>
        <v>product 2</v>
      </c>
      <c r="H567">
        <f t="shared" si="43"/>
        <v>2024</v>
      </c>
      <c r="I567">
        <f t="shared" si="44"/>
        <v>3</v>
      </c>
      <c r="J567">
        <f t="shared" si="45"/>
        <v>-47.92</v>
      </c>
    </row>
    <row r="568" spans="1:10" ht="12.5" x14ac:dyDescent="0.25">
      <c r="A568" s="1">
        <v>45370</v>
      </c>
      <c r="B568" s="2" t="s">
        <v>9</v>
      </c>
      <c r="C568" s="3">
        <v>8.49</v>
      </c>
      <c r="D568" s="3">
        <v>51</v>
      </c>
      <c r="E568" s="3">
        <v>432.99</v>
      </c>
      <c r="F568" t="str">
        <f t="shared" si="41"/>
        <v>cogs</v>
      </c>
      <c r="G568" s="7" t="str">
        <f t="shared" si="42"/>
        <v>product 3</v>
      </c>
      <c r="H568">
        <f t="shared" si="43"/>
        <v>2024</v>
      </c>
      <c r="I568">
        <f t="shared" si="44"/>
        <v>3</v>
      </c>
      <c r="J568">
        <f t="shared" si="45"/>
        <v>-50.97</v>
      </c>
    </row>
    <row r="569" spans="1:10" ht="12.5" x14ac:dyDescent="0.25">
      <c r="A569" s="1">
        <v>45370</v>
      </c>
      <c r="B569" s="2" t="s">
        <v>10</v>
      </c>
      <c r="C569" s="2" t="s">
        <v>6</v>
      </c>
      <c r="D569" s="2" t="s">
        <v>6</v>
      </c>
      <c r="E569" s="3">
        <v>100</v>
      </c>
      <c r="F569" t="str">
        <f t="shared" si="41"/>
        <v>marketing</v>
      </c>
      <c r="G569" s="7" t="s">
        <v>6</v>
      </c>
      <c r="H569">
        <f t="shared" si="43"/>
        <v>2024</v>
      </c>
      <c r="I569">
        <f t="shared" si="44"/>
        <v>3</v>
      </c>
      <c r="J569">
        <f t="shared" si="45"/>
        <v>-755.61</v>
      </c>
    </row>
    <row r="570" spans="1:10" ht="12.5" x14ac:dyDescent="0.25">
      <c r="A570" s="1">
        <v>45370</v>
      </c>
      <c r="B570" s="2" t="s">
        <v>11</v>
      </c>
      <c r="C570" s="3">
        <v>9.99</v>
      </c>
      <c r="D570" s="3">
        <v>33</v>
      </c>
      <c r="E570" s="3">
        <v>329.67</v>
      </c>
      <c r="F570" t="str">
        <f t="shared" si="41"/>
        <v>net sales</v>
      </c>
      <c r="G570" s="7" t="str">
        <f t="shared" si="42"/>
        <v>product 1</v>
      </c>
      <c r="H570">
        <f t="shared" si="43"/>
        <v>2024</v>
      </c>
      <c r="I570">
        <f t="shared" si="44"/>
        <v>3</v>
      </c>
      <c r="J570">
        <f t="shared" si="45"/>
        <v>-100.04</v>
      </c>
    </row>
    <row r="571" spans="1:10" ht="12.5" x14ac:dyDescent="0.25">
      <c r="A571" s="1">
        <v>45370</v>
      </c>
      <c r="B571" s="2" t="s">
        <v>12</v>
      </c>
      <c r="C571" s="3">
        <v>24.99</v>
      </c>
      <c r="D571" s="3">
        <v>4</v>
      </c>
      <c r="E571" s="3">
        <v>99.96</v>
      </c>
      <c r="F571" t="str">
        <f t="shared" si="41"/>
        <v>net sales</v>
      </c>
      <c r="G571" s="7" t="str">
        <f t="shared" si="42"/>
        <v>product 2</v>
      </c>
      <c r="H571">
        <f t="shared" si="43"/>
        <v>2024</v>
      </c>
      <c r="I571">
        <f t="shared" si="44"/>
        <v>3</v>
      </c>
      <c r="J571">
        <f t="shared" si="45"/>
        <v>79.92</v>
      </c>
    </row>
    <row r="572" spans="1:10" ht="12.5" x14ac:dyDescent="0.25">
      <c r="A572" s="1">
        <v>45370</v>
      </c>
      <c r="B572" s="2" t="s">
        <v>13</v>
      </c>
      <c r="C572" s="3">
        <v>12.49</v>
      </c>
      <c r="D572" s="3">
        <v>51</v>
      </c>
      <c r="E572" s="3">
        <v>636.99</v>
      </c>
      <c r="F572" t="str">
        <f t="shared" si="41"/>
        <v>net sales</v>
      </c>
      <c r="G572" s="7" t="str">
        <f t="shared" si="42"/>
        <v>product 3</v>
      </c>
      <c r="H572">
        <f t="shared" si="43"/>
        <v>2024</v>
      </c>
      <c r="I572">
        <f t="shared" si="44"/>
        <v>3</v>
      </c>
      <c r="J572">
        <f t="shared" si="45"/>
        <v>74.97</v>
      </c>
    </row>
    <row r="573" spans="1:10" ht="12.5" x14ac:dyDescent="0.25">
      <c r="A573" s="1">
        <v>45371</v>
      </c>
      <c r="B573" s="2" t="s">
        <v>7</v>
      </c>
      <c r="C573" s="3">
        <v>5.99</v>
      </c>
      <c r="D573" s="3">
        <v>9</v>
      </c>
      <c r="E573" s="3">
        <v>53.910000000000004</v>
      </c>
      <c r="F573" t="str">
        <f t="shared" si="41"/>
        <v>cogs</v>
      </c>
      <c r="G573" s="7" t="str">
        <f t="shared" si="42"/>
        <v>product 1</v>
      </c>
      <c r="H573">
        <f t="shared" si="43"/>
        <v>2024</v>
      </c>
      <c r="I573">
        <f t="shared" si="44"/>
        <v>3</v>
      </c>
      <c r="J573">
        <f t="shared" si="45"/>
        <v>1111.6100000000001</v>
      </c>
    </row>
    <row r="574" spans="1:10" ht="12.5" x14ac:dyDescent="0.25">
      <c r="A574" s="1">
        <v>45371</v>
      </c>
      <c r="B574" s="2" t="s">
        <v>8</v>
      </c>
      <c r="C574" s="3">
        <v>16.989999999999998</v>
      </c>
      <c r="D574" s="3">
        <v>6</v>
      </c>
      <c r="E574" s="3">
        <v>101.94</v>
      </c>
      <c r="F574" t="str">
        <f t="shared" si="41"/>
        <v>cogs</v>
      </c>
      <c r="G574" s="7" t="str">
        <f t="shared" si="42"/>
        <v>product 2</v>
      </c>
      <c r="H574">
        <f t="shared" si="43"/>
        <v>2024</v>
      </c>
      <c r="I574">
        <f t="shared" si="44"/>
        <v>3</v>
      </c>
      <c r="J574">
        <f t="shared" si="45"/>
        <v>-47.92</v>
      </c>
    </row>
    <row r="575" spans="1:10" ht="12.5" x14ac:dyDescent="0.25">
      <c r="A575" s="1">
        <v>45371</v>
      </c>
      <c r="B575" s="2" t="s">
        <v>9</v>
      </c>
      <c r="C575" s="3">
        <v>8.49</v>
      </c>
      <c r="D575" s="3">
        <v>0</v>
      </c>
      <c r="E575" s="2">
        <f>C575*D575</f>
        <v>0</v>
      </c>
      <c r="F575" t="str">
        <f t="shared" si="41"/>
        <v>cogs</v>
      </c>
      <c r="G575" s="7" t="str">
        <f t="shared" si="42"/>
        <v>product 3</v>
      </c>
      <c r="H575">
        <f t="shared" si="43"/>
        <v>2024</v>
      </c>
      <c r="I575">
        <f t="shared" si="44"/>
        <v>3</v>
      </c>
      <c r="J575">
        <f t="shared" si="45"/>
        <v>-135.91999999999999</v>
      </c>
    </row>
    <row r="576" spans="1:10" ht="12.5" x14ac:dyDescent="0.25">
      <c r="A576" s="1">
        <v>45371</v>
      </c>
      <c r="B576" s="2" t="s">
        <v>10</v>
      </c>
      <c r="C576" s="2" t="s">
        <v>6</v>
      </c>
      <c r="D576" s="2" t="s">
        <v>6</v>
      </c>
      <c r="E576" s="3">
        <v>100.08</v>
      </c>
      <c r="F576" t="str">
        <f t="shared" si="41"/>
        <v>marketing</v>
      </c>
      <c r="G576" s="7" t="s">
        <v>6</v>
      </c>
      <c r="H576">
        <f t="shared" si="43"/>
        <v>2024</v>
      </c>
      <c r="I576">
        <f t="shared" si="44"/>
        <v>3</v>
      </c>
      <c r="J576">
        <f t="shared" si="45"/>
        <v>0</v>
      </c>
    </row>
    <row r="577" spans="1:10" ht="12.5" x14ac:dyDescent="0.25">
      <c r="A577" s="1">
        <v>45371</v>
      </c>
      <c r="B577" s="2" t="s">
        <v>11</v>
      </c>
      <c r="C577" s="3">
        <v>9.99</v>
      </c>
      <c r="D577" s="3">
        <v>9</v>
      </c>
      <c r="E577" s="3">
        <v>89.91</v>
      </c>
      <c r="F577" t="str">
        <f t="shared" si="41"/>
        <v>net sales</v>
      </c>
      <c r="G577" s="7" t="str">
        <f t="shared" si="42"/>
        <v>product 1</v>
      </c>
      <c r="H577">
        <f t="shared" si="43"/>
        <v>2024</v>
      </c>
      <c r="I577">
        <f t="shared" si="44"/>
        <v>3</v>
      </c>
      <c r="J577">
        <f t="shared" si="45"/>
        <v>-100.08</v>
      </c>
    </row>
    <row r="578" spans="1:10" ht="12.5" x14ac:dyDescent="0.25">
      <c r="A578" s="1">
        <v>45371</v>
      </c>
      <c r="B578" s="2" t="s">
        <v>12</v>
      </c>
      <c r="C578" s="3">
        <v>24.99</v>
      </c>
      <c r="D578" s="3">
        <v>6</v>
      </c>
      <c r="E578" s="3">
        <v>149.94</v>
      </c>
      <c r="F578" t="str">
        <f t="shared" si="41"/>
        <v>net sales</v>
      </c>
      <c r="G578" s="7" t="str">
        <f t="shared" si="42"/>
        <v>product 2</v>
      </c>
      <c r="H578">
        <f t="shared" si="43"/>
        <v>2024</v>
      </c>
      <c r="I578">
        <f t="shared" si="44"/>
        <v>3</v>
      </c>
      <c r="J578">
        <f t="shared" si="45"/>
        <v>79.92</v>
      </c>
    </row>
    <row r="579" spans="1:10" ht="12.5" x14ac:dyDescent="0.25">
      <c r="A579" s="1">
        <v>45371</v>
      </c>
      <c r="B579" s="2" t="s">
        <v>13</v>
      </c>
      <c r="C579" s="3">
        <v>12.49</v>
      </c>
      <c r="D579" s="3">
        <v>0</v>
      </c>
      <c r="E579" s="2">
        <f>C579*D579</f>
        <v>0</v>
      </c>
      <c r="F579" t="str">
        <f t="shared" ref="F579:F642" si="46">IFERROR(LEFT(B579,FIND(":",B579)-1),B579)</f>
        <v>net sales</v>
      </c>
      <c r="G579" s="7" t="str">
        <f t="shared" ref="G579:G642" si="47">IFERROR(RIGHT(B579,LEN(B579)-FIND(":",B579)),"")</f>
        <v>product 3</v>
      </c>
      <c r="H579">
        <f t="shared" ref="H579:H642" si="48">YEAR(A579)</f>
        <v>2024</v>
      </c>
      <c r="I579">
        <f t="shared" ref="I579:I642" si="49">MONTH(A579)</f>
        <v>3</v>
      </c>
      <c r="J579">
        <f t="shared" si="45"/>
        <v>199.92</v>
      </c>
    </row>
    <row r="580" spans="1:10" ht="12.5" x14ac:dyDescent="0.25">
      <c r="A580" s="1">
        <v>45372</v>
      </c>
      <c r="B580" s="2" t="s">
        <v>7</v>
      </c>
      <c r="C580" s="3">
        <v>5.99</v>
      </c>
      <c r="D580" s="3">
        <v>43</v>
      </c>
      <c r="E580" s="3">
        <v>257.57</v>
      </c>
      <c r="F580" t="str">
        <f t="shared" si="46"/>
        <v>cogs</v>
      </c>
      <c r="G580" s="7" t="str">
        <f t="shared" si="47"/>
        <v>product 1</v>
      </c>
      <c r="H580">
        <f t="shared" si="48"/>
        <v>2024</v>
      </c>
      <c r="I580">
        <f t="shared" si="49"/>
        <v>3</v>
      </c>
      <c r="J580">
        <f t="shared" si="45"/>
        <v>0</v>
      </c>
    </row>
    <row r="581" spans="1:10" ht="12.5" x14ac:dyDescent="0.25">
      <c r="A581" s="1">
        <v>45372</v>
      </c>
      <c r="B581" s="2" t="s">
        <v>8</v>
      </c>
      <c r="C581" s="3">
        <v>16.989999999999998</v>
      </c>
      <c r="D581" s="3">
        <v>5</v>
      </c>
      <c r="E581" s="3">
        <v>84.949999999999989</v>
      </c>
      <c r="F581" t="str">
        <f t="shared" si="46"/>
        <v>cogs</v>
      </c>
      <c r="G581" s="7" t="str">
        <f t="shared" si="47"/>
        <v>product 2</v>
      </c>
      <c r="H581">
        <f t="shared" si="48"/>
        <v>2024</v>
      </c>
      <c r="I581">
        <f t="shared" si="49"/>
        <v>3</v>
      </c>
      <c r="J581">
        <f t="shared" si="45"/>
        <v>-275.54000000000002</v>
      </c>
    </row>
    <row r="582" spans="1:10" ht="12.5" x14ac:dyDescent="0.25">
      <c r="A582" s="1">
        <v>45372</v>
      </c>
      <c r="B582" s="2" t="s">
        <v>9</v>
      </c>
      <c r="C582" s="3">
        <v>8.49</v>
      </c>
      <c r="D582" s="3">
        <v>20</v>
      </c>
      <c r="E582" s="3">
        <v>169.8</v>
      </c>
      <c r="F582" t="str">
        <f t="shared" si="46"/>
        <v>cogs</v>
      </c>
      <c r="G582" s="7" t="str">
        <f t="shared" si="47"/>
        <v>product 3</v>
      </c>
      <c r="H582">
        <f t="shared" si="48"/>
        <v>2024</v>
      </c>
      <c r="I582">
        <f t="shared" si="49"/>
        <v>3</v>
      </c>
      <c r="J582">
        <f t="shared" si="45"/>
        <v>-16.989999999999998</v>
      </c>
    </row>
    <row r="583" spans="1:10" ht="12.5" x14ac:dyDescent="0.25">
      <c r="A583" s="1">
        <v>45372</v>
      </c>
      <c r="B583" s="2" t="s">
        <v>10</v>
      </c>
      <c r="C583" s="2" t="s">
        <v>6</v>
      </c>
      <c r="D583" s="2" t="s">
        <v>6</v>
      </c>
      <c r="E583" s="3">
        <v>100.08</v>
      </c>
      <c r="F583" t="str">
        <f t="shared" si="46"/>
        <v>marketing</v>
      </c>
      <c r="G583" s="7" t="s">
        <v>6</v>
      </c>
      <c r="H583">
        <f t="shared" si="48"/>
        <v>2024</v>
      </c>
      <c r="I583">
        <f t="shared" si="49"/>
        <v>3</v>
      </c>
      <c r="J583">
        <f t="shared" si="45"/>
        <v>-365.07</v>
      </c>
    </row>
    <row r="584" spans="1:10" ht="12.5" x14ac:dyDescent="0.25">
      <c r="A584" s="1">
        <v>45372</v>
      </c>
      <c r="B584" s="2" t="s">
        <v>11</v>
      </c>
      <c r="C584" s="3">
        <v>9.99</v>
      </c>
      <c r="D584" s="3">
        <v>43</v>
      </c>
      <c r="E584" s="3">
        <v>429.57</v>
      </c>
      <c r="F584" t="str">
        <f t="shared" si="46"/>
        <v>net sales</v>
      </c>
      <c r="G584" s="7" t="str">
        <f t="shared" si="47"/>
        <v>product 1</v>
      </c>
      <c r="H584">
        <f t="shared" si="48"/>
        <v>2024</v>
      </c>
      <c r="I584">
        <f t="shared" si="49"/>
        <v>3</v>
      </c>
      <c r="J584">
        <f t="shared" si="45"/>
        <v>-100</v>
      </c>
    </row>
    <row r="585" spans="1:10" ht="12.5" x14ac:dyDescent="0.25">
      <c r="A585" s="1">
        <v>45372</v>
      </c>
      <c r="B585" s="2" t="s">
        <v>12</v>
      </c>
      <c r="C585" s="3">
        <v>24.99</v>
      </c>
      <c r="D585" s="3">
        <v>5</v>
      </c>
      <c r="E585" s="3">
        <v>124.94999999999999</v>
      </c>
      <c r="F585" t="str">
        <f t="shared" si="46"/>
        <v>net sales</v>
      </c>
      <c r="G585" s="7" t="str">
        <f t="shared" si="47"/>
        <v>product 2</v>
      </c>
      <c r="H585">
        <f t="shared" si="48"/>
        <v>2024</v>
      </c>
      <c r="I585">
        <f t="shared" si="49"/>
        <v>3</v>
      </c>
      <c r="J585">
        <f t="shared" si="45"/>
        <v>459.54</v>
      </c>
    </row>
    <row r="586" spans="1:10" ht="12.5" x14ac:dyDescent="0.25">
      <c r="A586" s="1">
        <v>45372</v>
      </c>
      <c r="B586" s="2" t="s">
        <v>13</v>
      </c>
      <c r="C586" s="3">
        <v>12.49</v>
      </c>
      <c r="D586" s="3">
        <v>20</v>
      </c>
      <c r="E586" s="3">
        <v>249.8</v>
      </c>
      <c r="F586" t="str">
        <f t="shared" si="46"/>
        <v>net sales</v>
      </c>
      <c r="G586" s="7" t="str">
        <f t="shared" si="47"/>
        <v>product 3</v>
      </c>
      <c r="H586">
        <f t="shared" si="48"/>
        <v>2024</v>
      </c>
      <c r="I586">
        <f t="shared" si="49"/>
        <v>3</v>
      </c>
      <c r="J586">
        <f t="shared" si="45"/>
        <v>24.99</v>
      </c>
    </row>
    <row r="587" spans="1:10" ht="12.5" x14ac:dyDescent="0.25">
      <c r="A587" s="1">
        <v>45373</v>
      </c>
      <c r="B587" s="2" t="s">
        <v>7</v>
      </c>
      <c r="C587" s="3">
        <v>5.99</v>
      </c>
      <c r="D587" s="3">
        <v>1</v>
      </c>
      <c r="E587" s="3">
        <v>5.99</v>
      </c>
      <c r="F587" t="str">
        <f t="shared" si="46"/>
        <v>cogs</v>
      </c>
      <c r="G587" s="7" t="str">
        <f t="shared" si="47"/>
        <v>product 1</v>
      </c>
      <c r="H587">
        <f t="shared" si="48"/>
        <v>2024</v>
      </c>
      <c r="I587">
        <f t="shared" si="49"/>
        <v>3</v>
      </c>
      <c r="J587">
        <f t="shared" si="45"/>
        <v>537.07000000000005</v>
      </c>
    </row>
    <row r="588" spans="1:10" ht="12.5" x14ac:dyDescent="0.25">
      <c r="A588" s="1">
        <v>45373</v>
      </c>
      <c r="B588" s="2" t="s">
        <v>8</v>
      </c>
      <c r="C588" s="3">
        <v>16.989999999999998</v>
      </c>
      <c r="D588" s="3">
        <v>5</v>
      </c>
      <c r="E588" s="3">
        <v>84.949999999999989</v>
      </c>
      <c r="F588" t="str">
        <f t="shared" si="46"/>
        <v>cogs</v>
      </c>
      <c r="G588" s="7" t="str">
        <f t="shared" si="47"/>
        <v>product 2</v>
      </c>
      <c r="H588">
        <f t="shared" si="48"/>
        <v>2024</v>
      </c>
      <c r="I588">
        <f t="shared" si="49"/>
        <v>3</v>
      </c>
      <c r="J588">
        <f t="shared" si="45"/>
        <v>-221.63</v>
      </c>
    </row>
    <row r="589" spans="1:10" ht="12.5" x14ac:dyDescent="0.25">
      <c r="A589" s="1">
        <v>45373</v>
      </c>
      <c r="B589" s="2" t="s">
        <v>9</v>
      </c>
      <c r="C589" s="3">
        <v>8.49</v>
      </c>
      <c r="D589" s="3">
        <v>96</v>
      </c>
      <c r="E589" s="3">
        <v>815.04</v>
      </c>
      <c r="F589" t="str">
        <f t="shared" si="46"/>
        <v>cogs</v>
      </c>
      <c r="G589" s="7" t="str">
        <f t="shared" si="47"/>
        <v>product 3</v>
      </c>
      <c r="H589">
        <f t="shared" si="48"/>
        <v>2024</v>
      </c>
      <c r="I589">
        <f t="shared" si="49"/>
        <v>3</v>
      </c>
      <c r="J589">
        <f t="shared" si="45"/>
        <v>-152.91</v>
      </c>
    </row>
    <row r="590" spans="1:10" ht="12.5" x14ac:dyDescent="0.25">
      <c r="A590" s="1">
        <v>45373</v>
      </c>
      <c r="B590" s="2" t="s">
        <v>10</v>
      </c>
      <c r="C590" s="2" t="s">
        <v>6</v>
      </c>
      <c r="D590" s="2" t="s">
        <v>6</v>
      </c>
      <c r="E590" s="3">
        <v>99.92</v>
      </c>
      <c r="F590" t="str">
        <f t="shared" si="46"/>
        <v>marketing</v>
      </c>
      <c r="G590" s="7" t="s">
        <v>6</v>
      </c>
      <c r="H590">
        <f t="shared" si="48"/>
        <v>2024</v>
      </c>
      <c r="I590">
        <f t="shared" si="49"/>
        <v>3</v>
      </c>
      <c r="J590">
        <f t="shared" si="45"/>
        <v>-551.85</v>
      </c>
    </row>
    <row r="591" spans="1:10" ht="12.5" x14ac:dyDescent="0.25">
      <c r="A591" s="1">
        <v>45373</v>
      </c>
      <c r="B591" s="2" t="s">
        <v>11</v>
      </c>
      <c r="C591" s="3">
        <v>9.99</v>
      </c>
      <c r="D591" s="3">
        <v>1</v>
      </c>
      <c r="E591" s="3">
        <v>9.99</v>
      </c>
      <c r="F591" t="str">
        <f t="shared" si="46"/>
        <v>net sales</v>
      </c>
      <c r="G591" s="7" t="str">
        <f t="shared" si="47"/>
        <v>product 1</v>
      </c>
      <c r="H591">
        <f t="shared" si="48"/>
        <v>2024</v>
      </c>
      <c r="I591">
        <f t="shared" si="49"/>
        <v>3</v>
      </c>
      <c r="J591">
        <f t="shared" si="45"/>
        <v>-99.92</v>
      </c>
    </row>
    <row r="592" spans="1:10" ht="12.5" x14ac:dyDescent="0.25">
      <c r="A592" s="1">
        <v>45373</v>
      </c>
      <c r="B592" s="2" t="s">
        <v>12</v>
      </c>
      <c r="C592" s="3">
        <v>24.99</v>
      </c>
      <c r="D592" s="3">
        <v>5</v>
      </c>
      <c r="E592" s="3">
        <v>124.94999999999999</v>
      </c>
      <c r="F592" t="str">
        <f t="shared" si="46"/>
        <v>net sales</v>
      </c>
      <c r="G592" s="7" t="str">
        <f t="shared" si="47"/>
        <v>product 2</v>
      </c>
      <c r="H592">
        <f t="shared" si="48"/>
        <v>2024</v>
      </c>
      <c r="I592">
        <f t="shared" si="49"/>
        <v>3</v>
      </c>
      <c r="J592">
        <f t="shared" si="45"/>
        <v>369.63</v>
      </c>
    </row>
    <row r="593" spans="1:10" ht="12.5" x14ac:dyDescent="0.25">
      <c r="A593" s="1">
        <v>45373</v>
      </c>
      <c r="B593" s="2" t="s">
        <v>13</v>
      </c>
      <c r="C593" s="3">
        <v>12.49</v>
      </c>
      <c r="D593" s="3">
        <v>96</v>
      </c>
      <c r="E593" s="3">
        <v>1199.04</v>
      </c>
      <c r="F593" t="str">
        <f t="shared" si="46"/>
        <v>net sales</v>
      </c>
      <c r="G593" s="7" t="str">
        <f t="shared" si="47"/>
        <v>product 3</v>
      </c>
      <c r="H593">
        <f t="shared" si="48"/>
        <v>2024</v>
      </c>
      <c r="I593">
        <f t="shared" si="49"/>
        <v>3</v>
      </c>
      <c r="J593">
        <f t="shared" si="45"/>
        <v>224.91</v>
      </c>
    </row>
    <row r="594" spans="1:10" ht="12.5" x14ac:dyDescent="0.25">
      <c r="A594" s="1">
        <v>45374</v>
      </c>
      <c r="B594" s="2" t="s">
        <v>7</v>
      </c>
      <c r="C594" s="3">
        <v>5.99</v>
      </c>
      <c r="D594" s="3">
        <v>45</v>
      </c>
      <c r="E594" s="3">
        <v>269.55</v>
      </c>
      <c r="F594" t="str">
        <f t="shared" si="46"/>
        <v>cogs</v>
      </c>
      <c r="G594" s="7" t="str">
        <f t="shared" si="47"/>
        <v>product 1</v>
      </c>
      <c r="H594">
        <f t="shared" si="48"/>
        <v>2024</v>
      </c>
      <c r="I594">
        <f t="shared" si="49"/>
        <v>3</v>
      </c>
      <c r="J594">
        <f t="shared" si="45"/>
        <v>811.85</v>
      </c>
    </row>
    <row r="595" spans="1:10" ht="12.5" x14ac:dyDescent="0.25">
      <c r="A595" s="1">
        <v>45374</v>
      </c>
      <c r="B595" s="2" t="s">
        <v>8</v>
      </c>
      <c r="C595" s="3">
        <v>16.989999999999998</v>
      </c>
      <c r="D595" s="3">
        <v>1</v>
      </c>
      <c r="E595" s="3">
        <v>16.989999999999998</v>
      </c>
      <c r="F595" t="str">
        <f t="shared" si="46"/>
        <v>cogs</v>
      </c>
      <c r="G595" s="7" t="str">
        <f t="shared" si="47"/>
        <v>product 2</v>
      </c>
      <c r="H595">
        <f t="shared" si="48"/>
        <v>2024</v>
      </c>
      <c r="I595">
        <f t="shared" si="49"/>
        <v>3</v>
      </c>
      <c r="J595">
        <f t="shared" si="45"/>
        <v>-443.26</v>
      </c>
    </row>
    <row r="596" spans="1:10" ht="12.5" x14ac:dyDescent="0.25">
      <c r="A596" s="1">
        <v>45374</v>
      </c>
      <c r="B596" s="2" t="s">
        <v>9</v>
      </c>
      <c r="C596" s="3">
        <v>8.49</v>
      </c>
      <c r="D596" s="3">
        <v>219</v>
      </c>
      <c r="E596" s="3">
        <v>1859.31</v>
      </c>
      <c r="F596" t="str">
        <f t="shared" si="46"/>
        <v>cogs</v>
      </c>
      <c r="G596" s="7" t="str">
        <f t="shared" si="47"/>
        <v>product 3</v>
      </c>
      <c r="H596">
        <f t="shared" si="48"/>
        <v>2024</v>
      </c>
      <c r="I596">
        <f t="shared" si="49"/>
        <v>3</v>
      </c>
      <c r="J596">
        <f t="shared" si="45"/>
        <v>0</v>
      </c>
    </row>
    <row r="597" spans="1:10" ht="12.5" x14ac:dyDescent="0.25">
      <c r="A597" s="1">
        <v>45374</v>
      </c>
      <c r="B597" s="2" t="s">
        <v>10</v>
      </c>
      <c r="C597" s="2" t="s">
        <v>6</v>
      </c>
      <c r="D597" s="2" t="s">
        <v>6</v>
      </c>
      <c r="E597" s="3">
        <v>100.02</v>
      </c>
      <c r="F597" t="str">
        <f t="shared" si="46"/>
        <v>marketing</v>
      </c>
      <c r="G597" s="7" t="s">
        <v>6</v>
      </c>
      <c r="H597">
        <f t="shared" si="48"/>
        <v>2024</v>
      </c>
      <c r="I597">
        <f t="shared" si="49"/>
        <v>3</v>
      </c>
      <c r="J597">
        <f t="shared" si="45"/>
        <v>-169.8</v>
      </c>
    </row>
    <row r="598" spans="1:10" ht="12.5" x14ac:dyDescent="0.25">
      <c r="A598" s="1">
        <v>45374</v>
      </c>
      <c r="B598" s="2" t="s">
        <v>11</v>
      </c>
      <c r="C598" s="3">
        <v>9.99</v>
      </c>
      <c r="D598" s="3">
        <v>45</v>
      </c>
      <c r="E598" s="3">
        <v>449.55</v>
      </c>
      <c r="F598" t="str">
        <f t="shared" si="46"/>
        <v>net sales</v>
      </c>
      <c r="G598" s="7" t="str">
        <f t="shared" si="47"/>
        <v>product 1</v>
      </c>
      <c r="H598">
        <f t="shared" si="48"/>
        <v>2024</v>
      </c>
      <c r="I598">
        <f t="shared" si="49"/>
        <v>3</v>
      </c>
      <c r="J598">
        <f t="shared" si="45"/>
        <v>-100.05</v>
      </c>
    </row>
    <row r="599" spans="1:10" ht="12.5" x14ac:dyDescent="0.25">
      <c r="A599" s="1">
        <v>45374</v>
      </c>
      <c r="B599" s="2" t="s">
        <v>12</v>
      </c>
      <c r="C599" s="3">
        <v>24.99</v>
      </c>
      <c r="D599" s="3">
        <v>1</v>
      </c>
      <c r="E599" s="3">
        <v>24.99</v>
      </c>
      <c r="F599" t="str">
        <f t="shared" si="46"/>
        <v>net sales</v>
      </c>
      <c r="G599" s="7" t="str">
        <f t="shared" si="47"/>
        <v>product 2</v>
      </c>
      <c r="H599">
        <f t="shared" si="48"/>
        <v>2024</v>
      </c>
      <c r="I599">
        <f t="shared" si="49"/>
        <v>3</v>
      </c>
      <c r="J599">
        <f t="shared" si="45"/>
        <v>739.26</v>
      </c>
    </row>
    <row r="600" spans="1:10" ht="12.5" x14ac:dyDescent="0.25">
      <c r="A600" s="1">
        <v>45374</v>
      </c>
      <c r="B600" s="2" t="s">
        <v>13</v>
      </c>
      <c r="C600" s="3">
        <v>12.49</v>
      </c>
      <c r="D600" s="3">
        <v>219</v>
      </c>
      <c r="E600" s="3">
        <v>2735.31</v>
      </c>
      <c r="F600" t="str">
        <f t="shared" si="46"/>
        <v>net sales</v>
      </c>
      <c r="G600" s="7" t="str">
        <f t="shared" si="47"/>
        <v>product 3</v>
      </c>
      <c r="H600">
        <f t="shared" si="48"/>
        <v>2024</v>
      </c>
      <c r="I600">
        <f t="shared" si="49"/>
        <v>3</v>
      </c>
      <c r="J600">
        <f t="shared" si="45"/>
        <v>0</v>
      </c>
    </row>
    <row r="601" spans="1:10" ht="12.5" x14ac:dyDescent="0.25">
      <c r="A601" s="1">
        <v>45375</v>
      </c>
      <c r="B601" s="2" t="s">
        <v>7</v>
      </c>
      <c r="C601" s="3">
        <v>5.99</v>
      </c>
      <c r="D601" s="3">
        <v>61</v>
      </c>
      <c r="E601" s="3">
        <v>365.39</v>
      </c>
      <c r="F601" t="str">
        <f t="shared" si="46"/>
        <v>cogs</v>
      </c>
      <c r="G601" s="7" t="str">
        <f t="shared" si="47"/>
        <v>product 1</v>
      </c>
      <c r="H601">
        <f t="shared" si="48"/>
        <v>2024</v>
      </c>
      <c r="I601">
        <f t="shared" si="49"/>
        <v>3</v>
      </c>
      <c r="J601">
        <f t="shared" si="45"/>
        <v>249.8</v>
      </c>
    </row>
    <row r="602" spans="1:10" ht="12.5" x14ac:dyDescent="0.25">
      <c r="A602" s="1">
        <v>45375</v>
      </c>
      <c r="B602" s="2" t="s">
        <v>8</v>
      </c>
      <c r="C602" s="3">
        <v>16.989999999999998</v>
      </c>
      <c r="D602" s="3">
        <v>2</v>
      </c>
      <c r="E602" s="3">
        <v>33.979999999999997</v>
      </c>
      <c r="F602" t="str">
        <f t="shared" si="46"/>
        <v>cogs</v>
      </c>
      <c r="G602" s="7" t="str">
        <f t="shared" si="47"/>
        <v>product 2</v>
      </c>
      <c r="H602">
        <f t="shared" si="48"/>
        <v>2024</v>
      </c>
      <c r="I602">
        <f t="shared" si="49"/>
        <v>3</v>
      </c>
      <c r="J602">
        <f t="shared" si="45"/>
        <v>-53.910000000000004</v>
      </c>
    </row>
    <row r="603" spans="1:10" ht="12.5" x14ac:dyDescent="0.25">
      <c r="A603" s="1">
        <v>45375</v>
      </c>
      <c r="B603" s="2" t="s">
        <v>9</v>
      </c>
      <c r="C603" s="3">
        <v>8.49</v>
      </c>
      <c r="D603" s="3">
        <v>95</v>
      </c>
      <c r="E603" s="3">
        <v>806.55000000000007</v>
      </c>
      <c r="F603" t="str">
        <f t="shared" si="46"/>
        <v>cogs</v>
      </c>
      <c r="G603" s="7" t="str">
        <f t="shared" si="47"/>
        <v>product 3</v>
      </c>
      <c r="H603">
        <f t="shared" si="48"/>
        <v>2024</v>
      </c>
      <c r="I603">
        <f t="shared" si="49"/>
        <v>3</v>
      </c>
      <c r="J603">
        <f t="shared" si="45"/>
        <v>-101.94</v>
      </c>
    </row>
    <row r="604" spans="1:10" ht="12.5" x14ac:dyDescent="0.25">
      <c r="A604" s="1">
        <v>45375</v>
      </c>
      <c r="B604" s="2" t="s">
        <v>10</v>
      </c>
      <c r="C604" s="2" t="s">
        <v>6</v>
      </c>
      <c r="D604" s="2" t="s">
        <v>6</v>
      </c>
      <c r="E604" s="3">
        <v>100.02</v>
      </c>
      <c r="F604" t="str">
        <f t="shared" si="46"/>
        <v>marketing</v>
      </c>
      <c r="G604" s="7" t="s">
        <v>6</v>
      </c>
      <c r="H604">
        <f t="shared" si="48"/>
        <v>2024</v>
      </c>
      <c r="I604">
        <f t="shared" si="49"/>
        <v>3</v>
      </c>
      <c r="J604">
        <f t="shared" ref="J604:J667" si="50">IF(F387="net sales",E387,
IF(F387="cogs",-E387,
IF(OR(F387="marketing",F387="overhead",F387="payroll",F387="interest","amortization"),-E387,0)))</f>
        <v>-2046.0900000000001</v>
      </c>
    </row>
    <row r="605" spans="1:10" ht="12.5" x14ac:dyDescent="0.25">
      <c r="A605" s="1">
        <v>45375</v>
      </c>
      <c r="B605" s="2" t="s">
        <v>11</v>
      </c>
      <c r="C605" s="3">
        <v>9.99</v>
      </c>
      <c r="D605" s="3">
        <v>61</v>
      </c>
      <c r="E605" s="3">
        <v>609.39</v>
      </c>
      <c r="F605" t="str">
        <f t="shared" si="46"/>
        <v>net sales</v>
      </c>
      <c r="G605" s="7" t="str">
        <f t="shared" si="47"/>
        <v>product 1</v>
      </c>
      <c r="H605">
        <f t="shared" si="48"/>
        <v>2024</v>
      </c>
      <c r="I605">
        <f t="shared" si="49"/>
        <v>3</v>
      </c>
      <c r="J605">
        <f t="shared" si="50"/>
        <v>-99.93</v>
      </c>
    </row>
    <row r="606" spans="1:10" ht="12.5" x14ac:dyDescent="0.25">
      <c r="A606" s="1">
        <v>45375</v>
      </c>
      <c r="B606" s="2" t="s">
        <v>12</v>
      </c>
      <c r="C606" s="3">
        <v>24.99</v>
      </c>
      <c r="D606" s="3">
        <v>2</v>
      </c>
      <c r="E606" s="3">
        <v>49.98</v>
      </c>
      <c r="F606" t="str">
        <f t="shared" si="46"/>
        <v>net sales</v>
      </c>
      <c r="G606" s="7" t="str">
        <f t="shared" si="47"/>
        <v>product 2</v>
      </c>
      <c r="H606">
        <f t="shared" si="48"/>
        <v>2024</v>
      </c>
      <c r="I606">
        <f t="shared" si="49"/>
        <v>3</v>
      </c>
      <c r="J606">
        <f t="shared" si="50"/>
        <v>89.91</v>
      </c>
    </row>
    <row r="607" spans="1:10" ht="12.5" x14ac:dyDescent="0.25">
      <c r="A607" s="1">
        <v>45375</v>
      </c>
      <c r="B607" s="2" t="s">
        <v>13</v>
      </c>
      <c r="C607" s="3">
        <v>12.49</v>
      </c>
      <c r="D607" s="3">
        <v>95</v>
      </c>
      <c r="E607" s="3">
        <v>1186.55</v>
      </c>
      <c r="F607" t="str">
        <f t="shared" si="46"/>
        <v>net sales</v>
      </c>
      <c r="G607" s="7" t="str">
        <f t="shared" si="47"/>
        <v>product 3</v>
      </c>
      <c r="H607">
        <f t="shared" si="48"/>
        <v>2024</v>
      </c>
      <c r="I607">
        <f t="shared" si="49"/>
        <v>3</v>
      </c>
      <c r="J607">
        <f t="shared" si="50"/>
        <v>149.94</v>
      </c>
    </row>
    <row r="608" spans="1:10" ht="12.5" x14ac:dyDescent="0.25">
      <c r="A608" s="1">
        <v>45376</v>
      </c>
      <c r="B608" s="2" t="s">
        <v>7</v>
      </c>
      <c r="C608" s="3">
        <v>5.99</v>
      </c>
      <c r="D608" s="3">
        <v>22</v>
      </c>
      <c r="E608" s="3">
        <v>131.78</v>
      </c>
      <c r="F608" t="str">
        <f t="shared" si="46"/>
        <v>cogs</v>
      </c>
      <c r="G608" s="7" t="str">
        <f t="shared" si="47"/>
        <v>product 1</v>
      </c>
      <c r="H608">
        <f t="shared" si="48"/>
        <v>2024</v>
      </c>
      <c r="I608">
        <f t="shared" si="49"/>
        <v>3</v>
      </c>
      <c r="J608">
        <f t="shared" si="50"/>
        <v>3010.09</v>
      </c>
    </row>
    <row r="609" spans="1:10" ht="12.5" x14ac:dyDescent="0.25">
      <c r="A609" s="1">
        <v>45376</v>
      </c>
      <c r="B609" s="2" t="s">
        <v>8</v>
      </c>
      <c r="C609" s="3">
        <v>16.989999999999998</v>
      </c>
      <c r="D609" s="3">
        <v>6</v>
      </c>
      <c r="E609" s="3">
        <v>101.94</v>
      </c>
      <c r="F609" t="str">
        <f t="shared" si="46"/>
        <v>cogs</v>
      </c>
      <c r="G609" s="7" t="str">
        <f t="shared" si="47"/>
        <v>product 2</v>
      </c>
      <c r="H609">
        <f t="shared" si="48"/>
        <v>2024</v>
      </c>
      <c r="I609">
        <f t="shared" si="49"/>
        <v>3</v>
      </c>
      <c r="J609">
        <f t="shared" si="50"/>
        <v>-209.65</v>
      </c>
    </row>
    <row r="610" spans="1:10" ht="12.5" x14ac:dyDescent="0.25">
      <c r="A610" s="1">
        <v>45376</v>
      </c>
      <c r="B610" s="2" t="s">
        <v>9</v>
      </c>
      <c r="C610" s="3">
        <v>8.49</v>
      </c>
      <c r="D610" s="3">
        <v>135</v>
      </c>
      <c r="E610" s="3">
        <v>1146.1500000000001</v>
      </c>
      <c r="F610" t="str">
        <f t="shared" si="46"/>
        <v>cogs</v>
      </c>
      <c r="G610" s="7" t="str">
        <f t="shared" si="47"/>
        <v>product 3</v>
      </c>
      <c r="H610">
        <f t="shared" si="48"/>
        <v>2024</v>
      </c>
      <c r="I610">
        <f t="shared" si="49"/>
        <v>3</v>
      </c>
      <c r="J610">
        <f t="shared" si="50"/>
        <v>-118.92999999999999</v>
      </c>
    </row>
    <row r="611" spans="1:10" ht="12.5" x14ac:dyDescent="0.25">
      <c r="A611" s="1">
        <v>45376</v>
      </c>
      <c r="B611" s="2" t="s">
        <v>10</v>
      </c>
      <c r="C611" s="2" t="s">
        <v>6</v>
      </c>
      <c r="D611" s="2" t="s">
        <v>6</v>
      </c>
      <c r="E611" s="3">
        <v>100</v>
      </c>
      <c r="F611" t="str">
        <f t="shared" si="46"/>
        <v>marketing</v>
      </c>
      <c r="G611" s="7" t="s">
        <v>6</v>
      </c>
      <c r="H611">
        <f t="shared" si="48"/>
        <v>2024</v>
      </c>
      <c r="I611">
        <f t="shared" si="49"/>
        <v>3</v>
      </c>
      <c r="J611">
        <f t="shared" si="50"/>
        <v>-764.1</v>
      </c>
    </row>
    <row r="612" spans="1:10" ht="12.5" x14ac:dyDescent="0.25">
      <c r="A612" s="1">
        <v>45376</v>
      </c>
      <c r="B612" s="2" t="s">
        <v>11</v>
      </c>
      <c r="C612" s="3">
        <v>9.99</v>
      </c>
      <c r="D612" s="3">
        <v>22</v>
      </c>
      <c r="E612" s="3">
        <v>219.78</v>
      </c>
      <c r="F612" t="str">
        <f t="shared" si="46"/>
        <v>net sales</v>
      </c>
      <c r="G612" s="7" t="str">
        <f t="shared" si="47"/>
        <v>product 1</v>
      </c>
      <c r="H612">
        <f t="shared" si="48"/>
        <v>2024</v>
      </c>
      <c r="I612">
        <f t="shared" si="49"/>
        <v>3</v>
      </c>
      <c r="J612">
        <f t="shared" si="50"/>
        <v>-99.97</v>
      </c>
    </row>
    <row r="613" spans="1:10" ht="12.5" x14ac:dyDescent="0.25">
      <c r="A613" s="1">
        <v>45376</v>
      </c>
      <c r="B613" s="2" t="s">
        <v>12</v>
      </c>
      <c r="C613" s="3">
        <v>24.99</v>
      </c>
      <c r="D613" s="3">
        <v>6</v>
      </c>
      <c r="E613" s="3">
        <v>149.94</v>
      </c>
      <c r="F613" t="str">
        <f t="shared" si="46"/>
        <v>net sales</v>
      </c>
      <c r="G613" s="7" t="str">
        <f t="shared" si="47"/>
        <v>product 2</v>
      </c>
      <c r="H613">
        <f t="shared" si="48"/>
        <v>2024</v>
      </c>
      <c r="I613">
        <f t="shared" si="49"/>
        <v>3</v>
      </c>
      <c r="J613">
        <f t="shared" si="50"/>
        <v>349.65000000000003</v>
      </c>
    </row>
    <row r="614" spans="1:10" ht="12.5" x14ac:dyDescent="0.25">
      <c r="A614" s="1">
        <v>45376</v>
      </c>
      <c r="B614" s="2" t="s">
        <v>13</v>
      </c>
      <c r="C614" s="3">
        <v>12.49</v>
      </c>
      <c r="D614" s="3">
        <v>135</v>
      </c>
      <c r="E614" s="3">
        <v>1686.15</v>
      </c>
      <c r="F614" t="str">
        <f t="shared" si="46"/>
        <v>net sales</v>
      </c>
      <c r="G614" s="7" t="str">
        <f t="shared" si="47"/>
        <v>product 3</v>
      </c>
      <c r="H614">
        <f t="shared" si="48"/>
        <v>2024</v>
      </c>
      <c r="I614">
        <f t="shared" si="49"/>
        <v>3</v>
      </c>
      <c r="J614">
        <f t="shared" si="50"/>
        <v>174.92999999999998</v>
      </c>
    </row>
    <row r="615" spans="1:10" ht="12.5" x14ac:dyDescent="0.25">
      <c r="A615" s="1">
        <v>45377</v>
      </c>
      <c r="B615" s="2" t="s">
        <v>7</v>
      </c>
      <c r="C615" s="3">
        <v>5.99</v>
      </c>
      <c r="D615" s="3">
        <v>68</v>
      </c>
      <c r="E615" s="3">
        <v>407.32</v>
      </c>
      <c r="F615" t="str">
        <f t="shared" si="46"/>
        <v>cogs</v>
      </c>
      <c r="G615" s="7" t="str">
        <f t="shared" si="47"/>
        <v>product 1</v>
      </c>
      <c r="H615">
        <f t="shared" si="48"/>
        <v>2024</v>
      </c>
      <c r="I615">
        <f t="shared" si="49"/>
        <v>3</v>
      </c>
      <c r="J615">
        <f t="shared" si="50"/>
        <v>1124.0999999999999</v>
      </c>
    </row>
    <row r="616" spans="1:10" ht="12.5" x14ac:dyDescent="0.25">
      <c r="A616" s="1">
        <v>45377</v>
      </c>
      <c r="B616" s="2" t="s">
        <v>8</v>
      </c>
      <c r="C616" s="3">
        <v>16.989999999999998</v>
      </c>
      <c r="D616" s="3">
        <v>7</v>
      </c>
      <c r="E616" s="3">
        <v>118.92999999999999</v>
      </c>
      <c r="F616" t="str">
        <f t="shared" si="46"/>
        <v>cogs</v>
      </c>
      <c r="G616" s="7" t="str">
        <f t="shared" si="47"/>
        <v>product 2</v>
      </c>
      <c r="H616">
        <f t="shared" si="48"/>
        <v>2024</v>
      </c>
      <c r="I616">
        <f t="shared" si="49"/>
        <v>3</v>
      </c>
      <c r="J616">
        <f t="shared" si="50"/>
        <v>-167.72</v>
      </c>
    </row>
    <row r="617" spans="1:10" ht="12.5" x14ac:dyDescent="0.25">
      <c r="A617" s="1">
        <v>45377</v>
      </c>
      <c r="B617" s="2" t="s">
        <v>9</v>
      </c>
      <c r="C617" s="3">
        <v>8.49</v>
      </c>
      <c r="D617" s="3">
        <v>97</v>
      </c>
      <c r="E617" s="3">
        <v>823.53</v>
      </c>
      <c r="F617" t="str">
        <f t="shared" si="46"/>
        <v>cogs</v>
      </c>
      <c r="G617" s="7" t="str">
        <f t="shared" si="47"/>
        <v>product 3</v>
      </c>
      <c r="H617">
        <f t="shared" si="48"/>
        <v>2024</v>
      </c>
      <c r="I617">
        <f t="shared" si="49"/>
        <v>3</v>
      </c>
      <c r="J617">
        <f t="shared" si="50"/>
        <v>-135.91999999999999</v>
      </c>
    </row>
    <row r="618" spans="1:10" ht="12.5" x14ac:dyDescent="0.25">
      <c r="A618" s="1">
        <v>45377</v>
      </c>
      <c r="B618" s="2" t="s">
        <v>10</v>
      </c>
      <c r="C618" s="2" t="s">
        <v>6</v>
      </c>
      <c r="D618" s="2" t="s">
        <v>6</v>
      </c>
      <c r="E618" s="3">
        <v>99.9</v>
      </c>
      <c r="F618" t="str">
        <f t="shared" si="46"/>
        <v>marketing</v>
      </c>
      <c r="G618" s="7" t="s">
        <v>6</v>
      </c>
      <c r="H618">
        <f t="shared" si="48"/>
        <v>2024</v>
      </c>
      <c r="I618">
        <f t="shared" si="49"/>
        <v>3</v>
      </c>
      <c r="J618">
        <f t="shared" si="50"/>
        <v>-704.67000000000007</v>
      </c>
    </row>
    <row r="619" spans="1:10" ht="12.5" x14ac:dyDescent="0.25">
      <c r="A619" s="1">
        <v>45377</v>
      </c>
      <c r="B619" s="2" t="s">
        <v>11</v>
      </c>
      <c r="C619" s="3">
        <v>9.99</v>
      </c>
      <c r="D619" s="3">
        <v>68</v>
      </c>
      <c r="E619" s="3">
        <v>679.32</v>
      </c>
      <c r="F619" t="str">
        <f t="shared" si="46"/>
        <v>net sales</v>
      </c>
      <c r="G619" s="7" t="str">
        <f t="shared" si="47"/>
        <v>product 1</v>
      </c>
      <c r="H619">
        <f t="shared" si="48"/>
        <v>2024</v>
      </c>
      <c r="I619">
        <f t="shared" si="49"/>
        <v>3</v>
      </c>
      <c r="J619">
        <f t="shared" si="50"/>
        <v>-99.92</v>
      </c>
    </row>
    <row r="620" spans="1:10" ht="12.5" x14ac:dyDescent="0.25">
      <c r="A620" s="1">
        <v>45377</v>
      </c>
      <c r="B620" s="2" t="s">
        <v>12</v>
      </c>
      <c r="C620" s="3">
        <v>24.99</v>
      </c>
      <c r="D620" s="3">
        <v>7</v>
      </c>
      <c r="E620" s="3">
        <v>174.92999999999998</v>
      </c>
      <c r="F620" t="str">
        <f t="shared" si="46"/>
        <v>net sales</v>
      </c>
      <c r="G620" s="7" t="str">
        <f t="shared" si="47"/>
        <v>product 2</v>
      </c>
      <c r="H620">
        <f t="shared" si="48"/>
        <v>2024</v>
      </c>
      <c r="I620">
        <f t="shared" si="49"/>
        <v>3</v>
      </c>
      <c r="J620">
        <f t="shared" si="50"/>
        <v>279.72000000000003</v>
      </c>
    </row>
    <row r="621" spans="1:10" ht="12.5" x14ac:dyDescent="0.25">
      <c r="A621" s="1">
        <v>45377</v>
      </c>
      <c r="B621" s="2" t="s">
        <v>13</v>
      </c>
      <c r="C621" s="3">
        <v>12.49</v>
      </c>
      <c r="D621" s="3">
        <v>97</v>
      </c>
      <c r="E621" s="3">
        <v>1211.53</v>
      </c>
      <c r="F621" t="str">
        <f t="shared" si="46"/>
        <v>net sales</v>
      </c>
      <c r="G621" s="7" t="str">
        <f t="shared" si="47"/>
        <v>product 3</v>
      </c>
      <c r="H621">
        <f t="shared" si="48"/>
        <v>2024</v>
      </c>
      <c r="I621">
        <f t="shared" si="49"/>
        <v>3</v>
      </c>
      <c r="J621">
        <f t="shared" si="50"/>
        <v>199.92</v>
      </c>
    </row>
    <row r="622" spans="1:10" ht="12.5" x14ac:dyDescent="0.25">
      <c r="A622" s="1">
        <v>45378</v>
      </c>
      <c r="B622" s="2" t="s">
        <v>7</v>
      </c>
      <c r="C622" s="3">
        <v>5.99</v>
      </c>
      <c r="D622" s="3">
        <v>11</v>
      </c>
      <c r="E622" s="3">
        <v>65.89</v>
      </c>
      <c r="F622" t="str">
        <f t="shared" si="46"/>
        <v>cogs</v>
      </c>
      <c r="G622" s="7" t="str">
        <f t="shared" si="47"/>
        <v>product 1</v>
      </c>
      <c r="H622">
        <f t="shared" si="48"/>
        <v>2024</v>
      </c>
      <c r="I622">
        <f t="shared" si="49"/>
        <v>3</v>
      </c>
      <c r="J622">
        <f t="shared" si="50"/>
        <v>1036.67</v>
      </c>
    </row>
    <row r="623" spans="1:10" ht="12.5" x14ac:dyDescent="0.25">
      <c r="A623" s="1">
        <v>45378</v>
      </c>
      <c r="B623" s="2" t="s">
        <v>8</v>
      </c>
      <c r="C623" s="3">
        <v>16.989999999999998</v>
      </c>
      <c r="D623" s="3">
        <v>6</v>
      </c>
      <c r="E623" s="3">
        <v>101.94</v>
      </c>
      <c r="F623" t="str">
        <f t="shared" si="46"/>
        <v>cogs</v>
      </c>
      <c r="G623" s="7" t="str">
        <f t="shared" si="47"/>
        <v>product 2</v>
      </c>
      <c r="H623">
        <f t="shared" si="48"/>
        <v>2024</v>
      </c>
      <c r="I623">
        <f t="shared" si="49"/>
        <v>3</v>
      </c>
      <c r="J623">
        <f t="shared" si="50"/>
        <v>-221.63</v>
      </c>
    </row>
    <row r="624" spans="1:10" ht="12.5" x14ac:dyDescent="0.25">
      <c r="A624" s="1">
        <v>45378</v>
      </c>
      <c r="B624" s="2" t="s">
        <v>9</v>
      </c>
      <c r="C624" s="3">
        <v>8.49</v>
      </c>
      <c r="D624" s="3">
        <v>176</v>
      </c>
      <c r="E624" s="3">
        <v>1494.24</v>
      </c>
      <c r="F624" t="str">
        <f t="shared" si="46"/>
        <v>cogs</v>
      </c>
      <c r="G624" s="7" t="str">
        <f t="shared" si="47"/>
        <v>product 3</v>
      </c>
      <c r="H624">
        <f t="shared" si="48"/>
        <v>2024</v>
      </c>
      <c r="I624">
        <f t="shared" si="49"/>
        <v>3</v>
      </c>
      <c r="J624">
        <f t="shared" si="50"/>
        <v>-169.89999999999998</v>
      </c>
    </row>
    <row r="625" spans="1:10" ht="12.5" x14ac:dyDescent="0.25">
      <c r="A625" s="1">
        <v>45378</v>
      </c>
      <c r="B625" s="2" t="s">
        <v>10</v>
      </c>
      <c r="C625" s="2" t="s">
        <v>6</v>
      </c>
      <c r="D625" s="2" t="s">
        <v>6</v>
      </c>
      <c r="E625" s="3">
        <v>100.02</v>
      </c>
      <c r="F625" t="str">
        <f t="shared" si="46"/>
        <v>marketing</v>
      </c>
      <c r="G625" s="7" t="s">
        <v>6</v>
      </c>
      <c r="H625">
        <f t="shared" si="48"/>
        <v>2024</v>
      </c>
      <c r="I625">
        <f t="shared" si="49"/>
        <v>3</v>
      </c>
      <c r="J625">
        <f t="shared" si="50"/>
        <v>-59.43</v>
      </c>
    </row>
    <row r="626" spans="1:10" ht="12.5" x14ac:dyDescent="0.25">
      <c r="A626" s="1">
        <v>45378</v>
      </c>
      <c r="B626" s="2" t="s">
        <v>11</v>
      </c>
      <c r="C626" s="3">
        <v>9.99</v>
      </c>
      <c r="D626" s="3">
        <v>11</v>
      </c>
      <c r="E626" s="3">
        <v>109.89</v>
      </c>
      <c r="F626" t="str">
        <f t="shared" si="46"/>
        <v>net sales</v>
      </c>
      <c r="G626" s="7" t="str">
        <f t="shared" si="47"/>
        <v>product 1</v>
      </c>
      <c r="H626">
        <f t="shared" si="48"/>
        <v>2024</v>
      </c>
      <c r="I626">
        <f t="shared" si="49"/>
        <v>3</v>
      </c>
      <c r="J626">
        <f t="shared" si="50"/>
        <v>-99.95</v>
      </c>
    </row>
    <row r="627" spans="1:10" ht="12.5" x14ac:dyDescent="0.25">
      <c r="A627" s="1">
        <v>45378</v>
      </c>
      <c r="B627" s="2" t="s">
        <v>12</v>
      </c>
      <c r="C627" s="3">
        <v>24.99</v>
      </c>
      <c r="D627" s="3">
        <v>6</v>
      </c>
      <c r="E627" s="3">
        <v>149.94</v>
      </c>
      <c r="F627" t="str">
        <f t="shared" si="46"/>
        <v>net sales</v>
      </c>
      <c r="G627" s="7" t="str">
        <f t="shared" si="47"/>
        <v>product 2</v>
      </c>
      <c r="H627">
        <f t="shared" si="48"/>
        <v>2024</v>
      </c>
      <c r="I627">
        <f t="shared" si="49"/>
        <v>3</v>
      </c>
      <c r="J627">
        <f t="shared" si="50"/>
        <v>369.63</v>
      </c>
    </row>
    <row r="628" spans="1:10" ht="12.5" x14ac:dyDescent="0.25">
      <c r="A628" s="1">
        <v>45378</v>
      </c>
      <c r="B628" s="2" t="s">
        <v>13</v>
      </c>
      <c r="C628" s="3">
        <v>12.49</v>
      </c>
      <c r="D628" s="3">
        <v>176</v>
      </c>
      <c r="E628" s="3">
        <v>2198.2400000000002</v>
      </c>
      <c r="F628" t="str">
        <f t="shared" si="46"/>
        <v>net sales</v>
      </c>
      <c r="G628" s="7" t="str">
        <f t="shared" si="47"/>
        <v>product 3</v>
      </c>
      <c r="H628">
        <f t="shared" si="48"/>
        <v>2024</v>
      </c>
      <c r="I628">
        <f t="shared" si="49"/>
        <v>3</v>
      </c>
      <c r="J628">
        <f t="shared" si="50"/>
        <v>249.89999999999998</v>
      </c>
    </row>
    <row r="629" spans="1:10" ht="12.5" x14ac:dyDescent="0.25">
      <c r="A629" s="1">
        <v>45379</v>
      </c>
      <c r="B629" s="2" t="s">
        <v>7</v>
      </c>
      <c r="C629" s="3">
        <v>5.99</v>
      </c>
      <c r="D629" s="3">
        <v>42</v>
      </c>
      <c r="E629" s="3">
        <v>251.58</v>
      </c>
      <c r="F629" t="str">
        <f t="shared" si="46"/>
        <v>cogs</v>
      </c>
      <c r="G629" s="7" t="str">
        <f t="shared" si="47"/>
        <v>product 1</v>
      </c>
      <c r="H629">
        <f t="shared" si="48"/>
        <v>2024</v>
      </c>
      <c r="I629">
        <f t="shared" si="49"/>
        <v>3</v>
      </c>
      <c r="J629">
        <f t="shared" si="50"/>
        <v>87.43</v>
      </c>
    </row>
    <row r="630" spans="1:10" ht="12.5" x14ac:dyDescent="0.25">
      <c r="A630" s="1">
        <v>45379</v>
      </c>
      <c r="B630" s="2" t="s">
        <v>8</v>
      </c>
      <c r="C630" s="3">
        <v>16.989999999999998</v>
      </c>
      <c r="D630" s="3">
        <v>3</v>
      </c>
      <c r="E630" s="3">
        <v>50.97</v>
      </c>
      <c r="F630" t="str">
        <f t="shared" si="46"/>
        <v>cogs</v>
      </c>
      <c r="G630" s="7" t="str">
        <f t="shared" si="47"/>
        <v>product 2</v>
      </c>
      <c r="H630">
        <f t="shared" si="48"/>
        <v>2024</v>
      </c>
      <c r="I630">
        <f t="shared" si="49"/>
        <v>3</v>
      </c>
      <c r="J630">
        <f t="shared" si="50"/>
        <v>-35.94</v>
      </c>
    </row>
    <row r="631" spans="1:10" ht="12.5" x14ac:dyDescent="0.25">
      <c r="A631" s="1">
        <v>45379</v>
      </c>
      <c r="B631" s="2" t="s">
        <v>9</v>
      </c>
      <c r="C631" s="3">
        <v>8.49</v>
      </c>
      <c r="D631" s="3">
        <v>68</v>
      </c>
      <c r="E631" s="3">
        <v>577.32000000000005</v>
      </c>
      <c r="F631" t="str">
        <f t="shared" si="46"/>
        <v>cogs</v>
      </c>
      <c r="G631" s="7" t="str">
        <f t="shared" si="47"/>
        <v>product 3</v>
      </c>
      <c r="H631">
        <f t="shared" si="48"/>
        <v>2024</v>
      </c>
      <c r="I631">
        <f t="shared" si="49"/>
        <v>3</v>
      </c>
      <c r="J631">
        <f t="shared" si="50"/>
        <v>-84.949999999999989</v>
      </c>
    </row>
    <row r="632" spans="1:10" ht="12.5" x14ac:dyDescent="0.25">
      <c r="A632" s="1">
        <v>45379</v>
      </c>
      <c r="B632" s="2" t="s">
        <v>10</v>
      </c>
      <c r="C632" s="2" t="s">
        <v>6</v>
      </c>
      <c r="D632" s="2" t="s">
        <v>6</v>
      </c>
      <c r="E632" s="3">
        <v>100.06</v>
      </c>
      <c r="F632" t="str">
        <f t="shared" si="46"/>
        <v>marketing</v>
      </c>
      <c r="G632" s="7" t="s">
        <v>6</v>
      </c>
      <c r="H632">
        <f t="shared" si="48"/>
        <v>2024</v>
      </c>
      <c r="I632">
        <f t="shared" si="49"/>
        <v>3</v>
      </c>
      <c r="J632">
        <f t="shared" si="50"/>
        <v>-135.84</v>
      </c>
    </row>
    <row r="633" spans="1:10" ht="12.5" x14ac:dyDescent="0.25">
      <c r="A633" s="1">
        <v>45379</v>
      </c>
      <c r="B633" s="2" t="s">
        <v>11</v>
      </c>
      <c r="C633" s="3">
        <v>9.99</v>
      </c>
      <c r="D633" s="3">
        <v>42</v>
      </c>
      <c r="E633" s="3">
        <v>419.58</v>
      </c>
      <c r="F633" t="str">
        <f t="shared" si="46"/>
        <v>net sales</v>
      </c>
      <c r="G633" s="7" t="str">
        <f t="shared" si="47"/>
        <v>product 1</v>
      </c>
      <c r="H633">
        <f t="shared" si="48"/>
        <v>2024</v>
      </c>
      <c r="I633">
        <f t="shared" si="49"/>
        <v>3</v>
      </c>
      <c r="J633">
        <f t="shared" si="50"/>
        <v>-100.09</v>
      </c>
    </row>
    <row r="634" spans="1:10" ht="12.5" x14ac:dyDescent="0.25">
      <c r="A634" s="1">
        <v>45379</v>
      </c>
      <c r="B634" s="2" t="s">
        <v>12</v>
      </c>
      <c r="C634" s="3">
        <v>24.99</v>
      </c>
      <c r="D634" s="3">
        <v>3</v>
      </c>
      <c r="E634" s="3">
        <v>74.97</v>
      </c>
      <c r="F634" t="str">
        <f t="shared" si="46"/>
        <v>net sales</v>
      </c>
      <c r="G634" s="7" t="str">
        <f t="shared" si="47"/>
        <v>product 2</v>
      </c>
      <c r="H634">
        <f t="shared" si="48"/>
        <v>2024</v>
      </c>
      <c r="I634">
        <f t="shared" si="49"/>
        <v>3</v>
      </c>
      <c r="J634">
        <f t="shared" si="50"/>
        <v>59.94</v>
      </c>
    </row>
    <row r="635" spans="1:10" ht="12.5" x14ac:dyDescent="0.25">
      <c r="A635" s="1">
        <v>45379</v>
      </c>
      <c r="B635" s="2" t="s">
        <v>13</v>
      </c>
      <c r="C635" s="3">
        <v>12.49</v>
      </c>
      <c r="D635" s="3">
        <v>68</v>
      </c>
      <c r="E635" s="3">
        <v>849.32</v>
      </c>
      <c r="F635" t="str">
        <f t="shared" si="46"/>
        <v>net sales</v>
      </c>
      <c r="G635" s="7" t="str">
        <f t="shared" si="47"/>
        <v>product 3</v>
      </c>
      <c r="H635">
        <f t="shared" si="48"/>
        <v>2024</v>
      </c>
      <c r="I635">
        <f t="shared" si="49"/>
        <v>3</v>
      </c>
      <c r="J635">
        <f t="shared" si="50"/>
        <v>124.94999999999999</v>
      </c>
    </row>
    <row r="636" spans="1:10" ht="12.5" x14ac:dyDescent="0.25">
      <c r="A636" s="1">
        <v>45380</v>
      </c>
      <c r="B636" s="2" t="s">
        <v>7</v>
      </c>
      <c r="C636" s="3">
        <v>5.99</v>
      </c>
      <c r="D636" s="3">
        <v>31</v>
      </c>
      <c r="E636" s="3">
        <v>185.69</v>
      </c>
      <c r="F636" t="str">
        <f t="shared" si="46"/>
        <v>cogs</v>
      </c>
      <c r="G636" s="7" t="str">
        <f t="shared" si="47"/>
        <v>product 1</v>
      </c>
      <c r="H636">
        <f t="shared" si="48"/>
        <v>2024</v>
      </c>
      <c r="I636">
        <f t="shared" si="49"/>
        <v>3</v>
      </c>
      <c r="J636">
        <f t="shared" si="50"/>
        <v>199.84</v>
      </c>
    </row>
    <row r="637" spans="1:10" ht="12.5" x14ac:dyDescent="0.25">
      <c r="A637" s="1">
        <v>45380</v>
      </c>
      <c r="B637" s="2" t="s">
        <v>8</v>
      </c>
      <c r="C637" s="3">
        <v>16.989999999999998</v>
      </c>
      <c r="D637" s="3">
        <v>2</v>
      </c>
      <c r="E637" s="3">
        <v>33.979999999999997</v>
      </c>
      <c r="F637" t="str">
        <f t="shared" si="46"/>
        <v>cogs</v>
      </c>
      <c r="G637" s="7" t="str">
        <f t="shared" si="47"/>
        <v>product 2</v>
      </c>
      <c r="H637">
        <f t="shared" si="48"/>
        <v>2024</v>
      </c>
      <c r="I637">
        <f t="shared" si="49"/>
        <v>3</v>
      </c>
      <c r="J637">
        <f t="shared" si="50"/>
        <v>-161.73000000000002</v>
      </c>
    </row>
    <row r="638" spans="1:10" ht="12.5" x14ac:dyDescent="0.25">
      <c r="A638" s="1">
        <v>45380</v>
      </c>
      <c r="B638" s="2" t="s">
        <v>9</v>
      </c>
      <c r="C638" s="3">
        <v>8.49</v>
      </c>
      <c r="D638" s="3">
        <v>63</v>
      </c>
      <c r="E638" s="3">
        <v>534.87</v>
      </c>
      <c r="F638" t="str">
        <f t="shared" si="46"/>
        <v>cogs</v>
      </c>
      <c r="G638" s="7" t="str">
        <f t="shared" si="47"/>
        <v>product 3</v>
      </c>
      <c r="H638">
        <f t="shared" si="48"/>
        <v>2024</v>
      </c>
      <c r="I638">
        <f t="shared" si="49"/>
        <v>3</v>
      </c>
      <c r="J638">
        <f t="shared" si="50"/>
        <v>-169.89999999999998</v>
      </c>
    </row>
    <row r="639" spans="1:10" ht="12.5" x14ac:dyDescent="0.25">
      <c r="A639" s="1">
        <v>45380</v>
      </c>
      <c r="B639" s="2" t="s">
        <v>10</v>
      </c>
      <c r="C639" s="2" t="s">
        <v>6</v>
      </c>
      <c r="D639" s="2" t="s">
        <v>6</v>
      </c>
      <c r="E639" s="3">
        <v>99.94</v>
      </c>
      <c r="F639" t="str">
        <f t="shared" si="46"/>
        <v>marketing</v>
      </c>
      <c r="G639" s="7" t="s">
        <v>6</v>
      </c>
      <c r="H639">
        <f t="shared" si="48"/>
        <v>2024</v>
      </c>
      <c r="I639">
        <f t="shared" si="49"/>
        <v>3</v>
      </c>
      <c r="J639">
        <f t="shared" si="50"/>
        <v>0</v>
      </c>
    </row>
    <row r="640" spans="1:10" ht="12.5" x14ac:dyDescent="0.25">
      <c r="A640" s="1">
        <v>45380</v>
      </c>
      <c r="B640" s="2" t="s">
        <v>11</v>
      </c>
      <c r="C640" s="3">
        <v>9.99</v>
      </c>
      <c r="D640" s="3">
        <v>31</v>
      </c>
      <c r="E640" s="3">
        <v>309.69</v>
      </c>
      <c r="F640" t="str">
        <f t="shared" si="46"/>
        <v>net sales</v>
      </c>
      <c r="G640" s="7" t="str">
        <f t="shared" si="47"/>
        <v>product 1</v>
      </c>
      <c r="H640">
        <f t="shared" si="48"/>
        <v>2024</v>
      </c>
      <c r="I640">
        <f t="shared" si="49"/>
        <v>3</v>
      </c>
      <c r="J640">
        <f t="shared" si="50"/>
        <v>-99.960000000000008</v>
      </c>
    </row>
    <row r="641" spans="1:10" ht="12.5" x14ac:dyDescent="0.25">
      <c r="A641" s="1">
        <v>45380</v>
      </c>
      <c r="B641" s="2" t="s">
        <v>12</v>
      </c>
      <c r="C641" s="3">
        <v>24.99</v>
      </c>
      <c r="D641" s="3">
        <v>2</v>
      </c>
      <c r="E641" s="3">
        <v>49.98</v>
      </c>
      <c r="F641" t="str">
        <f t="shared" si="46"/>
        <v>net sales</v>
      </c>
      <c r="G641" s="7" t="str">
        <f t="shared" si="47"/>
        <v>product 2</v>
      </c>
      <c r="H641">
        <f t="shared" si="48"/>
        <v>2024</v>
      </c>
      <c r="I641">
        <f t="shared" si="49"/>
        <v>3</v>
      </c>
      <c r="J641">
        <f t="shared" si="50"/>
        <v>269.73</v>
      </c>
    </row>
    <row r="642" spans="1:10" ht="12.5" x14ac:dyDescent="0.25">
      <c r="A642" s="1">
        <v>45380</v>
      </c>
      <c r="B642" s="2" t="s">
        <v>13</v>
      </c>
      <c r="C642" s="3">
        <v>12.49</v>
      </c>
      <c r="D642" s="3">
        <v>63</v>
      </c>
      <c r="E642" s="3">
        <v>786.87</v>
      </c>
      <c r="F642" t="str">
        <f t="shared" si="46"/>
        <v>net sales</v>
      </c>
      <c r="G642" s="7" t="str">
        <f t="shared" si="47"/>
        <v>product 3</v>
      </c>
      <c r="H642">
        <f t="shared" si="48"/>
        <v>2024</v>
      </c>
      <c r="I642">
        <f t="shared" si="49"/>
        <v>3</v>
      </c>
      <c r="J642">
        <f t="shared" si="50"/>
        <v>249.89999999999998</v>
      </c>
    </row>
    <row r="643" spans="1:10" ht="12.5" x14ac:dyDescent="0.25">
      <c r="A643" s="1">
        <v>45380</v>
      </c>
      <c r="B643" s="2" t="s">
        <v>15</v>
      </c>
      <c r="C643" s="2" t="s">
        <v>6</v>
      </c>
      <c r="D643" s="2" t="s">
        <v>6</v>
      </c>
      <c r="E643" s="3">
        <v>1200</v>
      </c>
      <c r="F643" t="str">
        <f t="shared" ref="F643:F706" si="51">IFERROR(LEFT(B643,FIND(":",B643)-1),B643)</f>
        <v>payroll</v>
      </c>
      <c r="G643" s="7" t="s">
        <v>6</v>
      </c>
      <c r="H643">
        <f t="shared" ref="H643:H706" si="52">YEAR(A643)</f>
        <v>2024</v>
      </c>
      <c r="I643">
        <f t="shared" ref="I643:I706" si="53">MONTH(A643)</f>
        <v>3</v>
      </c>
      <c r="J643">
        <f t="shared" si="50"/>
        <v>0</v>
      </c>
    </row>
    <row r="644" spans="1:10" ht="12.5" x14ac:dyDescent="0.25">
      <c r="A644" s="1">
        <v>45381</v>
      </c>
      <c r="B644" s="2" t="s">
        <v>7</v>
      </c>
      <c r="C644" s="3">
        <v>5.99</v>
      </c>
      <c r="D644" s="3">
        <v>48</v>
      </c>
      <c r="E644" s="3">
        <v>287.52</v>
      </c>
      <c r="F644" t="str">
        <f t="shared" si="51"/>
        <v>cogs</v>
      </c>
      <c r="G644" s="7" t="str">
        <f t="shared" ref="G644:G706" si="54">IFERROR(RIGHT(B644,LEN(B644)-FIND(":",B644)),"")</f>
        <v>product 1</v>
      </c>
      <c r="H644">
        <f t="shared" si="52"/>
        <v>2024</v>
      </c>
      <c r="I644">
        <f t="shared" si="53"/>
        <v>3</v>
      </c>
      <c r="J644">
        <f t="shared" si="50"/>
        <v>-569.05000000000007</v>
      </c>
    </row>
    <row r="645" spans="1:10" ht="12.5" x14ac:dyDescent="0.25">
      <c r="A645" s="1">
        <v>45381</v>
      </c>
      <c r="B645" s="2" t="s">
        <v>8</v>
      </c>
      <c r="C645" s="3">
        <v>16.989999999999998</v>
      </c>
      <c r="D645" s="3">
        <v>3</v>
      </c>
      <c r="E645" s="3">
        <v>50.97</v>
      </c>
      <c r="F645" t="str">
        <f t="shared" si="51"/>
        <v>cogs</v>
      </c>
      <c r="G645" s="7" t="str">
        <f t="shared" si="54"/>
        <v>product 2</v>
      </c>
      <c r="H645">
        <f t="shared" si="52"/>
        <v>2024</v>
      </c>
      <c r="I645">
        <f t="shared" si="53"/>
        <v>3</v>
      </c>
      <c r="J645">
        <f t="shared" si="50"/>
        <v>-118.92999999999999</v>
      </c>
    </row>
    <row r="646" spans="1:10" ht="12.5" x14ac:dyDescent="0.25">
      <c r="A646" s="1">
        <v>45381</v>
      </c>
      <c r="B646" s="2" t="s">
        <v>9</v>
      </c>
      <c r="C646" s="3">
        <v>8.49</v>
      </c>
      <c r="D646" s="3">
        <v>99</v>
      </c>
      <c r="E646" s="3">
        <v>840.51</v>
      </c>
      <c r="F646" t="str">
        <f t="shared" si="51"/>
        <v>cogs</v>
      </c>
      <c r="G646" s="7" t="str">
        <f t="shared" si="54"/>
        <v>product 3</v>
      </c>
      <c r="H646">
        <f t="shared" si="52"/>
        <v>2024</v>
      </c>
      <c r="I646">
        <f t="shared" si="53"/>
        <v>3</v>
      </c>
      <c r="J646">
        <f t="shared" si="50"/>
        <v>-959.37</v>
      </c>
    </row>
    <row r="647" spans="1:10" ht="12.5" x14ac:dyDescent="0.25">
      <c r="A647" s="1">
        <v>45381</v>
      </c>
      <c r="B647" s="2" t="s">
        <v>10</v>
      </c>
      <c r="C647" s="2" t="s">
        <v>6</v>
      </c>
      <c r="D647" s="2" t="s">
        <v>6</v>
      </c>
      <c r="E647" s="3">
        <v>100.04</v>
      </c>
      <c r="F647" t="str">
        <f t="shared" si="51"/>
        <v>marketing</v>
      </c>
      <c r="G647" s="7" t="s">
        <v>6</v>
      </c>
      <c r="H647">
        <f t="shared" si="52"/>
        <v>2024</v>
      </c>
      <c r="I647">
        <f t="shared" si="53"/>
        <v>3</v>
      </c>
      <c r="J647">
        <f t="shared" si="50"/>
        <v>-100.04</v>
      </c>
    </row>
    <row r="648" spans="1:10" ht="12.5" x14ac:dyDescent="0.25">
      <c r="A648" s="1">
        <v>45381</v>
      </c>
      <c r="B648" s="2" t="s">
        <v>11</v>
      </c>
      <c r="C648" s="3">
        <v>9.99</v>
      </c>
      <c r="D648" s="3">
        <v>48</v>
      </c>
      <c r="E648" s="3">
        <v>479.52</v>
      </c>
      <c r="F648" t="str">
        <f t="shared" si="51"/>
        <v>net sales</v>
      </c>
      <c r="G648" s="7" t="str">
        <f t="shared" si="54"/>
        <v>product 1</v>
      </c>
      <c r="H648">
        <f t="shared" si="52"/>
        <v>2024</v>
      </c>
      <c r="I648">
        <f t="shared" si="53"/>
        <v>3</v>
      </c>
      <c r="J648">
        <f t="shared" si="50"/>
        <v>949.05000000000007</v>
      </c>
    </row>
    <row r="649" spans="1:10" ht="12.5" x14ac:dyDescent="0.25">
      <c r="A649" s="1">
        <v>45381</v>
      </c>
      <c r="B649" s="2" t="s">
        <v>12</v>
      </c>
      <c r="C649" s="3">
        <v>24.99</v>
      </c>
      <c r="D649" s="3">
        <v>3</v>
      </c>
      <c r="E649" s="3">
        <v>74.97</v>
      </c>
      <c r="F649" t="str">
        <f t="shared" si="51"/>
        <v>net sales</v>
      </c>
      <c r="G649" s="7" t="str">
        <f t="shared" si="54"/>
        <v>product 2</v>
      </c>
      <c r="H649">
        <f t="shared" si="52"/>
        <v>2024</v>
      </c>
      <c r="I649">
        <f t="shared" si="53"/>
        <v>3</v>
      </c>
      <c r="J649">
        <f t="shared" si="50"/>
        <v>174.92999999999998</v>
      </c>
    </row>
    <row r="650" spans="1:10" ht="12.5" x14ac:dyDescent="0.25">
      <c r="A650" s="1">
        <v>45381</v>
      </c>
      <c r="B650" s="2" t="s">
        <v>13</v>
      </c>
      <c r="C650" s="3">
        <v>12.49</v>
      </c>
      <c r="D650" s="3">
        <v>99</v>
      </c>
      <c r="E650" s="3">
        <v>1236.51</v>
      </c>
      <c r="F650" t="str">
        <f t="shared" si="51"/>
        <v>net sales</v>
      </c>
      <c r="G650" s="7" t="str">
        <f t="shared" si="54"/>
        <v>product 3</v>
      </c>
      <c r="H650">
        <f t="shared" si="52"/>
        <v>2024</v>
      </c>
      <c r="I650">
        <f t="shared" si="53"/>
        <v>3</v>
      </c>
      <c r="J650">
        <f t="shared" si="50"/>
        <v>1411.3700000000001</v>
      </c>
    </row>
    <row r="651" spans="1:10" ht="12.5" x14ac:dyDescent="0.25">
      <c r="A651" s="1">
        <v>45382</v>
      </c>
      <c r="B651" s="2" t="s">
        <v>7</v>
      </c>
      <c r="C651" s="3">
        <v>5.99</v>
      </c>
      <c r="D651" s="3">
        <v>46</v>
      </c>
      <c r="E651" s="3">
        <v>275.54000000000002</v>
      </c>
      <c r="F651" t="str">
        <f t="shared" si="51"/>
        <v>cogs</v>
      </c>
      <c r="G651" s="7" t="str">
        <f t="shared" si="54"/>
        <v>product 1</v>
      </c>
      <c r="H651">
        <f t="shared" si="52"/>
        <v>2024</v>
      </c>
      <c r="I651">
        <f t="shared" si="53"/>
        <v>3</v>
      </c>
      <c r="J651">
        <f t="shared" si="50"/>
        <v>0</v>
      </c>
    </row>
    <row r="652" spans="1:10" ht="12.5" x14ac:dyDescent="0.25">
      <c r="A652" s="1">
        <v>45382</v>
      </c>
      <c r="B652" s="2" t="s">
        <v>8</v>
      </c>
      <c r="C652" s="3">
        <v>16.989999999999998</v>
      </c>
      <c r="D652" s="3">
        <v>8</v>
      </c>
      <c r="E652" s="3">
        <v>135.91999999999999</v>
      </c>
      <c r="F652" t="str">
        <f t="shared" si="51"/>
        <v>cogs</v>
      </c>
      <c r="G652" s="7" t="str">
        <f t="shared" si="54"/>
        <v>product 2</v>
      </c>
      <c r="H652">
        <f t="shared" si="52"/>
        <v>2024</v>
      </c>
      <c r="I652">
        <f t="shared" si="53"/>
        <v>3</v>
      </c>
      <c r="J652">
        <f t="shared" si="50"/>
        <v>-29.950000000000003</v>
      </c>
    </row>
    <row r="653" spans="1:10" ht="12.5" x14ac:dyDescent="0.25">
      <c r="A653" s="1">
        <v>45382</v>
      </c>
      <c r="B653" s="2" t="s">
        <v>9</v>
      </c>
      <c r="C653" s="3">
        <v>8.49</v>
      </c>
      <c r="D653" s="3">
        <v>0</v>
      </c>
      <c r="E653" s="2">
        <f>C653*D653</f>
        <v>0</v>
      </c>
      <c r="F653" t="str">
        <f t="shared" si="51"/>
        <v>cogs</v>
      </c>
      <c r="G653" s="7" t="str">
        <f t="shared" si="54"/>
        <v>product 3</v>
      </c>
      <c r="H653">
        <f t="shared" si="52"/>
        <v>2024</v>
      </c>
      <c r="I653">
        <f t="shared" si="53"/>
        <v>3</v>
      </c>
      <c r="J653">
        <f t="shared" si="50"/>
        <v>-152.91</v>
      </c>
    </row>
    <row r="654" spans="1:10" ht="12.5" x14ac:dyDescent="0.25">
      <c r="A654" s="1">
        <v>45382</v>
      </c>
      <c r="B654" s="2" t="s">
        <v>10</v>
      </c>
      <c r="C654" s="2" t="s">
        <v>6</v>
      </c>
      <c r="D654" s="2" t="s">
        <v>6</v>
      </c>
      <c r="E654" s="3">
        <v>99.91</v>
      </c>
      <c r="F654" t="str">
        <f t="shared" si="51"/>
        <v>marketing</v>
      </c>
      <c r="G654" s="7" t="s">
        <v>6</v>
      </c>
      <c r="H654">
        <f t="shared" si="52"/>
        <v>2024</v>
      </c>
      <c r="I654">
        <f t="shared" si="53"/>
        <v>3</v>
      </c>
      <c r="J654">
        <f t="shared" si="50"/>
        <v>-373.56</v>
      </c>
    </row>
    <row r="655" spans="1:10" ht="12.5" x14ac:dyDescent="0.25">
      <c r="A655" s="1">
        <v>45382</v>
      </c>
      <c r="B655" s="2" t="s">
        <v>11</v>
      </c>
      <c r="C655" s="3">
        <v>9.99</v>
      </c>
      <c r="D655" s="3">
        <v>46</v>
      </c>
      <c r="E655" s="3">
        <v>459.54</v>
      </c>
      <c r="F655" t="str">
        <f t="shared" si="51"/>
        <v>net sales</v>
      </c>
      <c r="G655" s="7" t="str">
        <f t="shared" si="54"/>
        <v>product 1</v>
      </c>
      <c r="H655">
        <f t="shared" si="52"/>
        <v>2024</v>
      </c>
      <c r="I655">
        <f t="shared" si="53"/>
        <v>3</v>
      </c>
      <c r="J655">
        <f t="shared" si="50"/>
        <v>-99.95</v>
      </c>
    </row>
    <row r="656" spans="1:10" ht="12.5" x14ac:dyDescent="0.25">
      <c r="A656" s="1">
        <v>45382</v>
      </c>
      <c r="B656" s="2" t="s">
        <v>12</v>
      </c>
      <c r="C656" s="3">
        <v>24.99</v>
      </c>
      <c r="D656" s="3">
        <v>8</v>
      </c>
      <c r="E656" s="3">
        <v>199.92</v>
      </c>
      <c r="F656" t="str">
        <f t="shared" si="51"/>
        <v>net sales</v>
      </c>
      <c r="G656" s="7" t="str">
        <f t="shared" si="54"/>
        <v>product 2</v>
      </c>
      <c r="H656">
        <f t="shared" si="52"/>
        <v>2024</v>
      </c>
      <c r="I656">
        <f t="shared" si="53"/>
        <v>3</v>
      </c>
      <c r="J656">
        <f t="shared" si="50"/>
        <v>49.95</v>
      </c>
    </row>
    <row r="657" spans="1:10" ht="12.5" x14ac:dyDescent="0.25">
      <c r="A657" s="1">
        <v>45382</v>
      </c>
      <c r="B657" s="2" t="s">
        <v>13</v>
      </c>
      <c r="C657" s="3">
        <v>12.49</v>
      </c>
      <c r="D657" s="3">
        <v>0</v>
      </c>
      <c r="E657" s="2">
        <f>C657*D657</f>
        <v>0</v>
      </c>
      <c r="F657" t="str">
        <f t="shared" si="51"/>
        <v>net sales</v>
      </c>
      <c r="G657" s="7" t="str">
        <f t="shared" si="54"/>
        <v>product 3</v>
      </c>
      <c r="H657">
        <f t="shared" si="52"/>
        <v>2024</v>
      </c>
      <c r="I657">
        <f t="shared" si="53"/>
        <v>3</v>
      </c>
      <c r="J657">
        <f t="shared" si="50"/>
        <v>224.91</v>
      </c>
    </row>
    <row r="658" spans="1:10" ht="12.5" x14ac:dyDescent="0.25">
      <c r="A658" s="1">
        <v>45383</v>
      </c>
      <c r="B658" s="2" t="s">
        <v>5</v>
      </c>
      <c r="C658" s="2" t="s">
        <v>6</v>
      </c>
      <c r="D658" s="2" t="s">
        <v>6</v>
      </c>
      <c r="E658" s="3">
        <v>50</v>
      </c>
      <c r="F658" t="str">
        <f t="shared" si="51"/>
        <v>amortization</v>
      </c>
      <c r="G658" s="7" t="s">
        <v>6</v>
      </c>
      <c r="H658">
        <f t="shared" si="52"/>
        <v>2024</v>
      </c>
      <c r="I658">
        <f t="shared" si="53"/>
        <v>4</v>
      </c>
      <c r="J658">
        <f t="shared" si="50"/>
        <v>549.56000000000006</v>
      </c>
    </row>
    <row r="659" spans="1:10" ht="12.5" x14ac:dyDescent="0.25">
      <c r="A659" s="1">
        <v>45383</v>
      </c>
      <c r="B659" s="2" t="s">
        <v>7</v>
      </c>
      <c r="C659" s="3">
        <v>5.99</v>
      </c>
      <c r="D659" s="3">
        <v>98</v>
      </c>
      <c r="E659" s="3">
        <v>587.02</v>
      </c>
      <c r="F659" t="str">
        <f t="shared" si="51"/>
        <v>cogs</v>
      </c>
      <c r="G659" s="7" t="str">
        <f t="shared" si="54"/>
        <v>product 1</v>
      </c>
      <c r="H659">
        <f t="shared" si="52"/>
        <v>2024</v>
      </c>
      <c r="I659">
        <f t="shared" si="53"/>
        <v>4</v>
      </c>
      <c r="J659">
        <f t="shared" si="50"/>
        <v>-2000</v>
      </c>
    </row>
    <row r="660" spans="1:10" ht="12.5" x14ac:dyDescent="0.25">
      <c r="A660" s="1">
        <v>45383</v>
      </c>
      <c r="B660" s="2" t="s">
        <v>8</v>
      </c>
      <c r="C660" s="3">
        <v>16.989999999999998</v>
      </c>
      <c r="D660" s="3">
        <v>2</v>
      </c>
      <c r="E660" s="3">
        <v>33.979999999999997</v>
      </c>
      <c r="F660" t="str">
        <f t="shared" si="51"/>
        <v>cogs</v>
      </c>
      <c r="G660" s="7" t="str">
        <f t="shared" si="54"/>
        <v>product 2</v>
      </c>
      <c r="H660">
        <f t="shared" si="52"/>
        <v>2024</v>
      </c>
      <c r="I660">
        <f t="shared" si="53"/>
        <v>4</v>
      </c>
      <c r="J660">
        <f t="shared" si="50"/>
        <v>-1200</v>
      </c>
    </row>
    <row r="661" spans="1:10" ht="12.5" x14ac:dyDescent="0.25">
      <c r="A661" s="1">
        <v>45383</v>
      </c>
      <c r="B661" s="2" t="s">
        <v>9</v>
      </c>
      <c r="C661" s="3">
        <v>8.49</v>
      </c>
      <c r="D661" s="3">
        <v>2</v>
      </c>
      <c r="E661" s="3">
        <v>16.98</v>
      </c>
      <c r="F661" t="str">
        <f t="shared" si="51"/>
        <v>cogs</v>
      </c>
      <c r="G661" s="7" t="str">
        <f t="shared" si="54"/>
        <v>product 3</v>
      </c>
      <c r="H661">
        <f t="shared" si="52"/>
        <v>2024</v>
      </c>
      <c r="I661">
        <f t="shared" si="53"/>
        <v>4</v>
      </c>
      <c r="J661">
        <f t="shared" si="50"/>
        <v>-23.96</v>
      </c>
    </row>
    <row r="662" spans="1:10" ht="12.5" x14ac:dyDescent="0.25">
      <c r="A662" s="1">
        <v>45383</v>
      </c>
      <c r="B662" s="2" t="s">
        <v>10</v>
      </c>
      <c r="C662" s="2" t="s">
        <v>6</v>
      </c>
      <c r="D662" s="2" t="s">
        <v>6</v>
      </c>
      <c r="E662" s="3">
        <v>99.98</v>
      </c>
      <c r="F662" t="str">
        <f t="shared" si="51"/>
        <v>marketing</v>
      </c>
      <c r="G662" s="7" t="s">
        <v>6</v>
      </c>
      <c r="H662">
        <f t="shared" si="52"/>
        <v>2024</v>
      </c>
      <c r="I662">
        <f t="shared" si="53"/>
        <v>4</v>
      </c>
      <c r="J662">
        <f t="shared" si="50"/>
        <v>-84.949999999999989</v>
      </c>
    </row>
    <row r="663" spans="1:10" ht="12.5" x14ac:dyDescent="0.25">
      <c r="A663" s="1">
        <v>45383</v>
      </c>
      <c r="B663" s="2" t="s">
        <v>11</v>
      </c>
      <c r="C663" s="3">
        <v>9.99</v>
      </c>
      <c r="D663" s="3">
        <v>98</v>
      </c>
      <c r="E663" s="3">
        <v>979.02</v>
      </c>
      <c r="F663" t="str">
        <f t="shared" si="51"/>
        <v>net sales</v>
      </c>
      <c r="G663" s="7" t="str">
        <f t="shared" si="54"/>
        <v>product 1</v>
      </c>
      <c r="H663">
        <f t="shared" si="52"/>
        <v>2024</v>
      </c>
      <c r="I663">
        <f t="shared" si="53"/>
        <v>4</v>
      </c>
      <c r="J663">
        <f t="shared" si="50"/>
        <v>-806.55000000000007</v>
      </c>
    </row>
    <row r="664" spans="1:10" ht="12.5" x14ac:dyDescent="0.25">
      <c r="A664" s="1">
        <v>45383</v>
      </c>
      <c r="B664" s="2" t="s">
        <v>12</v>
      </c>
      <c r="C664" s="3">
        <v>24.99</v>
      </c>
      <c r="D664" s="3">
        <v>2</v>
      </c>
      <c r="E664" s="3">
        <v>49.98</v>
      </c>
      <c r="F664" t="str">
        <f t="shared" si="51"/>
        <v>net sales</v>
      </c>
      <c r="G664" s="7" t="str">
        <f t="shared" si="54"/>
        <v>product 2</v>
      </c>
      <c r="H664">
        <f t="shared" si="52"/>
        <v>2024</v>
      </c>
      <c r="I664">
        <f t="shared" si="53"/>
        <v>4</v>
      </c>
      <c r="J664">
        <f t="shared" si="50"/>
        <v>-100.04</v>
      </c>
    </row>
    <row r="665" spans="1:10" ht="12.5" x14ac:dyDescent="0.25">
      <c r="A665" s="1">
        <v>45383</v>
      </c>
      <c r="B665" s="2" t="s">
        <v>13</v>
      </c>
      <c r="C665" s="3">
        <v>12.49</v>
      </c>
      <c r="D665" s="3">
        <v>2</v>
      </c>
      <c r="E665" s="3">
        <v>24.98</v>
      </c>
      <c r="F665" t="str">
        <f t="shared" si="51"/>
        <v>net sales</v>
      </c>
      <c r="G665" s="7" t="str">
        <f t="shared" si="54"/>
        <v>product 3</v>
      </c>
      <c r="H665">
        <f t="shared" si="52"/>
        <v>2024</v>
      </c>
      <c r="I665">
        <f t="shared" si="53"/>
        <v>4</v>
      </c>
      <c r="J665">
        <f t="shared" si="50"/>
        <v>39.96</v>
      </c>
    </row>
    <row r="666" spans="1:10" ht="12.5" x14ac:dyDescent="0.25">
      <c r="A666" s="1">
        <v>45383</v>
      </c>
      <c r="B666" s="2" t="s">
        <v>14</v>
      </c>
      <c r="C666" s="2" t="s">
        <v>6</v>
      </c>
      <c r="D666" s="2" t="s">
        <v>6</v>
      </c>
      <c r="E666" s="3">
        <v>2000</v>
      </c>
      <c r="F666" t="str">
        <f t="shared" si="51"/>
        <v>overhead</v>
      </c>
      <c r="G666" s="7" t="s">
        <v>6</v>
      </c>
      <c r="H666">
        <f t="shared" si="52"/>
        <v>2024</v>
      </c>
      <c r="I666">
        <f t="shared" si="53"/>
        <v>4</v>
      </c>
      <c r="J666">
        <f t="shared" si="50"/>
        <v>124.94999999999999</v>
      </c>
    </row>
    <row r="667" spans="1:10" ht="12.5" x14ac:dyDescent="0.25">
      <c r="A667" s="1">
        <v>45384</v>
      </c>
      <c r="B667" s="2" t="s">
        <v>7</v>
      </c>
      <c r="C667" s="3">
        <v>5.99</v>
      </c>
      <c r="D667" s="3">
        <v>76</v>
      </c>
      <c r="E667" s="3">
        <v>455.24</v>
      </c>
      <c r="F667" t="str">
        <f t="shared" si="51"/>
        <v>cogs</v>
      </c>
      <c r="G667" s="7" t="str">
        <f t="shared" si="54"/>
        <v>product 1</v>
      </c>
      <c r="H667">
        <f t="shared" si="52"/>
        <v>2024</v>
      </c>
      <c r="I667">
        <f t="shared" si="53"/>
        <v>4</v>
      </c>
      <c r="J667">
        <f t="shared" si="50"/>
        <v>1186.55</v>
      </c>
    </row>
    <row r="668" spans="1:10" ht="12.5" x14ac:dyDescent="0.25">
      <c r="A668" s="1">
        <v>45384</v>
      </c>
      <c r="B668" s="2" t="s">
        <v>8</v>
      </c>
      <c r="C668" s="3">
        <v>16.989999999999998</v>
      </c>
      <c r="D668" s="3">
        <v>8</v>
      </c>
      <c r="E668" s="3">
        <v>135.91999999999999</v>
      </c>
      <c r="F668" t="str">
        <f t="shared" si="51"/>
        <v>cogs</v>
      </c>
      <c r="G668" s="7" t="str">
        <f t="shared" si="54"/>
        <v>product 2</v>
      </c>
      <c r="H668">
        <f t="shared" si="52"/>
        <v>2024</v>
      </c>
      <c r="I668">
        <f t="shared" si="53"/>
        <v>4</v>
      </c>
      <c r="J668">
        <f t="shared" ref="J668:J731" si="55">IF(F451="net sales",E451,
IF(F451="cogs",-E451,
IF(OR(F451="marketing",F451="overhead",F451="payroll",F451="interest","amortization"),-E451,0)))</f>
        <v>-5.99</v>
      </c>
    </row>
    <row r="669" spans="1:10" ht="12.5" x14ac:dyDescent="0.25">
      <c r="A669" s="1">
        <v>45384</v>
      </c>
      <c r="B669" s="2" t="s">
        <v>9</v>
      </c>
      <c r="C669" s="3">
        <v>8.49</v>
      </c>
      <c r="D669" s="3">
        <v>177</v>
      </c>
      <c r="E669" s="3">
        <v>1502.73</v>
      </c>
      <c r="F669" t="str">
        <f t="shared" si="51"/>
        <v>cogs</v>
      </c>
      <c r="G669" s="7" t="str">
        <f t="shared" si="54"/>
        <v>product 3</v>
      </c>
      <c r="H669">
        <f t="shared" si="52"/>
        <v>2024</v>
      </c>
      <c r="I669">
        <f t="shared" si="53"/>
        <v>4</v>
      </c>
      <c r="J669">
        <f t="shared" si="55"/>
        <v>-33.979999999999997</v>
      </c>
    </row>
    <row r="670" spans="1:10" ht="12.5" x14ac:dyDescent="0.25">
      <c r="A670" s="1">
        <v>45384</v>
      </c>
      <c r="B670" s="2" t="s">
        <v>10</v>
      </c>
      <c r="C670" s="2" t="s">
        <v>6</v>
      </c>
      <c r="D670" s="2" t="s">
        <v>6</v>
      </c>
      <c r="E670" s="3">
        <v>100.03</v>
      </c>
      <c r="F670" t="str">
        <f t="shared" si="51"/>
        <v>marketing</v>
      </c>
      <c r="G670" s="7" t="s">
        <v>6</v>
      </c>
      <c r="H670">
        <f t="shared" si="52"/>
        <v>2024</v>
      </c>
      <c r="I670">
        <f t="shared" si="53"/>
        <v>4</v>
      </c>
      <c r="J670">
        <f t="shared" si="55"/>
        <v>-1035.78</v>
      </c>
    </row>
    <row r="671" spans="1:10" ht="12.5" x14ac:dyDescent="0.25">
      <c r="A671" s="1">
        <v>45384</v>
      </c>
      <c r="B671" s="2" t="s">
        <v>11</v>
      </c>
      <c r="C671" s="3">
        <v>9.99</v>
      </c>
      <c r="D671" s="3">
        <v>76</v>
      </c>
      <c r="E671" s="3">
        <v>759.24</v>
      </c>
      <c r="F671" t="str">
        <f t="shared" si="51"/>
        <v>net sales</v>
      </c>
      <c r="G671" s="7" t="str">
        <f t="shared" si="54"/>
        <v>product 1</v>
      </c>
      <c r="H671">
        <f t="shared" si="52"/>
        <v>2024</v>
      </c>
      <c r="I671">
        <f t="shared" si="53"/>
        <v>4</v>
      </c>
      <c r="J671">
        <f t="shared" si="55"/>
        <v>-100</v>
      </c>
    </row>
    <row r="672" spans="1:10" ht="12.5" x14ac:dyDescent="0.25">
      <c r="A672" s="1">
        <v>45384</v>
      </c>
      <c r="B672" s="2" t="s">
        <v>12</v>
      </c>
      <c r="C672" s="3">
        <v>24.99</v>
      </c>
      <c r="D672" s="3">
        <v>8</v>
      </c>
      <c r="E672" s="3">
        <v>199.92</v>
      </c>
      <c r="F672" t="str">
        <f t="shared" si="51"/>
        <v>net sales</v>
      </c>
      <c r="G672" s="7" t="str">
        <f t="shared" si="54"/>
        <v>product 2</v>
      </c>
      <c r="H672">
        <f t="shared" si="52"/>
        <v>2024</v>
      </c>
      <c r="I672">
        <f t="shared" si="53"/>
        <v>4</v>
      </c>
      <c r="J672">
        <f t="shared" si="55"/>
        <v>9.99</v>
      </c>
    </row>
    <row r="673" spans="1:10" ht="12.5" x14ac:dyDescent="0.25">
      <c r="A673" s="1">
        <v>45384</v>
      </c>
      <c r="B673" s="2" t="s">
        <v>13</v>
      </c>
      <c r="C673" s="3">
        <v>12.49</v>
      </c>
      <c r="D673" s="3">
        <v>177</v>
      </c>
      <c r="E673" s="3">
        <v>2210.73</v>
      </c>
      <c r="F673" t="str">
        <f t="shared" si="51"/>
        <v>net sales</v>
      </c>
      <c r="G673" s="7" t="str">
        <f t="shared" si="54"/>
        <v>product 3</v>
      </c>
      <c r="H673">
        <f t="shared" si="52"/>
        <v>2024</v>
      </c>
      <c r="I673">
        <f t="shared" si="53"/>
        <v>4</v>
      </c>
      <c r="J673">
        <f t="shared" si="55"/>
        <v>49.98</v>
      </c>
    </row>
    <row r="674" spans="1:10" ht="12.5" x14ac:dyDescent="0.25">
      <c r="A674" s="1">
        <v>45385</v>
      </c>
      <c r="B674" s="2" t="s">
        <v>7</v>
      </c>
      <c r="C674" s="3">
        <v>5.99</v>
      </c>
      <c r="D674" s="3">
        <v>51</v>
      </c>
      <c r="E674" s="3">
        <v>305.49</v>
      </c>
      <c r="F674" t="str">
        <f t="shared" si="51"/>
        <v>cogs</v>
      </c>
      <c r="G674" s="7" t="str">
        <f t="shared" si="54"/>
        <v>product 1</v>
      </c>
      <c r="H674">
        <f t="shared" si="52"/>
        <v>2024</v>
      </c>
      <c r="I674">
        <f t="shared" si="53"/>
        <v>4</v>
      </c>
      <c r="J674">
        <f t="shared" si="55"/>
        <v>1523.78</v>
      </c>
    </row>
    <row r="675" spans="1:10" ht="12.5" x14ac:dyDescent="0.25">
      <c r="A675" s="1">
        <v>45385</v>
      </c>
      <c r="B675" s="2" t="s">
        <v>8</v>
      </c>
      <c r="C675" s="3">
        <v>16.989999999999998</v>
      </c>
      <c r="D675" s="3">
        <v>9</v>
      </c>
      <c r="E675" s="3">
        <v>152.91</v>
      </c>
      <c r="F675" t="str">
        <f t="shared" si="51"/>
        <v>cogs</v>
      </c>
      <c r="G675" s="7" t="str">
        <f t="shared" si="54"/>
        <v>product 2</v>
      </c>
      <c r="H675">
        <f t="shared" si="52"/>
        <v>2024</v>
      </c>
      <c r="I675">
        <f t="shared" si="53"/>
        <v>4</v>
      </c>
      <c r="J675">
        <f t="shared" si="55"/>
        <v>-11.98</v>
      </c>
    </row>
    <row r="676" spans="1:10" ht="12.5" x14ac:dyDescent="0.25">
      <c r="A676" s="1">
        <v>45385</v>
      </c>
      <c r="B676" s="2" t="s">
        <v>9</v>
      </c>
      <c r="C676" s="3">
        <v>8.49</v>
      </c>
      <c r="D676" s="3">
        <v>86</v>
      </c>
      <c r="E676" s="3">
        <v>730.14</v>
      </c>
      <c r="F676" t="str">
        <f t="shared" si="51"/>
        <v>cogs</v>
      </c>
      <c r="G676" s="7" t="str">
        <f t="shared" si="54"/>
        <v>product 3</v>
      </c>
      <c r="H676">
        <f t="shared" si="52"/>
        <v>2024</v>
      </c>
      <c r="I676">
        <f t="shared" si="53"/>
        <v>4</v>
      </c>
      <c r="J676">
        <f t="shared" si="55"/>
        <v>-118.92999999999999</v>
      </c>
    </row>
    <row r="677" spans="1:10" ht="12.5" x14ac:dyDescent="0.25">
      <c r="A677" s="1">
        <v>45385</v>
      </c>
      <c r="B677" s="2" t="s">
        <v>10</v>
      </c>
      <c r="C677" s="2" t="s">
        <v>6</v>
      </c>
      <c r="D677" s="2" t="s">
        <v>6</v>
      </c>
      <c r="E677" s="3">
        <v>100.02</v>
      </c>
      <c r="F677" t="str">
        <f t="shared" si="51"/>
        <v>marketing</v>
      </c>
      <c r="G677" s="7" t="s">
        <v>6</v>
      </c>
      <c r="H677">
        <f t="shared" si="52"/>
        <v>2024</v>
      </c>
      <c r="I677">
        <f t="shared" si="53"/>
        <v>4</v>
      </c>
      <c r="J677">
        <f t="shared" si="55"/>
        <v>-1494.24</v>
      </c>
    </row>
    <row r="678" spans="1:10" ht="12.5" x14ac:dyDescent="0.25">
      <c r="A678" s="1">
        <v>45385</v>
      </c>
      <c r="B678" s="2" t="s">
        <v>11</v>
      </c>
      <c r="C678" s="3">
        <v>9.99</v>
      </c>
      <c r="D678" s="3">
        <v>51</v>
      </c>
      <c r="E678" s="3">
        <v>509.49</v>
      </c>
      <c r="F678" t="str">
        <f t="shared" si="51"/>
        <v>net sales</v>
      </c>
      <c r="G678" s="7" t="str">
        <f t="shared" si="54"/>
        <v>product 1</v>
      </c>
      <c r="H678">
        <f t="shared" si="52"/>
        <v>2024</v>
      </c>
      <c r="I678">
        <f t="shared" si="53"/>
        <v>4</v>
      </c>
      <c r="J678">
        <f t="shared" si="55"/>
        <v>-100.01</v>
      </c>
    </row>
    <row r="679" spans="1:10" ht="12.5" x14ac:dyDescent="0.25">
      <c r="A679" s="1">
        <v>45385</v>
      </c>
      <c r="B679" s="2" t="s">
        <v>12</v>
      </c>
      <c r="C679" s="3">
        <v>24.99</v>
      </c>
      <c r="D679" s="3">
        <v>9</v>
      </c>
      <c r="E679" s="3">
        <v>224.91</v>
      </c>
      <c r="F679" t="str">
        <f t="shared" si="51"/>
        <v>net sales</v>
      </c>
      <c r="G679" s="7" t="str">
        <f t="shared" si="54"/>
        <v>product 2</v>
      </c>
      <c r="H679">
        <f t="shared" si="52"/>
        <v>2024</v>
      </c>
      <c r="I679">
        <f t="shared" si="53"/>
        <v>4</v>
      </c>
      <c r="J679">
        <f t="shared" si="55"/>
        <v>19.98</v>
      </c>
    </row>
    <row r="680" spans="1:10" ht="12.5" x14ac:dyDescent="0.25">
      <c r="A680" s="1">
        <v>45385</v>
      </c>
      <c r="B680" s="2" t="s">
        <v>13</v>
      </c>
      <c r="C680" s="3">
        <v>12.49</v>
      </c>
      <c r="D680" s="3">
        <v>86</v>
      </c>
      <c r="E680" s="3">
        <v>1074.1400000000001</v>
      </c>
      <c r="F680" t="str">
        <f t="shared" si="51"/>
        <v>net sales</v>
      </c>
      <c r="G680" s="7" t="str">
        <f t="shared" si="54"/>
        <v>product 3</v>
      </c>
      <c r="H680">
        <f t="shared" si="52"/>
        <v>2024</v>
      </c>
      <c r="I680">
        <f t="shared" si="53"/>
        <v>4</v>
      </c>
      <c r="J680">
        <f t="shared" si="55"/>
        <v>174.92999999999998</v>
      </c>
    </row>
    <row r="681" spans="1:10" ht="12.5" x14ac:dyDescent="0.25">
      <c r="A681" s="1">
        <v>45386</v>
      </c>
      <c r="B681" s="2" t="s">
        <v>7</v>
      </c>
      <c r="C681" s="3">
        <v>5.99</v>
      </c>
      <c r="D681" s="3">
        <v>95</v>
      </c>
      <c r="E681" s="3">
        <v>569.05000000000007</v>
      </c>
      <c r="F681" t="str">
        <f t="shared" si="51"/>
        <v>cogs</v>
      </c>
      <c r="G681" s="7" t="str">
        <f t="shared" si="54"/>
        <v>product 1</v>
      </c>
      <c r="H681">
        <f t="shared" si="52"/>
        <v>2024</v>
      </c>
      <c r="I681">
        <f t="shared" si="53"/>
        <v>4</v>
      </c>
      <c r="J681">
        <f t="shared" si="55"/>
        <v>2198.2400000000002</v>
      </c>
    </row>
    <row r="682" spans="1:10" ht="12.5" x14ac:dyDescent="0.25">
      <c r="A682" s="1">
        <v>45386</v>
      </c>
      <c r="B682" s="2" t="s">
        <v>8</v>
      </c>
      <c r="C682" s="3">
        <v>16.989999999999998</v>
      </c>
      <c r="D682" s="3">
        <v>1</v>
      </c>
      <c r="E682" s="3">
        <v>16.989999999999998</v>
      </c>
      <c r="F682" t="str">
        <f t="shared" si="51"/>
        <v>cogs</v>
      </c>
      <c r="G682" s="7" t="str">
        <f t="shared" si="54"/>
        <v>product 2</v>
      </c>
      <c r="H682">
        <f t="shared" si="52"/>
        <v>2024</v>
      </c>
      <c r="I682">
        <f t="shared" si="53"/>
        <v>4</v>
      </c>
      <c r="J682">
        <f t="shared" si="55"/>
        <v>-317.47000000000003</v>
      </c>
    </row>
    <row r="683" spans="1:10" ht="12.5" x14ac:dyDescent="0.25">
      <c r="A683" s="1">
        <v>45386</v>
      </c>
      <c r="B683" s="2" t="s">
        <v>9</v>
      </c>
      <c r="C683" s="3">
        <v>8.49</v>
      </c>
      <c r="D683" s="3">
        <v>37</v>
      </c>
      <c r="E683" s="3">
        <v>314.13</v>
      </c>
      <c r="F683" t="str">
        <f t="shared" si="51"/>
        <v>cogs</v>
      </c>
      <c r="G683" s="7" t="str">
        <f t="shared" si="54"/>
        <v>product 3</v>
      </c>
      <c r="H683">
        <f t="shared" si="52"/>
        <v>2024</v>
      </c>
      <c r="I683">
        <f t="shared" si="53"/>
        <v>4</v>
      </c>
      <c r="J683">
        <f t="shared" si="55"/>
        <v>-84.949999999999989</v>
      </c>
    </row>
    <row r="684" spans="1:10" ht="12.5" x14ac:dyDescent="0.25">
      <c r="A684" s="1">
        <v>45386</v>
      </c>
      <c r="B684" s="2" t="s">
        <v>10</v>
      </c>
      <c r="C684" s="2" t="s">
        <v>6</v>
      </c>
      <c r="D684" s="2" t="s">
        <v>6</v>
      </c>
      <c r="E684" s="3">
        <v>100.02</v>
      </c>
      <c r="F684" t="str">
        <f t="shared" si="51"/>
        <v>marketing</v>
      </c>
      <c r="G684" s="7" t="s">
        <v>6</v>
      </c>
      <c r="H684">
        <f t="shared" si="52"/>
        <v>2024</v>
      </c>
      <c r="I684">
        <f t="shared" si="53"/>
        <v>4</v>
      </c>
      <c r="J684">
        <f t="shared" si="55"/>
        <v>-1078.23</v>
      </c>
    </row>
    <row r="685" spans="1:10" ht="12.5" x14ac:dyDescent="0.25">
      <c r="A685" s="1">
        <v>45386</v>
      </c>
      <c r="B685" s="2" t="s">
        <v>11</v>
      </c>
      <c r="C685" s="3">
        <v>9.99</v>
      </c>
      <c r="D685" s="3">
        <v>95</v>
      </c>
      <c r="E685" s="3">
        <v>949.05000000000007</v>
      </c>
      <c r="F685" t="str">
        <f t="shared" si="51"/>
        <v>net sales</v>
      </c>
      <c r="G685" s="7" t="str">
        <f t="shared" si="54"/>
        <v>product 1</v>
      </c>
      <c r="H685">
        <f t="shared" si="52"/>
        <v>2024</v>
      </c>
      <c r="I685">
        <f t="shared" si="53"/>
        <v>4</v>
      </c>
      <c r="J685">
        <f t="shared" si="55"/>
        <v>-100.07000000000001</v>
      </c>
    </row>
    <row r="686" spans="1:10" ht="12.5" x14ac:dyDescent="0.25">
      <c r="A686" s="1">
        <v>45386</v>
      </c>
      <c r="B686" s="2" t="s">
        <v>12</v>
      </c>
      <c r="C686" s="3">
        <v>24.99</v>
      </c>
      <c r="D686" s="3">
        <v>1</v>
      </c>
      <c r="E686" s="3">
        <v>24.99</v>
      </c>
      <c r="F686" t="str">
        <f t="shared" si="51"/>
        <v>net sales</v>
      </c>
      <c r="G686" s="7" t="str">
        <f t="shared" si="54"/>
        <v>product 2</v>
      </c>
      <c r="H686">
        <f t="shared" si="52"/>
        <v>2024</v>
      </c>
      <c r="I686">
        <f t="shared" si="53"/>
        <v>4</v>
      </c>
      <c r="J686">
        <f t="shared" si="55"/>
        <v>529.47</v>
      </c>
    </row>
    <row r="687" spans="1:10" ht="12.5" x14ac:dyDescent="0.25">
      <c r="A687" s="1">
        <v>45386</v>
      </c>
      <c r="B687" s="2" t="s">
        <v>13</v>
      </c>
      <c r="C687" s="3">
        <v>12.49</v>
      </c>
      <c r="D687" s="3">
        <v>37</v>
      </c>
      <c r="E687" s="3">
        <v>462.13</v>
      </c>
      <c r="F687" t="str">
        <f t="shared" si="51"/>
        <v>net sales</v>
      </c>
      <c r="G687" s="7" t="str">
        <f t="shared" si="54"/>
        <v>product 3</v>
      </c>
      <c r="H687">
        <f t="shared" si="52"/>
        <v>2024</v>
      </c>
      <c r="I687">
        <f t="shared" si="53"/>
        <v>4</v>
      </c>
      <c r="J687">
        <f t="shared" si="55"/>
        <v>124.94999999999999</v>
      </c>
    </row>
    <row r="688" spans="1:10" ht="12.5" x14ac:dyDescent="0.25">
      <c r="A688" s="1">
        <v>45387</v>
      </c>
      <c r="B688" s="2" t="s">
        <v>7</v>
      </c>
      <c r="C688" s="3">
        <v>5.99</v>
      </c>
      <c r="D688" s="3">
        <v>22</v>
      </c>
      <c r="E688" s="3">
        <v>131.78</v>
      </c>
      <c r="F688" t="str">
        <f t="shared" si="51"/>
        <v>cogs</v>
      </c>
      <c r="G688" s="7" t="str">
        <f t="shared" si="54"/>
        <v>product 1</v>
      </c>
      <c r="H688">
        <f t="shared" si="52"/>
        <v>2024</v>
      </c>
      <c r="I688">
        <f t="shared" si="53"/>
        <v>4</v>
      </c>
      <c r="J688">
        <f t="shared" si="55"/>
        <v>1586.23</v>
      </c>
    </row>
    <row r="689" spans="1:10" ht="12.5" x14ac:dyDescent="0.25">
      <c r="A689" s="1">
        <v>45387</v>
      </c>
      <c r="B689" s="2" t="s">
        <v>8</v>
      </c>
      <c r="C689" s="3">
        <v>16.989999999999998</v>
      </c>
      <c r="D689" s="3">
        <v>4</v>
      </c>
      <c r="E689" s="3">
        <v>67.959999999999994</v>
      </c>
      <c r="F689" t="str">
        <f t="shared" si="51"/>
        <v>cogs</v>
      </c>
      <c r="G689" s="7" t="str">
        <f t="shared" si="54"/>
        <v>product 2</v>
      </c>
      <c r="H689">
        <f t="shared" si="52"/>
        <v>2024</v>
      </c>
      <c r="I689">
        <f t="shared" si="53"/>
        <v>4</v>
      </c>
      <c r="J689">
        <f t="shared" si="55"/>
        <v>-17.97</v>
      </c>
    </row>
    <row r="690" spans="1:10" ht="12.5" x14ac:dyDescent="0.25">
      <c r="A690" s="1">
        <v>45387</v>
      </c>
      <c r="B690" s="2" t="s">
        <v>9</v>
      </c>
      <c r="C690" s="3">
        <v>8.49</v>
      </c>
      <c r="D690" s="3">
        <v>241</v>
      </c>
      <c r="E690" s="3">
        <v>2046.0900000000001</v>
      </c>
      <c r="F690" t="str">
        <f t="shared" si="51"/>
        <v>cogs</v>
      </c>
      <c r="G690" s="7" t="str">
        <f t="shared" si="54"/>
        <v>product 3</v>
      </c>
      <c r="H690">
        <f t="shared" si="52"/>
        <v>2024</v>
      </c>
      <c r="I690">
        <f t="shared" si="53"/>
        <v>4</v>
      </c>
      <c r="J690">
        <f t="shared" si="55"/>
        <v>-50.97</v>
      </c>
    </row>
    <row r="691" spans="1:10" ht="12.5" x14ac:dyDescent="0.25">
      <c r="A691" s="1">
        <v>45387</v>
      </c>
      <c r="B691" s="2" t="s">
        <v>10</v>
      </c>
      <c r="C691" s="2" t="s">
        <v>6</v>
      </c>
      <c r="D691" s="2" t="s">
        <v>6</v>
      </c>
      <c r="E691" s="3">
        <v>99.98</v>
      </c>
      <c r="F691" t="str">
        <f t="shared" si="51"/>
        <v>marketing</v>
      </c>
      <c r="G691" s="7" t="s">
        <v>6</v>
      </c>
      <c r="H691">
        <f t="shared" si="52"/>
        <v>2024</v>
      </c>
      <c r="I691">
        <f t="shared" si="53"/>
        <v>4</v>
      </c>
      <c r="J691">
        <f t="shared" si="55"/>
        <v>-1698</v>
      </c>
    </row>
    <row r="692" spans="1:10" ht="12.5" x14ac:dyDescent="0.25">
      <c r="A692" s="1">
        <v>45387</v>
      </c>
      <c r="B692" s="2" t="s">
        <v>11</v>
      </c>
      <c r="C692" s="3">
        <v>9.99</v>
      </c>
      <c r="D692" s="3">
        <v>22</v>
      </c>
      <c r="E692" s="3">
        <v>219.78</v>
      </c>
      <c r="F692" t="str">
        <f t="shared" si="51"/>
        <v>net sales</v>
      </c>
      <c r="G692" s="7" t="str">
        <f t="shared" si="54"/>
        <v>product 1</v>
      </c>
      <c r="H692">
        <f t="shared" si="52"/>
        <v>2024</v>
      </c>
      <c r="I692">
        <f t="shared" si="53"/>
        <v>4</v>
      </c>
      <c r="J692">
        <f t="shared" si="55"/>
        <v>-100.01</v>
      </c>
    </row>
    <row r="693" spans="1:10" ht="12.5" x14ac:dyDescent="0.25">
      <c r="A693" s="1">
        <v>45387</v>
      </c>
      <c r="B693" s="2" t="s">
        <v>12</v>
      </c>
      <c r="C693" s="3">
        <v>24.99</v>
      </c>
      <c r="D693" s="3">
        <v>4</v>
      </c>
      <c r="E693" s="3">
        <v>99.96</v>
      </c>
      <c r="F693" t="str">
        <f t="shared" si="51"/>
        <v>net sales</v>
      </c>
      <c r="G693" s="7" t="str">
        <f t="shared" si="54"/>
        <v>product 2</v>
      </c>
      <c r="H693">
        <f t="shared" si="52"/>
        <v>2024</v>
      </c>
      <c r="I693">
        <f t="shared" si="53"/>
        <v>4</v>
      </c>
      <c r="J693">
        <f t="shared" si="55"/>
        <v>29.97</v>
      </c>
    </row>
    <row r="694" spans="1:10" ht="12.5" x14ac:dyDescent="0.25">
      <c r="A694" s="1">
        <v>45387</v>
      </c>
      <c r="B694" s="2" t="s">
        <v>13</v>
      </c>
      <c r="C694" s="3">
        <v>12.49</v>
      </c>
      <c r="D694" s="3">
        <v>241</v>
      </c>
      <c r="E694" s="3">
        <v>3010.09</v>
      </c>
      <c r="F694" t="str">
        <f t="shared" si="51"/>
        <v>net sales</v>
      </c>
      <c r="G694" s="7" t="str">
        <f t="shared" si="54"/>
        <v>product 3</v>
      </c>
      <c r="H694">
        <f t="shared" si="52"/>
        <v>2024</v>
      </c>
      <c r="I694">
        <f t="shared" si="53"/>
        <v>4</v>
      </c>
      <c r="J694">
        <f t="shared" si="55"/>
        <v>74.97</v>
      </c>
    </row>
    <row r="695" spans="1:10" ht="12.5" x14ac:dyDescent="0.25">
      <c r="A695" s="1">
        <v>45388</v>
      </c>
      <c r="B695" s="2" t="s">
        <v>7</v>
      </c>
      <c r="C695" s="3">
        <v>5.99</v>
      </c>
      <c r="D695" s="3">
        <v>19</v>
      </c>
      <c r="E695" s="3">
        <v>113.81</v>
      </c>
      <c r="F695" t="str">
        <f t="shared" si="51"/>
        <v>cogs</v>
      </c>
      <c r="G695" s="7" t="str">
        <f t="shared" si="54"/>
        <v>product 1</v>
      </c>
      <c r="H695">
        <f t="shared" si="52"/>
        <v>2024</v>
      </c>
      <c r="I695">
        <f t="shared" si="53"/>
        <v>4</v>
      </c>
      <c r="J695">
        <f t="shared" si="55"/>
        <v>2498</v>
      </c>
    </row>
    <row r="696" spans="1:10" ht="12.5" x14ac:dyDescent="0.25">
      <c r="A696" s="1">
        <v>45388</v>
      </c>
      <c r="B696" s="2" t="s">
        <v>8</v>
      </c>
      <c r="C696" s="3">
        <v>16.989999999999998</v>
      </c>
      <c r="D696" s="3">
        <v>8</v>
      </c>
      <c r="E696" s="3">
        <v>135.91999999999999</v>
      </c>
      <c r="F696" t="str">
        <f t="shared" si="51"/>
        <v>cogs</v>
      </c>
      <c r="G696" s="7" t="str">
        <f t="shared" si="54"/>
        <v>product 2</v>
      </c>
      <c r="H696">
        <f t="shared" si="52"/>
        <v>2024</v>
      </c>
      <c r="I696">
        <f t="shared" si="53"/>
        <v>4</v>
      </c>
      <c r="J696">
        <f t="shared" si="55"/>
        <v>-359.40000000000003</v>
      </c>
    </row>
    <row r="697" spans="1:10" ht="12.5" x14ac:dyDescent="0.25">
      <c r="A697" s="1">
        <v>45388</v>
      </c>
      <c r="B697" s="2" t="s">
        <v>9</v>
      </c>
      <c r="C697" s="3">
        <v>8.49</v>
      </c>
      <c r="D697" s="3">
        <v>66</v>
      </c>
      <c r="E697" s="3">
        <v>560.34</v>
      </c>
      <c r="F697" t="str">
        <f t="shared" si="51"/>
        <v>cogs</v>
      </c>
      <c r="G697" s="7" t="str">
        <f t="shared" si="54"/>
        <v>product 3</v>
      </c>
      <c r="H697">
        <f t="shared" si="52"/>
        <v>2024</v>
      </c>
      <c r="I697">
        <f t="shared" si="53"/>
        <v>4</v>
      </c>
      <c r="J697">
        <f t="shared" si="55"/>
        <v>-169.89999999999998</v>
      </c>
    </row>
    <row r="698" spans="1:10" ht="12.5" x14ac:dyDescent="0.25">
      <c r="A698" s="1">
        <v>45388</v>
      </c>
      <c r="B698" s="2" t="s">
        <v>10</v>
      </c>
      <c r="C698" s="2" t="s">
        <v>6</v>
      </c>
      <c r="D698" s="2" t="s">
        <v>6</v>
      </c>
      <c r="E698" s="3">
        <v>99.990000000000009</v>
      </c>
      <c r="F698" t="str">
        <f t="shared" si="51"/>
        <v>marketing</v>
      </c>
      <c r="G698" s="7" t="s">
        <v>6</v>
      </c>
      <c r="H698">
        <f t="shared" si="52"/>
        <v>2024</v>
      </c>
      <c r="I698">
        <f t="shared" si="53"/>
        <v>4</v>
      </c>
      <c r="J698">
        <f t="shared" si="55"/>
        <v>-1604.6100000000001</v>
      </c>
    </row>
    <row r="699" spans="1:10" ht="12.5" x14ac:dyDescent="0.25">
      <c r="A699" s="1">
        <v>45388</v>
      </c>
      <c r="B699" s="2" t="s">
        <v>11</v>
      </c>
      <c r="C699" s="3">
        <v>9.99</v>
      </c>
      <c r="D699" s="3">
        <v>19</v>
      </c>
      <c r="E699" s="3">
        <v>189.81</v>
      </c>
      <c r="F699" t="str">
        <f t="shared" si="51"/>
        <v>net sales</v>
      </c>
      <c r="G699" s="7" t="str">
        <f t="shared" si="54"/>
        <v>product 1</v>
      </c>
      <c r="H699">
        <f t="shared" si="52"/>
        <v>2024</v>
      </c>
      <c r="I699">
        <f t="shared" si="53"/>
        <v>4</v>
      </c>
      <c r="J699">
        <f t="shared" si="55"/>
        <v>-100.03</v>
      </c>
    </row>
    <row r="700" spans="1:10" ht="12.5" x14ac:dyDescent="0.25">
      <c r="A700" s="1">
        <v>45388</v>
      </c>
      <c r="B700" s="2" t="s">
        <v>12</v>
      </c>
      <c r="C700" s="3">
        <v>24.99</v>
      </c>
      <c r="D700" s="3">
        <v>8</v>
      </c>
      <c r="E700" s="3">
        <v>199.92</v>
      </c>
      <c r="F700" t="str">
        <f t="shared" si="51"/>
        <v>net sales</v>
      </c>
      <c r="G700" s="7" t="str">
        <f t="shared" si="54"/>
        <v>product 2</v>
      </c>
      <c r="H700">
        <f t="shared" si="52"/>
        <v>2024</v>
      </c>
      <c r="I700">
        <f t="shared" si="53"/>
        <v>4</v>
      </c>
      <c r="J700">
        <f t="shared" si="55"/>
        <v>599.4</v>
      </c>
    </row>
    <row r="701" spans="1:10" ht="12.5" x14ac:dyDescent="0.25">
      <c r="A701" s="1">
        <v>45388</v>
      </c>
      <c r="B701" s="2" t="s">
        <v>13</v>
      </c>
      <c r="C701" s="3">
        <v>12.49</v>
      </c>
      <c r="D701" s="3">
        <v>66</v>
      </c>
      <c r="E701" s="3">
        <v>824.34</v>
      </c>
      <c r="F701" t="str">
        <f t="shared" si="51"/>
        <v>net sales</v>
      </c>
      <c r="G701" s="7" t="str">
        <f t="shared" si="54"/>
        <v>product 3</v>
      </c>
      <c r="H701">
        <f t="shared" si="52"/>
        <v>2024</v>
      </c>
      <c r="I701">
        <f t="shared" si="53"/>
        <v>4</v>
      </c>
      <c r="J701">
        <f t="shared" si="55"/>
        <v>249.89999999999998</v>
      </c>
    </row>
    <row r="702" spans="1:10" ht="12.5" x14ac:dyDescent="0.25">
      <c r="A702" s="1">
        <v>45389</v>
      </c>
      <c r="B702" s="2" t="s">
        <v>7</v>
      </c>
      <c r="C702" s="3">
        <v>5.99</v>
      </c>
      <c r="D702" s="3">
        <v>8</v>
      </c>
      <c r="E702" s="3">
        <v>47.92</v>
      </c>
      <c r="F702" t="str">
        <f t="shared" si="51"/>
        <v>cogs</v>
      </c>
      <c r="G702" s="7" t="str">
        <f t="shared" si="54"/>
        <v>product 1</v>
      </c>
      <c r="H702">
        <f t="shared" si="52"/>
        <v>2024</v>
      </c>
      <c r="I702">
        <f t="shared" si="53"/>
        <v>4</v>
      </c>
      <c r="J702">
        <f t="shared" si="55"/>
        <v>2360.61</v>
      </c>
    </row>
    <row r="703" spans="1:10" ht="12.5" x14ac:dyDescent="0.25">
      <c r="A703" s="1">
        <v>45389</v>
      </c>
      <c r="B703" s="2" t="s">
        <v>8</v>
      </c>
      <c r="C703" s="3">
        <v>16.989999999999998</v>
      </c>
      <c r="D703" s="3">
        <v>3</v>
      </c>
      <c r="E703" s="3">
        <v>50.97</v>
      </c>
      <c r="F703" t="str">
        <f t="shared" si="51"/>
        <v>cogs</v>
      </c>
      <c r="G703" s="7" t="str">
        <f t="shared" si="54"/>
        <v>product 2</v>
      </c>
      <c r="H703">
        <f t="shared" si="52"/>
        <v>2024</v>
      </c>
      <c r="I703">
        <f t="shared" si="53"/>
        <v>4</v>
      </c>
      <c r="J703">
        <f t="shared" si="55"/>
        <v>-5.99</v>
      </c>
    </row>
    <row r="704" spans="1:10" ht="12.5" x14ac:dyDescent="0.25">
      <c r="A704" s="1">
        <v>45389</v>
      </c>
      <c r="B704" s="2" t="s">
        <v>9</v>
      </c>
      <c r="C704" s="3">
        <v>8.49</v>
      </c>
      <c r="D704" s="3">
        <v>184</v>
      </c>
      <c r="E704" s="3">
        <v>1562.16</v>
      </c>
      <c r="F704" t="str">
        <f t="shared" si="51"/>
        <v>cogs</v>
      </c>
      <c r="G704" s="7" t="str">
        <f t="shared" si="54"/>
        <v>product 3</v>
      </c>
      <c r="H704">
        <f t="shared" si="52"/>
        <v>2024</v>
      </c>
      <c r="I704">
        <f t="shared" si="53"/>
        <v>4</v>
      </c>
      <c r="J704">
        <f t="shared" si="55"/>
        <v>-101.94</v>
      </c>
    </row>
    <row r="705" spans="1:10" ht="12.5" x14ac:dyDescent="0.25">
      <c r="A705" s="1">
        <v>45389</v>
      </c>
      <c r="B705" s="2" t="s">
        <v>10</v>
      </c>
      <c r="C705" s="2" t="s">
        <v>6</v>
      </c>
      <c r="D705" s="2" t="s">
        <v>6</v>
      </c>
      <c r="E705" s="3">
        <v>99.97</v>
      </c>
      <c r="F705" t="str">
        <f t="shared" si="51"/>
        <v>marketing</v>
      </c>
      <c r="G705" s="7" t="s">
        <v>6</v>
      </c>
      <c r="H705">
        <f t="shared" si="52"/>
        <v>2024</v>
      </c>
      <c r="I705">
        <f t="shared" si="53"/>
        <v>4</v>
      </c>
      <c r="J705">
        <f t="shared" si="55"/>
        <v>-483.93</v>
      </c>
    </row>
    <row r="706" spans="1:10" ht="12.5" x14ac:dyDescent="0.25">
      <c r="A706" s="1">
        <v>45389</v>
      </c>
      <c r="B706" s="2" t="s">
        <v>11</v>
      </c>
      <c r="C706" s="3">
        <v>9.99</v>
      </c>
      <c r="D706" s="3">
        <v>8</v>
      </c>
      <c r="E706" s="3">
        <v>79.92</v>
      </c>
      <c r="F706" t="str">
        <f t="shared" si="51"/>
        <v>net sales</v>
      </c>
      <c r="G706" s="7" t="str">
        <f t="shared" si="54"/>
        <v>product 1</v>
      </c>
      <c r="H706">
        <f t="shared" si="52"/>
        <v>2024</v>
      </c>
      <c r="I706">
        <f t="shared" si="53"/>
        <v>4</v>
      </c>
      <c r="J706">
        <f t="shared" si="55"/>
        <v>-99.9</v>
      </c>
    </row>
    <row r="707" spans="1:10" ht="12.5" x14ac:dyDescent="0.25">
      <c r="A707" s="1">
        <v>45389</v>
      </c>
      <c r="B707" s="2" t="s">
        <v>12</v>
      </c>
      <c r="C707" s="3">
        <v>24.99</v>
      </c>
      <c r="D707" s="3">
        <v>3</v>
      </c>
      <c r="E707" s="3">
        <v>74.97</v>
      </c>
      <c r="F707" t="str">
        <f t="shared" ref="F707:F770" si="56">IFERROR(LEFT(B707,FIND(":",B707)-1),B707)</f>
        <v>net sales</v>
      </c>
      <c r="G707" s="7" t="str">
        <f t="shared" ref="G707:G770" si="57">IFERROR(RIGHT(B707,LEN(B707)-FIND(":",B707)),"")</f>
        <v>product 2</v>
      </c>
      <c r="H707">
        <f t="shared" ref="H707:H770" si="58">YEAR(A707)</f>
        <v>2024</v>
      </c>
      <c r="I707">
        <f t="shared" ref="I707:I770" si="59">MONTH(A707)</f>
        <v>4</v>
      </c>
      <c r="J707">
        <f t="shared" si="55"/>
        <v>9.99</v>
      </c>
    </row>
    <row r="708" spans="1:10" ht="12.5" x14ac:dyDescent="0.25">
      <c r="A708" s="1">
        <v>45389</v>
      </c>
      <c r="B708" s="2" t="s">
        <v>13</v>
      </c>
      <c r="C708" s="3">
        <v>12.49</v>
      </c>
      <c r="D708" s="3">
        <v>184</v>
      </c>
      <c r="E708" s="3">
        <v>2298.16</v>
      </c>
      <c r="F708" t="str">
        <f t="shared" si="56"/>
        <v>net sales</v>
      </c>
      <c r="G708" s="7" t="str">
        <f t="shared" si="57"/>
        <v>product 3</v>
      </c>
      <c r="H708">
        <f t="shared" si="58"/>
        <v>2024</v>
      </c>
      <c r="I708">
        <f t="shared" si="59"/>
        <v>4</v>
      </c>
      <c r="J708">
        <f t="shared" si="55"/>
        <v>149.94</v>
      </c>
    </row>
    <row r="709" spans="1:10" ht="12.5" x14ac:dyDescent="0.25">
      <c r="A709" s="1">
        <v>45390</v>
      </c>
      <c r="B709" s="2" t="s">
        <v>7</v>
      </c>
      <c r="C709" s="3">
        <v>5.99</v>
      </c>
      <c r="D709" s="3">
        <v>76</v>
      </c>
      <c r="E709" s="3">
        <v>455.24</v>
      </c>
      <c r="F709" t="str">
        <f t="shared" si="56"/>
        <v>cogs</v>
      </c>
      <c r="G709" s="7" t="str">
        <f t="shared" si="57"/>
        <v>product 1</v>
      </c>
      <c r="H709">
        <f t="shared" si="58"/>
        <v>2024</v>
      </c>
      <c r="I709">
        <f t="shared" si="59"/>
        <v>4</v>
      </c>
      <c r="J709">
        <f t="shared" si="55"/>
        <v>711.93000000000006</v>
      </c>
    </row>
    <row r="710" spans="1:10" ht="12.5" x14ac:dyDescent="0.25">
      <c r="A710" s="1">
        <v>45390</v>
      </c>
      <c r="B710" s="2" t="s">
        <v>8</v>
      </c>
      <c r="C710" s="3">
        <v>16.989999999999998</v>
      </c>
      <c r="D710" s="3">
        <v>9</v>
      </c>
      <c r="E710" s="3">
        <v>152.91</v>
      </c>
      <c r="F710" t="str">
        <f t="shared" si="56"/>
        <v>cogs</v>
      </c>
      <c r="G710" s="7" t="str">
        <f t="shared" si="57"/>
        <v>product 2</v>
      </c>
      <c r="H710">
        <f t="shared" si="58"/>
        <v>2024</v>
      </c>
      <c r="I710">
        <f t="shared" si="59"/>
        <v>4</v>
      </c>
      <c r="J710">
        <f t="shared" si="55"/>
        <v>-269.55</v>
      </c>
    </row>
    <row r="711" spans="1:10" ht="12.5" x14ac:dyDescent="0.25">
      <c r="A711" s="1">
        <v>45390</v>
      </c>
      <c r="B711" s="2" t="s">
        <v>9</v>
      </c>
      <c r="C711" s="3">
        <v>8.49</v>
      </c>
      <c r="D711" s="3">
        <v>91</v>
      </c>
      <c r="E711" s="3">
        <v>772.59</v>
      </c>
      <c r="F711" t="str">
        <f t="shared" si="56"/>
        <v>cogs</v>
      </c>
      <c r="G711" s="7" t="str">
        <f t="shared" si="57"/>
        <v>product 3</v>
      </c>
      <c r="H711">
        <f t="shared" si="58"/>
        <v>2024</v>
      </c>
      <c r="I711">
        <f t="shared" si="59"/>
        <v>4</v>
      </c>
      <c r="J711">
        <f t="shared" si="55"/>
        <v>-84.949999999999989</v>
      </c>
    </row>
    <row r="712" spans="1:10" ht="12.5" x14ac:dyDescent="0.25">
      <c r="A712" s="1">
        <v>45390</v>
      </c>
      <c r="B712" s="2" t="s">
        <v>10</v>
      </c>
      <c r="C712" s="2" t="s">
        <v>6</v>
      </c>
      <c r="D712" s="2" t="s">
        <v>6</v>
      </c>
      <c r="E712" s="3">
        <v>100.04</v>
      </c>
      <c r="F712" t="str">
        <f t="shared" si="56"/>
        <v>marketing</v>
      </c>
      <c r="G712" s="7" t="s">
        <v>6</v>
      </c>
      <c r="H712">
        <f t="shared" si="58"/>
        <v>2024</v>
      </c>
      <c r="I712">
        <f t="shared" si="59"/>
        <v>4</v>
      </c>
      <c r="J712">
        <f t="shared" si="55"/>
        <v>-1129.17</v>
      </c>
    </row>
    <row r="713" spans="1:10" ht="12.5" x14ac:dyDescent="0.25">
      <c r="A713" s="1">
        <v>45390</v>
      </c>
      <c r="B713" s="2" t="s">
        <v>11</v>
      </c>
      <c r="C713" s="3">
        <v>9.99</v>
      </c>
      <c r="D713" s="3">
        <v>76</v>
      </c>
      <c r="E713" s="3">
        <v>759.24</v>
      </c>
      <c r="F713" t="str">
        <f t="shared" si="56"/>
        <v>net sales</v>
      </c>
      <c r="G713" s="7" t="str">
        <f t="shared" si="57"/>
        <v>product 1</v>
      </c>
      <c r="H713">
        <f t="shared" si="58"/>
        <v>2024</v>
      </c>
      <c r="I713">
        <f t="shared" si="59"/>
        <v>4</v>
      </c>
      <c r="J713">
        <f t="shared" si="55"/>
        <v>-99.92</v>
      </c>
    </row>
    <row r="714" spans="1:10" ht="12.5" x14ac:dyDescent="0.25">
      <c r="A714" s="1">
        <v>45390</v>
      </c>
      <c r="B714" s="2" t="s">
        <v>12</v>
      </c>
      <c r="C714" s="3">
        <v>24.99</v>
      </c>
      <c r="D714" s="3">
        <v>9</v>
      </c>
      <c r="E714" s="3">
        <v>224.91</v>
      </c>
      <c r="F714" t="str">
        <f t="shared" si="56"/>
        <v>net sales</v>
      </c>
      <c r="G714" s="7" t="str">
        <f t="shared" si="57"/>
        <v>product 2</v>
      </c>
      <c r="H714">
        <f t="shared" si="58"/>
        <v>2024</v>
      </c>
      <c r="I714">
        <f t="shared" si="59"/>
        <v>4</v>
      </c>
      <c r="J714">
        <f t="shared" si="55"/>
        <v>449.55</v>
      </c>
    </row>
    <row r="715" spans="1:10" ht="12.5" x14ac:dyDescent="0.25">
      <c r="A715" s="1">
        <v>45390</v>
      </c>
      <c r="B715" s="2" t="s">
        <v>13</v>
      </c>
      <c r="C715" s="3">
        <v>12.49</v>
      </c>
      <c r="D715" s="3">
        <v>91</v>
      </c>
      <c r="E715" s="3">
        <v>1136.5899999999999</v>
      </c>
      <c r="F715" t="str">
        <f t="shared" si="56"/>
        <v>net sales</v>
      </c>
      <c r="G715" s="7" t="str">
        <f t="shared" si="57"/>
        <v>product 3</v>
      </c>
      <c r="H715">
        <f t="shared" si="58"/>
        <v>2024</v>
      </c>
      <c r="I715">
        <f t="shared" si="59"/>
        <v>4</v>
      </c>
      <c r="J715">
        <f t="shared" si="55"/>
        <v>124.94999999999999</v>
      </c>
    </row>
    <row r="716" spans="1:10" ht="12.5" x14ac:dyDescent="0.25">
      <c r="A716" s="1">
        <v>45391</v>
      </c>
      <c r="B716" s="2" t="s">
        <v>7</v>
      </c>
      <c r="C716" s="3">
        <v>5.99</v>
      </c>
      <c r="D716" s="3">
        <v>4</v>
      </c>
      <c r="E716" s="3">
        <v>23.96</v>
      </c>
      <c r="F716" t="str">
        <f t="shared" si="56"/>
        <v>cogs</v>
      </c>
      <c r="G716" s="7" t="str">
        <f t="shared" si="57"/>
        <v>product 1</v>
      </c>
      <c r="H716">
        <f t="shared" si="58"/>
        <v>2024</v>
      </c>
      <c r="I716">
        <f t="shared" si="59"/>
        <v>4</v>
      </c>
      <c r="J716">
        <f t="shared" si="55"/>
        <v>1661.17</v>
      </c>
    </row>
    <row r="717" spans="1:10" ht="12.5" x14ac:dyDescent="0.25">
      <c r="A717" s="1">
        <v>45391</v>
      </c>
      <c r="B717" s="2" t="s">
        <v>8</v>
      </c>
      <c r="C717" s="3">
        <v>16.989999999999998</v>
      </c>
      <c r="D717" s="3">
        <v>4</v>
      </c>
      <c r="E717" s="3">
        <v>67.959999999999994</v>
      </c>
      <c r="F717" t="str">
        <f t="shared" si="56"/>
        <v>cogs</v>
      </c>
      <c r="G717" s="7" t="str">
        <f t="shared" si="57"/>
        <v>product 2</v>
      </c>
      <c r="H717">
        <f t="shared" si="58"/>
        <v>2024</v>
      </c>
      <c r="I717">
        <f t="shared" si="59"/>
        <v>4</v>
      </c>
      <c r="J717">
        <f t="shared" si="55"/>
        <v>-527.12</v>
      </c>
    </row>
    <row r="718" spans="1:10" ht="12.5" x14ac:dyDescent="0.25">
      <c r="A718" s="1">
        <v>45391</v>
      </c>
      <c r="B718" s="2" t="s">
        <v>9</v>
      </c>
      <c r="C718" s="3">
        <v>8.49</v>
      </c>
      <c r="D718" s="3">
        <v>229</v>
      </c>
      <c r="E718" s="3">
        <v>1944.21</v>
      </c>
      <c r="F718" t="str">
        <f t="shared" si="56"/>
        <v>cogs</v>
      </c>
      <c r="G718" s="7" t="str">
        <f t="shared" si="57"/>
        <v>product 3</v>
      </c>
      <c r="H718">
        <f t="shared" si="58"/>
        <v>2024</v>
      </c>
      <c r="I718">
        <f t="shared" si="59"/>
        <v>4</v>
      </c>
      <c r="J718">
        <f t="shared" si="55"/>
        <v>-84.949999999999989</v>
      </c>
    </row>
    <row r="719" spans="1:10" ht="12.5" x14ac:dyDescent="0.25">
      <c r="A719" s="1">
        <v>45391</v>
      </c>
      <c r="B719" s="2" t="s">
        <v>10</v>
      </c>
      <c r="C719" s="2" t="s">
        <v>6</v>
      </c>
      <c r="D719" s="2" t="s">
        <v>6</v>
      </c>
      <c r="E719" s="3">
        <v>100.05</v>
      </c>
      <c r="F719" t="str">
        <f t="shared" si="56"/>
        <v>marketing</v>
      </c>
      <c r="G719" s="7" t="s">
        <v>6</v>
      </c>
      <c r="H719">
        <f t="shared" si="58"/>
        <v>2024</v>
      </c>
      <c r="I719">
        <f t="shared" si="59"/>
        <v>4</v>
      </c>
      <c r="J719">
        <f t="shared" si="55"/>
        <v>-356.58</v>
      </c>
    </row>
    <row r="720" spans="1:10" ht="12.5" x14ac:dyDescent="0.25">
      <c r="A720" s="1">
        <v>45391</v>
      </c>
      <c r="B720" s="2" t="s">
        <v>11</v>
      </c>
      <c r="C720" s="3">
        <v>9.99</v>
      </c>
      <c r="D720" s="3">
        <v>4</v>
      </c>
      <c r="E720" s="3">
        <v>39.96</v>
      </c>
      <c r="F720" t="str">
        <f t="shared" si="56"/>
        <v>net sales</v>
      </c>
      <c r="G720" s="7" t="str">
        <f t="shared" si="57"/>
        <v>product 1</v>
      </c>
      <c r="H720">
        <f t="shared" si="58"/>
        <v>2024</v>
      </c>
      <c r="I720">
        <f t="shared" si="59"/>
        <v>4</v>
      </c>
      <c r="J720">
        <f t="shared" si="55"/>
        <v>-100.09</v>
      </c>
    </row>
    <row r="721" spans="1:10" ht="12.5" x14ac:dyDescent="0.25">
      <c r="A721" s="1">
        <v>45391</v>
      </c>
      <c r="B721" s="2" t="s">
        <v>12</v>
      </c>
      <c r="C721" s="3">
        <v>24.99</v>
      </c>
      <c r="D721" s="3">
        <v>4</v>
      </c>
      <c r="E721" s="3">
        <v>99.96</v>
      </c>
      <c r="F721" t="str">
        <f t="shared" si="56"/>
        <v>net sales</v>
      </c>
      <c r="G721" s="7" t="str">
        <f t="shared" si="57"/>
        <v>product 2</v>
      </c>
      <c r="H721">
        <f t="shared" si="58"/>
        <v>2024</v>
      </c>
      <c r="I721">
        <f t="shared" si="59"/>
        <v>4</v>
      </c>
      <c r="J721">
        <f t="shared" si="55"/>
        <v>879.12</v>
      </c>
    </row>
    <row r="722" spans="1:10" ht="12.5" x14ac:dyDescent="0.25">
      <c r="A722" s="1">
        <v>45391</v>
      </c>
      <c r="B722" s="2" t="s">
        <v>13</v>
      </c>
      <c r="C722" s="3">
        <v>12.49</v>
      </c>
      <c r="D722" s="3">
        <v>229</v>
      </c>
      <c r="E722" s="3">
        <v>2860.21</v>
      </c>
      <c r="F722" t="str">
        <f t="shared" si="56"/>
        <v>net sales</v>
      </c>
      <c r="G722" s="7" t="str">
        <f t="shared" si="57"/>
        <v>product 3</v>
      </c>
      <c r="H722">
        <f t="shared" si="58"/>
        <v>2024</v>
      </c>
      <c r="I722">
        <f t="shared" si="59"/>
        <v>4</v>
      </c>
      <c r="J722">
        <f t="shared" si="55"/>
        <v>124.94999999999999</v>
      </c>
    </row>
    <row r="723" spans="1:10" ht="12.5" x14ac:dyDescent="0.25">
      <c r="A723" s="1">
        <v>45392</v>
      </c>
      <c r="B723" s="2" t="s">
        <v>7</v>
      </c>
      <c r="C723" s="3">
        <v>5.99</v>
      </c>
      <c r="D723" s="3">
        <v>44</v>
      </c>
      <c r="E723" s="3">
        <v>263.56</v>
      </c>
      <c r="F723" t="str">
        <f t="shared" si="56"/>
        <v>cogs</v>
      </c>
      <c r="G723" s="7" t="str">
        <f t="shared" si="57"/>
        <v>product 1</v>
      </c>
      <c r="H723">
        <f t="shared" si="58"/>
        <v>2024</v>
      </c>
      <c r="I723">
        <f t="shared" si="59"/>
        <v>4</v>
      </c>
      <c r="J723">
        <f t="shared" si="55"/>
        <v>524.58000000000004</v>
      </c>
    </row>
    <row r="724" spans="1:10" ht="12.5" x14ac:dyDescent="0.25">
      <c r="A724" s="1">
        <v>45392</v>
      </c>
      <c r="B724" s="2" t="s">
        <v>8</v>
      </c>
      <c r="C724" s="3">
        <v>16.989999999999998</v>
      </c>
      <c r="D724" s="3">
        <v>9</v>
      </c>
      <c r="E724" s="3">
        <v>152.91</v>
      </c>
      <c r="F724" t="str">
        <f t="shared" si="56"/>
        <v>cogs</v>
      </c>
      <c r="G724" s="7" t="str">
        <f t="shared" si="57"/>
        <v>product 2</v>
      </c>
      <c r="H724">
        <f t="shared" si="58"/>
        <v>2024</v>
      </c>
      <c r="I724">
        <f t="shared" si="59"/>
        <v>4</v>
      </c>
      <c r="J724">
        <f t="shared" si="55"/>
        <v>-275.54000000000002</v>
      </c>
    </row>
    <row r="725" spans="1:10" ht="12.5" x14ac:dyDescent="0.25">
      <c r="A725" s="1">
        <v>45392</v>
      </c>
      <c r="B725" s="2" t="s">
        <v>9</v>
      </c>
      <c r="C725" s="3">
        <v>8.49</v>
      </c>
      <c r="D725" s="3">
        <v>49</v>
      </c>
      <c r="E725" s="3">
        <v>416.01</v>
      </c>
      <c r="F725" t="str">
        <f t="shared" si="56"/>
        <v>cogs</v>
      </c>
      <c r="G725" s="7" t="str">
        <f t="shared" si="57"/>
        <v>product 3</v>
      </c>
      <c r="H725">
        <f t="shared" si="58"/>
        <v>2024</v>
      </c>
      <c r="I725">
        <f t="shared" si="59"/>
        <v>4</v>
      </c>
      <c r="J725">
        <f t="shared" si="55"/>
        <v>-152.91</v>
      </c>
    </row>
    <row r="726" spans="1:10" ht="12.5" x14ac:dyDescent="0.25">
      <c r="A726" s="1">
        <v>45392</v>
      </c>
      <c r="B726" s="2" t="s">
        <v>10</v>
      </c>
      <c r="C726" s="2" t="s">
        <v>6</v>
      </c>
      <c r="D726" s="2" t="s">
        <v>6</v>
      </c>
      <c r="E726" s="3">
        <v>100</v>
      </c>
      <c r="F726" t="str">
        <f t="shared" si="56"/>
        <v>marketing</v>
      </c>
      <c r="G726" s="7" t="s">
        <v>6</v>
      </c>
      <c r="H726">
        <f t="shared" si="58"/>
        <v>2024</v>
      </c>
      <c r="I726">
        <f t="shared" si="59"/>
        <v>4</v>
      </c>
      <c r="J726">
        <f t="shared" si="55"/>
        <v>-670.71</v>
      </c>
    </row>
    <row r="727" spans="1:10" ht="12.5" x14ac:dyDescent="0.25">
      <c r="A727" s="1">
        <v>45392</v>
      </c>
      <c r="B727" s="2" t="s">
        <v>11</v>
      </c>
      <c r="C727" s="3">
        <v>9.99</v>
      </c>
      <c r="D727" s="3">
        <v>44</v>
      </c>
      <c r="E727" s="3">
        <v>439.56</v>
      </c>
      <c r="F727" t="str">
        <f t="shared" si="56"/>
        <v>net sales</v>
      </c>
      <c r="G727" s="7" t="str">
        <f t="shared" si="57"/>
        <v>product 1</v>
      </c>
      <c r="H727">
        <f t="shared" si="58"/>
        <v>2024</v>
      </c>
      <c r="I727">
        <f t="shared" si="59"/>
        <v>4</v>
      </c>
      <c r="J727">
        <f t="shared" si="55"/>
        <v>-99.95</v>
      </c>
    </row>
    <row r="728" spans="1:10" ht="12.5" x14ac:dyDescent="0.25">
      <c r="A728" s="1">
        <v>45392</v>
      </c>
      <c r="B728" s="2" t="s">
        <v>12</v>
      </c>
      <c r="C728" s="3">
        <v>24.99</v>
      </c>
      <c r="D728" s="3">
        <v>9</v>
      </c>
      <c r="E728" s="3">
        <v>224.91</v>
      </c>
      <c r="F728" t="str">
        <f t="shared" si="56"/>
        <v>net sales</v>
      </c>
      <c r="G728" s="7" t="str">
        <f t="shared" si="57"/>
        <v>product 2</v>
      </c>
      <c r="H728">
        <f t="shared" si="58"/>
        <v>2024</v>
      </c>
      <c r="I728">
        <f t="shared" si="59"/>
        <v>4</v>
      </c>
      <c r="J728">
        <f t="shared" si="55"/>
        <v>459.54</v>
      </c>
    </row>
    <row r="729" spans="1:10" ht="12.5" x14ac:dyDescent="0.25">
      <c r="A729" s="1">
        <v>45392</v>
      </c>
      <c r="B729" s="2" t="s">
        <v>13</v>
      </c>
      <c r="C729" s="3">
        <v>12.49</v>
      </c>
      <c r="D729" s="3">
        <v>49</v>
      </c>
      <c r="E729" s="3">
        <v>612.01</v>
      </c>
      <c r="F729" t="str">
        <f t="shared" si="56"/>
        <v>net sales</v>
      </c>
      <c r="G729" s="7" t="str">
        <f t="shared" si="57"/>
        <v>product 3</v>
      </c>
      <c r="H729">
        <f t="shared" si="58"/>
        <v>2024</v>
      </c>
      <c r="I729">
        <f t="shared" si="59"/>
        <v>4</v>
      </c>
      <c r="J729">
        <f t="shared" si="55"/>
        <v>224.91</v>
      </c>
    </row>
    <row r="730" spans="1:10" ht="12.5" x14ac:dyDescent="0.25">
      <c r="A730" s="1">
        <v>45393</v>
      </c>
      <c r="B730" s="2" t="s">
        <v>7</v>
      </c>
      <c r="C730" s="3">
        <v>5.99</v>
      </c>
      <c r="D730" s="3">
        <v>80</v>
      </c>
      <c r="E730" s="3">
        <v>479.20000000000005</v>
      </c>
      <c r="F730" t="str">
        <f t="shared" si="56"/>
        <v>cogs</v>
      </c>
      <c r="G730" s="7" t="str">
        <f t="shared" si="57"/>
        <v>product 1</v>
      </c>
      <c r="H730">
        <f t="shared" si="58"/>
        <v>2024</v>
      </c>
      <c r="I730">
        <f t="shared" si="59"/>
        <v>4</v>
      </c>
      <c r="J730">
        <f t="shared" si="55"/>
        <v>986.71</v>
      </c>
    </row>
    <row r="731" spans="1:10" ht="12.5" x14ac:dyDescent="0.25">
      <c r="A731" s="1">
        <v>45393</v>
      </c>
      <c r="B731" s="2" t="s">
        <v>8</v>
      </c>
      <c r="C731" s="3">
        <v>16.989999999999998</v>
      </c>
      <c r="D731" s="3">
        <v>3</v>
      </c>
      <c r="E731" s="3">
        <v>50.97</v>
      </c>
      <c r="F731" t="str">
        <f t="shared" si="56"/>
        <v>cogs</v>
      </c>
      <c r="G731" s="7" t="str">
        <f t="shared" si="57"/>
        <v>product 2</v>
      </c>
      <c r="H731">
        <f t="shared" si="58"/>
        <v>2024</v>
      </c>
      <c r="I731">
        <f t="shared" si="59"/>
        <v>4</v>
      </c>
      <c r="J731">
        <f t="shared" si="55"/>
        <v>-593.01</v>
      </c>
    </row>
    <row r="732" spans="1:10" ht="12.5" x14ac:dyDescent="0.25">
      <c r="A732" s="1">
        <v>45393</v>
      </c>
      <c r="B732" s="2" t="s">
        <v>9</v>
      </c>
      <c r="C732" s="3">
        <v>8.49</v>
      </c>
      <c r="D732" s="3">
        <v>202</v>
      </c>
      <c r="E732" s="3">
        <v>1714.98</v>
      </c>
      <c r="F732" t="str">
        <f t="shared" si="56"/>
        <v>cogs</v>
      </c>
      <c r="G732" s="7" t="str">
        <f t="shared" si="57"/>
        <v>product 3</v>
      </c>
      <c r="H732">
        <f t="shared" si="58"/>
        <v>2024</v>
      </c>
      <c r="I732">
        <f t="shared" si="59"/>
        <v>4</v>
      </c>
      <c r="J732">
        <f t="shared" ref="J732:J795" si="60">IF(F515="net sales",E515,
IF(F515="cogs",-E515,
IF(OR(F515="marketing",F515="overhead",F515="payroll",F515="interest","amortization"),-E515,0)))</f>
        <v>-33.979999999999997</v>
      </c>
    </row>
    <row r="733" spans="1:10" ht="12.5" x14ac:dyDescent="0.25">
      <c r="A733" s="1">
        <v>45393</v>
      </c>
      <c r="B733" s="2" t="s">
        <v>10</v>
      </c>
      <c r="C733" s="2" t="s">
        <v>6</v>
      </c>
      <c r="D733" s="2" t="s">
        <v>6</v>
      </c>
      <c r="E733" s="3">
        <v>100.06</v>
      </c>
      <c r="F733" t="str">
        <f t="shared" si="56"/>
        <v>marketing</v>
      </c>
      <c r="G733" s="7" t="s">
        <v>6</v>
      </c>
      <c r="H733">
        <f t="shared" si="58"/>
        <v>2024</v>
      </c>
      <c r="I733">
        <f t="shared" si="59"/>
        <v>4</v>
      </c>
      <c r="J733">
        <f t="shared" si="60"/>
        <v>-1069.74</v>
      </c>
    </row>
    <row r="734" spans="1:10" ht="12.5" x14ac:dyDescent="0.25">
      <c r="A734" s="1">
        <v>45393</v>
      </c>
      <c r="B734" s="2" t="s">
        <v>11</v>
      </c>
      <c r="C734" s="3">
        <v>9.99</v>
      </c>
      <c r="D734" s="3">
        <v>80</v>
      </c>
      <c r="E734" s="3">
        <v>799.2</v>
      </c>
      <c r="F734" t="str">
        <f t="shared" si="56"/>
        <v>net sales</v>
      </c>
      <c r="G734" s="7" t="str">
        <f t="shared" si="57"/>
        <v>product 1</v>
      </c>
      <c r="H734">
        <f t="shared" si="58"/>
        <v>2024</v>
      </c>
      <c r="I734">
        <f t="shared" si="59"/>
        <v>4</v>
      </c>
      <c r="J734">
        <f t="shared" si="60"/>
        <v>-100.07000000000001</v>
      </c>
    </row>
    <row r="735" spans="1:10" ht="12.5" x14ac:dyDescent="0.25">
      <c r="A735" s="1">
        <v>45393</v>
      </c>
      <c r="B735" s="2" t="s">
        <v>12</v>
      </c>
      <c r="C735" s="3">
        <v>24.99</v>
      </c>
      <c r="D735" s="3">
        <v>3</v>
      </c>
      <c r="E735" s="3">
        <v>74.97</v>
      </c>
      <c r="F735" t="str">
        <f t="shared" si="56"/>
        <v>net sales</v>
      </c>
      <c r="G735" s="7" t="str">
        <f t="shared" si="57"/>
        <v>product 2</v>
      </c>
      <c r="H735">
        <f t="shared" si="58"/>
        <v>2024</v>
      </c>
      <c r="I735">
        <f t="shared" si="59"/>
        <v>4</v>
      </c>
      <c r="J735">
        <f t="shared" si="60"/>
        <v>989.01</v>
      </c>
    </row>
    <row r="736" spans="1:10" ht="12.5" x14ac:dyDescent="0.25">
      <c r="A736" s="1">
        <v>45393</v>
      </c>
      <c r="B736" s="2" t="s">
        <v>13</v>
      </c>
      <c r="C736" s="3">
        <v>12.49</v>
      </c>
      <c r="D736" s="3">
        <v>202</v>
      </c>
      <c r="E736" s="3">
        <v>2522.98</v>
      </c>
      <c r="F736" t="str">
        <f t="shared" si="56"/>
        <v>net sales</v>
      </c>
      <c r="G736" s="7" t="str">
        <f t="shared" si="57"/>
        <v>product 3</v>
      </c>
      <c r="H736">
        <f t="shared" si="58"/>
        <v>2024</v>
      </c>
      <c r="I736">
        <f t="shared" si="59"/>
        <v>4</v>
      </c>
      <c r="J736">
        <f t="shared" si="60"/>
        <v>49.98</v>
      </c>
    </row>
    <row r="737" spans="1:10" ht="12.5" x14ac:dyDescent="0.25">
      <c r="A737" s="1">
        <v>45394</v>
      </c>
      <c r="B737" s="2" t="s">
        <v>7</v>
      </c>
      <c r="C737" s="3">
        <v>5.99</v>
      </c>
      <c r="D737" s="3">
        <v>46</v>
      </c>
      <c r="E737" s="3">
        <v>275.54000000000002</v>
      </c>
      <c r="F737" t="str">
        <f t="shared" si="56"/>
        <v>cogs</v>
      </c>
      <c r="G737" s="7" t="str">
        <f t="shared" si="57"/>
        <v>product 1</v>
      </c>
      <c r="H737">
        <f t="shared" si="58"/>
        <v>2024</v>
      </c>
      <c r="I737">
        <f t="shared" si="59"/>
        <v>4</v>
      </c>
      <c r="J737">
        <f t="shared" si="60"/>
        <v>1573.74</v>
      </c>
    </row>
    <row r="738" spans="1:10" ht="12.5" x14ac:dyDescent="0.25">
      <c r="A738" s="1">
        <v>45394</v>
      </c>
      <c r="B738" s="2" t="s">
        <v>8</v>
      </c>
      <c r="C738" s="3">
        <v>16.989999999999998</v>
      </c>
      <c r="D738" s="3">
        <v>9</v>
      </c>
      <c r="E738" s="3">
        <v>152.91</v>
      </c>
      <c r="F738" t="str">
        <f t="shared" si="56"/>
        <v>cogs</v>
      </c>
      <c r="G738" s="7" t="str">
        <f t="shared" si="57"/>
        <v>product 2</v>
      </c>
      <c r="H738">
        <f t="shared" si="58"/>
        <v>2024</v>
      </c>
      <c r="I738">
        <f t="shared" si="59"/>
        <v>4</v>
      </c>
      <c r="J738">
        <f t="shared" si="60"/>
        <v>-305.49</v>
      </c>
    </row>
    <row r="739" spans="1:10" ht="12.5" x14ac:dyDescent="0.25">
      <c r="A739" s="1">
        <v>45394</v>
      </c>
      <c r="B739" s="2" t="s">
        <v>9</v>
      </c>
      <c r="C739" s="3">
        <v>8.49</v>
      </c>
      <c r="D739" s="3">
        <v>44</v>
      </c>
      <c r="E739" s="3">
        <v>373.56</v>
      </c>
      <c r="F739" t="str">
        <f t="shared" si="56"/>
        <v>cogs</v>
      </c>
      <c r="G739" s="7" t="str">
        <f t="shared" si="57"/>
        <v>product 3</v>
      </c>
      <c r="H739">
        <f t="shared" si="58"/>
        <v>2024</v>
      </c>
      <c r="I739">
        <f t="shared" si="59"/>
        <v>4</v>
      </c>
      <c r="J739">
        <f t="shared" si="60"/>
        <v>-135.91999999999999</v>
      </c>
    </row>
    <row r="740" spans="1:10" ht="12.5" x14ac:dyDescent="0.25">
      <c r="A740" s="1">
        <v>45394</v>
      </c>
      <c r="B740" s="2" t="s">
        <v>10</v>
      </c>
      <c r="C740" s="2" t="s">
        <v>6</v>
      </c>
      <c r="D740" s="2" t="s">
        <v>6</v>
      </c>
      <c r="E740" s="3">
        <v>99.95</v>
      </c>
      <c r="F740" t="str">
        <f t="shared" si="56"/>
        <v>marketing</v>
      </c>
      <c r="G740" s="7" t="s">
        <v>6</v>
      </c>
      <c r="H740">
        <f t="shared" si="58"/>
        <v>2024</v>
      </c>
      <c r="I740">
        <f t="shared" si="59"/>
        <v>4</v>
      </c>
      <c r="J740">
        <f t="shared" si="60"/>
        <v>-1001.82</v>
      </c>
    </row>
    <row r="741" spans="1:10" ht="12.5" x14ac:dyDescent="0.25">
      <c r="A741" s="1">
        <v>45394</v>
      </c>
      <c r="B741" s="2" t="s">
        <v>11</v>
      </c>
      <c r="C741" s="3">
        <v>9.99</v>
      </c>
      <c r="D741" s="3">
        <v>46</v>
      </c>
      <c r="E741" s="3">
        <v>459.54</v>
      </c>
      <c r="F741" t="str">
        <f t="shared" si="56"/>
        <v>net sales</v>
      </c>
      <c r="G741" s="7" t="str">
        <f t="shared" si="57"/>
        <v>product 1</v>
      </c>
      <c r="H741">
        <f t="shared" si="58"/>
        <v>2024</v>
      </c>
      <c r="I741">
        <f t="shared" si="59"/>
        <v>4</v>
      </c>
      <c r="J741">
        <f t="shared" si="60"/>
        <v>-99.92</v>
      </c>
    </row>
    <row r="742" spans="1:10" ht="12.5" x14ac:dyDescent="0.25">
      <c r="A742" s="1">
        <v>45394</v>
      </c>
      <c r="B742" s="2" t="s">
        <v>12</v>
      </c>
      <c r="C742" s="3">
        <v>24.99</v>
      </c>
      <c r="D742" s="3">
        <v>9</v>
      </c>
      <c r="E742" s="3">
        <v>224.91</v>
      </c>
      <c r="F742" t="str">
        <f t="shared" si="56"/>
        <v>net sales</v>
      </c>
      <c r="G742" s="7" t="str">
        <f t="shared" si="57"/>
        <v>product 2</v>
      </c>
      <c r="H742">
        <f t="shared" si="58"/>
        <v>2024</v>
      </c>
      <c r="I742">
        <f t="shared" si="59"/>
        <v>4</v>
      </c>
      <c r="J742">
        <f t="shared" si="60"/>
        <v>509.49</v>
      </c>
    </row>
    <row r="743" spans="1:10" ht="12.5" x14ac:dyDescent="0.25">
      <c r="A743" s="1">
        <v>45394</v>
      </c>
      <c r="B743" s="2" t="s">
        <v>13</v>
      </c>
      <c r="C743" s="3">
        <v>12.49</v>
      </c>
      <c r="D743" s="3">
        <v>44</v>
      </c>
      <c r="E743" s="3">
        <v>549.56000000000006</v>
      </c>
      <c r="F743" t="str">
        <f t="shared" si="56"/>
        <v>net sales</v>
      </c>
      <c r="G743" s="7" t="str">
        <f t="shared" si="57"/>
        <v>product 3</v>
      </c>
      <c r="H743">
        <f t="shared" si="58"/>
        <v>2024</v>
      </c>
      <c r="I743">
        <f t="shared" si="59"/>
        <v>4</v>
      </c>
      <c r="J743">
        <f t="shared" si="60"/>
        <v>199.92</v>
      </c>
    </row>
    <row r="744" spans="1:10" ht="12.5" x14ac:dyDescent="0.25">
      <c r="A744" s="1">
        <v>45394</v>
      </c>
      <c r="B744" s="2" t="s">
        <v>15</v>
      </c>
      <c r="C744" s="2" t="s">
        <v>6</v>
      </c>
      <c r="D744" s="2" t="s">
        <v>6</v>
      </c>
      <c r="E744" s="3">
        <v>1200</v>
      </c>
      <c r="F744" t="str">
        <f t="shared" si="56"/>
        <v>payroll</v>
      </c>
      <c r="G744" s="7" t="s">
        <v>6</v>
      </c>
      <c r="H744">
        <f t="shared" si="58"/>
        <v>2024</v>
      </c>
      <c r="I744">
        <f t="shared" si="59"/>
        <v>4</v>
      </c>
      <c r="J744">
        <f t="shared" si="60"/>
        <v>1473.82</v>
      </c>
    </row>
    <row r="745" spans="1:10" ht="12.5" x14ac:dyDescent="0.25">
      <c r="A745" s="1">
        <v>45395</v>
      </c>
      <c r="B745" s="2" t="s">
        <v>7</v>
      </c>
      <c r="C745" s="3">
        <v>5.99</v>
      </c>
      <c r="D745" s="3">
        <v>56</v>
      </c>
      <c r="E745" s="3">
        <v>335.44</v>
      </c>
      <c r="F745" t="str">
        <f t="shared" si="56"/>
        <v>cogs</v>
      </c>
      <c r="G745" s="7" t="str">
        <f t="shared" si="57"/>
        <v>product 1</v>
      </c>
      <c r="H745">
        <f t="shared" si="58"/>
        <v>2024</v>
      </c>
      <c r="I745">
        <f t="shared" si="59"/>
        <v>4</v>
      </c>
      <c r="J745">
        <f t="shared" si="60"/>
        <v>-413.31</v>
      </c>
    </row>
    <row r="746" spans="1:10" ht="12.5" x14ac:dyDescent="0.25">
      <c r="A746" s="1">
        <v>45395</v>
      </c>
      <c r="B746" s="2" t="s">
        <v>8</v>
      </c>
      <c r="C746" s="3">
        <v>16.989999999999998</v>
      </c>
      <c r="D746" s="3">
        <v>3</v>
      </c>
      <c r="E746" s="3">
        <v>50.97</v>
      </c>
      <c r="F746" t="str">
        <f t="shared" si="56"/>
        <v>cogs</v>
      </c>
      <c r="G746" s="7" t="str">
        <f t="shared" si="57"/>
        <v>product 2</v>
      </c>
      <c r="H746">
        <f t="shared" si="58"/>
        <v>2024</v>
      </c>
      <c r="I746">
        <f t="shared" si="59"/>
        <v>4</v>
      </c>
      <c r="J746">
        <f t="shared" si="60"/>
        <v>-33.979999999999997</v>
      </c>
    </row>
    <row r="747" spans="1:10" ht="12.5" x14ac:dyDescent="0.25">
      <c r="A747" s="1">
        <v>45395</v>
      </c>
      <c r="B747" s="2" t="s">
        <v>9</v>
      </c>
      <c r="C747" s="3">
        <v>8.49</v>
      </c>
      <c r="D747" s="3">
        <v>171</v>
      </c>
      <c r="E747" s="3">
        <v>1451.79</v>
      </c>
      <c r="F747" t="str">
        <f t="shared" si="56"/>
        <v>cogs</v>
      </c>
      <c r="G747" s="7" t="str">
        <f t="shared" si="57"/>
        <v>product 3</v>
      </c>
      <c r="H747">
        <f t="shared" si="58"/>
        <v>2024</v>
      </c>
      <c r="I747">
        <f t="shared" si="59"/>
        <v>4</v>
      </c>
      <c r="J747">
        <f t="shared" si="60"/>
        <v>-696.18000000000006</v>
      </c>
    </row>
    <row r="748" spans="1:10" ht="12.5" x14ac:dyDescent="0.25">
      <c r="A748" s="1">
        <v>45395</v>
      </c>
      <c r="B748" s="2" t="s">
        <v>10</v>
      </c>
      <c r="C748" s="2" t="s">
        <v>6</v>
      </c>
      <c r="D748" s="2" t="s">
        <v>6</v>
      </c>
      <c r="E748" s="3">
        <v>99.9</v>
      </c>
      <c r="F748" t="str">
        <f t="shared" si="56"/>
        <v>marketing</v>
      </c>
      <c r="G748" s="7" t="s">
        <v>6</v>
      </c>
      <c r="H748">
        <f t="shared" si="58"/>
        <v>2024</v>
      </c>
      <c r="I748">
        <f t="shared" si="59"/>
        <v>4</v>
      </c>
      <c r="J748">
        <f t="shared" si="60"/>
        <v>-100.10000000000001</v>
      </c>
    </row>
    <row r="749" spans="1:10" ht="12.5" x14ac:dyDescent="0.25">
      <c r="A749" s="1">
        <v>45395</v>
      </c>
      <c r="B749" s="2" t="s">
        <v>11</v>
      </c>
      <c r="C749" s="3">
        <v>9.99</v>
      </c>
      <c r="D749" s="3">
        <v>56</v>
      </c>
      <c r="E749" s="3">
        <v>559.44000000000005</v>
      </c>
      <c r="F749" t="str">
        <f t="shared" si="56"/>
        <v>net sales</v>
      </c>
      <c r="G749" s="7" t="str">
        <f t="shared" si="57"/>
        <v>product 1</v>
      </c>
      <c r="H749">
        <f t="shared" si="58"/>
        <v>2024</v>
      </c>
      <c r="I749">
        <f t="shared" si="59"/>
        <v>4</v>
      </c>
      <c r="J749">
        <f t="shared" si="60"/>
        <v>689.31000000000006</v>
      </c>
    </row>
    <row r="750" spans="1:10" ht="12.5" x14ac:dyDescent="0.25">
      <c r="A750" s="1">
        <v>45395</v>
      </c>
      <c r="B750" s="2" t="s">
        <v>12</v>
      </c>
      <c r="C750" s="3">
        <v>24.99</v>
      </c>
      <c r="D750" s="3">
        <v>3</v>
      </c>
      <c r="E750" s="3">
        <v>74.97</v>
      </c>
      <c r="F750" t="str">
        <f t="shared" si="56"/>
        <v>net sales</v>
      </c>
      <c r="G750" s="7" t="str">
        <f t="shared" si="57"/>
        <v>product 2</v>
      </c>
      <c r="H750">
        <f t="shared" si="58"/>
        <v>2024</v>
      </c>
      <c r="I750">
        <f t="shared" si="59"/>
        <v>4</v>
      </c>
      <c r="J750">
        <f t="shared" si="60"/>
        <v>49.98</v>
      </c>
    </row>
    <row r="751" spans="1:10" ht="12.5" x14ac:dyDescent="0.25">
      <c r="A751" s="1">
        <v>45395</v>
      </c>
      <c r="B751" s="2" t="s">
        <v>13</v>
      </c>
      <c r="C751" s="3">
        <v>12.49</v>
      </c>
      <c r="D751" s="3">
        <v>171</v>
      </c>
      <c r="E751" s="3">
        <v>2135.79</v>
      </c>
      <c r="F751" t="str">
        <f t="shared" si="56"/>
        <v>net sales</v>
      </c>
      <c r="G751" s="7" t="str">
        <f t="shared" si="57"/>
        <v>product 3</v>
      </c>
      <c r="H751">
        <f t="shared" si="58"/>
        <v>2024</v>
      </c>
      <c r="I751">
        <f t="shared" si="59"/>
        <v>4</v>
      </c>
      <c r="J751">
        <f t="shared" si="60"/>
        <v>1024.18</v>
      </c>
    </row>
    <row r="752" spans="1:10" ht="12.5" x14ac:dyDescent="0.25">
      <c r="A752" s="1">
        <v>45396</v>
      </c>
      <c r="B752" s="2" t="s">
        <v>7</v>
      </c>
      <c r="C752" s="3">
        <v>5.99</v>
      </c>
      <c r="D752" s="3">
        <v>26</v>
      </c>
      <c r="E752" s="3">
        <v>155.74</v>
      </c>
      <c r="F752" t="str">
        <f t="shared" si="56"/>
        <v>cogs</v>
      </c>
      <c r="G752" s="7" t="str">
        <f t="shared" si="57"/>
        <v>product 1</v>
      </c>
      <c r="H752">
        <f t="shared" si="58"/>
        <v>2024</v>
      </c>
      <c r="I752">
        <f t="shared" si="59"/>
        <v>4</v>
      </c>
      <c r="J752">
        <f t="shared" si="60"/>
        <v>-167.72</v>
      </c>
    </row>
    <row r="753" spans="1:10" ht="12.5" x14ac:dyDescent="0.25">
      <c r="A753" s="1">
        <v>45396</v>
      </c>
      <c r="B753" s="2" t="s">
        <v>8</v>
      </c>
      <c r="C753" s="3">
        <v>16.989999999999998</v>
      </c>
      <c r="D753" s="3">
        <v>10</v>
      </c>
      <c r="E753" s="3">
        <v>169.89999999999998</v>
      </c>
      <c r="F753" t="str">
        <f t="shared" si="56"/>
        <v>cogs</v>
      </c>
      <c r="G753" s="7" t="str">
        <f t="shared" si="57"/>
        <v>product 2</v>
      </c>
      <c r="H753">
        <f t="shared" si="58"/>
        <v>2024</v>
      </c>
      <c r="I753">
        <f t="shared" si="59"/>
        <v>4</v>
      </c>
      <c r="J753">
        <f t="shared" si="60"/>
        <v>-16.989999999999998</v>
      </c>
    </row>
    <row r="754" spans="1:10" ht="12.5" x14ac:dyDescent="0.25">
      <c r="A754" s="1">
        <v>45396</v>
      </c>
      <c r="B754" s="2" t="s">
        <v>9</v>
      </c>
      <c r="C754" s="3">
        <v>8.49</v>
      </c>
      <c r="D754" s="3">
        <v>12</v>
      </c>
      <c r="E754" s="3">
        <v>101.88</v>
      </c>
      <c r="F754" t="str">
        <f t="shared" si="56"/>
        <v>cogs</v>
      </c>
      <c r="G754" s="7" t="str">
        <f t="shared" si="57"/>
        <v>product 3</v>
      </c>
      <c r="H754">
        <f t="shared" si="58"/>
        <v>2024</v>
      </c>
      <c r="I754">
        <f t="shared" si="59"/>
        <v>4</v>
      </c>
      <c r="J754">
        <f t="shared" si="60"/>
        <v>-2012.13</v>
      </c>
    </row>
    <row r="755" spans="1:10" ht="12.5" x14ac:dyDescent="0.25">
      <c r="A755" s="1">
        <v>45396</v>
      </c>
      <c r="B755" s="2" t="s">
        <v>10</v>
      </c>
      <c r="C755" s="2" t="s">
        <v>6</v>
      </c>
      <c r="D755" s="2" t="s">
        <v>6</v>
      </c>
      <c r="E755" s="3">
        <v>99.91</v>
      </c>
      <c r="F755" t="str">
        <f t="shared" si="56"/>
        <v>marketing</v>
      </c>
      <c r="G755" s="7" t="s">
        <v>6</v>
      </c>
      <c r="H755">
        <f t="shared" si="58"/>
        <v>2024</v>
      </c>
      <c r="I755">
        <f t="shared" si="59"/>
        <v>4</v>
      </c>
      <c r="J755">
        <f t="shared" si="60"/>
        <v>-1214.1199999999999</v>
      </c>
    </row>
    <row r="756" spans="1:10" ht="12.5" x14ac:dyDescent="0.25">
      <c r="A756" s="1">
        <v>45396</v>
      </c>
      <c r="B756" s="2" t="s">
        <v>11</v>
      </c>
      <c r="C756" s="3">
        <v>9.99</v>
      </c>
      <c r="D756" s="3">
        <v>26</v>
      </c>
      <c r="E756" s="3">
        <v>259.74</v>
      </c>
      <c r="F756" t="str">
        <f t="shared" si="56"/>
        <v>net sales</v>
      </c>
      <c r="G756" s="7" t="str">
        <f t="shared" si="57"/>
        <v>product 1</v>
      </c>
      <c r="H756">
        <f t="shared" si="58"/>
        <v>2024</v>
      </c>
      <c r="I756">
        <f t="shared" si="59"/>
        <v>4</v>
      </c>
      <c r="J756">
        <f t="shared" si="60"/>
        <v>-99.990000000000009</v>
      </c>
    </row>
    <row r="757" spans="1:10" ht="12.5" x14ac:dyDescent="0.25">
      <c r="A757" s="1">
        <v>45396</v>
      </c>
      <c r="B757" s="2" t="s">
        <v>12</v>
      </c>
      <c r="C757" s="3">
        <v>24.99</v>
      </c>
      <c r="D757" s="3">
        <v>10</v>
      </c>
      <c r="E757" s="3">
        <v>249.89999999999998</v>
      </c>
      <c r="F757" t="str">
        <f t="shared" si="56"/>
        <v>net sales</v>
      </c>
      <c r="G757" s="7" t="str">
        <f t="shared" si="57"/>
        <v>product 2</v>
      </c>
      <c r="H757">
        <f t="shared" si="58"/>
        <v>2024</v>
      </c>
      <c r="I757">
        <f t="shared" si="59"/>
        <v>4</v>
      </c>
      <c r="J757">
        <f t="shared" si="60"/>
        <v>279.72000000000003</v>
      </c>
    </row>
    <row r="758" spans="1:10" ht="12.5" x14ac:dyDescent="0.25">
      <c r="A758" s="1">
        <v>45396</v>
      </c>
      <c r="B758" s="2" t="s">
        <v>13</v>
      </c>
      <c r="C758" s="3">
        <v>12.49</v>
      </c>
      <c r="D758" s="3">
        <v>12</v>
      </c>
      <c r="E758" s="3">
        <v>149.88</v>
      </c>
      <c r="F758" t="str">
        <f t="shared" si="56"/>
        <v>net sales</v>
      </c>
      <c r="G758" s="7" t="str">
        <f t="shared" si="57"/>
        <v>product 3</v>
      </c>
      <c r="H758">
        <f t="shared" si="58"/>
        <v>2024</v>
      </c>
      <c r="I758">
        <f t="shared" si="59"/>
        <v>4</v>
      </c>
      <c r="J758">
        <f t="shared" si="60"/>
        <v>24.99</v>
      </c>
    </row>
    <row r="759" spans="1:10" ht="12.5" x14ac:dyDescent="0.25">
      <c r="A759" s="1">
        <v>45397</v>
      </c>
      <c r="B759" s="2" t="s">
        <v>7</v>
      </c>
      <c r="C759" s="3">
        <v>5.99</v>
      </c>
      <c r="D759" s="3">
        <v>55</v>
      </c>
      <c r="E759" s="3">
        <v>329.45</v>
      </c>
      <c r="F759" t="str">
        <f t="shared" si="56"/>
        <v>cogs</v>
      </c>
      <c r="G759" s="7" t="str">
        <f t="shared" si="57"/>
        <v>product 1</v>
      </c>
      <c r="H759">
        <f t="shared" si="58"/>
        <v>2024</v>
      </c>
      <c r="I759">
        <f t="shared" si="59"/>
        <v>4</v>
      </c>
      <c r="J759">
        <f t="shared" si="60"/>
        <v>2960.13</v>
      </c>
    </row>
    <row r="760" spans="1:10" ht="12.5" x14ac:dyDescent="0.25">
      <c r="A760" s="1">
        <v>45397</v>
      </c>
      <c r="B760" s="2" t="s">
        <v>8</v>
      </c>
      <c r="C760" s="3">
        <v>16.989999999999998</v>
      </c>
      <c r="D760" s="3">
        <v>4</v>
      </c>
      <c r="E760" s="3">
        <v>67.959999999999994</v>
      </c>
      <c r="F760" t="str">
        <f t="shared" si="56"/>
        <v>cogs</v>
      </c>
      <c r="G760" s="7" t="str">
        <f t="shared" si="57"/>
        <v>product 2</v>
      </c>
      <c r="H760">
        <f t="shared" si="58"/>
        <v>2024</v>
      </c>
      <c r="I760">
        <f t="shared" si="59"/>
        <v>4</v>
      </c>
      <c r="J760">
        <f t="shared" si="60"/>
        <v>-303.52999999999997</v>
      </c>
    </row>
    <row r="761" spans="1:10" ht="12.5" x14ac:dyDescent="0.25">
      <c r="A761" s="1">
        <v>45397</v>
      </c>
      <c r="B761" s="2" t="s">
        <v>9</v>
      </c>
      <c r="C761" s="3">
        <v>8.49</v>
      </c>
      <c r="D761" s="3">
        <v>130</v>
      </c>
      <c r="E761" s="3">
        <v>1103.7</v>
      </c>
      <c r="F761" t="str">
        <f t="shared" si="56"/>
        <v>cogs</v>
      </c>
      <c r="G761" s="7" t="str">
        <f t="shared" si="57"/>
        <v>product 3</v>
      </c>
      <c r="H761">
        <f t="shared" si="58"/>
        <v>2024</v>
      </c>
      <c r="I761">
        <f t="shared" si="59"/>
        <v>4</v>
      </c>
      <c r="J761">
        <f t="shared" si="60"/>
        <v>-1200</v>
      </c>
    </row>
    <row r="762" spans="1:10" ht="12.5" x14ac:dyDescent="0.25">
      <c r="A762" s="1">
        <v>45397</v>
      </c>
      <c r="B762" s="2" t="s">
        <v>16</v>
      </c>
      <c r="C762" s="2" t="s">
        <v>6</v>
      </c>
      <c r="D762" s="2" t="s">
        <v>6</v>
      </c>
      <c r="E762" s="3">
        <v>1290.6400000000001</v>
      </c>
      <c r="F762" t="str">
        <f t="shared" si="56"/>
        <v>interest</v>
      </c>
      <c r="G762" s="7" t="s">
        <v>6</v>
      </c>
      <c r="H762">
        <f t="shared" si="58"/>
        <v>2024</v>
      </c>
      <c r="I762">
        <f t="shared" si="59"/>
        <v>4</v>
      </c>
      <c r="J762">
        <f t="shared" si="60"/>
        <v>-587.02</v>
      </c>
    </row>
    <row r="763" spans="1:10" ht="12.5" x14ac:dyDescent="0.25">
      <c r="A763" s="1">
        <v>45397</v>
      </c>
      <c r="B763" s="2" t="s">
        <v>10</v>
      </c>
      <c r="C763" s="2" t="s">
        <v>6</v>
      </c>
      <c r="D763" s="2" t="s">
        <v>6</v>
      </c>
      <c r="E763" s="3">
        <v>99.990000000000009</v>
      </c>
      <c r="F763" t="str">
        <f t="shared" si="56"/>
        <v>marketing</v>
      </c>
      <c r="G763" s="7" t="s">
        <v>6</v>
      </c>
      <c r="H763">
        <f t="shared" si="58"/>
        <v>2024</v>
      </c>
      <c r="I763">
        <f t="shared" si="59"/>
        <v>4</v>
      </c>
      <c r="J763">
        <f t="shared" si="60"/>
        <v>-135.91999999999999</v>
      </c>
    </row>
    <row r="764" spans="1:10" ht="12.5" x14ac:dyDescent="0.25">
      <c r="A764" s="1">
        <v>45397</v>
      </c>
      <c r="B764" s="2" t="s">
        <v>11</v>
      </c>
      <c r="C764" s="3">
        <v>9.99</v>
      </c>
      <c r="D764" s="3">
        <v>55</v>
      </c>
      <c r="E764" s="3">
        <v>549.45000000000005</v>
      </c>
      <c r="F764" t="str">
        <f t="shared" si="56"/>
        <v>net sales</v>
      </c>
      <c r="G764" s="7" t="str">
        <f t="shared" si="57"/>
        <v>product 1</v>
      </c>
      <c r="H764">
        <f t="shared" si="58"/>
        <v>2024</v>
      </c>
      <c r="I764">
        <f t="shared" si="59"/>
        <v>4</v>
      </c>
      <c r="J764">
        <f t="shared" si="60"/>
        <v>-696.18000000000006</v>
      </c>
    </row>
    <row r="765" spans="1:10" ht="12.5" x14ac:dyDescent="0.25">
      <c r="A765" s="1">
        <v>45397</v>
      </c>
      <c r="B765" s="2" t="s">
        <v>12</v>
      </c>
      <c r="C765" s="3">
        <v>24.99</v>
      </c>
      <c r="D765" s="3">
        <v>4</v>
      </c>
      <c r="E765" s="3">
        <v>99.96</v>
      </c>
      <c r="F765" t="str">
        <f t="shared" si="56"/>
        <v>net sales</v>
      </c>
      <c r="G765" s="7" t="str">
        <f t="shared" si="57"/>
        <v>product 2</v>
      </c>
      <c r="H765">
        <f t="shared" si="58"/>
        <v>2024</v>
      </c>
      <c r="I765">
        <f t="shared" si="59"/>
        <v>4</v>
      </c>
      <c r="J765">
        <f t="shared" si="60"/>
        <v>-99.91</v>
      </c>
    </row>
    <row r="766" spans="1:10" ht="12.5" x14ac:dyDescent="0.25">
      <c r="A766" s="1">
        <v>45397</v>
      </c>
      <c r="B766" s="2" t="s">
        <v>13</v>
      </c>
      <c r="C766" s="3">
        <v>12.49</v>
      </c>
      <c r="D766" s="3">
        <v>130</v>
      </c>
      <c r="E766" s="3">
        <v>1623.7</v>
      </c>
      <c r="F766" t="str">
        <f t="shared" si="56"/>
        <v>net sales</v>
      </c>
      <c r="G766" s="7" t="str">
        <f t="shared" si="57"/>
        <v>product 3</v>
      </c>
      <c r="H766">
        <f t="shared" si="58"/>
        <v>2024</v>
      </c>
      <c r="I766">
        <f t="shared" si="59"/>
        <v>4</v>
      </c>
      <c r="J766">
        <f t="shared" si="60"/>
        <v>979.02</v>
      </c>
    </row>
    <row r="767" spans="1:10" ht="12.5" x14ac:dyDescent="0.25">
      <c r="A767" s="1">
        <v>45397</v>
      </c>
      <c r="B767" s="2" t="s">
        <v>14</v>
      </c>
      <c r="C767" s="2" t="s">
        <v>6</v>
      </c>
      <c r="D767" s="2" t="s">
        <v>6</v>
      </c>
      <c r="E767" s="3">
        <v>293.93</v>
      </c>
      <c r="F767" t="str">
        <f t="shared" si="56"/>
        <v>overhead</v>
      </c>
      <c r="G767" s="7" t="s">
        <v>6</v>
      </c>
      <c r="H767">
        <f t="shared" si="58"/>
        <v>2024</v>
      </c>
      <c r="I767">
        <f t="shared" si="59"/>
        <v>4</v>
      </c>
      <c r="J767">
        <f t="shared" si="60"/>
        <v>199.92</v>
      </c>
    </row>
    <row r="768" spans="1:10" ht="12.5" x14ac:dyDescent="0.25">
      <c r="A768" s="1">
        <v>45398</v>
      </c>
      <c r="B768" s="2" t="s">
        <v>7</v>
      </c>
      <c r="C768" s="3">
        <v>5.99</v>
      </c>
      <c r="D768" s="3">
        <v>5</v>
      </c>
      <c r="E768" s="3">
        <v>29.950000000000003</v>
      </c>
      <c r="F768" t="str">
        <f t="shared" si="56"/>
        <v>cogs</v>
      </c>
      <c r="G768" s="7" t="str">
        <f t="shared" si="57"/>
        <v>product 1</v>
      </c>
      <c r="H768">
        <f t="shared" si="58"/>
        <v>2024</v>
      </c>
      <c r="I768">
        <f t="shared" si="59"/>
        <v>4</v>
      </c>
      <c r="J768">
        <f t="shared" si="60"/>
        <v>1024.18</v>
      </c>
    </row>
    <row r="769" spans="1:10" ht="12.5" x14ac:dyDescent="0.25">
      <c r="A769" s="1">
        <v>45398</v>
      </c>
      <c r="B769" s="2" t="s">
        <v>8</v>
      </c>
      <c r="C769" s="3">
        <v>16.989999999999998</v>
      </c>
      <c r="D769" s="3">
        <v>5</v>
      </c>
      <c r="E769" s="3">
        <v>84.949999999999989</v>
      </c>
      <c r="F769" t="str">
        <f t="shared" si="56"/>
        <v>cogs</v>
      </c>
      <c r="G769" s="7" t="str">
        <f t="shared" si="57"/>
        <v>product 2</v>
      </c>
      <c r="H769">
        <f t="shared" si="58"/>
        <v>2024</v>
      </c>
      <c r="I769">
        <f t="shared" si="59"/>
        <v>4</v>
      </c>
      <c r="J769">
        <f t="shared" si="60"/>
        <v>-281.53000000000003</v>
      </c>
    </row>
    <row r="770" spans="1:10" ht="12.5" x14ac:dyDescent="0.25">
      <c r="A770" s="1">
        <v>45398</v>
      </c>
      <c r="B770" s="2" t="s">
        <v>9</v>
      </c>
      <c r="C770" s="3">
        <v>8.49</v>
      </c>
      <c r="D770" s="3">
        <v>34</v>
      </c>
      <c r="E770" s="3">
        <v>288.66000000000003</v>
      </c>
      <c r="F770" t="str">
        <f t="shared" si="56"/>
        <v>cogs</v>
      </c>
      <c r="G770" s="7" t="str">
        <f t="shared" si="57"/>
        <v>product 3</v>
      </c>
      <c r="H770">
        <f t="shared" si="58"/>
        <v>2024</v>
      </c>
      <c r="I770">
        <f t="shared" si="59"/>
        <v>4</v>
      </c>
      <c r="J770">
        <f t="shared" si="60"/>
        <v>-50.97</v>
      </c>
    </row>
    <row r="771" spans="1:10" ht="12.5" x14ac:dyDescent="0.25">
      <c r="A771" s="1">
        <v>45398</v>
      </c>
      <c r="B771" s="2" t="s">
        <v>10</v>
      </c>
      <c r="C771" s="2" t="s">
        <v>6</v>
      </c>
      <c r="D771" s="2" t="s">
        <v>6</v>
      </c>
      <c r="E771" s="3">
        <v>100.05</v>
      </c>
      <c r="F771" t="str">
        <f t="shared" ref="F771:F834" si="61">IFERROR(LEFT(B771,FIND(":",B771)-1),B771)</f>
        <v>marketing</v>
      </c>
      <c r="G771" s="7" t="s">
        <v>6</v>
      </c>
      <c r="H771">
        <f t="shared" ref="H771:H834" si="62">YEAR(A771)</f>
        <v>2024</v>
      </c>
      <c r="I771">
        <f t="shared" ref="I771:I834" si="63">MONTH(A771)</f>
        <v>4</v>
      </c>
      <c r="J771">
        <f t="shared" si="60"/>
        <v>-628.26</v>
      </c>
    </row>
    <row r="772" spans="1:10" ht="12.5" x14ac:dyDescent="0.25">
      <c r="A772" s="1">
        <v>45398</v>
      </c>
      <c r="B772" s="2" t="s">
        <v>11</v>
      </c>
      <c r="C772" s="3">
        <v>9.99</v>
      </c>
      <c r="D772" s="3">
        <v>5</v>
      </c>
      <c r="E772" s="3">
        <v>49.95</v>
      </c>
      <c r="F772" t="str">
        <f t="shared" si="61"/>
        <v>net sales</v>
      </c>
      <c r="G772" s="7" t="str">
        <f t="shared" ref="G772:G833" si="64">IFERROR(RIGHT(B772,LEN(B772)-FIND(":",B772)),"")</f>
        <v>product 1</v>
      </c>
      <c r="H772">
        <f t="shared" si="62"/>
        <v>2024</v>
      </c>
      <c r="I772">
        <f t="shared" si="63"/>
        <v>4</v>
      </c>
      <c r="J772">
        <f t="shared" si="60"/>
        <v>-100.09</v>
      </c>
    </row>
    <row r="773" spans="1:10" ht="12.5" x14ac:dyDescent="0.25">
      <c r="A773" s="1">
        <v>45398</v>
      </c>
      <c r="B773" s="2" t="s">
        <v>12</v>
      </c>
      <c r="C773" s="3">
        <v>24.99</v>
      </c>
      <c r="D773" s="3">
        <v>5</v>
      </c>
      <c r="E773" s="3">
        <v>124.94999999999999</v>
      </c>
      <c r="F773" t="str">
        <f t="shared" si="61"/>
        <v>net sales</v>
      </c>
      <c r="G773" s="7" t="str">
        <f t="shared" si="64"/>
        <v>product 2</v>
      </c>
      <c r="H773">
        <f t="shared" si="62"/>
        <v>2024</v>
      </c>
      <c r="I773">
        <f t="shared" si="63"/>
        <v>4</v>
      </c>
      <c r="J773">
        <f t="shared" si="60"/>
        <v>469.53000000000003</v>
      </c>
    </row>
    <row r="774" spans="1:10" ht="12.5" x14ac:dyDescent="0.25">
      <c r="A774" s="1">
        <v>45398</v>
      </c>
      <c r="B774" s="2" t="s">
        <v>13</v>
      </c>
      <c r="C774" s="3">
        <v>12.49</v>
      </c>
      <c r="D774" s="3">
        <v>34</v>
      </c>
      <c r="E774" s="3">
        <v>424.66</v>
      </c>
      <c r="F774" t="str">
        <f t="shared" si="61"/>
        <v>net sales</v>
      </c>
      <c r="G774" s="7" t="str">
        <f t="shared" si="64"/>
        <v>product 3</v>
      </c>
      <c r="H774">
        <f t="shared" si="62"/>
        <v>2024</v>
      </c>
      <c r="I774">
        <f t="shared" si="63"/>
        <v>4</v>
      </c>
      <c r="J774">
        <f t="shared" si="60"/>
        <v>74.97</v>
      </c>
    </row>
    <row r="775" spans="1:10" ht="12.5" x14ac:dyDescent="0.25">
      <c r="A775" s="1">
        <v>45399</v>
      </c>
      <c r="B775" s="2" t="s">
        <v>7</v>
      </c>
      <c r="C775" s="3">
        <v>5.99</v>
      </c>
      <c r="D775" s="3">
        <v>80</v>
      </c>
      <c r="E775" s="3">
        <v>479.20000000000005</v>
      </c>
      <c r="F775" t="str">
        <f t="shared" si="61"/>
        <v>cogs</v>
      </c>
      <c r="G775" s="7" t="str">
        <f t="shared" si="64"/>
        <v>product 1</v>
      </c>
      <c r="H775">
        <f t="shared" si="62"/>
        <v>2024</v>
      </c>
      <c r="I775">
        <f t="shared" si="63"/>
        <v>4</v>
      </c>
      <c r="J775">
        <f t="shared" si="60"/>
        <v>924.26</v>
      </c>
    </row>
    <row r="776" spans="1:10" ht="12.5" x14ac:dyDescent="0.25">
      <c r="A776" s="1">
        <v>45399</v>
      </c>
      <c r="B776" s="2" t="s">
        <v>8</v>
      </c>
      <c r="C776" s="3">
        <v>16.989999999999998</v>
      </c>
      <c r="D776" s="3">
        <v>9</v>
      </c>
      <c r="E776" s="3">
        <v>152.91</v>
      </c>
      <c r="F776" t="str">
        <f t="shared" si="61"/>
        <v>cogs</v>
      </c>
      <c r="G776" s="7" t="str">
        <f t="shared" si="64"/>
        <v>product 2</v>
      </c>
      <c r="H776">
        <f t="shared" si="62"/>
        <v>2024</v>
      </c>
      <c r="I776">
        <f t="shared" si="63"/>
        <v>4</v>
      </c>
      <c r="J776">
        <f t="shared" si="60"/>
        <v>-263.56</v>
      </c>
    </row>
    <row r="777" spans="1:10" ht="12.5" x14ac:dyDescent="0.25">
      <c r="A777" s="1">
        <v>45399</v>
      </c>
      <c r="B777" s="2" t="s">
        <v>9</v>
      </c>
      <c r="C777" s="3">
        <v>8.49</v>
      </c>
      <c r="D777" s="3">
        <v>0</v>
      </c>
      <c r="E777" s="2">
        <f>C777*D777</f>
        <v>0</v>
      </c>
      <c r="F777" t="str">
        <f t="shared" si="61"/>
        <v>cogs</v>
      </c>
      <c r="G777" s="7" t="str">
        <f t="shared" si="64"/>
        <v>product 3</v>
      </c>
      <c r="H777">
        <f t="shared" si="62"/>
        <v>2024</v>
      </c>
      <c r="I777">
        <f t="shared" si="63"/>
        <v>4</v>
      </c>
      <c r="J777">
        <f t="shared" si="60"/>
        <v>-67.959999999999994</v>
      </c>
    </row>
    <row r="778" spans="1:10" ht="12.5" x14ac:dyDescent="0.25">
      <c r="A778" s="1">
        <v>45399</v>
      </c>
      <c r="B778" s="2" t="s">
        <v>10</v>
      </c>
      <c r="C778" s="2" t="s">
        <v>6</v>
      </c>
      <c r="D778" s="2" t="s">
        <v>6</v>
      </c>
      <c r="E778" s="3">
        <v>99.960000000000008</v>
      </c>
      <c r="F778" t="str">
        <f t="shared" si="61"/>
        <v>marketing</v>
      </c>
      <c r="G778" s="7" t="s">
        <v>6</v>
      </c>
      <c r="H778">
        <f t="shared" si="62"/>
        <v>2024</v>
      </c>
      <c r="I778">
        <f t="shared" si="63"/>
        <v>4</v>
      </c>
      <c r="J778">
        <f t="shared" si="60"/>
        <v>-806.55000000000007</v>
      </c>
    </row>
    <row r="779" spans="1:10" ht="12.5" x14ac:dyDescent="0.25">
      <c r="A779" s="1">
        <v>45399</v>
      </c>
      <c r="B779" s="2" t="s">
        <v>11</v>
      </c>
      <c r="C779" s="3">
        <v>9.99</v>
      </c>
      <c r="D779" s="3">
        <v>80</v>
      </c>
      <c r="E779" s="3">
        <v>799.2</v>
      </c>
      <c r="F779" t="str">
        <f t="shared" si="61"/>
        <v>net sales</v>
      </c>
      <c r="G779" s="7" t="str">
        <f t="shared" si="64"/>
        <v>product 1</v>
      </c>
      <c r="H779">
        <f t="shared" si="62"/>
        <v>2024</v>
      </c>
      <c r="I779">
        <f t="shared" si="63"/>
        <v>4</v>
      </c>
      <c r="J779">
        <f t="shared" si="60"/>
        <v>-99.92</v>
      </c>
    </row>
    <row r="780" spans="1:10" ht="12.5" x14ac:dyDescent="0.25">
      <c r="A780" s="1">
        <v>45399</v>
      </c>
      <c r="B780" s="2" t="s">
        <v>12</v>
      </c>
      <c r="C780" s="3">
        <v>24.99</v>
      </c>
      <c r="D780" s="3">
        <v>9</v>
      </c>
      <c r="E780" s="3">
        <v>224.91</v>
      </c>
      <c r="F780" t="str">
        <f t="shared" si="61"/>
        <v>net sales</v>
      </c>
      <c r="G780" s="7" t="str">
        <f t="shared" si="64"/>
        <v>product 2</v>
      </c>
      <c r="H780">
        <f t="shared" si="62"/>
        <v>2024</v>
      </c>
      <c r="I780">
        <f t="shared" si="63"/>
        <v>4</v>
      </c>
      <c r="J780">
        <f t="shared" si="60"/>
        <v>439.56</v>
      </c>
    </row>
    <row r="781" spans="1:10" ht="12.5" x14ac:dyDescent="0.25">
      <c r="A781" s="1">
        <v>45399</v>
      </c>
      <c r="B781" s="2" t="s">
        <v>13</v>
      </c>
      <c r="C781" s="3">
        <v>12.49</v>
      </c>
      <c r="D781" s="3">
        <v>0</v>
      </c>
      <c r="E781" s="2">
        <f>C781*D781</f>
        <v>0</v>
      </c>
      <c r="F781" t="str">
        <f t="shared" si="61"/>
        <v>net sales</v>
      </c>
      <c r="G781" s="7" t="str">
        <f t="shared" si="64"/>
        <v>product 3</v>
      </c>
      <c r="H781">
        <f t="shared" si="62"/>
        <v>2024</v>
      </c>
      <c r="I781">
        <f t="shared" si="63"/>
        <v>4</v>
      </c>
      <c r="J781">
        <f t="shared" si="60"/>
        <v>99.96</v>
      </c>
    </row>
    <row r="782" spans="1:10" ht="12.5" x14ac:dyDescent="0.25">
      <c r="A782" s="1">
        <v>45400</v>
      </c>
      <c r="B782" s="2" t="s">
        <v>7</v>
      </c>
      <c r="C782" s="3">
        <v>5.99</v>
      </c>
      <c r="D782" s="3">
        <v>43</v>
      </c>
      <c r="E782" s="3">
        <v>257.57</v>
      </c>
      <c r="F782" t="str">
        <f t="shared" si="61"/>
        <v>cogs</v>
      </c>
      <c r="G782" s="7" t="str">
        <f t="shared" si="64"/>
        <v>product 1</v>
      </c>
      <c r="H782">
        <f t="shared" si="62"/>
        <v>2024</v>
      </c>
      <c r="I782">
        <f t="shared" si="63"/>
        <v>4</v>
      </c>
      <c r="J782">
        <f t="shared" si="60"/>
        <v>1186.55</v>
      </c>
    </row>
    <row r="783" spans="1:10" ht="12.5" x14ac:dyDescent="0.25">
      <c r="A783" s="1">
        <v>45400</v>
      </c>
      <c r="B783" s="2" t="s">
        <v>8</v>
      </c>
      <c r="C783" s="3">
        <v>16.989999999999998</v>
      </c>
      <c r="D783" s="3">
        <v>4</v>
      </c>
      <c r="E783" s="3">
        <v>67.959999999999994</v>
      </c>
      <c r="F783" t="str">
        <f t="shared" si="61"/>
        <v>cogs</v>
      </c>
      <c r="G783" s="7" t="str">
        <f t="shared" si="64"/>
        <v>product 2</v>
      </c>
      <c r="H783">
        <f t="shared" si="62"/>
        <v>2024</v>
      </c>
      <c r="I783">
        <f t="shared" si="63"/>
        <v>4</v>
      </c>
      <c r="J783">
        <f t="shared" si="60"/>
        <v>-197.67000000000002</v>
      </c>
    </row>
    <row r="784" spans="1:10" ht="12.5" x14ac:dyDescent="0.25">
      <c r="A784" s="1">
        <v>45400</v>
      </c>
      <c r="B784" s="2" t="s">
        <v>9</v>
      </c>
      <c r="C784" s="3">
        <v>8.49</v>
      </c>
      <c r="D784" s="3">
        <v>16</v>
      </c>
      <c r="E784" s="3">
        <v>135.84</v>
      </c>
      <c r="F784" t="str">
        <f t="shared" si="61"/>
        <v>cogs</v>
      </c>
      <c r="G784" s="7" t="str">
        <f t="shared" si="64"/>
        <v>product 3</v>
      </c>
      <c r="H784">
        <f t="shared" si="62"/>
        <v>2024</v>
      </c>
      <c r="I784">
        <f t="shared" si="63"/>
        <v>4</v>
      </c>
      <c r="J784">
        <f t="shared" si="60"/>
        <v>-67.959999999999994</v>
      </c>
    </row>
    <row r="785" spans="1:10" ht="12.5" x14ac:dyDescent="0.25">
      <c r="A785" s="1">
        <v>45400</v>
      </c>
      <c r="B785" s="2" t="s">
        <v>10</v>
      </c>
      <c r="C785" s="2" t="s">
        <v>6</v>
      </c>
      <c r="D785" s="2" t="s">
        <v>6</v>
      </c>
      <c r="E785" s="3">
        <v>100.02</v>
      </c>
      <c r="F785" t="str">
        <f t="shared" si="61"/>
        <v>marketing</v>
      </c>
      <c r="G785" s="7" t="s">
        <v>6</v>
      </c>
      <c r="H785">
        <f t="shared" si="62"/>
        <v>2024</v>
      </c>
      <c r="I785">
        <f t="shared" si="63"/>
        <v>4</v>
      </c>
      <c r="J785">
        <f t="shared" si="60"/>
        <v>-432.99</v>
      </c>
    </row>
    <row r="786" spans="1:10" ht="12.5" x14ac:dyDescent="0.25">
      <c r="A786" s="1">
        <v>45400</v>
      </c>
      <c r="B786" s="2" t="s">
        <v>11</v>
      </c>
      <c r="C786" s="3">
        <v>9.99</v>
      </c>
      <c r="D786" s="3">
        <v>43</v>
      </c>
      <c r="E786" s="3">
        <v>429.57</v>
      </c>
      <c r="F786" t="str">
        <f t="shared" si="61"/>
        <v>net sales</v>
      </c>
      <c r="G786" s="7" t="str">
        <f t="shared" si="64"/>
        <v>product 1</v>
      </c>
      <c r="H786">
        <f t="shared" si="62"/>
        <v>2024</v>
      </c>
      <c r="I786">
        <f t="shared" si="63"/>
        <v>4</v>
      </c>
      <c r="J786">
        <f t="shared" si="60"/>
        <v>-100</v>
      </c>
    </row>
    <row r="787" spans="1:10" ht="12.5" x14ac:dyDescent="0.25">
      <c r="A787" s="1">
        <v>45400</v>
      </c>
      <c r="B787" s="2" t="s">
        <v>12</v>
      </c>
      <c r="C787" s="3">
        <v>24.99</v>
      </c>
      <c r="D787" s="3">
        <v>4</v>
      </c>
      <c r="E787" s="3">
        <v>99.96</v>
      </c>
      <c r="F787" t="str">
        <f t="shared" si="61"/>
        <v>net sales</v>
      </c>
      <c r="G787" s="7" t="str">
        <f t="shared" si="64"/>
        <v>product 2</v>
      </c>
      <c r="H787">
        <f t="shared" si="62"/>
        <v>2024</v>
      </c>
      <c r="I787">
        <f t="shared" si="63"/>
        <v>4</v>
      </c>
      <c r="J787">
        <f t="shared" si="60"/>
        <v>329.67</v>
      </c>
    </row>
    <row r="788" spans="1:10" ht="12.5" x14ac:dyDescent="0.25">
      <c r="A788" s="1">
        <v>45400</v>
      </c>
      <c r="B788" s="2" t="s">
        <v>13</v>
      </c>
      <c r="C788" s="3">
        <v>12.49</v>
      </c>
      <c r="D788" s="3">
        <v>16</v>
      </c>
      <c r="E788" s="3">
        <v>199.84</v>
      </c>
      <c r="F788" t="str">
        <f t="shared" si="61"/>
        <v>net sales</v>
      </c>
      <c r="G788" s="7" t="str">
        <f t="shared" si="64"/>
        <v>product 3</v>
      </c>
      <c r="H788">
        <f t="shared" si="62"/>
        <v>2024</v>
      </c>
      <c r="I788">
        <f t="shared" si="63"/>
        <v>4</v>
      </c>
      <c r="J788">
        <f t="shared" si="60"/>
        <v>99.96</v>
      </c>
    </row>
    <row r="789" spans="1:10" ht="12.5" x14ac:dyDescent="0.25">
      <c r="A789" s="1">
        <v>45401</v>
      </c>
      <c r="B789" s="2" t="s">
        <v>7</v>
      </c>
      <c r="C789" s="3">
        <v>5.99</v>
      </c>
      <c r="D789" s="3">
        <v>83</v>
      </c>
      <c r="E789" s="3">
        <v>497.17</v>
      </c>
      <c r="F789" t="str">
        <f t="shared" si="61"/>
        <v>cogs</v>
      </c>
      <c r="G789" s="7" t="str">
        <f t="shared" si="64"/>
        <v>product 1</v>
      </c>
      <c r="H789">
        <f t="shared" si="62"/>
        <v>2024</v>
      </c>
      <c r="I789">
        <f t="shared" si="63"/>
        <v>4</v>
      </c>
      <c r="J789">
        <f t="shared" si="60"/>
        <v>636.99</v>
      </c>
    </row>
    <row r="790" spans="1:10" ht="12.5" x14ac:dyDescent="0.25">
      <c r="A790" s="1">
        <v>45401</v>
      </c>
      <c r="B790" s="2" t="s">
        <v>8</v>
      </c>
      <c r="C790" s="3">
        <v>16.989999999999998</v>
      </c>
      <c r="D790" s="3">
        <v>2</v>
      </c>
      <c r="E790" s="3">
        <v>33.979999999999997</v>
      </c>
      <c r="F790" t="str">
        <f t="shared" si="61"/>
        <v>cogs</v>
      </c>
      <c r="G790" s="7" t="str">
        <f t="shared" si="64"/>
        <v>product 2</v>
      </c>
      <c r="H790">
        <f t="shared" si="62"/>
        <v>2024</v>
      </c>
      <c r="I790">
        <f t="shared" si="63"/>
        <v>4</v>
      </c>
      <c r="J790">
        <f t="shared" si="60"/>
        <v>-53.910000000000004</v>
      </c>
    </row>
    <row r="791" spans="1:10" ht="12.5" x14ac:dyDescent="0.25">
      <c r="A791" s="1">
        <v>45401</v>
      </c>
      <c r="B791" s="2" t="s">
        <v>9</v>
      </c>
      <c r="C791" s="3">
        <v>8.49</v>
      </c>
      <c r="D791" s="3">
        <v>165</v>
      </c>
      <c r="E791" s="3">
        <v>1400.8500000000001</v>
      </c>
      <c r="F791" t="str">
        <f t="shared" si="61"/>
        <v>cogs</v>
      </c>
      <c r="G791" s="7" t="str">
        <f t="shared" si="64"/>
        <v>product 3</v>
      </c>
      <c r="H791">
        <f t="shared" si="62"/>
        <v>2024</v>
      </c>
      <c r="I791">
        <f t="shared" si="63"/>
        <v>4</v>
      </c>
      <c r="J791">
        <f t="shared" si="60"/>
        <v>-101.94</v>
      </c>
    </row>
    <row r="792" spans="1:10" ht="12.5" x14ac:dyDescent="0.25">
      <c r="A792" s="1">
        <v>45401</v>
      </c>
      <c r="B792" s="2" t="s">
        <v>10</v>
      </c>
      <c r="C792" s="2" t="s">
        <v>6</v>
      </c>
      <c r="D792" s="2" t="s">
        <v>6</v>
      </c>
      <c r="E792" s="3">
        <v>100.06</v>
      </c>
      <c r="F792" t="str">
        <f t="shared" si="61"/>
        <v>marketing</v>
      </c>
      <c r="G792" s="7" t="s">
        <v>6</v>
      </c>
      <c r="H792">
        <f t="shared" si="62"/>
        <v>2024</v>
      </c>
      <c r="I792">
        <f t="shared" si="63"/>
        <v>4</v>
      </c>
      <c r="J792">
        <f t="shared" si="60"/>
        <v>0</v>
      </c>
    </row>
    <row r="793" spans="1:10" ht="12.5" x14ac:dyDescent="0.25">
      <c r="A793" s="1">
        <v>45401</v>
      </c>
      <c r="B793" s="2" t="s">
        <v>11</v>
      </c>
      <c r="C793" s="3">
        <v>9.99</v>
      </c>
      <c r="D793" s="3">
        <v>83</v>
      </c>
      <c r="E793" s="3">
        <v>829.17000000000007</v>
      </c>
      <c r="F793" t="str">
        <f t="shared" si="61"/>
        <v>net sales</v>
      </c>
      <c r="G793" s="7" t="str">
        <f t="shared" si="64"/>
        <v>product 1</v>
      </c>
      <c r="H793">
        <f t="shared" si="62"/>
        <v>2024</v>
      </c>
      <c r="I793">
        <f t="shared" si="63"/>
        <v>4</v>
      </c>
      <c r="J793">
        <f t="shared" si="60"/>
        <v>-100.08</v>
      </c>
    </row>
    <row r="794" spans="1:10" ht="12.5" x14ac:dyDescent="0.25">
      <c r="A794" s="1">
        <v>45401</v>
      </c>
      <c r="B794" s="2" t="s">
        <v>12</v>
      </c>
      <c r="C794" s="3">
        <v>24.99</v>
      </c>
      <c r="D794" s="3">
        <v>2</v>
      </c>
      <c r="E794" s="3">
        <v>49.98</v>
      </c>
      <c r="F794" t="str">
        <f t="shared" si="61"/>
        <v>net sales</v>
      </c>
      <c r="G794" s="7" t="str">
        <f t="shared" si="64"/>
        <v>product 2</v>
      </c>
      <c r="H794">
        <f t="shared" si="62"/>
        <v>2024</v>
      </c>
      <c r="I794">
        <f t="shared" si="63"/>
        <v>4</v>
      </c>
      <c r="J794">
        <f t="shared" si="60"/>
        <v>89.91</v>
      </c>
    </row>
    <row r="795" spans="1:10" ht="12.5" x14ac:dyDescent="0.25">
      <c r="A795" s="1">
        <v>45401</v>
      </c>
      <c r="B795" s="2" t="s">
        <v>13</v>
      </c>
      <c r="C795" s="3">
        <v>12.49</v>
      </c>
      <c r="D795" s="3">
        <v>165</v>
      </c>
      <c r="E795" s="3">
        <v>2060.85</v>
      </c>
      <c r="F795" t="str">
        <f t="shared" si="61"/>
        <v>net sales</v>
      </c>
      <c r="G795" s="7" t="str">
        <f t="shared" si="64"/>
        <v>product 3</v>
      </c>
      <c r="H795">
        <f t="shared" si="62"/>
        <v>2024</v>
      </c>
      <c r="I795">
        <f t="shared" si="63"/>
        <v>4</v>
      </c>
      <c r="J795">
        <f t="shared" si="60"/>
        <v>149.94</v>
      </c>
    </row>
    <row r="796" spans="1:10" ht="12.5" x14ac:dyDescent="0.25">
      <c r="A796" s="1">
        <v>45402</v>
      </c>
      <c r="B796" s="2" t="s">
        <v>7</v>
      </c>
      <c r="C796" s="3">
        <v>5.99</v>
      </c>
      <c r="D796" s="3">
        <v>33</v>
      </c>
      <c r="E796" s="3">
        <v>197.67000000000002</v>
      </c>
      <c r="F796" t="str">
        <f t="shared" si="61"/>
        <v>cogs</v>
      </c>
      <c r="G796" s="7" t="str">
        <f t="shared" si="64"/>
        <v>product 1</v>
      </c>
      <c r="H796">
        <f t="shared" si="62"/>
        <v>2024</v>
      </c>
      <c r="I796">
        <f t="shared" si="63"/>
        <v>4</v>
      </c>
      <c r="J796">
        <f t="shared" ref="J796:J859" si="65">IF(F579="net sales",E579,
IF(F579="cogs",-E579,
IF(OR(F579="marketing",F579="overhead",F579="payroll",F579="interest","amortization"),-E579,0)))</f>
        <v>0</v>
      </c>
    </row>
    <row r="797" spans="1:10" ht="12.5" x14ac:dyDescent="0.25">
      <c r="A797" s="1">
        <v>45402</v>
      </c>
      <c r="B797" s="2" t="s">
        <v>8</v>
      </c>
      <c r="C797" s="3">
        <v>16.989999999999998</v>
      </c>
      <c r="D797" s="3">
        <v>3</v>
      </c>
      <c r="E797" s="3">
        <v>50.97</v>
      </c>
      <c r="F797" t="str">
        <f t="shared" si="61"/>
        <v>cogs</v>
      </c>
      <c r="G797" s="7" t="str">
        <f t="shared" si="64"/>
        <v>product 2</v>
      </c>
      <c r="H797">
        <f t="shared" si="62"/>
        <v>2024</v>
      </c>
      <c r="I797">
        <f t="shared" si="63"/>
        <v>4</v>
      </c>
      <c r="J797">
        <f t="shared" si="65"/>
        <v>-257.57</v>
      </c>
    </row>
    <row r="798" spans="1:10" ht="12.5" x14ac:dyDescent="0.25">
      <c r="A798" s="1">
        <v>45402</v>
      </c>
      <c r="B798" s="2" t="s">
        <v>9</v>
      </c>
      <c r="C798" s="3">
        <v>8.49</v>
      </c>
      <c r="D798" s="3">
        <v>133</v>
      </c>
      <c r="E798" s="3">
        <v>1129.17</v>
      </c>
      <c r="F798" t="str">
        <f t="shared" si="61"/>
        <v>cogs</v>
      </c>
      <c r="G798" s="7" t="str">
        <f t="shared" si="64"/>
        <v>product 3</v>
      </c>
      <c r="H798">
        <f t="shared" si="62"/>
        <v>2024</v>
      </c>
      <c r="I798">
        <f t="shared" si="63"/>
        <v>4</v>
      </c>
      <c r="J798">
        <f t="shared" si="65"/>
        <v>-84.949999999999989</v>
      </c>
    </row>
    <row r="799" spans="1:10" ht="12.5" x14ac:dyDescent="0.25">
      <c r="A799" s="1">
        <v>45402</v>
      </c>
      <c r="B799" s="2" t="s">
        <v>10</v>
      </c>
      <c r="C799" s="2" t="s">
        <v>6</v>
      </c>
      <c r="D799" s="2" t="s">
        <v>6</v>
      </c>
      <c r="E799" s="3">
        <v>99.91</v>
      </c>
      <c r="F799" t="str">
        <f t="shared" si="61"/>
        <v>marketing</v>
      </c>
      <c r="G799" s="7" t="s">
        <v>6</v>
      </c>
      <c r="H799">
        <f t="shared" si="62"/>
        <v>2024</v>
      </c>
      <c r="I799">
        <f t="shared" si="63"/>
        <v>4</v>
      </c>
      <c r="J799">
        <f t="shared" si="65"/>
        <v>-169.8</v>
      </c>
    </row>
    <row r="800" spans="1:10" ht="12.5" x14ac:dyDescent="0.25">
      <c r="A800" s="1">
        <v>45402</v>
      </c>
      <c r="B800" s="2" t="s">
        <v>11</v>
      </c>
      <c r="C800" s="3">
        <v>9.99</v>
      </c>
      <c r="D800" s="3">
        <v>33</v>
      </c>
      <c r="E800" s="3">
        <v>329.67</v>
      </c>
      <c r="F800" t="str">
        <f t="shared" si="61"/>
        <v>net sales</v>
      </c>
      <c r="G800" s="7" t="str">
        <f t="shared" si="64"/>
        <v>product 1</v>
      </c>
      <c r="H800">
        <f t="shared" si="62"/>
        <v>2024</v>
      </c>
      <c r="I800">
        <f t="shared" si="63"/>
        <v>4</v>
      </c>
      <c r="J800">
        <f t="shared" si="65"/>
        <v>-100.08</v>
      </c>
    </row>
    <row r="801" spans="1:10" ht="12.5" x14ac:dyDescent="0.25">
      <c r="A801" s="1">
        <v>45402</v>
      </c>
      <c r="B801" s="2" t="s">
        <v>12</v>
      </c>
      <c r="C801" s="3">
        <v>24.99</v>
      </c>
      <c r="D801" s="3">
        <v>3</v>
      </c>
      <c r="E801" s="3">
        <v>74.97</v>
      </c>
      <c r="F801" t="str">
        <f t="shared" si="61"/>
        <v>net sales</v>
      </c>
      <c r="G801" s="7" t="str">
        <f t="shared" si="64"/>
        <v>product 2</v>
      </c>
      <c r="H801">
        <f t="shared" si="62"/>
        <v>2024</v>
      </c>
      <c r="I801">
        <f t="shared" si="63"/>
        <v>4</v>
      </c>
      <c r="J801">
        <f t="shared" si="65"/>
        <v>429.57</v>
      </c>
    </row>
    <row r="802" spans="1:10" ht="12.5" x14ac:dyDescent="0.25">
      <c r="A802" s="1">
        <v>45402</v>
      </c>
      <c r="B802" s="2" t="s">
        <v>13</v>
      </c>
      <c r="C802" s="3">
        <v>12.49</v>
      </c>
      <c r="D802" s="3">
        <v>133</v>
      </c>
      <c r="E802" s="3">
        <v>1661.17</v>
      </c>
      <c r="F802" t="str">
        <f t="shared" si="61"/>
        <v>net sales</v>
      </c>
      <c r="G802" s="7" t="str">
        <f t="shared" si="64"/>
        <v>product 3</v>
      </c>
      <c r="H802">
        <f t="shared" si="62"/>
        <v>2024</v>
      </c>
      <c r="I802">
        <f t="shared" si="63"/>
        <v>4</v>
      </c>
      <c r="J802">
        <f t="shared" si="65"/>
        <v>124.94999999999999</v>
      </c>
    </row>
    <row r="803" spans="1:10" ht="12.5" x14ac:dyDescent="0.25">
      <c r="A803" s="1">
        <v>45403</v>
      </c>
      <c r="B803" s="2" t="s">
        <v>7</v>
      </c>
      <c r="C803" s="3">
        <v>5.99</v>
      </c>
      <c r="D803" s="3">
        <v>37</v>
      </c>
      <c r="E803" s="3">
        <v>221.63</v>
      </c>
      <c r="F803" t="str">
        <f t="shared" si="61"/>
        <v>cogs</v>
      </c>
      <c r="G803" s="7" t="str">
        <f t="shared" si="64"/>
        <v>product 1</v>
      </c>
      <c r="H803">
        <f t="shared" si="62"/>
        <v>2024</v>
      </c>
      <c r="I803">
        <f t="shared" si="63"/>
        <v>4</v>
      </c>
      <c r="J803">
        <f t="shared" si="65"/>
        <v>249.8</v>
      </c>
    </row>
    <row r="804" spans="1:10" ht="12.5" x14ac:dyDescent="0.25">
      <c r="A804" s="1">
        <v>45403</v>
      </c>
      <c r="B804" s="2" t="s">
        <v>8</v>
      </c>
      <c r="C804" s="3">
        <v>16.989999999999998</v>
      </c>
      <c r="D804" s="3">
        <v>2</v>
      </c>
      <c r="E804" s="3">
        <v>33.979999999999997</v>
      </c>
      <c r="F804" t="str">
        <f t="shared" si="61"/>
        <v>cogs</v>
      </c>
      <c r="G804" s="7" t="str">
        <f t="shared" si="64"/>
        <v>product 2</v>
      </c>
      <c r="H804">
        <f t="shared" si="62"/>
        <v>2024</v>
      </c>
      <c r="I804">
        <f t="shared" si="63"/>
        <v>4</v>
      </c>
      <c r="J804">
        <f t="shared" si="65"/>
        <v>-5.99</v>
      </c>
    </row>
    <row r="805" spans="1:10" ht="12.5" x14ac:dyDescent="0.25">
      <c r="A805" s="1">
        <v>45403</v>
      </c>
      <c r="B805" s="2" t="s">
        <v>9</v>
      </c>
      <c r="C805" s="3">
        <v>8.49</v>
      </c>
      <c r="D805" s="3">
        <v>89</v>
      </c>
      <c r="E805" s="3">
        <v>755.61</v>
      </c>
      <c r="F805" t="str">
        <f t="shared" si="61"/>
        <v>cogs</v>
      </c>
      <c r="G805" s="7" t="str">
        <f t="shared" si="64"/>
        <v>product 3</v>
      </c>
      <c r="H805">
        <f t="shared" si="62"/>
        <v>2024</v>
      </c>
      <c r="I805">
        <f t="shared" si="63"/>
        <v>4</v>
      </c>
      <c r="J805">
        <f t="shared" si="65"/>
        <v>-84.949999999999989</v>
      </c>
    </row>
    <row r="806" spans="1:10" ht="12.5" x14ac:dyDescent="0.25">
      <c r="A806" s="1">
        <v>45403</v>
      </c>
      <c r="B806" s="2" t="s">
        <v>10</v>
      </c>
      <c r="C806" s="2" t="s">
        <v>6</v>
      </c>
      <c r="D806" s="2" t="s">
        <v>6</v>
      </c>
      <c r="E806" s="3">
        <v>100.05</v>
      </c>
      <c r="F806" t="str">
        <f t="shared" si="61"/>
        <v>marketing</v>
      </c>
      <c r="G806" s="7" t="s">
        <v>6</v>
      </c>
      <c r="H806">
        <f t="shared" si="62"/>
        <v>2024</v>
      </c>
      <c r="I806">
        <f t="shared" si="63"/>
        <v>4</v>
      </c>
      <c r="J806">
        <f t="shared" si="65"/>
        <v>-815.04</v>
      </c>
    </row>
    <row r="807" spans="1:10" ht="12.5" x14ac:dyDescent="0.25">
      <c r="A807" s="1">
        <v>45403</v>
      </c>
      <c r="B807" s="2" t="s">
        <v>11</v>
      </c>
      <c r="C807" s="3">
        <v>9.99</v>
      </c>
      <c r="D807" s="3">
        <v>37</v>
      </c>
      <c r="E807" s="3">
        <v>369.63</v>
      </c>
      <c r="F807" t="str">
        <f t="shared" si="61"/>
        <v>net sales</v>
      </c>
      <c r="G807" s="7" t="str">
        <f t="shared" si="64"/>
        <v>product 1</v>
      </c>
      <c r="H807">
        <f t="shared" si="62"/>
        <v>2024</v>
      </c>
      <c r="I807">
        <f t="shared" si="63"/>
        <v>4</v>
      </c>
      <c r="J807">
        <f t="shared" si="65"/>
        <v>-99.92</v>
      </c>
    </row>
    <row r="808" spans="1:10" ht="12.5" x14ac:dyDescent="0.25">
      <c r="A808" s="1">
        <v>45403</v>
      </c>
      <c r="B808" s="2" t="s">
        <v>12</v>
      </c>
      <c r="C808" s="3">
        <v>24.99</v>
      </c>
      <c r="D808" s="3">
        <v>2</v>
      </c>
      <c r="E808" s="3">
        <v>49.98</v>
      </c>
      <c r="F808" t="str">
        <f t="shared" si="61"/>
        <v>net sales</v>
      </c>
      <c r="G808" s="7" t="str">
        <f t="shared" si="64"/>
        <v>product 2</v>
      </c>
      <c r="H808">
        <f t="shared" si="62"/>
        <v>2024</v>
      </c>
      <c r="I808">
        <f t="shared" si="63"/>
        <v>4</v>
      </c>
      <c r="J808">
        <f t="shared" si="65"/>
        <v>9.99</v>
      </c>
    </row>
    <row r="809" spans="1:10" ht="12.5" x14ac:dyDescent="0.25">
      <c r="A809" s="1">
        <v>45403</v>
      </c>
      <c r="B809" s="2" t="s">
        <v>13</v>
      </c>
      <c r="C809" s="3">
        <v>12.49</v>
      </c>
      <c r="D809" s="3">
        <v>89</v>
      </c>
      <c r="E809" s="3">
        <v>1111.6100000000001</v>
      </c>
      <c r="F809" t="str">
        <f t="shared" si="61"/>
        <v>net sales</v>
      </c>
      <c r="G809" s="7" t="str">
        <f t="shared" si="64"/>
        <v>product 3</v>
      </c>
      <c r="H809">
        <f t="shared" si="62"/>
        <v>2024</v>
      </c>
      <c r="I809">
        <f t="shared" si="63"/>
        <v>4</v>
      </c>
      <c r="J809">
        <f t="shared" si="65"/>
        <v>124.94999999999999</v>
      </c>
    </row>
    <row r="810" spans="1:10" ht="12.5" x14ac:dyDescent="0.25">
      <c r="A810" s="1">
        <v>45404</v>
      </c>
      <c r="B810" s="2" t="s">
        <v>7</v>
      </c>
      <c r="C810" s="3">
        <v>5.99</v>
      </c>
      <c r="D810" s="3">
        <v>56</v>
      </c>
      <c r="E810" s="3">
        <v>335.44</v>
      </c>
      <c r="F810" t="str">
        <f t="shared" si="61"/>
        <v>cogs</v>
      </c>
      <c r="G810" s="7" t="str">
        <f t="shared" si="64"/>
        <v>product 1</v>
      </c>
      <c r="H810">
        <f t="shared" si="62"/>
        <v>2024</v>
      </c>
      <c r="I810">
        <f t="shared" si="63"/>
        <v>4</v>
      </c>
      <c r="J810">
        <f t="shared" si="65"/>
        <v>1199.04</v>
      </c>
    </row>
    <row r="811" spans="1:10" ht="12.5" x14ac:dyDescent="0.25">
      <c r="A811" s="1">
        <v>45404</v>
      </c>
      <c r="B811" s="2" t="s">
        <v>8</v>
      </c>
      <c r="C811" s="3">
        <v>16.989999999999998</v>
      </c>
      <c r="D811" s="3">
        <v>6</v>
      </c>
      <c r="E811" s="3">
        <v>101.94</v>
      </c>
      <c r="F811" t="str">
        <f t="shared" si="61"/>
        <v>cogs</v>
      </c>
      <c r="G811" s="7" t="str">
        <f t="shared" si="64"/>
        <v>product 2</v>
      </c>
      <c r="H811">
        <f t="shared" si="62"/>
        <v>2024</v>
      </c>
      <c r="I811">
        <f t="shared" si="63"/>
        <v>4</v>
      </c>
      <c r="J811">
        <f t="shared" si="65"/>
        <v>-269.55</v>
      </c>
    </row>
    <row r="812" spans="1:10" ht="12.5" x14ac:dyDescent="0.25">
      <c r="A812" s="1">
        <v>45404</v>
      </c>
      <c r="B812" s="2" t="s">
        <v>9</v>
      </c>
      <c r="C812" s="3">
        <v>8.49</v>
      </c>
      <c r="D812" s="3">
        <v>0</v>
      </c>
      <c r="E812" s="2">
        <f>C812*D812</f>
        <v>0</v>
      </c>
      <c r="F812" t="str">
        <f t="shared" si="61"/>
        <v>cogs</v>
      </c>
      <c r="G812" s="7" t="str">
        <f t="shared" si="64"/>
        <v>product 3</v>
      </c>
      <c r="H812">
        <f t="shared" si="62"/>
        <v>2024</v>
      </c>
      <c r="I812">
        <f t="shared" si="63"/>
        <v>4</v>
      </c>
      <c r="J812">
        <f t="shared" si="65"/>
        <v>-16.989999999999998</v>
      </c>
    </row>
    <row r="813" spans="1:10" ht="12.5" x14ac:dyDescent="0.25">
      <c r="A813" s="1">
        <v>45404</v>
      </c>
      <c r="B813" s="2" t="s">
        <v>10</v>
      </c>
      <c r="C813" s="2" t="s">
        <v>6</v>
      </c>
      <c r="D813" s="2" t="s">
        <v>6</v>
      </c>
      <c r="E813" s="3">
        <v>99.98</v>
      </c>
      <c r="F813" t="str">
        <f t="shared" si="61"/>
        <v>marketing</v>
      </c>
      <c r="G813" s="7" t="s">
        <v>6</v>
      </c>
      <c r="H813">
        <f t="shared" si="62"/>
        <v>2024</v>
      </c>
      <c r="I813">
        <f t="shared" si="63"/>
        <v>4</v>
      </c>
      <c r="J813">
        <f t="shared" si="65"/>
        <v>-1859.31</v>
      </c>
    </row>
    <row r="814" spans="1:10" ht="12.5" x14ac:dyDescent="0.25">
      <c r="A814" s="1">
        <v>45404</v>
      </c>
      <c r="B814" s="2" t="s">
        <v>11</v>
      </c>
      <c r="C814" s="3">
        <v>9.99</v>
      </c>
      <c r="D814" s="3">
        <v>56</v>
      </c>
      <c r="E814" s="3">
        <v>559.44000000000005</v>
      </c>
      <c r="F814" t="str">
        <f t="shared" si="61"/>
        <v>net sales</v>
      </c>
      <c r="G814" s="7" t="str">
        <f t="shared" si="64"/>
        <v>product 1</v>
      </c>
      <c r="H814">
        <f t="shared" si="62"/>
        <v>2024</v>
      </c>
      <c r="I814">
        <f t="shared" si="63"/>
        <v>4</v>
      </c>
      <c r="J814">
        <f t="shared" si="65"/>
        <v>-100.02</v>
      </c>
    </row>
    <row r="815" spans="1:10" ht="12.5" x14ac:dyDescent="0.25">
      <c r="A815" s="1">
        <v>45404</v>
      </c>
      <c r="B815" s="2" t="s">
        <v>12</v>
      </c>
      <c r="C815" s="3">
        <v>24.99</v>
      </c>
      <c r="D815" s="3">
        <v>6</v>
      </c>
      <c r="E815" s="3">
        <v>149.94</v>
      </c>
      <c r="F815" t="str">
        <f t="shared" si="61"/>
        <v>net sales</v>
      </c>
      <c r="G815" s="7" t="str">
        <f t="shared" si="64"/>
        <v>product 2</v>
      </c>
      <c r="H815">
        <f t="shared" si="62"/>
        <v>2024</v>
      </c>
      <c r="I815">
        <f t="shared" si="63"/>
        <v>4</v>
      </c>
      <c r="J815">
        <f t="shared" si="65"/>
        <v>449.55</v>
      </c>
    </row>
    <row r="816" spans="1:10" ht="12.5" x14ac:dyDescent="0.25">
      <c r="A816" s="1">
        <v>45404</v>
      </c>
      <c r="B816" s="2" t="s">
        <v>13</v>
      </c>
      <c r="C816" s="3">
        <v>12.49</v>
      </c>
      <c r="D816" s="3">
        <v>0</v>
      </c>
      <c r="E816" s="2">
        <f>C816*D816</f>
        <v>0</v>
      </c>
      <c r="F816" t="str">
        <f t="shared" si="61"/>
        <v>net sales</v>
      </c>
      <c r="G816" s="7" t="str">
        <f t="shared" si="64"/>
        <v>product 3</v>
      </c>
      <c r="H816">
        <f t="shared" si="62"/>
        <v>2024</v>
      </c>
      <c r="I816">
        <f t="shared" si="63"/>
        <v>4</v>
      </c>
      <c r="J816">
        <f t="shared" si="65"/>
        <v>24.99</v>
      </c>
    </row>
    <row r="817" spans="1:10" ht="12.5" x14ac:dyDescent="0.25">
      <c r="A817" s="1">
        <v>45405</v>
      </c>
      <c r="B817" s="2" t="s">
        <v>7</v>
      </c>
      <c r="C817" s="3">
        <v>5.99</v>
      </c>
      <c r="D817" s="3">
        <v>27</v>
      </c>
      <c r="E817" s="3">
        <v>161.73000000000002</v>
      </c>
      <c r="F817" t="str">
        <f t="shared" si="61"/>
        <v>cogs</v>
      </c>
      <c r="G817" s="7" t="str">
        <f t="shared" si="64"/>
        <v>product 1</v>
      </c>
      <c r="H817">
        <f t="shared" si="62"/>
        <v>2024</v>
      </c>
      <c r="I817">
        <f t="shared" si="63"/>
        <v>4</v>
      </c>
      <c r="J817">
        <f t="shared" si="65"/>
        <v>2735.31</v>
      </c>
    </row>
    <row r="818" spans="1:10" ht="12.5" x14ac:dyDescent="0.25">
      <c r="A818" s="1">
        <v>45405</v>
      </c>
      <c r="B818" s="2" t="s">
        <v>8</v>
      </c>
      <c r="C818" s="3">
        <v>16.989999999999998</v>
      </c>
      <c r="D818" s="3">
        <v>7</v>
      </c>
      <c r="E818" s="3">
        <v>118.92999999999999</v>
      </c>
      <c r="F818" t="str">
        <f t="shared" si="61"/>
        <v>cogs</v>
      </c>
      <c r="G818" s="7" t="str">
        <f t="shared" si="64"/>
        <v>product 2</v>
      </c>
      <c r="H818">
        <f t="shared" si="62"/>
        <v>2024</v>
      </c>
      <c r="I818">
        <f t="shared" si="63"/>
        <v>4</v>
      </c>
      <c r="J818">
        <f t="shared" si="65"/>
        <v>-365.39</v>
      </c>
    </row>
    <row r="819" spans="1:10" ht="12.5" x14ac:dyDescent="0.25">
      <c r="A819" s="1">
        <v>45405</v>
      </c>
      <c r="B819" s="2" t="s">
        <v>9</v>
      </c>
      <c r="C819" s="3">
        <v>8.49</v>
      </c>
      <c r="D819" s="3">
        <v>168</v>
      </c>
      <c r="E819" s="3">
        <v>1426.32</v>
      </c>
      <c r="F819" t="str">
        <f t="shared" si="61"/>
        <v>cogs</v>
      </c>
      <c r="G819" s="7" t="str">
        <f t="shared" si="64"/>
        <v>product 3</v>
      </c>
      <c r="H819">
        <f t="shared" si="62"/>
        <v>2024</v>
      </c>
      <c r="I819">
        <f t="shared" si="63"/>
        <v>4</v>
      </c>
      <c r="J819">
        <f t="shared" si="65"/>
        <v>-33.979999999999997</v>
      </c>
    </row>
    <row r="820" spans="1:10" ht="12.5" x14ac:dyDescent="0.25">
      <c r="A820" s="1">
        <v>45405</v>
      </c>
      <c r="B820" s="2" t="s">
        <v>10</v>
      </c>
      <c r="C820" s="2" t="s">
        <v>6</v>
      </c>
      <c r="D820" s="2" t="s">
        <v>6</v>
      </c>
      <c r="E820" s="3">
        <v>99.92</v>
      </c>
      <c r="F820" t="str">
        <f t="shared" si="61"/>
        <v>marketing</v>
      </c>
      <c r="G820" s="7" t="s">
        <v>6</v>
      </c>
      <c r="H820">
        <f t="shared" si="62"/>
        <v>2024</v>
      </c>
      <c r="I820">
        <f t="shared" si="63"/>
        <v>4</v>
      </c>
      <c r="J820">
        <f t="shared" si="65"/>
        <v>-806.55000000000007</v>
      </c>
    </row>
    <row r="821" spans="1:10" ht="12.5" x14ac:dyDescent="0.25">
      <c r="A821" s="1">
        <v>45405</v>
      </c>
      <c r="B821" s="2" t="s">
        <v>11</v>
      </c>
      <c r="C821" s="3">
        <v>9.99</v>
      </c>
      <c r="D821" s="3">
        <v>27</v>
      </c>
      <c r="E821" s="3">
        <v>269.73</v>
      </c>
      <c r="F821" t="str">
        <f t="shared" si="61"/>
        <v>net sales</v>
      </c>
      <c r="G821" s="7" t="str">
        <f t="shared" si="64"/>
        <v>product 1</v>
      </c>
      <c r="H821">
        <f t="shared" si="62"/>
        <v>2024</v>
      </c>
      <c r="I821">
        <f t="shared" si="63"/>
        <v>4</v>
      </c>
      <c r="J821">
        <f t="shared" si="65"/>
        <v>-100.02</v>
      </c>
    </row>
    <row r="822" spans="1:10" ht="12.5" x14ac:dyDescent="0.25">
      <c r="A822" s="1">
        <v>45405</v>
      </c>
      <c r="B822" s="2" t="s">
        <v>12</v>
      </c>
      <c r="C822" s="3">
        <v>24.99</v>
      </c>
      <c r="D822" s="3">
        <v>7</v>
      </c>
      <c r="E822" s="3">
        <v>174.92999999999998</v>
      </c>
      <c r="F822" t="str">
        <f t="shared" si="61"/>
        <v>net sales</v>
      </c>
      <c r="G822" s="7" t="str">
        <f t="shared" si="64"/>
        <v>product 2</v>
      </c>
      <c r="H822">
        <f t="shared" si="62"/>
        <v>2024</v>
      </c>
      <c r="I822">
        <f t="shared" si="63"/>
        <v>4</v>
      </c>
      <c r="J822">
        <f t="shared" si="65"/>
        <v>609.39</v>
      </c>
    </row>
    <row r="823" spans="1:10" ht="12.5" x14ac:dyDescent="0.25">
      <c r="A823" s="1">
        <v>45405</v>
      </c>
      <c r="B823" s="2" t="s">
        <v>13</v>
      </c>
      <c r="C823" s="3">
        <v>12.49</v>
      </c>
      <c r="D823" s="3">
        <v>168</v>
      </c>
      <c r="E823" s="3">
        <v>2098.3200000000002</v>
      </c>
      <c r="F823" t="str">
        <f t="shared" si="61"/>
        <v>net sales</v>
      </c>
      <c r="G823" s="7" t="str">
        <f t="shared" si="64"/>
        <v>product 3</v>
      </c>
      <c r="H823">
        <f t="shared" si="62"/>
        <v>2024</v>
      </c>
      <c r="I823">
        <f t="shared" si="63"/>
        <v>4</v>
      </c>
      <c r="J823">
        <f t="shared" si="65"/>
        <v>49.98</v>
      </c>
    </row>
    <row r="824" spans="1:10" ht="12.5" x14ac:dyDescent="0.25">
      <c r="A824" s="1">
        <v>45406</v>
      </c>
      <c r="B824" s="2" t="s">
        <v>7</v>
      </c>
      <c r="C824" s="3">
        <v>5.99</v>
      </c>
      <c r="D824" s="3">
        <v>14</v>
      </c>
      <c r="E824" s="3">
        <v>83.86</v>
      </c>
      <c r="F824" t="str">
        <f t="shared" si="61"/>
        <v>cogs</v>
      </c>
      <c r="G824" s="7" t="str">
        <f t="shared" si="64"/>
        <v>product 1</v>
      </c>
      <c r="H824">
        <f t="shared" si="62"/>
        <v>2024</v>
      </c>
      <c r="I824">
        <f t="shared" si="63"/>
        <v>4</v>
      </c>
      <c r="J824">
        <f t="shared" si="65"/>
        <v>1186.55</v>
      </c>
    </row>
    <row r="825" spans="1:10" ht="12.5" x14ac:dyDescent="0.25">
      <c r="A825" s="1">
        <v>45406</v>
      </c>
      <c r="B825" s="2" t="s">
        <v>8</v>
      </c>
      <c r="C825" s="3">
        <v>16.989999999999998</v>
      </c>
      <c r="D825" s="3">
        <v>6</v>
      </c>
      <c r="E825" s="3">
        <v>101.94</v>
      </c>
      <c r="F825" t="str">
        <f t="shared" si="61"/>
        <v>cogs</v>
      </c>
      <c r="G825" s="7" t="str">
        <f t="shared" si="64"/>
        <v>product 2</v>
      </c>
      <c r="H825">
        <f t="shared" si="62"/>
        <v>2024</v>
      </c>
      <c r="I825">
        <f t="shared" si="63"/>
        <v>4</v>
      </c>
      <c r="J825">
        <f t="shared" si="65"/>
        <v>-131.78</v>
      </c>
    </row>
    <row r="826" spans="1:10" ht="12.5" x14ac:dyDescent="0.25">
      <c r="A826" s="1">
        <v>45406</v>
      </c>
      <c r="B826" s="2" t="s">
        <v>9</v>
      </c>
      <c r="C826" s="3">
        <v>8.49</v>
      </c>
      <c r="D826" s="3">
        <v>21</v>
      </c>
      <c r="E826" s="3">
        <v>178.29</v>
      </c>
      <c r="F826" t="str">
        <f t="shared" si="61"/>
        <v>cogs</v>
      </c>
      <c r="G826" s="7" t="str">
        <f t="shared" si="64"/>
        <v>product 3</v>
      </c>
      <c r="H826">
        <f t="shared" si="62"/>
        <v>2024</v>
      </c>
      <c r="I826">
        <f t="shared" si="63"/>
        <v>4</v>
      </c>
      <c r="J826">
        <f t="shared" si="65"/>
        <v>-101.94</v>
      </c>
    </row>
    <row r="827" spans="1:10" ht="12.5" x14ac:dyDescent="0.25">
      <c r="A827" s="1">
        <v>45406</v>
      </c>
      <c r="B827" s="2" t="s">
        <v>10</v>
      </c>
      <c r="C827" s="2" t="s">
        <v>6</v>
      </c>
      <c r="D827" s="2" t="s">
        <v>6</v>
      </c>
      <c r="E827" s="3">
        <v>100.03</v>
      </c>
      <c r="F827" t="str">
        <f t="shared" si="61"/>
        <v>marketing</v>
      </c>
      <c r="G827" s="7" t="s">
        <v>6</v>
      </c>
      <c r="H827">
        <f t="shared" si="62"/>
        <v>2024</v>
      </c>
      <c r="I827">
        <f t="shared" si="63"/>
        <v>4</v>
      </c>
      <c r="J827">
        <f t="shared" si="65"/>
        <v>-1146.1500000000001</v>
      </c>
    </row>
    <row r="828" spans="1:10" ht="12.5" x14ac:dyDescent="0.25">
      <c r="A828" s="1">
        <v>45406</v>
      </c>
      <c r="B828" s="2" t="s">
        <v>11</v>
      </c>
      <c r="C828" s="3">
        <v>9.99</v>
      </c>
      <c r="D828" s="3">
        <v>14</v>
      </c>
      <c r="E828" s="3">
        <v>139.86000000000001</v>
      </c>
      <c r="F828" t="str">
        <f t="shared" si="61"/>
        <v>net sales</v>
      </c>
      <c r="G828" s="7" t="str">
        <f t="shared" si="64"/>
        <v>product 1</v>
      </c>
      <c r="H828">
        <f t="shared" si="62"/>
        <v>2024</v>
      </c>
      <c r="I828">
        <f t="shared" si="63"/>
        <v>4</v>
      </c>
      <c r="J828">
        <f t="shared" si="65"/>
        <v>-100</v>
      </c>
    </row>
    <row r="829" spans="1:10" ht="12.5" x14ac:dyDescent="0.25">
      <c r="A829" s="1">
        <v>45406</v>
      </c>
      <c r="B829" s="2" t="s">
        <v>12</v>
      </c>
      <c r="C829" s="3">
        <v>24.99</v>
      </c>
      <c r="D829" s="3">
        <v>6</v>
      </c>
      <c r="E829" s="3">
        <v>149.94</v>
      </c>
      <c r="F829" t="str">
        <f t="shared" si="61"/>
        <v>net sales</v>
      </c>
      <c r="G829" s="7" t="str">
        <f t="shared" si="64"/>
        <v>product 2</v>
      </c>
      <c r="H829">
        <f t="shared" si="62"/>
        <v>2024</v>
      </c>
      <c r="I829">
        <f t="shared" si="63"/>
        <v>4</v>
      </c>
      <c r="J829">
        <f t="shared" si="65"/>
        <v>219.78</v>
      </c>
    </row>
    <row r="830" spans="1:10" ht="12.5" x14ac:dyDescent="0.25">
      <c r="A830" s="1">
        <v>45406</v>
      </c>
      <c r="B830" s="2" t="s">
        <v>13</v>
      </c>
      <c r="C830" s="3">
        <v>12.49</v>
      </c>
      <c r="D830" s="3">
        <v>21</v>
      </c>
      <c r="E830" s="3">
        <v>262.29000000000002</v>
      </c>
      <c r="F830" t="str">
        <f t="shared" si="61"/>
        <v>net sales</v>
      </c>
      <c r="G830" s="7" t="str">
        <f t="shared" si="64"/>
        <v>product 3</v>
      </c>
      <c r="H830">
        <f t="shared" si="62"/>
        <v>2024</v>
      </c>
      <c r="I830">
        <f t="shared" si="63"/>
        <v>4</v>
      </c>
      <c r="J830">
        <f t="shared" si="65"/>
        <v>149.94</v>
      </c>
    </row>
    <row r="831" spans="1:10" ht="12.5" x14ac:dyDescent="0.25">
      <c r="A831" s="1">
        <v>45407</v>
      </c>
      <c r="B831" s="2" t="s">
        <v>7</v>
      </c>
      <c r="C831" s="3">
        <v>5.99</v>
      </c>
      <c r="D831" s="3">
        <v>41</v>
      </c>
      <c r="E831" s="3">
        <v>245.59</v>
      </c>
      <c r="F831" t="str">
        <f t="shared" si="61"/>
        <v>cogs</v>
      </c>
      <c r="G831" s="7" t="str">
        <f t="shared" si="64"/>
        <v>product 1</v>
      </c>
      <c r="H831">
        <f t="shared" si="62"/>
        <v>2024</v>
      </c>
      <c r="I831">
        <f t="shared" si="63"/>
        <v>4</v>
      </c>
      <c r="J831">
        <f t="shared" si="65"/>
        <v>1686.15</v>
      </c>
    </row>
    <row r="832" spans="1:10" ht="12.5" x14ac:dyDescent="0.25">
      <c r="A832" s="1">
        <v>45407</v>
      </c>
      <c r="B832" s="2" t="s">
        <v>8</v>
      </c>
      <c r="C832" s="3">
        <v>16.989999999999998</v>
      </c>
      <c r="D832" s="3">
        <v>0</v>
      </c>
      <c r="E832" s="2">
        <f>C832*D832</f>
        <v>0</v>
      </c>
      <c r="F832" t="str">
        <f t="shared" si="61"/>
        <v>cogs</v>
      </c>
      <c r="G832" s="7" t="str">
        <f t="shared" si="64"/>
        <v>product 2</v>
      </c>
      <c r="H832">
        <f t="shared" si="62"/>
        <v>2024</v>
      </c>
      <c r="I832">
        <f t="shared" si="63"/>
        <v>4</v>
      </c>
      <c r="J832">
        <f t="shared" si="65"/>
        <v>-407.32</v>
      </c>
    </row>
    <row r="833" spans="1:10" ht="12.5" x14ac:dyDescent="0.25">
      <c r="A833" s="1">
        <v>45407</v>
      </c>
      <c r="B833" s="2" t="s">
        <v>9</v>
      </c>
      <c r="C833" s="3">
        <v>8.49</v>
      </c>
      <c r="D833" s="3">
        <v>39</v>
      </c>
      <c r="E833" s="3">
        <v>331.11</v>
      </c>
      <c r="F833" t="str">
        <f t="shared" si="61"/>
        <v>cogs</v>
      </c>
      <c r="G833" s="7" t="str">
        <f t="shared" si="64"/>
        <v>product 3</v>
      </c>
      <c r="H833">
        <f t="shared" si="62"/>
        <v>2024</v>
      </c>
      <c r="I833">
        <f t="shared" si="63"/>
        <v>4</v>
      </c>
      <c r="J833">
        <f t="shared" si="65"/>
        <v>-118.92999999999999</v>
      </c>
    </row>
    <row r="834" spans="1:10" ht="12.5" x14ac:dyDescent="0.25">
      <c r="A834" s="1">
        <v>45407</v>
      </c>
      <c r="B834" s="2" t="s">
        <v>10</v>
      </c>
      <c r="C834" s="2" t="s">
        <v>6</v>
      </c>
      <c r="D834" s="2" t="s">
        <v>6</v>
      </c>
      <c r="E834" s="3">
        <v>99.9</v>
      </c>
      <c r="F834" t="str">
        <f t="shared" si="61"/>
        <v>marketing</v>
      </c>
      <c r="G834" s="7" t="s">
        <v>6</v>
      </c>
      <c r="H834">
        <f t="shared" si="62"/>
        <v>2024</v>
      </c>
      <c r="I834">
        <f t="shared" si="63"/>
        <v>4</v>
      </c>
      <c r="J834">
        <f t="shared" si="65"/>
        <v>-823.53</v>
      </c>
    </row>
    <row r="835" spans="1:10" ht="12.5" x14ac:dyDescent="0.25">
      <c r="A835" s="1">
        <v>45407</v>
      </c>
      <c r="B835" s="2" t="s">
        <v>11</v>
      </c>
      <c r="C835" s="3">
        <v>9.99</v>
      </c>
      <c r="D835" s="3">
        <v>41</v>
      </c>
      <c r="E835" s="3">
        <v>409.59000000000003</v>
      </c>
      <c r="F835" t="str">
        <f t="shared" ref="F835:F898" si="66">IFERROR(LEFT(B835,FIND(":",B835)-1),B835)</f>
        <v>net sales</v>
      </c>
      <c r="G835" s="7" t="str">
        <f t="shared" ref="G835:G898" si="67">IFERROR(RIGHT(B835,LEN(B835)-FIND(":",B835)),"")</f>
        <v>product 1</v>
      </c>
      <c r="H835">
        <f t="shared" ref="H835:H898" si="68">YEAR(A835)</f>
        <v>2024</v>
      </c>
      <c r="I835">
        <f t="shared" ref="I835:I898" si="69">MONTH(A835)</f>
        <v>4</v>
      </c>
      <c r="J835">
        <f t="shared" si="65"/>
        <v>-99.9</v>
      </c>
    </row>
    <row r="836" spans="1:10" ht="12.5" x14ac:dyDescent="0.25">
      <c r="A836" s="1">
        <v>45407</v>
      </c>
      <c r="B836" s="2" t="s">
        <v>12</v>
      </c>
      <c r="C836" s="3">
        <v>24.99</v>
      </c>
      <c r="D836" s="3">
        <v>0</v>
      </c>
      <c r="E836" s="2">
        <f>C836*D836</f>
        <v>0</v>
      </c>
      <c r="F836" t="str">
        <f t="shared" si="66"/>
        <v>net sales</v>
      </c>
      <c r="G836" s="7" t="str">
        <f t="shared" si="67"/>
        <v>product 2</v>
      </c>
      <c r="H836">
        <f t="shared" si="68"/>
        <v>2024</v>
      </c>
      <c r="I836">
        <f t="shared" si="69"/>
        <v>4</v>
      </c>
      <c r="J836">
        <f t="shared" si="65"/>
        <v>679.32</v>
      </c>
    </row>
    <row r="837" spans="1:10" ht="12.5" x14ac:dyDescent="0.25">
      <c r="A837" s="1">
        <v>45407</v>
      </c>
      <c r="B837" s="2" t="s">
        <v>13</v>
      </c>
      <c r="C837" s="3">
        <v>12.49</v>
      </c>
      <c r="D837" s="3">
        <v>39</v>
      </c>
      <c r="E837" s="3">
        <v>487.11</v>
      </c>
      <c r="F837" t="str">
        <f t="shared" si="66"/>
        <v>net sales</v>
      </c>
      <c r="G837" s="7" t="str">
        <f t="shared" si="67"/>
        <v>product 3</v>
      </c>
      <c r="H837">
        <f t="shared" si="68"/>
        <v>2024</v>
      </c>
      <c r="I837">
        <f t="shared" si="69"/>
        <v>4</v>
      </c>
      <c r="J837">
        <f t="shared" si="65"/>
        <v>174.92999999999998</v>
      </c>
    </row>
    <row r="838" spans="1:10" ht="12.5" x14ac:dyDescent="0.25">
      <c r="A838" s="1">
        <v>45408</v>
      </c>
      <c r="B838" s="2" t="s">
        <v>7</v>
      </c>
      <c r="C838" s="3">
        <v>5.99</v>
      </c>
      <c r="D838" s="3">
        <v>57</v>
      </c>
      <c r="E838" s="3">
        <v>341.43</v>
      </c>
      <c r="F838" t="str">
        <f t="shared" si="66"/>
        <v>cogs</v>
      </c>
      <c r="G838" s="7" t="str">
        <f t="shared" si="67"/>
        <v>product 1</v>
      </c>
      <c r="H838">
        <f t="shared" si="68"/>
        <v>2024</v>
      </c>
      <c r="I838">
        <f t="shared" si="69"/>
        <v>4</v>
      </c>
      <c r="J838">
        <f t="shared" si="65"/>
        <v>1211.53</v>
      </c>
    </row>
    <row r="839" spans="1:10" ht="12.5" x14ac:dyDescent="0.25">
      <c r="A839" s="1">
        <v>45408</v>
      </c>
      <c r="B839" s="2" t="s">
        <v>8</v>
      </c>
      <c r="C839" s="3">
        <v>16.989999999999998</v>
      </c>
      <c r="D839" s="3">
        <v>2</v>
      </c>
      <c r="E839" s="3">
        <v>33.979999999999997</v>
      </c>
      <c r="F839" t="str">
        <f t="shared" si="66"/>
        <v>cogs</v>
      </c>
      <c r="G839" s="7" t="str">
        <f t="shared" si="67"/>
        <v>product 2</v>
      </c>
      <c r="H839">
        <f t="shared" si="68"/>
        <v>2024</v>
      </c>
      <c r="I839">
        <f t="shared" si="69"/>
        <v>4</v>
      </c>
      <c r="J839">
        <f t="shared" si="65"/>
        <v>-65.89</v>
      </c>
    </row>
    <row r="840" spans="1:10" ht="12.5" x14ac:dyDescent="0.25">
      <c r="A840" s="1">
        <v>45408</v>
      </c>
      <c r="B840" s="2" t="s">
        <v>9</v>
      </c>
      <c r="C840" s="3">
        <v>8.49</v>
      </c>
      <c r="D840" s="3">
        <v>28</v>
      </c>
      <c r="E840" s="3">
        <v>237.72</v>
      </c>
      <c r="F840" t="str">
        <f t="shared" si="66"/>
        <v>cogs</v>
      </c>
      <c r="G840" s="7" t="str">
        <f t="shared" si="67"/>
        <v>product 3</v>
      </c>
      <c r="H840">
        <f t="shared" si="68"/>
        <v>2024</v>
      </c>
      <c r="I840">
        <f t="shared" si="69"/>
        <v>4</v>
      </c>
      <c r="J840">
        <f t="shared" si="65"/>
        <v>-101.94</v>
      </c>
    </row>
    <row r="841" spans="1:10" ht="12.5" x14ac:dyDescent="0.25">
      <c r="A841" s="1">
        <v>45408</v>
      </c>
      <c r="B841" s="2" t="s">
        <v>10</v>
      </c>
      <c r="C841" s="2" t="s">
        <v>6</v>
      </c>
      <c r="D841" s="2" t="s">
        <v>6</v>
      </c>
      <c r="E841" s="3">
        <v>100.07000000000001</v>
      </c>
      <c r="F841" t="str">
        <f t="shared" si="66"/>
        <v>marketing</v>
      </c>
      <c r="G841" s="7" t="s">
        <v>6</v>
      </c>
      <c r="H841">
        <f t="shared" si="68"/>
        <v>2024</v>
      </c>
      <c r="I841">
        <f t="shared" si="69"/>
        <v>4</v>
      </c>
      <c r="J841">
        <f t="shared" si="65"/>
        <v>-1494.24</v>
      </c>
    </row>
    <row r="842" spans="1:10" ht="12.5" x14ac:dyDescent="0.25">
      <c r="A842" s="1">
        <v>45408</v>
      </c>
      <c r="B842" s="2" t="s">
        <v>11</v>
      </c>
      <c r="C842" s="3">
        <v>9.99</v>
      </c>
      <c r="D842" s="3">
        <v>57</v>
      </c>
      <c r="E842" s="3">
        <v>569.43000000000006</v>
      </c>
      <c r="F842" t="str">
        <f t="shared" si="66"/>
        <v>net sales</v>
      </c>
      <c r="G842" s="7" t="str">
        <f t="shared" si="67"/>
        <v>product 1</v>
      </c>
      <c r="H842">
        <f t="shared" si="68"/>
        <v>2024</v>
      </c>
      <c r="I842">
        <f t="shared" si="69"/>
        <v>4</v>
      </c>
      <c r="J842">
        <f t="shared" si="65"/>
        <v>-100.02</v>
      </c>
    </row>
    <row r="843" spans="1:10" ht="12.5" x14ac:dyDescent="0.25">
      <c r="A843" s="1">
        <v>45408</v>
      </c>
      <c r="B843" s="2" t="s">
        <v>12</v>
      </c>
      <c r="C843" s="3">
        <v>24.99</v>
      </c>
      <c r="D843" s="3">
        <v>2</v>
      </c>
      <c r="E843" s="3">
        <v>49.98</v>
      </c>
      <c r="F843" t="str">
        <f t="shared" si="66"/>
        <v>net sales</v>
      </c>
      <c r="G843" s="7" t="str">
        <f t="shared" si="67"/>
        <v>product 2</v>
      </c>
      <c r="H843">
        <f t="shared" si="68"/>
        <v>2024</v>
      </c>
      <c r="I843">
        <f t="shared" si="69"/>
        <v>4</v>
      </c>
      <c r="J843">
        <f t="shared" si="65"/>
        <v>109.89</v>
      </c>
    </row>
    <row r="844" spans="1:10" ht="12.5" x14ac:dyDescent="0.25">
      <c r="A844" s="1">
        <v>45408</v>
      </c>
      <c r="B844" s="2" t="s">
        <v>13</v>
      </c>
      <c r="C844" s="3">
        <v>12.49</v>
      </c>
      <c r="D844" s="3">
        <v>28</v>
      </c>
      <c r="E844" s="3">
        <v>349.72</v>
      </c>
      <c r="F844" t="str">
        <f t="shared" si="66"/>
        <v>net sales</v>
      </c>
      <c r="G844" s="7" t="str">
        <f t="shared" si="67"/>
        <v>product 3</v>
      </c>
      <c r="H844">
        <f t="shared" si="68"/>
        <v>2024</v>
      </c>
      <c r="I844">
        <f t="shared" si="69"/>
        <v>4</v>
      </c>
      <c r="J844">
        <f t="shared" si="65"/>
        <v>149.94</v>
      </c>
    </row>
    <row r="845" spans="1:10" ht="12.5" x14ac:dyDescent="0.25">
      <c r="A845" s="1">
        <v>45408</v>
      </c>
      <c r="B845" s="2" t="s">
        <v>15</v>
      </c>
      <c r="C845" s="2" t="s">
        <v>6</v>
      </c>
      <c r="D845" s="2" t="s">
        <v>6</v>
      </c>
      <c r="E845" s="3">
        <v>1200</v>
      </c>
      <c r="F845" t="str">
        <f t="shared" si="66"/>
        <v>payroll</v>
      </c>
      <c r="G845" s="7" t="s">
        <v>6</v>
      </c>
      <c r="H845">
        <f t="shared" si="68"/>
        <v>2024</v>
      </c>
      <c r="I845">
        <f t="shared" si="69"/>
        <v>4</v>
      </c>
      <c r="J845">
        <f t="shared" si="65"/>
        <v>2198.2400000000002</v>
      </c>
    </row>
    <row r="846" spans="1:10" ht="12.5" x14ac:dyDescent="0.25">
      <c r="A846" s="1">
        <v>45409</v>
      </c>
      <c r="B846" s="2" t="s">
        <v>7</v>
      </c>
      <c r="C846" s="3">
        <v>5.99</v>
      </c>
      <c r="D846" s="3">
        <v>92</v>
      </c>
      <c r="E846" s="3">
        <v>551.08000000000004</v>
      </c>
      <c r="F846" t="str">
        <f t="shared" si="66"/>
        <v>cogs</v>
      </c>
      <c r="G846" s="7" t="str">
        <f t="shared" si="67"/>
        <v>product 1</v>
      </c>
      <c r="H846">
        <f t="shared" si="68"/>
        <v>2024</v>
      </c>
      <c r="I846">
        <f t="shared" si="69"/>
        <v>4</v>
      </c>
      <c r="J846">
        <f t="shared" si="65"/>
        <v>-251.58</v>
      </c>
    </row>
    <row r="847" spans="1:10" ht="12.5" x14ac:dyDescent="0.25">
      <c r="A847" s="1">
        <v>45409</v>
      </c>
      <c r="B847" s="2" t="s">
        <v>8</v>
      </c>
      <c r="C847" s="3">
        <v>16.989999999999998</v>
      </c>
      <c r="D847" s="3">
        <v>4</v>
      </c>
      <c r="E847" s="3">
        <v>67.959999999999994</v>
      </c>
      <c r="F847" t="str">
        <f t="shared" si="66"/>
        <v>cogs</v>
      </c>
      <c r="G847" s="7" t="str">
        <f t="shared" si="67"/>
        <v>product 2</v>
      </c>
      <c r="H847">
        <f t="shared" si="68"/>
        <v>2024</v>
      </c>
      <c r="I847">
        <f t="shared" si="69"/>
        <v>4</v>
      </c>
      <c r="J847">
        <f t="shared" si="65"/>
        <v>-50.97</v>
      </c>
    </row>
    <row r="848" spans="1:10" ht="12.5" x14ac:dyDescent="0.25">
      <c r="A848" s="1">
        <v>45409</v>
      </c>
      <c r="B848" s="2" t="s">
        <v>9</v>
      </c>
      <c r="C848" s="3">
        <v>8.49</v>
      </c>
      <c r="D848" s="3">
        <v>134</v>
      </c>
      <c r="E848" s="3">
        <v>1137.6600000000001</v>
      </c>
      <c r="F848" t="str">
        <f t="shared" si="66"/>
        <v>cogs</v>
      </c>
      <c r="G848" s="7" t="str">
        <f t="shared" si="67"/>
        <v>product 3</v>
      </c>
      <c r="H848">
        <f t="shared" si="68"/>
        <v>2024</v>
      </c>
      <c r="I848">
        <f t="shared" si="69"/>
        <v>4</v>
      </c>
      <c r="J848">
        <f t="shared" si="65"/>
        <v>-577.32000000000005</v>
      </c>
    </row>
    <row r="849" spans="1:10" ht="12.5" x14ac:dyDescent="0.25">
      <c r="A849" s="1">
        <v>45409</v>
      </c>
      <c r="B849" s="2" t="s">
        <v>10</v>
      </c>
      <c r="C849" s="2" t="s">
        <v>6</v>
      </c>
      <c r="D849" s="2" t="s">
        <v>6</v>
      </c>
      <c r="E849" s="3">
        <v>100</v>
      </c>
      <c r="F849" t="str">
        <f t="shared" si="66"/>
        <v>marketing</v>
      </c>
      <c r="G849" s="7" t="s">
        <v>6</v>
      </c>
      <c r="H849">
        <f t="shared" si="68"/>
        <v>2024</v>
      </c>
      <c r="I849">
        <f t="shared" si="69"/>
        <v>4</v>
      </c>
      <c r="J849">
        <f t="shared" si="65"/>
        <v>-100.06</v>
      </c>
    </row>
    <row r="850" spans="1:10" ht="12.5" x14ac:dyDescent="0.25">
      <c r="A850" s="1">
        <v>45409</v>
      </c>
      <c r="B850" s="2" t="s">
        <v>11</v>
      </c>
      <c r="C850" s="3">
        <v>9.99</v>
      </c>
      <c r="D850" s="3">
        <v>92</v>
      </c>
      <c r="E850" s="3">
        <v>919.08</v>
      </c>
      <c r="F850" t="str">
        <f t="shared" si="66"/>
        <v>net sales</v>
      </c>
      <c r="G850" s="7" t="str">
        <f t="shared" si="67"/>
        <v>product 1</v>
      </c>
      <c r="H850">
        <f t="shared" si="68"/>
        <v>2024</v>
      </c>
      <c r="I850">
        <f t="shared" si="69"/>
        <v>4</v>
      </c>
      <c r="J850">
        <f t="shared" si="65"/>
        <v>419.58</v>
      </c>
    </row>
    <row r="851" spans="1:10" ht="12.5" x14ac:dyDescent="0.25">
      <c r="A851" s="1">
        <v>45409</v>
      </c>
      <c r="B851" s="2" t="s">
        <v>12</v>
      </c>
      <c r="C851" s="3">
        <v>24.99</v>
      </c>
      <c r="D851" s="3">
        <v>4</v>
      </c>
      <c r="E851" s="3">
        <v>99.96</v>
      </c>
      <c r="F851" t="str">
        <f t="shared" si="66"/>
        <v>net sales</v>
      </c>
      <c r="G851" s="7" t="str">
        <f t="shared" si="67"/>
        <v>product 2</v>
      </c>
      <c r="H851">
        <f t="shared" si="68"/>
        <v>2024</v>
      </c>
      <c r="I851">
        <f t="shared" si="69"/>
        <v>4</v>
      </c>
      <c r="J851">
        <f t="shared" si="65"/>
        <v>74.97</v>
      </c>
    </row>
    <row r="852" spans="1:10" ht="12.5" x14ac:dyDescent="0.25">
      <c r="A852" s="1">
        <v>45409</v>
      </c>
      <c r="B852" s="2" t="s">
        <v>13</v>
      </c>
      <c r="C852" s="3">
        <v>12.49</v>
      </c>
      <c r="D852" s="3">
        <v>134</v>
      </c>
      <c r="E852" s="3">
        <v>1673.66</v>
      </c>
      <c r="F852" t="str">
        <f t="shared" si="66"/>
        <v>net sales</v>
      </c>
      <c r="G852" s="7" t="str">
        <f t="shared" si="67"/>
        <v>product 3</v>
      </c>
      <c r="H852">
        <f t="shared" si="68"/>
        <v>2024</v>
      </c>
      <c r="I852">
        <f t="shared" si="69"/>
        <v>4</v>
      </c>
      <c r="J852">
        <f t="shared" si="65"/>
        <v>849.32</v>
      </c>
    </row>
    <row r="853" spans="1:10" ht="12.5" x14ac:dyDescent="0.25">
      <c r="A853" s="1">
        <v>45410</v>
      </c>
      <c r="B853" s="2" t="s">
        <v>7</v>
      </c>
      <c r="C853" s="3">
        <v>5.99</v>
      </c>
      <c r="D853" s="3">
        <v>82</v>
      </c>
      <c r="E853" s="3">
        <v>491.18</v>
      </c>
      <c r="F853" t="str">
        <f t="shared" si="66"/>
        <v>cogs</v>
      </c>
      <c r="G853" s="7" t="str">
        <f t="shared" si="67"/>
        <v>product 1</v>
      </c>
      <c r="H853">
        <f t="shared" si="68"/>
        <v>2024</v>
      </c>
      <c r="I853">
        <f t="shared" si="69"/>
        <v>4</v>
      </c>
      <c r="J853">
        <f t="shared" si="65"/>
        <v>-185.69</v>
      </c>
    </row>
    <row r="854" spans="1:10" ht="12.5" x14ac:dyDescent="0.25">
      <c r="A854" s="1">
        <v>45410</v>
      </c>
      <c r="B854" s="2" t="s">
        <v>8</v>
      </c>
      <c r="C854" s="3">
        <v>16.989999999999998</v>
      </c>
      <c r="D854" s="3">
        <v>6</v>
      </c>
      <c r="E854" s="3">
        <v>101.94</v>
      </c>
      <c r="F854" t="str">
        <f t="shared" si="66"/>
        <v>cogs</v>
      </c>
      <c r="G854" s="7" t="str">
        <f t="shared" si="67"/>
        <v>product 2</v>
      </c>
      <c r="H854">
        <f t="shared" si="68"/>
        <v>2024</v>
      </c>
      <c r="I854">
        <f t="shared" si="69"/>
        <v>4</v>
      </c>
      <c r="J854">
        <f t="shared" si="65"/>
        <v>-33.979999999999997</v>
      </c>
    </row>
    <row r="855" spans="1:10" ht="12.5" x14ac:dyDescent="0.25">
      <c r="A855" s="1">
        <v>45410</v>
      </c>
      <c r="B855" s="2" t="s">
        <v>9</v>
      </c>
      <c r="C855" s="3">
        <v>8.49</v>
      </c>
      <c r="D855" s="3">
        <v>181</v>
      </c>
      <c r="E855" s="3">
        <v>1536.69</v>
      </c>
      <c r="F855" t="str">
        <f t="shared" si="66"/>
        <v>cogs</v>
      </c>
      <c r="G855" s="7" t="str">
        <f t="shared" si="67"/>
        <v>product 3</v>
      </c>
      <c r="H855">
        <f t="shared" si="68"/>
        <v>2024</v>
      </c>
      <c r="I855">
        <f t="shared" si="69"/>
        <v>4</v>
      </c>
      <c r="J855">
        <f t="shared" si="65"/>
        <v>-534.87</v>
      </c>
    </row>
    <row r="856" spans="1:10" ht="12.5" x14ac:dyDescent="0.25">
      <c r="A856" s="1">
        <v>45410</v>
      </c>
      <c r="B856" s="2" t="s">
        <v>10</v>
      </c>
      <c r="C856" s="2" t="s">
        <v>6</v>
      </c>
      <c r="D856" s="2" t="s">
        <v>6</v>
      </c>
      <c r="E856" s="3">
        <v>100.06</v>
      </c>
      <c r="F856" t="str">
        <f t="shared" si="66"/>
        <v>marketing</v>
      </c>
      <c r="G856" s="7" t="s">
        <v>6</v>
      </c>
      <c r="H856">
        <f t="shared" si="68"/>
        <v>2024</v>
      </c>
      <c r="I856">
        <f t="shared" si="69"/>
        <v>4</v>
      </c>
      <c r="J856">
        <f t="shared" si="65"/>
        <v>-99.94</v>
      </c>
    </row>
    <row r="857" spans="1:10" ht="12.5" x14ac:dyDescent="0.25">
      <c r="A857" s="1">
        <v>45410</v>
      </c>
      <c r="B857" s="2" t="s">
        <v>11</v>
      </c>
      <c r="C857" s="3">
        <v>9.99</v>
      </c>
      <c r="D857" s="3">
        <v>82</v>
      </c>
      <c r="E857" s="3">
        <v>819.18000000000006</v>
      </c>
      <c r="F857" t="str">
        <f t="shared" si="66"/>
        <v>net sales</v>
      </c>
      <c r="G857" s="7" t="str">
        <f t="shared" si="67"/>
        <v>product 1</v>
      </c>
      <c r="H857">
        <f t="shared" si="68"/>
        <v>2024</v>
      </c>
      <c r="I857">
        <f t="shared" si="69"/>
        <v>4</v>
      </c>
      <c r="J857">
        <f t="shared" si="65"/>
        <v>309.69</v>
      </c>
    </row>
    <row r="858" spans="1:10" ht="12.5" x14ac:dyDescent="0.25">
      <c r="A858" s="1">
        <v>45410</v>
      </c>
      <c r="B858" s="2" t="s">
        <v>12</v>
      </c>
      <c r="C858" s="3">
        <v>24.99</v>
      </c>
      <c r="D858" s="3">
        <v>6</v>
      </c>
      <c r="E858" s="3">
        <v>149.94</v>
      </c>
      <c r="F858" t="str">
        <f t="shared" si="66"/>
        <v>net sales</v>
      </c>
      <c r="G858" s="7" t="str">
        <f t="shared" si="67"/>
        <v>product 2</v>
      </c>
      <c r="H858">
        <f t="shared" si="68"/>
        <v>2024</v>
      </c>
      <c r="I858">
        <f t="shared" si="69"/>
        <v>4</v>
      </c>
      <c r="J858">
        <f t="shared" si="65"/>
        <v>49.98</v>
      </c>
    </row>
    <row r="859" spans="1:10" ht="12.5" x14ac:dyDescent="0.25">
      <c r="A859" s="1">
        <v>45410</v>
      </c>
      <c r="B859" s="2" t="s">
        <v>13</v>
      </c>
      <c r="C859" s="3">
        <v>12.49</v>
      </c>
      <c r="D859" s="3">
        <v>181</v>
      </c>
      <c r="E859" s="3">
        <v>2260.69</v>
      </c>
      <c r="F859" t="str">
        <f t="shared" si="66"/>
        <v>net sales</v>
      </c>
      <c r="G859" s="7" t="str">
        <f t="shared" si="67"/>
        <v>product 3</v>
      </c>
      <c r="H859">
        <f t="shared" si="68"/>
        <v>2024</v>
      </c>
      <c r="I859">
        <f t="shared" si="69"/>
        <v>4</v>
      </c>
      <c r="J859">
        <f t="shared" si="65"/>
        <v>786.87</v>
      </c>
    </row>
    <row r="860" spans="1:10" ht="12.5" x14ac:dyDescent="0.25">
      <c r="A860" s="1">
        <v>45411</v>
      </c>
      <c r="B860" s="2" t="s">
        <v>7</v>
      </c>
      <c r="C860" s="3">
        <v>5.99</v>
      </c>
      <c r="D860" s="3">
        <v>62</v>
      </c>
      <c r="E860" s="3">
        <v>371.38</v>
      </c>
      <c r="F860" t="str">
        <f t="shared" si="66"/>
        <v>cogs</v>
      </c>
      <c r="G860" s="7" t="str">
        <f t="shared" si="67"/>
        <v>product 1</v>
      </c>
      <c r="H860">
        <f t="shared" si="68"/>
        <v>2024</v>
      </c>
      <c r="I860">
        <f t="shared" si="69"/>
        <v>4</v>
      </c>
      <c r="J860">
        <f t="shared" ref="J860:J923" si="70">IF(F643="net sales",E643,
IF(F643="cogs",-E643,
IF(OR(F643="marketing",F643="overhead",F643="payroll",F643="interest","amortization"),-E643,0)))</f>
        <v>-1200</v>
      </c>
    </row>
    <row r="861" spans="1:10" ht="12.5" x14ac:dyDescent="0.25">
      <c r="A861" s="1">
        <v>45411</v>
      </c>
      <c r="B861" s="2" t="s">
        <v>8</v>
      </c>
      <c r="C861" s="3">
        <v>16.989999999999998</v>
      </c>
      <c r="D861" s="3">
        <v>8</v>
      </c>
      <c r="E861" s="3">
        <v>135.91999999999999</v>
      </c>
      <c r="F861" t="str">
        <f t="shared" si="66"/>
        <v>cogs</v>
      </c>
      <c r="G861" s="7" t="str">
        <f t="shared" si="67"/>
        <v>product 2</v>
      </c>
      <c r="H861">
        <f t="shared" si="68"/>
        <v>2024</v>
      </c>
      <c r="I861">
        <f t="shared" si="69"/>
        <v>4</v>
      </c>
      <c r="J861">
        <f t="shared" si="70"/>
        <v>-287.52</v>
      </c>
    </row>
    <row r="862" spans="1:10" ht="12.5" x14ac:dyDescent="0.25">
      <c r="A862" s="1">
        <v>45411</v>
      </c>
      <c r="B862" s="2" t="s">
        <v>9</v>
      </c>
      <c r="C862" s="3">
        <v>8.49</v>
      </c>
      <c r="D862" s="3">
        <v>158</v>
      </c>
      <c r="E862" s="3">
        <v>1341.42</v>
      </c>
      <c r="F862" t="str">
        <f t="shared" si="66"/>
        <v>cogs</v>
      </c>
      <c r="G862" s="7" t="str">
        <f t="shared" si="67"/>
        <v>product 3</v>
      </c>
      <c r="H862">
        <f t="shared" si="68"/>
        <v>2024</v>
      </c>
      <c r="I862">
        <f t="shared" si="69"/>
        <v>4</v>
      </c>
      <c r="J862">
        <f t="shared" si="70"/>
        <v>-50.97</v>
      </c>
    </row>
    <row r="863" spans="1:10" ht="12.5" x14ac:dyDescent="0.25">
      <c r="A863" s="1">
        <v>45411</v>
      </c>
      <c r="B863" s="2" t="s">
        <v>10</v>
      </c>
      <c r="C863" s="2" t="s">
        <v>6</v>
      </c>
      <c r="D863" s="2" t="s">
        <v>6</v>
      </c>
      <c r="E863" s="3">
        <v>100</v>
      </c>
      <c r="F863" t="str">
        <f t="shared" si="66"/>
        <v>marketing</v>
      </c>
      <c r="G863" s="7" t="s">
        <v>6</v>
      </c>
      <c r="H863">
        <f t="shared" si="68"/>
        <v>2024</v>
      </c>
      <c r="I863">
        <f t="shared" si="69"/>
        <v>4</v>
      </c>
      <c r="J863">
        <f t="shared" si="70"/>
        <v>-840.51</v>
      </c>
    </row>
    <row r="864" spans="1:10" ht="12.5" x14ac:dyDescent="0.25">
      <c r="A864" s="1">
        <v>45411</v>
      </c>
      <c r="B864" s="2" t="s">
        <v>11</v>
      </c>
      <c r="C864" s="3">
        <v>9.99</v>
      </c>
      <c r="D864" s="3">
        <v>62</v>
      </c>
      <c r="E864" s="3">
        <v>619.38</v>
      </c>
      <c r="F864" t="str">
        <f t="shared" si="66"/>
        <v>net sales</v>
      </c>
      <c r="G864" s="7" t="str">
        <f t="shared" si="67"/>
        <v>product 1</v>
      </c>
      <c r="H864">
        <f t="shared" si="68"/>
        <v>2024</v>
      </c>
      <c r="I864">
        <f t="shared" si="69"/>
        <v>4</v>
      </c>
      <c r="J864">
        <f t="shared" si="70"/>
        <v>-100.04</v>
      </c>
    </row>
    <row r="865" spans="1:10" ht="12.5" x14ac:dyDescent="0.25">
      <c r="A865" s="1">
        <v>45411</v>
      </c>
      <c r="B865" s="2" t="s">
        <v>12</v>
      </c>
      <c r="C865" s="3">
        <v>24.99</v>
      </c>
      <c r="D865" s="3">
        <v>8</v>
      </c>
      <c r="E865" s="3">
        <v>199.92</v>
      </c>
      <c r="F865" t="str">
        <f t="shared" si="66"/>
        <v>net sales</v>
      </c>
      <c r="G865" s="7" t="str">
        <f t="shared" si="67"/>
        <v>product 2</v>
      </c>
      <c r="H865">
        <f t="shared" si="68"/>
        <v>2024</v>
      </c>
      <c r="I865">
        <f t="shared" si="69"/>
        <v>4</v>
      </c>
      <c r="J865">
        <f t="shared" si="70"/>
        <v>479.52</v>
      </c>
    </row>
    <row r="866" spans="1:10" ht="12.5" x14ac:dyDescent="0.25">
      <c r="A866" s="1">
        <v>45411</v>
      </c>
      <c r="B866" s="2" t="s">
        <v>13</v>
      </c>
      <c r="C866" s="3">
        <v>12.49</v>
      </c>
      <c r="D866" s="3">
        <v>158</v>
      </c>
      <c r="E866" s="3">
        <v>1973.42</v>
      </c>
      <c r="F866" t="str">
        <f t="shared" si="66"/>
        <v>net sales</v>
      </c>
      <c r="G866" s="7" t="str">
        <f t="shared" si="67"/>
        <v>product 3</v>
      </c>
      <c r="H866">
        <f t="shared" si="68"/>
        <v>2024</v>
      </c>
      <c r="I866">
        <f t="shared" si="69"/>
        <v>4</v>
      </c>
      <c r="J866">
        <f t="shared" si="70"/>
        <v>74.97</v>
      </c>
    </row>
    <row r="867" spans="1:10" ht="12.5" x14ac:dyDescent="0.25">
      <c r="A867" s="1">
        <v>45412</v>
      </c>
      <c r="B867" s="2" t="s">
        <v>7</v>
      </c>
      <c r="C867" s="3">
        <v>5.99</v>
      </c>
      <c r="D867" s="3">
        <v>22</v>
      </c>
      <c r="E867" s="3">
        <v>131.78</v>
      </c>
      <c r="F867" t="str">
        <f t="shared" si="66"/>
        <v>cogs</v>
      </c>
      <c r="G867" s="7" t="str">
        <f t="shared" si="67"/>
        <v>product 1</v>
      </c>
      <c r="H867">
        <f t="shared" si="68"/>
        <v>2024</v>
      </c>
      <c r="I867">
        <f t="shared" si="69"/>
        <v>4</v>
      </c>
      <c r="J867">
        <f t="shared" si="70"/>
        <v>1236.51</v>
      </c>
    </row>
    <row r="868" spans="1:10" ht="12.5" x14ac:dyDescent="0.25">
      <c r="A868" s="1">
        <v>45412</v>
      </c>
      <c r="B868" s="2" t="s">
        <v>8</v>
      </c>
      <c r="C868" s="3">
        <v>16.989999999999998</v>
      </c>
      <c r="D868" s="3">
        <v>8</v>
      </c>
      <c r="E868" s="3">
        <v>135.91999999999999</v>
      </c>
      <c r="F868" t="str">
        <f t="shared" si="66"/>
        <v>cogs</v>
      </c>
      <c r="G868" s="7" t="str">
        <f t="shared" si="67"/>
        <v>product 2</v>
      </c>
      <c r="H868">
        <f t="shared" si="68"/>
        <v>2024</v>
      </c>
      <c r="I868">
        <f t="shared" si="69"/>
        <v>4</v>
      </c>
      <c r="J868">
        <f t="shared" si="70"/>
        <v>-275.54000000000002</v>
      </c>
    </row>
    <row r="869" spans="1:10" ht="12.5" x14ac:dyDescent="0.25">
      <c r="A869" s="1">
        <v>45412</v>
      </c>
      <c r="B869" s="2" t="s">
        <v>9</v>
      </c>
      <c r="C869" s="3">
        <v>8.49</v>
      </c>
      <c r="D869" s="3">
        <v>43</v>
      </c>
      <c r="E869" s="3">
        <v>365.07</v>
      </c>
      <c r="F869" t="str">
        <f t="shared" si="66"/>
        <v>cogs</v>
      </c>
      <c r="G869" s="7" t="str">
        <f t="shared" si="67"/>
        <v>product 3</v>
      </c>
      <c r="H869">
        <f t="shared" si="68"/>
        <v>2024</v>
      </c>
      <c r="I869">
        <f t="shared" si="69"/>
        <v>4</v>
      </c>
      <c r="J869">
        <f t="shared" si="70"/>
        <v>-135.91999999999999</v>
      </c>
    </row>
    <row r="870" spans="1:10" ht="12.5" x14ac:dyDescent="0.25">
      <c r="A870" s="1">
        <v>45412</v>
      </c>
      <c r="B870" s="2" t="s">
        <v>10</v>
      </c>
      <c r="C870" s="2" t="s">
        <v>6</v>
      </c>
      <c r="D870" s="2" t="s">
        <v>6</v>
      </c>
      <c r="E870" s="3">
        <v>100.02</v>
      </c>
      <c r="F870" t="str">
        <f t="shared" si="66"/>
        <v>marketing</v>
      </c>
      <c r="G870" s="7" t="s">
        <v>6</v>
      </c>
      <c r="H870">
        <f t="shared" si="68"/>
        <v>2024</v>
      </c>
      <c r="I870">
        <f t="shared" si="69"/>
        <v>4</v>
      </c>
      <c r="J870">
        <f t="shared" si="70"/>
        <v>0</v>
      </c>
    </row>
    <row r="871" spans="1:10" ht="12.5" x14ac:dyDescent="0.25">
      <c r="A871" s="1">
        <v>45412</v>
      </c>
      <c r="B871" s="2" t="s">
        <v>11</v>
      </c>
      <c r="C871" s="3">
        <v>9.99</v>
      </c>
      <c r="D871" s="3">
        <v>22</v>
      </c>
      <c r="E871" s="3">
        <v>219.78</v>
      </c>
      <c r="F871" t="str">
        <f t="shared" si="66"/>
        <v>net sales</v>
      </c>
      <c r="G871" s="7" t="str">
        <f t="shared" si="67"/>
        <v>product 1</v>
      </c>
      <c r="H871">
        <f t="shared" si="68"/>
        <v>2024</v>
      </c>
      <c r="I871">
        <f t="shared" si="69"/>
        <v>4</v>
      </c>
      <c r="J871">
        <f t="shared" si="70"/>
        <v>-99.91</v>
      </c>
    </row>
    <row r="872" spans="1:10" ht="12.5" x14ac:dyDescent="0.25">
      <c r="A872" s="1">
        <v>45412</v>
      </c>
      <c r="B872" s="2" t="s">
        <v>12</v>
      </c>
      <c r="C872" s="3">
        <v>24.99</v>
      </c>
      <c r="D872" s="3">
        <v>8</v>
      </c>
      <c r="E872" s="3">
        <v>199.92</v>
      </c>
      <c r="F872" t="str">
        <f t="shared" si="66"/>
        <v>net sales</v>
      </c>
      <c r="G872" s="7" t="str">
        <f t="shared" si="67"/>
        <v>product 2</v>
      </c>
      <c r="H872">
        <f t="shared" si="68"/>
        <v>2024</v>
      </c>
      <c r="I872">
        <f t="shared" si="69"/>
        <v>4</v>
      </c>
      <c r="J872">
        <f t="shared" si="70"/>
        <v>459.54</v>
      </c>
    </row>
    <row r="873" spans="1:10" ht="12.5" x14ac:dyDescent="0.25">
      <c r="A873" s="1">
        <v>45412</v>
      </c>
      <c r="B873" s="2" t="s">
        <v>13</v>
      </c>
      <c r="C873" s="3">
        <v>12.49</v>
      </c>
      <c r="D873" s="3">
        <v>43</v>
      </c>
      <c r="E873" s="3">
        <v>537.07000000000005</v>
      </c>
      <c r="F873" t="str">
        <f t="shared" si="66"/>
        <v>net sales</v>
      </c>
      <c r="G873" s="7" t="str">
        <f t="shared" si="67"/>
        <v>product 3</v>
      </c>
      <c r="H873">
        <f t="shared" si="68"/>
        <v>2024</v>
      </c>
      <c r="I873">
        <f t="shared" si="69"/>
        <v>4</v>
      </c>
      <c r="J873">
        <f t="shared" si="70"/>
        <v>199.92</v>
      </c>
    </row>
    <row r="874" spans="1:10" ht="12.5" x14ac:dyDescent="0.25">
      <c r="A874" s="1">
        <v>45413</v>
      </c>
      <c r="B874" s="2" t="s">
        <v>5</v>
      </c>
      <c r="C874" s="2" t="s">
        <v>6</v>
      </c>
      <c r="D874" s="2" t="s">
        <v>6</v>
      </c>
      <c r="E874" s="3">
        <v>50</v>
      </c>
      <c r="F874" t="str">
        <f t="shared" si="66"/>
        <v>amortization</v>
      </c>
      <c r="G874" s="7" t="s">
        <v>6</v>
      </c>
      <c r="H874">
        <f t="shared" si="68"/>
        <v>2024</v>
      </c>
      <c r="I874">
        <f t="shared" si="69"/>
        <v>5</v>
      </c>
      <c r="J874">
        <f t="shared" si="70"/>
        <v>0</v>
      </c>
    </row>
    <row r="875" spans="1:10" ht="12.5" x14ac:dyDescent="0.25">
      <c r="A875" s="1">
        <v>45413</v>
      </c>
      <c r="B875" s="2" t="s">
        <v>7</v>
      </c>
      <c r="C875" s="3">
        <v>5.99</v>
      </c>
      <c r="D875" s="3">
        <v>51</v>
      </c>
      <c r="E875" s="3">
        <v>305.49</v>
      </c>
      <c r="F875" t="str">
        <f t="shared" si="66"/>
        <v>cogs</v>
      </c>
      <c r="G875" s="7" t="str">
        <f t="shared" si="67"/>
        <v>product 1</v>
      </c>
      <c r="H875">
        <f t="shared" si="68"/>
        <v>2024</v>
      </c>
      <c r="I875">
        <f t="shared" si="69"/>
        <v>5</v>
      </c>
      <c r="J875">
        <f t="shared" si="70"/>
        <v>0</v>
      </c>
    </row>
    <row r="876" spans="1:10" ht="12.5" x14ac:dyDescent="0.25">
      <c r="A876" s="1">
        <v>45413</v>
      </c>
      <c r="B876" s="2" t="s">
        <v>8</v>
      </c>
      <c r="C876" s="3">
        <v>16.989999999999998</v>
      </c>
      <c r="D876" s="3">
        <v>0</v>
      </c>
      <c r="E876" s="2">
        <f>C876*D876</f>
        <v>0</v>
      </c>
      <c r="F876" t="str">
        <f t="shared" si="66"/>
        <v>cogs</v>
      </c>
      <c r="G876" s="7" t="str">
        <f t="shared" si="67"/>
        <v>product 2</v>
      </c>
      <c r="H876">
        <f t="shared" si="68"/>
        <v>2024</v>
      </c>
      <c r="I876">
        <f t="shared" si="69"/>
        <v>5</v>
      </c>
      <c r="J876">
        <f t="shared" si="70"/>
        <v>-587.02</v>
      </c>
    </row>
    <row r="877" spans="1:10" ht="12.5" x14ac:dyDescent="0.25">
      <c r="A877" s="1">
        <v>45413</v>
      </c>
      <c r="B877" s="2" t="s">
        <v>9</v>
      </c>
      <c r="C877" s="3">
        <v>8.49</v>
      </c>
      <c r="D877" s="3">
        <v>40</v>
      </c>
      <c r="E877" s="3">
        <v>339.6</v>
      </c>
      <c r="F877" t="str">
        <f t="shared" si="66"/>
        <v>cogs</v>
      </c>
      <c r="G877" s="7" t="str">
        <f t="shared" si="67"/>
        <v>product 3</v>
      </c>
      <c r="H877">
        <f t="shared" si="68"/>
        <v>2024</v>
      </c>
      <c r="I877">
        <f t="shared" si="69"/>
        <v>5</v>
      </c>
      <c r="J877">
        <f t="shared" si="70"/>
        <v>-33.979999999999997</v>
      </c>
    </row>
    <row r="878" spans="1:10" ht="12.5" x14ac:dyDescent="0.25">
      <c r="A878" s="1">
        <v>45413</v>
      </c>
      <c r="B878" s="2" t="s">
        <v>10</v>
      </c>
      <c r="C878" s="2" t="s">
        <v>6</v>
      </c>
      <c r="D878" s="2" t="s">
        <v>6</v>
      </c>
      <c r="E878" s="3">
        <v>99.960000000000008</v>
      </c>
      <c r="F878" t="str">
        <f t="shared" si="66"/>
        <v>marketing</v>
      </c>
      <c r="G878" s="7" t="s">
        <v>6</v>
      </c>
      <c r="H878">
        <f t="shared" si="68"/>
        <v>2024</v>
      </c>
      <c r="I878">
        <f t="shared" si="69"/>
        <v>5</v>
      </c>
      <c r="J878">
        <f t="shared" si="70"/>
        <v>-16.98</v>
      </c>
    </row>
    <row r="879" spans="1:10" ht="12.5" x14ac:dyDescent="0.25">
      <c r="A879" s="1">
        <v>45413</v>
      </c>
      <c r="B879" s="2" t="s">
        <v>11</v>
      </c>
      <c r="C879" s="3">
        <v>9.99</v>
      </c>
      <c r="D879" s="3">
        <v>51</v>
      </c>
      <c r="E879" s="3">
        <v>509.49</v>
      </c>
      <c r="F879" t="str">
        <f t="shared" si="66"/>
        <v>net sales</v>
      </c>
      <c r="G879" s="7" t="str">
        <f t="shared" si="67"/>
        <v>product 1</v>
      </c>
      <c r="H879">
        <f t="shared" si="68"/>
        <v>2024</v>
      </c>
      <c r="I879">
        <f t="shared" si="69"/>
        <v>5</v>
      </c>
      <c r="J879">
        <f t="shared" si="70"/>
        <v>-99.98</v>
      </c>
    </row>
    <row r="880" spans="1:10" ht="12.5" x14ac:dyDescent="0.25">
      <c r="A880" s="1">
        <v>45413</v>
      </c>
      <c r="B880" s="2" t="s">
        <v>12</v>
      </c>
      <c r="C880" s="3">
        <v>24.99</v>
      </c>
      <c r="D880" s="3">
        <v>0</v>
      </c>
      <c r="E880" s="2">
        <f>C880*D880</f>
        <v>0</v>
      </c>
      <c r="F880" t="str">
        <f t="shared" si="66"/>
        <v>net sales</v>
      </c>
      <c r="G880" s="7" t="str">
        <f t="shared" si="67"/>
        <v>product 2</v>
      </c>
      <c r="H880">
        <f t="shared" si="68"/>
        <v>2024</v>
      </c>
      <c r="I880">
        <f t="shared" si="69"/>
        <v>5</v>
      </c>
      <c r="J880">
        <f t="shared" si="70"/>
        <v>979.02</v>
      </c>
    </row>
    <row r="881" spans="1:10" ht="12.5" x14ac:dyDescent="0.25">
      <c r="A881" s="1">
        <v>45413</v>
      </c>
      <c r="B881" s="2" t="s">
        <v>13</v>
      </c>
      <c r="C881" s="3">
        <v>12.49</v>
      </c>
      <c r="D881" s="3">
        <v>40</v>
      </c>
      <c r="E881" s="3">
        <v>499.6</v>
      </c>
      <c r="F881" t="str">
        <f t="shared" si="66"/>
        <v>net sales</v>
      </c>
      <c r="G881" s="7" t="str">
        <f t="shared" si="67"/>
        <v>product 3</v>
      </c>
      <c r="H881">
        <f t="shared" si="68"/>
        <v>2024</v>
      </c>
      <c r="I881">
        <f t="shared" si="69"/>
        <v>5</v>
      </c>
      <c r="J881">
        <f t="shared" si="70"/>
        <v>49.98</v>
      </c>
    </row>
    <row r="882" spans="1:10" ht="12.5" x14ac:dyDescent="0.25">
      <c r="A882" s="1">
        <v>45413</v>
      </c>
      <c r="B882" s="2" t="s">
        <v>14</v>
      </c>
      <c r="C882" s="2" t="s">
        <v>6</v>
      </c>
      <c r="D882" s="2" t="s">
        <v>6</v>
      </c>
      <c r="E882" s="3">
        <v>2000</v>
      </c>
      <c r="F882" t="str">
        <f t="shared" si="66"/>
        <v>overhead</v>
      </c>
      <c r="G882" s="7" t="s">
        <v>6</v>
      </c>
      <c r="H882">
        <f t="shared" si="68"/>
        <v>2024</v>
      </c>
      <c r="I882">
        <f t="shared" si="69"/>
        <v>5</v>
      </c>
      <c r="J882">
        <f t="shared" si="70"/>
        <v>24.98</v>
      </c>
    </row>
    <row r="883" spans="1:10" ht="12.5" x14ac:dyDescent="0.25">
      <c r="A883" s="1">
        <v>45414</v>
      </c>
      <c r="B883" s="2" t="s">
        <v>7</v>
      </c>
      <c r="C883" s="3">
        <v>5.99</v>
      </c>
      <c r="D883" s="3">
        <v>22</v>
      </c>
      <c r="E883" s="3">
        <v>131.78</v>
      </c>
      <c r="F883" t="str">
        <f t="shared" si="66"/>
        <v>cogs</v>
      </c>
      <c r="G883" s="7" t="str">
        <f t="shared" si="67"/>
        <v>product 1</v>
      </c>
      <c r="H883">
        <f t="shared" si="68"/>
        <v>2024</v>
      </c>
      <c r="I883">
        <f t="shared" si="69"/>
        <v>5</v>
      </c>
      <c r="J883">
        <f t="shared" si="70"/>
        <v>-2000</v>
      </c>
    </row>
    <row r="884" spans="1:10" ht="12.5" x14ac:dyDescent="0.25">
      <c r="A884" s="1">
        <v>45414</v>
      </c>
      <c r="B884" s="2" t="s">
        <v>8</v>
      </c>
      <c r="C884" s="3">
        <v>16.989999999999998</v>
      </c>
      <c r="D884" s="3">
        <v>3</v>
      </c>
      <c r="E884" s="3">
        <v>50.97</v>
      </c>
      <c r="F884" t="str">
        <f t="shared" si="66"/>
        <v>cogs</v>
      </c>
      <c r="G884" s="7" t="str">
        <f t="shared" si="67"/>
        <v>product 2</v>
      </c>
      <c r="H884">
        <f t="shared" si="68"/>
        <v>2024</v>
      </c>
      <c r="I884">
        <f t="shared" si="69"/>
        <v>5</v>
      </c>
      <c r="J884">
        <f t="shared" si="70"/>
        <v>-455.24</v>
      </c>
    </row>
    <row r="885" spans="1:10" ht="12.5" x14ac:dyDescent="0.25">
      <c r="A885" s="1">
        <v>45414</v>
      </c>
      <c r="B885" s="2" t="s">
        <v>9</v>
      </c>
      <c r="C885" s="3">
        <v>8.49</v>
      </c>
      <c r="D885" s="3">
        <v>165</v>
      </c>
      <c r="E885" s="3">
        <v>1400.8500000000001</v>
      </c>
      <c r="F885" t="str">
        <f t="shared" si="66"/>
        <v>cogs</v>
      </c>
      <c r="G885" s="7" t="str">
        <f t="shared" si="67"/>
        <v>product 3</v>
      </c>
      <c r="H885">
        <f t="shared" si="68"/>
        <v>2024</v>
      </c>
      <c r="I885">
        <f t="shared" si="69"/>
        <v>5</v>
      </c>
      <c r="J885">
        <f t="shared" si="70"/>
        <v>-135.91999999999999</v>
      </c>
    </row>
    <row r="886" spans="1:10" ht="12.5" x14ac:dyDescent="0.25">
      <c r="A886" s="1">
        <v>45414</v>
      </c>
      <c r="B886" s="2" t="s">
        <v>10</v>
      </c>
      <c r="C886" s="2" t="s">
        <v>6</v>
      </c>
      <c r="D886" s="2" t="s">
        <v>6</v>
      </c>
      <c r="E886" s="3">
        <v>100.06</v>
      </c>
      <c r="F886" t="str">
        <f t="shared" si="66"/>
        <v>marketing</v>
      </c>
      <c r="G886" s="7" t="s">
        <v>6</v>
      </c>
      <c r="H886">
        <f t="shared" si="68"/>
        <v>2024</v>
      </c>
      <c r="I886">
        <f t="shared" si="69"/>
        <v>5</v>
      </c>
      <c r="J886">
        <f t="shared" si="70"/>
        <v>-1502.73</v>
      </c>
    </row>
    <row r="887" spans="1:10" ht="12.5" x14ac:dyDescent="0.25">
      <c r="A887" s="1">
        <v>45414</v>
      </c>
      <c r="B887" s="2" t="s">
        <v>11</v>
      </c>
      <c r="C887" s="3">
        <v>9.99</v>
      </c>
      <c r="D887" s="3">
        <v>22</v>
      </c>
      <c r="E887" s="3">
        <v>219.78</v>
      </c>
      <c r="F887" t="str">
        <f t="shared" si="66"/>
        <v>net sales</v>
      </c>
      <c r="G887" s="7" t="str">
        <f t="shared" si="67"/>
        <v>product 1</v>
      </c>
      <c r="H887">
        <f t="shared" si="68"/>
        <v>2024</v>
      </c>
      <c r="I887">
        <f t="shared" si="69"/>
        <v>5</v>
      </c>
      <c r="J887">
        <f t="shared" si="70"/>
        <v>-100.03</v>
      </c>
    </row>
    <row r="888" spans="1:10" ht="12.5" x14ac:dyDescent="0.25">
      <c r="A888" s="1">
        <v>45414</v>
      </c>
      <c r="B888" s="2" t="s">
        <v>12</v>
      </c>
      <c r="C888" s="3">
        <v>24.99</v>
      </c>
      <c r="D888" s="3">
        <v>3</v>
      </c>
      <c r="E888" s="3">
        <v>74.97</v>
      </c>
      <c r="F888" t="str">
        <f t="shared" si="66"/>
        <v>net sales</v>
      </c>
      <c r="G888" s="7" t="str">
        <f t="shared" si="67"/>
        <v>product 2</v>
      </c>
      <c r="H888">
        <f t="shared" si="68"/>
        <v>2024</v>
      </c>
      <c r="I888">
        <f t="shared" si="69"/>
        <v>5</v>
      </c>
      <c r="J888">
        <f t="shared" si="70"/>
        <v>759.24</v>
      </c>
    </row>
    <row r="889" spans="1:10" ht="12.5" x14ac:dyDescent="0.25">
      <c r="A889" s="1">
        <v>45414</v>
      </c>
      <c r="B889" s="2" t="s">
        <v>13</v>
      </c>
      <c r="C889" s="3">
        <v>12.49</v>
      </c>
      <c r="D889" s="3">
        <v>165</v>
      </c>
      <c r="E889" s="3">
        <v>2060.85</v>
      </c>
      <c r="F889" t="str">
        <f t="shared" si="66"/>
        <v>net sales</v>
      </c>
      <c r="G889" s="7" t="str">
        <f t="shared" si="67"/>
        <v>product 3</v>
      </c>
      <c r="H889">
        <f t="shared" si="68"/>
        <v>2024</v>
      </c>
      <c r="I889">
        <f t="shared" si="69"/>
        <v>5</v>
      </c>
      <c r="J889">
        <f t="shared" si="70"/>
        <v>199.92</v>
      </c>
    </row>
    <row r="890" spans="1:10" ht="12.5" x14ac:dyDescent="0.25">
      <c r="A890" s="1">
        <v>45415</v>
      </c>
      <c r="B890" s="2" t="s">
        <v>7</v>
      </c>
      <c r="C890" s="3">
        <v>5.99</v>
      </c>
      <c r="D890" s="3">
        <v>59</v>
      </c>
      <c r="E890" s="3">
        <v>353.41</v>
      </c>
      <c r="F890" t="str">
        <f t="shared" si="66"/>
        <v>cogs</v>
      </c>
      <c r="G890" s="7" t="str">
        <f t="shared" si="67"/>
        <v>product 1</v>
      </c>
      <c r="H890">
        <f t="shared" si="68"/>
        <v>2024</v>
      </c>
      <c r="I890">
        <f t="shared" si="69"/>
        <v>5</v>
      </c>
      <c r="J890">
        <f t="shared" si="70"/>
        <v>2210.73</v>
      </c>
    </row>
    <row r="891" spans="1:10" ht="12.5" x14ac:dyDescent="0.25">
      <c r="A891" s="1">
        <v>45415</v>
      </c>
      <c r="B891" s="2" t="s">
        <v>8</v>
      </c>
      <c r="C891" s="3">
        <v>16.989999999999998</v>
      </c>
      <c r="D891" s="3">
        <v>3</v>
      </c>
      <c r="E891" s="3">
        <v>50.97</v>
      </c>
      <c r="F891" t="str">
        <f t="shared" si="66"/>
        <v>cogs</v>
      </c>
      <c r="G891" s="7" t="str">
        <f t="shared" si="67"/>
        <v>product 2</v>
      </c>
      <c r="H891">
        <f t="shared" si="68"/>
        <v>2024</v>
      </c>
      <c r="I891">
        <f t="shared" si="69"/>
        <v>5</v>
      </c>
      <c r="J891">
        <f t="shared" si="70"/>
        <v>-305.49</v>
      </c>
    </row>
    <row r="892" spans="1:10" ht="12.5" x14ac:dyDescent="0.25">
      <c r="A892" s="1">
        <v>45415</v>
      </c>
      <c r="B892" s="2" t="s">
        <v>9</v>
      </c>
      <c r="C892" s="3">
        <v>8.49</v>
      </c>
      <c r="D892" s="3">
        <v>94</v>
      </c>
      <c r="E892" s="3">
        <v>798.06000000000006</v>
      </c>
      <c r="F892" t="str">
        <f t="shared" si="66"/>
        <v>cogs</v>
      </c>
      <c r="G892" s="7" t="str">
        <f t="shared" si="67"/>
        <v>product 3</v>
      </c>
      <c r="H892">
        <f t="shared" si="68"/>
        <v>2024</v>
      </c>
      <c r="I892">
        <f t="shared" si="69"/>
        <v>5</v>
      </c>
      <c r="J892">
        <f t="shared" si="70"/>
        <v>-152.91</v>
      </c>
    </row>
    <row r="893" spans="1:10" ht="12.5" x14ac:dyDescent="0.25">
      <c r="A893" s="1">
        <v>45415</v>
      </c>
      <c r="B893" s="2" t="s">
        <v>10</v>
      </c>
      <c r="C893" s="2" t="s">
        <v>6</v>
      </c>
      <c r="D893" s="2" t="s">
        <v>6</v>
      </c>
      <c r="E893" s="3">
        <v>99.92</v>
      </c>
      <c r="F893" t="str">
        <f t="shared" si="66"/>
        <v>marketing</v>
      </c>
      <c r="G893" s="7" t="s">
        <v>6</v>
      </c>
      <c r="H893">
        <f t="shared" si="68"/>
        <v>2024</v>
      </c>
      <c r="I893">
        <f t="shared" si="69"/>
        <v>5</v>
      </c>
      <c r="J893">
        <f t="shared" si="70"/>
        <v>-730.14</v>
      </c>
    </row>
    <row r="894" spans="1:10" ht="12.5" x14ac:dyDescent="0.25">
      <c r="A894" s="1">
        <v>45415</v>
      </c>
      <c r="B894" s="2" t="s">
        <v>11</v>
      </c>
      <c r="C894" s="3">
        <v>9.99</v>
      </c>
      <c r="D894" s="3">
        <v>59</v>
      </c>
      <c r="E894" s="3">
        <v>589.41</v>
      </c>
      <c r="F894" t="str">
        <f t="shared" si="66"/>
        <v>net sales</v>
      </c>
      <c r="G894" s="7" t="str">
        <f t="shared" si="67"/>
        <v>product 1</v>
      </c>
      <c r="H894">
        <f t="shared" si="68"/>
        <v>2024</v>
      </c>
      <c r="I894">
        <f t="shared" si="69"/>
        <v>5</v>
      </c>
      <c r="J894">
        <f t="shared" si="70"/>
        <v>-100.02</v>
      </c>
    </row>
    <row r="895" spans="1:10" ht="12.5" x14ac:dyDescent="0.25">
      <c r="A895" s="1">
        <v>45415</v>
      </c>
      <c r="B895" s="2" t="s">
        <v>12</v>
      </c>
      <c r="C895" s="3">
        <v>24.99</v>
      </c>
      <c r="D895" s="3">
        <v>3</v>
      </c>
      <c r="E895" s="3">
        <v>74.97</v>
      </c>
      <c r="F895" t="str">
        <f t="shared" si="66"/>
        <v>net sales</v>
      </c>
      <c r="G895" s="7" t="str">
        <f t="shared" si="67"/>
        <v>product 2</v>
      </c>
      <c r="H895">
        <f t="shared" si="68"/>
        <v>2024</v>
      </c>
      <c r="I895">
        <f t="shared" si="69"/>
        <v>5</v>
      </c>
      <c r="J895">
        <f t="shared" si="70"/>
        <v>509.49</v>
      </c>
    </row>
    <row r="896" spans="1:10" ht="12.5" x14ac:dyDescent="0.25">
      <c r="A896" s="1">
        <v>45415</v>
      </c>
      <c r="B896" s="2" t="s">
        <v>13</v>
      </c>
      <c r="C896" s="3">
        <v>12.49</v>
      </c>
      <c r="D896" s="3">
        <v>94</v>
      </c>
      <c r="E896" s="3">
        <v>1174.06</v>
      </c>
      <c r="F896" t="str">
        <f t="shared" si="66"/>
        <v>net sales</v>
      </c>
      <c r="G896" s="7" t="str">
        <f t="shared" si="67"/>
        <v>product 3</v>
      </c>
      <c r="H896">
        <f t="shared" si="68"/>
        <v>2024</v>
      </c>
      <c r="I896">
        <f t="shared" si="69"/>
        <v>5</v>
      </c>
      <c r="J896">
        <f t="shared" si="70"/>
        <v>224.91</v>
      </c>
    </row>
    <row r="897" spans="1:10" ht="12.5" x14ac:dyDescent="0.25">
      <c r="A897" s="1">
        <v>45416</v>
      </c>
      <c r="B897" s="2" t="s">
        <v>7</v>
      </c>
      <c r="C897" s="3">
        <v>5.99</v>
      </c>
      <c r="D897" s="3">
        <v>28</v>
      </c>
      <c r="E897" s="3">
        <v>167.72</v>
      </c>
      <c r="F897" t="str">
        <f t="shared" si="66"/>
        <v>cogs</v>
      </c>
      <c r="G897" s="7" t="str">
        <f t="shared" si="67"/>
        <v>product 1</v>
      </c>
      <c r="H897">
        <f t="shared" si="68"/>
        <v>2024</v>
      </c>
      <c r="I897">
        <f t="shared" si="69"/>
        <v>5</v>
      </c>
      <c r="J897">
        <f t="shared" si="70"/>
        <v>1074.1400000000001</v>
      </c>
    </row>
    <row r="898" spans="1:10" ht="12.5" x14ac:dyDescent="0.25">
      <c r="A898" s="1">
        <v>45416</v>
      </c>
      <c r="B898" s="2" t="s">
        <v>8</v>
      </c>
      <c r="C898" s="3">
        <v>16.989999999999998</v>
      </c>
      <c r="D898" s="3">
        <v>3</v>
      </c>
      <c r="E898" s="3">
        <v>50.97</v>
      </c>
      <c r="F898" t="str">
        <f t="shared" si="66"/>
        <v>cogs</v>
      </c>
      <c r="G898" s="7" t="str">
        <f t="shared" si="67"/>
        <v>product 2</v>
      </c>
      <c r="H898">
        <f t="shared" si="68"/>
        <v>2024</v>
      </c>
      <c r="I898">
        <f t="shared" si="69"/>
        <v>5</v>
      </c>
      <c r="J898">
        <f t="shared" si="70"/>
        <v>-569.05000000000007</v>
      </c>
    </row>
    <row r="899" spans="1:10" ht="12.5" x14ac:dyDescent="0.25">
      <c r="A899" s="1">
        <v>45416</v>
      </c>
      <c r="B899" s="2" t="s">
        <v>9</v>
      </c>
      <c r="C899" s="3">
        <v>8.49</v>
      </c>
      <c r="D899" s="3">
        <v>232</v>
      </c>
      <c r="E899" s="3">
        <v>1969.68</v>
      </c>
      <c r="F899" t="str">
        <f t="shared" ref="F899:F962" si="71">IFERROR(LEFT(B899,FIND(":",B899)-1),B899)</f>
        <v>cogs</v>
      </c>
      <c r="G899" s="7" t="str">
        <f t="shared" ref="G899:G962" si="72">IFERROR(RIGHT(B899,LEN(B899)-FIND(":",B899)),"")</f>
        <v>product 3</v>
      </c>
      <c r="H899">
        <f t="shared" ref="H899:H962" si="73">YEAR(A899)</f>
        <v>2024</v>
      </c>
      <c r="I899">
        <f t="shared" ref="I899:I962" si="74">MONTH(A899)</f>
        <v>5</v>
      </c>
      <c r="J899">
        <f t="shared" si="70"/>
        <v>-16.989999999999998</v>
      </c>
    </row>
    <row r="900" spans="1:10" ht="12.5" x14ac:dyDescent="0.25">
      <c r="A900" s="1">
        <v>45416</v>
      </c>
      <c r="B900" s="2" t="s">
        <v>10</v>
      </c>
      <c r="C900" s="2" t="s">
        <v>6</v>
      </c>
      <c r="D900" s="2" t="s">
        <v>6</v>
      </c>
      <c r="E900" s="3">
        <v>99.98</v>
      </c>
      <c r="F900" t="str">
        <f t="shared" si="71"/>
        <v>marketing</v>
      </c>
      <c r="G900" s="7" t="s">
        <v>6</v>
      </c>
      <c r="H900">
        <f t="shared" si="73"/>
        <v>2024</v>
      </c>
      <c r="I900">
        <f t="shared" si="74"/>
        <v>5</v>
      </c>
      <c r="J900">
        <f t="shared" si="70"/>
        <v>-314.13</v>
      </c>
    </row>
    <row r="901" spans="1:10" ht="12.5" x14ac:dyDescent="0.25">
      <c r="A901" s="1">
        <v>45416</v>
      </c>
      <c r="B901" s="2" t="s">
        <v>11</v>
      </c>
      <c r="C901" s="3">
        <v>9.99</v>
      </c>
      <c r="D901" s="3">
        <v>28</v>
      </c>
      <c r="E901" s="3">
        <v>279.72000000000003</v>
      </c>
      <c r="F901" t="str">
        <f t="shared" si="71"/>
        <v>net sales</v>
      </c>
      <c r="G901" s="7" t="str">
        <f t="shared" si="72"/>
        <v>product 1</v>
      </c>
      <c r="H901">
        <f t="shared" si="73"/>
        <v>2024</v>
      </c>
      <c r="I901">
        <f t="shared" si="74"/>
        <v>5</v>
      </c>
      <c r="J901">
        <f t="shared" si="70"/>
        <v>-100.02</v>
      </c>
    </row>
    <row r="902" spans="1:10" ht="12.5" x14ac:dyDescent="0.25">
      <c r="A902" s="1">
        <v>45416</v>
      </c>
      <c r="B902" s="2" t="s">
        <v>12</v>
      </c>
      <c r="C902" s="3">
        <v>24.99</v>
      </c>
      <c r="D902" s="3">
        <v>3</v>
      </c>
      <c r="E902" s="3">
        <v>74.97</v>
      </c>
      <c r="F902" t="str">
        <f t="shared" si="71"/>
        <v>net sales</v>
      </c>
      <c r="G902" s="7" t="str">
        <f t="shared" si="72"/>
        <v>product 2</v>
      </c>
      <c r="H902">
        <f t="shared" si="73"/>
        <v>2024</v>
      </c>
      <c r="I902">
        <f t="shared" si="74"/>
        <v>5</v>
      </c>
      <c r="J902">
        <f t="shared" si="70"/>
        <v>949.05000000000007</v>
      </c>
    </row>
    <row r="903" spans="1:10" ht="12.5" x14ac:dyDescent="0.25">
      <c r="A903" s="1">
        <v>45416</v>
      </c>
      <c r="B903" s="2" t="s">
        <v>13</v>
      </c>
      <c r="C903" s="3">
        <v>12.49</v>
      </c>
      <c r="D903" s="3">
        <v>232</v>
      </c>
      <c r="E903" s="3">
        <v>2897.68</v>
      </c>
      <c r="F903" t="str">
        <f t="shared" si="71"/>
        <v>net sales</v>
      </c>
      <c r="G903" s="7" t="str">
        <f t="shared" si="72"/>
        <v>product 3</v>
      </c>
      <c r="H903">
        <f t="shared" si="73"/>
        <v>2024</v>
      </c>
      <c r="I903">
        <f t="shared" si="74"/>
        <v>5</v>
      </c>
      <c r="J903">
        <f t="shared" si="70"/>
        <v>24.99</v>
      </c>
    </row>
    <row r="904" spans="1:10" ht="12.5" x14ac:dyDescent="0.25">
      <c r="A904" s="1">
        <v>45417</v>
      </c>
      <c r="B904" s="2" t="s">
        <v>7</v>
      </c>
      <c r="C904" s="3">
        <v>5.99</v>
      </c>
      <c r="D904" s="3">
        <v>88</v>
      </c>
      <c r="E904" s="3">
        <v>527.12</v>
      </c>
      <c r="F904" t="str">
        <f t="shared" si="71"/>
        <v>cogs</v>
      </c>
      <c r="G904" s="7" t="str">
        <f t="shared" si="72"/>
        <v>product 1</v>
      </c>
      <c r="H904">
        <f t="shared" si="73"/>
        <v>2024</v>
      </c>
      <c r="I904">
        <f t="shared" si="74"/>
        <v>5</v>
      </c>
      <c r="J904">
        <f t="shared" si="70"/>
        <v>462.13</v>
      </c>
    </row>
    <row r="905" spans="1:10" ht="12.5" x14ac:dyDescent="0.25">
      <c r="A905" s="1">
        <v>45417</v>
      </c>
      <c r="B905" s="2" t="s">
        <v>8</v>
      </c>
      <c r="C905" s="3">
        <v>16.989999999999998</v>
      </c>
      <c r="D905" s="3">
        <v>5</v>
      </c>
      <c r="E905" s="3">
        <v>84.949999999999989</v>
      </c>
      <c r="F905" t="str">
        <f t="shared" si="71"/>
        <v>cogs</v>
      </c>
      <c r="G905" s="7" t="str">
        <f t="shared" si="72"/>
        <v>product 2</v>
      </c>
      <c r="H905">
        <f t="shared" si="73"/>
        <v>2024</v>
      </c>
      <c r="I905">
        <f t="shared" si="74"/>
        <v>5</v>
      </c>
      <c r="J905">
        <f t="shared" si="70"/>
        <v>-131.78</v>
      </c>
    </row>
    <row r="906" spans="1:10" ht="12.5" x14ac:dyDescent="0.25">
      <c r="A906" s="1">
        <v>45417</v>
      </c>
      <c r="B906" s="2" t="s">
        <v>9</v>
      </c>
      <c r="C906" s="3">
        <v>8.49</v>
      </c>
      <c r="D906" s="3">
        <v>97</v>
      </c>
      <c r="E906" s="3">
        <v>823.53</v>
      </c>
      <c r="F906" t="str">
        <f t="shared" si="71"/>
        <v>cogs</v>
      </c>
      <c r="G906" s="7" t="str">
        <f t="shared" si="72"/>
        <v>product 3</v>
      </c>
      <c r="H906">
        <f t="shared" si="73"/>
        <v>2024</v>
      </c>
      <c r="I906">
        <f t="shared" si="74"/>
        <v>5</v>
      </c>
      <c r="J906">
        <f t="shared" si="70"/>
        <v>-67.959999999999994</v>
      </c>
    </row>
    <row r="907" spans="1:10" ht="12.5" x14ac:dyDescent="0.25">
      <c r="A907" s="1">
        <v>45417</v>
      </c>
      <c r="B907" s="2" t="s">
        <v>10</v>
      </c>
      <c r="C907" s="2" t="s">
        <v>6</v>
      </c>
      <c r="D907" s="2" t="s">
        <v>6</v>
      </c>
      <c r="E907" s="3">
        <v>100.09</v>
      </c>
      <c r="F907" t="str">
        <f t="shared" si="71"/>
        <v>marketing</v>
      </c>
      <c r="G907" s="7" t="s">
        <v>6</v>
      </c>
      <c r="H907">
        <f t="shared" si="73"/>
        <v>2024</v>
      </c>
      <c r="I907">
        <f t="shared" si="74"/>
        <v>5</v>
      </c>
      <c r="J907">
        <f t="shared" si="70"/>
        <v>-2046.0900000000001</v>
      </c>
    </row>
    <row r="908" spans="1:10" ht="12.5" x14ac:dyDescent="0.25">
      <c r="A908" s="1">
        <v>45417</v>
      </c>
      <c r="B908" s="2" t="s">
        <v>11</v>
      </c>
      <c r="C908" s="3">
        <v>9.99</v>
      </c>
      <c r="D908" s="3">
        <v>88</v>
      </c>
      <c r="E908" s="3">
        <v>879.12</v>
      </c>
      <c r="F908" t="str">
        <f t="shared" si="71"/>
        <v>net sales</v>
      </c>
      <c r="G908" s="7" t="str">
        <f t="shared" si="72"/>
        <v>product 1</v>
      </c>
      <c r="H908">
        <f t="shared" si="73"/>
        <v>2024</v>
      </c>
      <c r="I908">
        <f t="shared" si="74"/>
        <v>5</v>
      </c>
      <c r="J908">
        <f t="shared" si="70"/>
        <v>-99.98</v>
      </c>
    </row>
    <row r="909" spans="1:10" ht="12.5" x14ac:dyDescent="0.25">
      <c r="A909" s="1">
        <v>45417</v>
      </c>
      <c r="B909" s="2" t="s">
        <v>12</v>
      </c>
      <c r="C909" s="3">
        <v>24.99</v>
      </c>
      <c r="D909" s="3">
        <v>5</v>
      </c>
      <c r="E909" s="3">
        <v>124.94999999999999</v>
      </c>
      <c r="F909" t="str">
        <f t="shared" si="71"/>
        <v>net sales</v>
      </c>
      <c r="G909" s="7" t="str">
        <f t="shared" si="72"/>
        <v>product 2</v>
      </c>
      <c r="H909">
        <f t="shared" si="73"/>
        <v>2024</v>
      </c>
      <c r="I909">
        <f t="shared" si="74"/>
        <v>5</v>
      </c>
      <c r="J909">
        <f t="shared" si="70"/>
        <v>219.78</v>
      </c>
    </row>
    <row r="910" spans="1:10" ht="12.5" x14ac:dyDescent="0.25">
      <c r="A910" s="1">
        <v>45417</v>
      </c>
      <c r="B910" s="2" t="s">
        <v>13</v>
      </c>
      <c r="C910" s="3">
        <v>12.49</v>
      </c>
      <c r="D910" s="3">
        <v>97</v>
      </c>
      <c r="E910" s="3">
        <v>1211.53</v>
      </c>
      <c r="F910" t="str">
        <f t="shared" si="71"/>
        <v>net sales</v>
      </c>
      <c r="G910" s="7" t="str">
        <f t="shared" si="72"/>
        <v>product 3</v>
      </c>
      <c r="H910">
        <f t="shared" si="73"/>
        <v>2024</v>
      </c>
      <c r="I910">
        <f t="shared" si="74"/>
        <v>5</v>
      </c>
      <c r="J910">
        <f t="shared" si="70"/>
        <v>99.96</v>
      </c>
    </row>
    <row r="911" spans="1:10" ht="12.5" x14ac:dyDescent="0.25">
      <c r="A911" s="1">
        <v>45418</v>
      </c>
      <c r="B911" s="2" t="s">
        <v>7</v>
      </c>
      <c r="C911" s="3">
        <v>5.99</v>
      </c>
      <c r="D911" s="3">
        <v>63</v>
      </c>
      <c r="E911" s="3">
        <v>377.37</v>
      </c>
      <c r="F911" t="str">
        <f t="shared" si="71"/>
        <v>cogs</v>
      </c>
      <c r="G911" s="7" t="str">
        <f t="shared" si="72"/>
        <v>product 1</v>
      </c>
      <c r="H911">
        <f t="shared" si="73"/>
        <v>2024</v>
      </c>
      <c r="I911">
        <f t="shared" si="74"/>
        <v>5</v>
      </c>
      <c r="J911">
        <f t="shared" si="70"/>
        <v>3010.09</v>
      </c>
    </row>
    <row r="912" spans="1:10" ht="12.5" x14ac:dyDescent="0.25">
      <c r="A912" s="1">
        <v>45418</v>
      </c>
      <c r="B912" s="2" t="s">
        <v>8</v>
      </c>
      <c r="C912" s="3">
        <v>16.989999999999998</v>
      </c>
      <c r="D912" s="3">
        <v>2</v>
      </c>
      <c r="E912" s="3">
        <v>33.979999999999997</v>
      </c>
      <c r="F912" t="str">
        <f t="shared" si="71"/>
        <v>cogs</v>
      </c>
      <c r="G912" s="7" t="str">
        <f t="shared" si="72"/>
        <v>product 2</v>
      </c>
      <c r="H912">
        <f t="shared" si="73"/>
        <v>2024</v>
      </c>
      <c r="I912">
        <f t="shared" si="74"/>
        <v>5</v>
      </c>
      <c r="J912">
        <f t="shared" si="70"/>
        <v>-113.81</v>
      </c>
    </row>
    <row r="913" spans="1:10" ht="12.5" x14ac:dyDescent="0.25">
      <c r="A913" s="1">
        <v>45418</v>
      </c>
      <c r="B913" s="2" t="s">
        <v>9</v>
      </c>
      <c r="C913" s="3">
        <v>8.49</v>
      </c>
      <c r="D913" s="3">
        <v>85</v>
      </c>
      <c r="E913" s="3">
        <v>721.65</v>
      </c>
      <c r="F913" t="str">
        <f t="shared" si="71"/>
        <v>cogs</v>
      </c>
      <c r="G913" s="7" t="str">
        <f t="shared" si="72"/>
        <v>product 3</v>
      </c>
      <c r="H913">
        <f t="shared" si="73"/>
        <v>2024</v>
      </c>
      <c r="I913">
        <f t="shared" si="74"/>
        <v>5</v>
      </c>
      <c r="J913">
        <f t="shared" si="70"/>
        <v>-135.91999999999999</v>
      </c>
    </row>
    <row r="914" spans="1:10" ht="12.5" x14ac:dyDescent="0.25">
      <c r="A914" s="1">
        <v>45418</v>
      </c>
      <c r="B914" s="2" t="s">
        <v>10</v>
      </c>
      <c r="C914" s="2" t="s">
        <v>6</v>
      </c>
      <c r="D914" s="2" t="s">
        <v>6</v>
      </c>
      <c r="E914" s="3">
        <v>99.960000000000008</v>
      </c>
      <c r="F914" t="str">
        <f t="shared" si="71"/>
        <v>marketing</v>
      </c>
      <c r="G914" s="7" t="s">
        <v>6</v>
      </c>
      <c r="H914">
        <f t="shared" si="73"/>
        <v>2024</v>
      </c>
      <c r="I914">
        <f t="shared" si="74"/>
        <v>5</v>
      </c>
      <c r="J914">
        <f t="shared" si="70"/>
        <v>-560.34</v>
      </c>
    </row>
    <row r="915" spans="1:10" ht="12.5" x14ac:dyDescent="0.25">
      <c r="A915" s="1">
        <v>45418</v>
      </c>
      <c r="B915" s="2" t="s">
        <v>11</v>
      </c>
      <c r="C915" s="3">
        <v>9.99</v>
      </c>
      <c r="D915" s="3">
        <v>63</v>
      </c>
      <c r="E915" s="3">
        <v>629.37</v>
      </c>
      <c r="F915" t="str">
        <f t="shared" si="71"/>
        <v>net sales</v>
      </c>
      <c r="G915" s="7" t="str">
        <f t="shared" si="72"/>
        <v>product 1</v>
      </c>
      <c r="H915">
        <f t="shared" si="73"/>
        <v>2024</v>
      </c>
      <c r="I915">
        <f t="shared" si="74"/>
        <v>5</v>
      </c>
      <c r="J915">
        <f t="shared" si="70"/>
        <v>-99.990000000000009</v>
      </c>
    </row>
    <row r="916" spans="1:10" ht="12.5" x14ac:dyDescent="0.25">
      <c r="A916" s="1">
        <v>45418</v>
      </c>
      <c r="B916" s="2" t="s">
        <v>12</v>
      </c>
      <c r="C916" s="3">
        <v>24.99</v>
      </c>
      <c r="D916" s="3">
        <v>2</v>
      </c>
      <c r="E916" s="3">
        <v>49.98</v>
      </c>
      <c r="F916" t="str">
        <f t="shared" si="71"/>
        <v>net sales</v>
      </c>
      <c r="G916" s="7" t="str">
        <f t="shared" si="72"/>
        <v>product 2</v>
      </c>
      <c r="H916">
        <f t="shared" si="73"/>
        <v>2024</v>
      </c>
      <c r="I916">
        <f t="shared" si="74"/>
        <v>5</v>
      </c>
      <c r="J916">
        <f t="shared" si="70"/>
        <v>189.81</v>
      </c>
    </row>
    <row r="917" spans="1:10" ht="12.5" x14ac:dyDescent="0.25">
      <c r="A917" s="1">
        <v>45418</v>
      </c>
      <c r="B917" s="2" t="s">
        <v>13</v>
      </c>
      <c r="C917" s="3">
        <v>12.49</v>
      </c>
      <c r="D917" s="3">
        <v>85</v>
      </c>
      <c r="E917" s="3">
        <v>1061.6500000000001</v>
      </c>
      <c r="F917" t="str">
        <f t="shared" si="71"/>
        <v>net sales</v>
      </c>
      <c r="G917" s="7" t="str">
        <f t="shared" si="72"/>
        <v>product 3</v>
      </c>
      <c r="H917">
        <f t="shared" si="73"/>
        <v>2024</v>
      </c>
      <c r="I917">
        <f t="shared" si="74"/>
        <v>5</v>
      </c>
      <c r="J917">
        <f t="shared" si="70"/>
        <v>199.92</v>
      </c>
    </row>
    <row r="918" spans="1:10" ht="12.5" x14ac:dyDescent="0.25">
      <c r="A918" s="1">
        <v>45419</v>
      </c>
      <c r="B918" s="2" t="s">
        <v>7</v>
      </c>
      <c r="C918" s="3">
        <v>5.99</v>
      </c>
      <c r="D918" s="3">
        <v>5</v>
      </c>
      <c r="E918" s="3">
        <v>29.950000000000003</v>
      </c>
      <c r="F918" t="str">
        <f t="shared" si="71"/>
        <v>cogs</v>
      </c>
      <c r="G918" s="7" t="str">
        <f t="shared" si="72"/>
        <v>product 1</v>
      </c>
      <c r="H918">
        <f t="shared" si="73"/>
        <v>2024</v>
      </c>
      <c r="I918">
        <f t="shared" si="74"/>
        <v>5</v>
      </c>
      <c r="J918">
        <f t="shared" si="70"/>
        <v>824.34</v>
      </c>
    </row>
    <row r="919" spans="1:10" ht="12.5" x14ac:dyDescent="0.25">
      <c r="A919" s="1">
        <v>45419</v>
      </c>
      <c r="B919" s="2" t="s">
        <v>8</v>
      </c>
      <c r="C919" s="3">
        <v>16.989999999999998</v>
      </c>
      <c r="D919" s="3">
        <v>6</v>
      </c>
      <c r="E919" s="3">
        <v>101.94</v>
      </c>
      <c r="F919" t="str">
        <f t="shared" si="71"/>
        <v>cogs</v>
      </c>
      <c r="G919" s="7" t="str">
        <f t="shared" si="72"/>
        <v>product 2</v>
      </c>
      <c r="H919">
        <f t="shared" si="73"/>
        <v>2024</v>
      </c>
      <c r="I919">
        <f t="shared" si="74"/>
        <v>5</v>
      </c>
      <c r="J919">
        <f t="shared" si="70"/>
        <v>-47.92</v>
      </c>
    </row>
    <row r="920" spans="1:10" ht="12.5" x14ac:dyDescent="0.25">
      <c r="A920" s="1">
        <v>45419</v>
      </c>
      <c r="B920" s="2" t="s">
        <v>9</v>
      </c>
      <c r="C920" s="3">
        <v>8.49</v>
      </c>
      <c r="D920" s="3">
        <v>82</v>
      </c>
      <c r="E920" s="3">
        <v>696.18000000000006</v>
      </c>
      <c r="F920" t="str">
        <f t="shared" si="71"/>
        <v>cogs</v>
      </c>
      <c r="G920" s="7" t="str">
        <f t="shared" si="72"/>
        <v>product 3</v>
      </c>
      <c r="H920">
        <f t="shared" si="73"/>
        <v>2024</v>
      </c>
      <c r="I920">
        <f t="shared" si="74"/>
        <v>5</v>
      </c>
      <c r="J920">
        <f t="shared" si="70"/>
        <v>-50.97</v>
      </c>
    </row>
    <row r="921" spans="1:10" ht="12.5" x14ac:dyDescent="0.25">
      <c r="A921" s="1">
        <v>45419</v>
      </c>
      <c r="B921" s="2" t="s">
        <v>10</v>
      </c>
      <c r="C921" s="2" t="s">
        <v>6</v>
      </c>
      <c r="D921" s="2" t="s">
        <v>6</v>
      </c>
      <c r="E921" s="3">
        <v>100.07000000000001</v>
      </c>
      <c r="F921" t="str">
        <f t="shared" si="71"/>
        <v>marketing</v>
      </c>
      <c r="G921" s="7" t="s">
        <v>6</v>
      </c>
      <c r="H921">
        <f t="shared" si="73"/>
        <v>2024</v>
      </c>
      <c r="I921">
        <f t="shared" si="74"/>
        <v>5</v>
      </c>
      <c r="J921">
        <f t="shared" si="70"/>
        <v>-1562.16</v>
      </c>
    </row>
    <row r="922" spans="1:10" ht="12.5" x14ac:dyDescent="0.25">
      <c r="A922" s="1">
        <v>45419</v>
      </c>
      <c r="B922" s="2" t="s">
        <v>11</v>
      </c>
      <c r="C922" s="3">
        <v>9.99</v>
      </c>
      <c r="D922" s="3">
        <v>5</v>
      </c>
      <c r="E922" s="3">
        <v>49.95</v>
      </c>
      <c r="F922" t="str">
        <f t="shared" si="71"/>
        <v>net sales</v>
      </c>
      <c r="G922" s="7" t="str">
        <f t="shared" si="72"/>
        <v>product 1</v>
      </c>
      <c r="H922">
        <f t="shared" si="73"/>
        <v>2024</v>
      </c>
      <c r="I922">
        <f t="shared" si="74"/>
        <v>5</v>
      </c>
      <c r="J922">
        <f t="shared" si="70"/>
        <v>-99.97</v>
      </c>
    </row>
    <row r="923" spans="1:10" ht="12.5" x14ac:dyDescent="0.25">
      <c r="A923" s="1">
        <v>45419</v>
      </c>
      <c r="B923" s="2" t="s">
        <v>12</v>
      </c>
      <c r="C923" s="3">
        <v>24.99</v>
      </c>
      <c r="D923" s="3">
        <v>6</v>
      </c>
      <c r="E923" s="3">
        <v>149.94</v>
      </c>
      <c r="F923" t="str">
        <f t="shared" si="71"/>
        <v>net sales</v>
      </c>
      <c r="G923" s="7" t="str">
        <f t="shared" si="72"/>
        <v>product 2</v>
      </c>
      <c r="H923">
        <f t="shared" si="73"/>
        <v>2024</v>
      </c>
      <c r="I923">
        <f t="shared" si="74"/>
        <v>5</v>
      </c>
      <c r="J923">
        <f t="shared" si="70"/>
        <v>79.92</v>
      </c>
    </row>
    <row r="924" spans="1:10" ht="12.5" x14ac:dyDescent="0.25">
      <c r="A924" s="1">
        <v>45419</v>
      </c>
      <c r="B924" s="2" t="s">
        <v>13</v>
      </c>
      <c r="C924" s="3">
        <v>12.49</v>
      </c>
      <c r="D924" s="3">
        <v>82</v>
      </c>
      <c r="E924" s="3">
        <v>1024.18</v>
      </c>
      <c r="F924" t="str">
        <f t="shared" si="71"/>
        <v>net sales</v>
      </c>
      <c r="G924" s="7" t="str">
        <f t="shared" si="72"/>
        <v>product 3</v>
      </c>
      <c r="H924">
        <f t="shared" si="73"/>
        <v>2024</v>
      </c>
      <c r="I924">
        <f t="shared" si="74"/>
        <v>5</v>
      </c>
      <c r="J924">
        <f t="shared" ref="J924:J987" si="75">IF(F707="net sales",E707,
IF(F707="cogs",-E707,
IF(OR(F707="marketing",F707="overhead",F707="payroll",F707="interest","amortization"),-E707,0)))</f>
        <v>74.97</v>
      </c>
    </row>
    <row r="925" spans="1:10" ht="12.5" x14ac:dyDescent="0.25">
      <c r="A925" s="1">
        <v>45420</v>
      </c>
      <c r="B925" s="2" t="s">
        <v>7</v>
      </c>
      <c r="C925" s="3">
        <v>5.99</v>
      </c>
      <c r="D925" s="3">
        <v>39</v>
      </c>
      <c r="E925" s="3">
        <v>233.61</v>
      </c>
      <c r="F925" t="str">
        <f t="shared" si="71"/>
        <v>cogs</v>
      </c>
      <c r="G925" s="7" t="str">
        <f t="shared" si="72"/>
        <v>product 1</v>
      </c>
      <c r="H925">
        <f t="shared" si="73"/>
        <v>2024</v>
      </c>
      <c r="I925">
        <f t="shared" si="74"/>
        <v>5</v>
      </c>
      <c r="J925">
        <f t="shared" si="75"/>
        <v>2298.16</v>
      </c>
    </row>
    <row r="926" spans="1:10" ht="12.5" x14ac:dyDescent="0.25">
      <c r="A926" s="1">
        <v>45420</v>
      </c>
      <c r="B926" s="2" t="s">
        <v>8</v>
      </c>
      <c r="C926" s="3">
        <v>16.989999999999998</v>
      </c>
      <c r="D926" s="3">
        <v>6</v>
      </c>
      <c r="E926" s="3">
        <v>101.94</v>
      </c>
      <c r="F926" t="str">
        <f t="shared" si="71"/>
        <v>cogs</v>
      </c>
      <c r="G926" s="7" t="str">
        <f t="shared" si="72"/>
        <v>product 2</v>
      </c>
      <c r="H926">
        <f t="shared" si="73"/>
        <v>2024</v>
      </c>
      <c r="I926">
        <f t="shared" si="74"/>
        <v>5</v>
      </c>
      <c r="J926">
        <f t="shared" si="75"/>
        <v>-455.24</v>
      </c>
    </row>
    <row r="927" spans="1:10" ht="12.5" x14ac:dyDescent="0.25">
      <c r="A927" s="1">
        <v>45420</v>
      </c>
      <c r="B927" s="2" t="s">
        <v>9</v>
      </c>
      <c r="C927" s="3">
        <v>8.49</v>
      </c>
      <c r="D927" s="3">
        <v>14</v>
      </c>
      <c r="E927" s="3">
        <v>118.86</v>
      </c>
      <c r="F927" t="str">
        <f t="shared" si="71"/>
        <v>cogs</v>
      </c>
      <c r="G927" s="7" t="str">
        <f t="shared" si="72"/>
        <v>product 3</v>
      </c>
      <c r="H927">
        <f t="shared" si="73"/>
        <v>2024</v>
      </c>
      <c r="I927">
        <f t="shared" si="74"/>
        <v>5</v>
      </c>
      <c r="J927">
        <f t="shared" si="75"/>
        <v>-152.91</v>
      </c>
    </row>
    <row r="928" spans="1:10" ht="12.5" x14ac:dyDescent="0.25">
      <c r="A928" s="1">
        <v>45420</v>
      </c>
      <c r="B928" s="2" t="s">
        <v>10</v>
      </c>
      <c r="C928" s="2" t="s">
        <v>6</v>
      </c>
      <c r="D928" s="2" t="s">
        <v>6</v>
      </c>
      <c r="E928" s="3">
        <v>99.93</v>
      </c>
      <c r="F928" t="str">
        <f t="shared" si="71"/>
        <v>marketing</v>
      </c>
      <c r="G928" s="7" t="s">
        <v>6</v>
      </c>
      <c r="H928">
        <f t="shared" si="73"/>
        <v>2024</v>
      </c>
      <c r="I928">
        <f t="shared" si="74"/>
        <v>5</v>
      </c>
      <c r="J928">
        <f t="shared" si="75"/>
        <v>-772.59</v>
      </c>
    </row>
    <row r="929" spans="1:10" ht="12.5" x14ac:dyDescent="0.25">
      <c r="A929" s="1">
        <v>45420</v>
      </c>
      <c r="B929" s="2" t="s">
        <v>11</v>
      </c>
      <c r="C929" s="3">
        <v>9.99</v>
      </c>
      <c r="D929" s="3">
        <v>39</v>
      </c>
      <c r="E929" s="3">
        <v>389.61</v>
      </c>
      <c r="F929" t="str">
        <f t="shared" si="71"/>
        <v>net sales</v>
      </c>
      <c r="G929" s="7" t="str">
        <f t="shared" si="72"/>
        <v>product 1</v>
      </c>
      <c r="H929">
        <f t="shared" si="73"/>
        <v>2024</v>
      </c>
      <c r="I929">
        <f t="shared" si="74"/>
        <v>5</v>
      </c>
      <c r="J929">
        <f t="shared" si="75"/>
        <v>-100.04</v>
      </c>
    </row>
    <row r="930" spans="1:10" ht="12.5" x14ac:dyDescent="0.25">
      <c r="A930" s="1">
        <v>45420</v>
      </c>
      <c r="B930" s="2" t="s">
        <v>12</v>
      </c>
      <c r="C930" s="3">
        <v>24.99</v>
      </c>
      <c r="D930" s="3">
        <v>6</v>
      </c>
      <c r="E930" s="3">
        <v>149.94</v>
      </c>
      <c r="F930" t="str">
        <f t="shared" si="71"/>
        <v>net sales</v>
      </c>
      <c r="G930" s="7" t="str">
        <f t="shared" si="72"/>
        <v>product 2</v>
      </c>
      <c r="H930">
        <f t="shared" si="73"/>
        <v>2024</v>
      </c>
      <c r="I930">
        <f t="shared" si="74"/>
        <v>5</v>
      </c>
      <c r="J930">
        <f t="shared" si="75"/>
        <v>759.24</v>
      </c>
    </row>
    <row r="931" spans="1:10" ht="12.5" x14ac:dyDescent="0.25">
      <c r="A931" s="1">
        <v>45420</v>
      </c>
      <c r="B931" s="2" t="s">
        <v>13</v>
      </c>
      <c r="C931" s="3">
        <v>12.49</v>
      </c>
      <c r="D931" s="3">
        <v>14</v>
      </c>
      <c r="E931" s="3">
        <v>174.86</v>
      </c>
      <c r="F931" t="str">
        <f t="shared" si="71"/>
        <v>net sales</v>
      </c>
      <c r="G931" s="7" t="str">
        <f t="shared" si="72"/>
        <v>product 3</v>
      </c>
      <c r="H931">
        <f t="shared" si="73"/>
        <v>2024</v>
      </c>
      <c r="I931">
        <f t="shared" si="74"/>
        <v>5</v>
      </c>
      <c r="J931">
        <f t="shared" si="75"/>
        <v>224.91</v>
      </c>
    </row>
    <row r="932" spans="1:10" ht="12.5" x14ac:dyDescent="0.25">
      <c r="A932" s="1">
        <v>45421</v>
      </c>
      <c r="B932" s="2" t="s">
        <v>7</v>
      </c>
      <c r="C932" s="3">
        <v>5.99</v>
      </c>
      <c r="D932" s="3">
        <v>90</v>
      </c>
      <c r="E932" s="3">
        <v>539.1</v>
      </c>
      <c r="F932" t="str">
        <f t="shared" si="71"/>
        <v>cogs</v>
      </c>
      <c r="G932" s="7" t="str">
        <f t="shared" si="72"/>
        <v>product 1</v>
      </c>
      <c r="H932">
        <f t="shared" si="73"/>
        <v>2024</v>
      </c>
      <c r="I932">
        <f t="shared" si="74"/>
        <v>5</v>
      </c>
      <c r="J932">
        <f t="shared" si="75"/>
        <v>1136.5899999999999</v>
      </c>
    </row>
    <row r="933" spans="1:10" ht="12.5" x14ac:dyDescent="0.25">
      <c r="A933" s="1">
        <v>45421</v>
      </c>
      <c r="B933" s="2" t="s">
        <v>8</v>
      </c>
      <c r="C933" s="3">
        <v>16.989999999999998</v>
      </c>
      <c r="D933" s="3">
        <v>4</v>
      </c>
      <c r="E933" s="3">
        <v>67.959999999999994</v>
      </c>
      <c r="F933" t="str">
        <f t="shared" si="71"/>
        <v>cogs</v>
      </c>
      <c r="G933" s="7" t="str">
        <f t="shared" si="72"/>
        <v>product 2</v>
      </c>
      <c r="H933">
        <f t="shared" si="73"/>
        <v>2024</v>
      </c>
      <c r="I933">
        <f t="shared" si="74"/>
        <v>5</v>
      </c>
      <c r="J933">
        <f t="shared" si="75"/>
        <v>-23.96</v>
      </c>
    </row>
    <row r="934" spans="1:10" ht="12.5" x14ac:dyDescent="0.25">
      <c r="A934" s="1">
        <v>45421</v>
      </c>
      <c r="B934" s="2" t="s">
        <v>9</v>
      </c>
      <c r="C934" s="3">
        <v>8.49</v>
      </c>
      <c r="D934" s="3">
        <v>138</v>
      </c>
      <c r="E934" s="3">
        <v>1171.6200000000001</v>
      </c>
      <c r="F934" t="str">
        <f t="shared" si="71"/>
        <v>cogs</v>
      </c>
      <c r="G934" s="7" t="str">
        <f t="shared" si="72"/>
        <v>product 3</v>
      </c>
      <c r="H934">
        <f t="shared" si="73"/>
        <v>2024</v>
      </c>
      <c r="I934">
        <f t="shared" si="74"/>
        <v>5</v>
      </c>
      <c r="J934">
        <f t="shared" si="75"/>
        <v>-67.959999999999994</v>
      </c>
    </row>
    <row r="935" spans="1:10" ht="12.5" x14ac:dyDescent="0.25">
      <c r="A935" s="1">
        <v>45421</v>
      </c>
      <c r="B935" s="2" t="s">
        <v>10</v>
      </c>
      <c r="C935" s="2" t="s">
        <v>6</v>
      </c>
      <c r="D935" s="2" t="s">
        <v>6</v>
      </c>
      <c r="E935" s="3">
        <v>99.95</v>
      </c>
      <c r="F935" t="str">
        <f t="shared" si="71"/>
        <v>marketing</v>
      </c>
      <c r="G935" s="7" t="s">
        <v>6</v>
      </c>
      <c r="H935">
        <f t="shared" si="73"/>
        <v>2024</v>
      </c>
      <c r="I935">
        <f t="shared" si="74"/>
        <v>5</v>
      </c>
      <c r="J935">
        <f t="shared" si="75"/>
        <v>-1944.21</v>
      </c>
    </row>
    <row r="936" spans="1:10" ht="12.5" x14ac:dyDescent="0.25">
      <c r="A936" s="1">
        <v>45421</v>
      </c>
      <c r="B936" s="2" t="s">
        <v>11</v>
      </c>
      <c r="C936" s="3">
        <v>9.99</v>
      </c>
      <c r="D936" s="3">
        <v>90</v>
      </c>
      <c r="E936" s="3">
        <v>899.1</v>
      </c>
      <c r="F936" t="str">
        <f t="shared" si="71"/>
        <v>net sales</v>
      </c>
      <c r="G936" s="7" t="str">
        <f t="shared" si="72"/>
        <v>product 1</v>
      </c>
      <c r="H936">
        <f t="shared" si="73"/>
        <v>2024</v>
      </c>
      <c r="I936">
        <f t="shared" si="74"/>
        <v>5</v>
      </c>
      <c r="J936">
        <f t="shared" si="75"/>
        <v>-100.05</v>
      </c>
    </row>
    <row r="937" spans="1:10" ht="12.5" x14ac:dyDescent="0.25">
      <c r="A937" s="1">
        <v>45421</v>
      </c>
      <c r="B937" s="2" t="s">
        <v>12</v>
      </c>
      <c r="C937" s="3">
        <v>24.99</v>
      </c>
      <c r="D937" s="3">
        <v>4</v>
      </c>
      <c r="E937" s="3">
        <v>99.96</v>
      </c>
      <c r="F937" t="str">
        <f t="shared" si="71"/>
        <v>net sales</v>
      </c>
      <c r="G937" s="7" t="str">
        <f t="shared" si="72"/>
        <v>product 2</v>
      </c>
      <c r="H937">
        <f t="shared" si="73"/>
        <v>2024</v>
      </c>
      <c r="I937">
        <f t="shared" si="74"/>
        <v>5</v>
      </c>
      <c r="J937">
        <f t="shared" si="75"/>
        <v>39.96</v>
      </c>
    </row>
    <row r="938" spans="1:10" ht="12.5" x14ac:dyDescent="0.25">
      <c r="A938" s="1">
        <v>45421</v>
      </c>
      <c r="B938" s="2" t="s">
        <v>13</v>
      </c>
      <c r="C938" s="3">
        <v>12.49</v>
      </c>
      <c r="D938" s="3">
        <v>138</v>
      </c>
      <c r="E938" s="3">
        <v>1723.6200000000001</v>
      </c>
      <c r="F938" t="str">
        <f t="shared" si="71"/>
        <v>net sales</v>
      </c>
      <c r="G938" s="7" t="str">
        <f t="shared" si="72"/>
        <v>product 3</v>
      </c>
      <c r="H938">
        <f t="shared" si="73"/>
        <v>2024</v>
      </c>
      <c r="I938">
        <f t="shared" si="74"/>
        <v>5</v>
      </c>
      <c r="J938">
        <f t="shared" si="75"/>
        <v>99.96</v>
      </c>
    </row>
    <row r="939" spans="1:10" ht="12.5" x14ac:dyDescent="0.25">
      <c r="A939" s="1">
        <v>45422</v>
      </c>
      <c r="B939" s="2" t="s">
        <v>7</v>
      </c>
      <c r="C939" s="3">
        <v>5.99</v>
      </c>
      <c r="D939" s="3">
        <v>64</v>
      </c>
      <c r="E939" s="3">
        <v>383.36</v>
      </c>
      <c r="F939" t="str">
        <f t="shared" si="71"/>
        <v>cogs</v>
      </c>
      <c r="G939" s="7" t="str">
        <f t="shared" si="72"/>
        <v>product 1</v>
      </c>
      <c r="H939">
        <f t="shared" si="73"/>
        <v>2024</v>
      </c>
      <c r="I939">
        <f t="shared" si="74"/>
        <v>5</v>
      </c>
      <c r="J939">
        <f t="shared" si="75"/>
        <v>2860.21</v>
      </c>
    </row>
    <row r="940" spans="1:10" ht="12.5" x14ac:dyDescent="0.25">
      <c r="A940" s="1">
        <v>45422</v>
      </c>
      <c r="B940" s="2" t="s">
        <v>8</v>
      </c>
      <c r="C940" s="3">
        <v>16.989999999999998</v>
      </c>
      <c r="D940" s="3">
        <v>10</v>
      </c>
      <c r="E940" s="3">
        <v>169.89999999999998</v>
      </c>
      <c r="F940" t="str">
        <f t="shared" si="71"/>
        <v>cogs</v>
      </c>
      <c r="G940" s="7" t="str">
        <f t="shared" si="72"/>
        <v>product 2</v>
      </c>
      <c r="H940">
        <f t="shared" si="73"/>
        <v>2024</v>
      </c>
      <c r="I940">
        <f t="shared" si="74"/>
        <v>5</v>
      </c>
      <c r="J940">
        <f t="shared" si="75"/>
        <v>-263.56</v>
      </c>
    </row>
    <row r="941" spans="1:10" ht="12.5" x14ac:dyDescent="0.25">
      <c r="A941" s="1">
        <v>45422</v>
      </c>
      <c r="B941" s="2" t="s">
        <v>9</v>
      </c>
      <c r="C941" s="3">
        <v>8.49</v>
      </c>
      <c r="D941" s="3">
        <v>33</v>
      </c>
      <c r="E941" s="3">
        <v>280.17</v>
      </c>
      <c r="F941" t="str">
        <f t="shared" si="71"/>
        <v>cogs</v>
      </c>
      <c r="G941" s="7" t="str">
        <f t="shared" si="72"/>
        <v>product 3</v>
      </c>
      <c r="H941">
        <f t="shared" si="73"/>
        <v>2024</v>
      </c>
      <c r="I941">
        <f t="shared" si="74"/>
        <v>5</v>
      </c>
      <c r="J941">
        <f t="shared" si="75"/>
        <v>-152.91</v>
      </c>
    </row>
    <row r="942" spans="1:10" ht="12.5" x14ac:dyDescent="0.25">
      <c r="A942" s="1">
        <v>45422</v>
      </c>
      <c r="B942" s="2" t="s">
        <v>10</v>
      </c>
      <c r="C942" s="2" t="s">
        <v>6</v>
      </c>
      <c r="D942" s="2" t="s">
        <v>6</v>
      </c>
      <c r="E942" s="3">
        <v>99.93</v>
      </c>
      <c r="F942" t="str">
        <f t="shared" si="71"/>
        <v>marketing</v>
      </c>
      <c r="G942" s="7" t="s">
        <v>6</v>
      </c>
      <c r="H942">
        <f t="shared" si="73"/>
        <v>2024</v>
      </c>
      <c r="I942">
        <f t="shared" si="74"/>
        <v>5</v>
      </c>
      <c r="J942">
        <f t="shared" si="75"/>
        <v>-416.01</v>
      </c>
    </row>
    <row r="943" spans="1:10" ht="12.5" x14ac:dyDescent="0.25">
      <c r="A943" s="1">
        <v>45422</v>
      </c>
      <c r="B943" s="2" t="s">
        <v>11</v>
      </c>
      <c r="C943" s="3">
        <v>9.99</v>
      </c>
      <c r="D943" s="3">
        <v>64</v>
      </c>
      <c r="E943" s="3">
        <v>639.36</v>
      </c>
      <c r="F943" t="str">
        <f t="shared" si="71"/>
        <v>net sales</v>
      </c>
      <c r="G943" s="7" t="str">
        <f t="shared" si="72"/>
        <v>product 1</v>
      </c>
      <c r="H943">
        <f t="shared" si="73"/>
        <v>2024</v>
      </c>
      <c r="I943">
        <f t="shared" si="74"/>
        <v>5</v>
      </c>
      <c r="J943">
        <f t="shared" si="75"/>
        <v>-100</v>
      </c>
    </row>
    <row r="944" spans="1:10" ht="12.5" x14ac:dyDescent="0.25">
      <c r="A944" s="1">
        <v>45422</v>
      </c>
      <c r="B944" s="2" t="s">
        <v>12</v>
      </c>
      <c r="C944" s="3">
        <v>24.99</v>
      </c>
      <c r="D944" s="3">
        <v>10</v>
      </c>
      <c r="E944" s="3">
        <v>249.89999999999998</v>
      </c>
      <c r="F944" t="str">
        <f t="shared" si="71"/>
        <v>net sales</v>
      </c>
      <c r="G944" s="7" t="str">
        <f t="shared" si="72"/>
        <v>product 2</v>
      </c>
      <c r="H944">
        <f t="shared" si="73"/>
        <v>2024</v>
      </c>
      <c r="I944">
        <f t="shared" si="74"/>
        <v>5</v>
      </c>
      <c r="J944">
        <f t="shared" si="75"/>
        <v>439.56</v>
      </c>
    </row>
    <row r="945" spans="1:10" ht="12.5" x14ac:dyDescent="0.25">
      <c r="A945" s="1">
        <v>45422</v>
      </c>
      <c r="B945" s="2" t="s">
        <v>13</v>
      </c>
      <c r="C945" s="3">
        <v>12.49</v>
      </c>
      <c r="D945" s="3">
        <v>33</v>
      </c>
      <c r="E945" s="3">
        <v>412.17</v>
      </c>
      <c r="F945" t="str">
        <f t="shared" si="71"/>
        <v>net sales</v>
      </c>
      <c r="G945" s="7" t="str">
        <f t="shared" si="72"/>
        <v>product 3</v>
      </c>
      <c r="H945">
        <f t="shared" si="73"/>
        <v>2024</v>
      </c>
      <c r="I945">
        <f t="shared" si="74"/>
        <v>5</v>
      </c>
      <c r="J945">
        <f t="shared" si="75"/>
        <v>224.91</v>
      </c>
    </row>
    <row r="946" spans="1:10" ht="12.5" x14ac:dyDescent="0.25">
      <c r="A946" s="1">
        <v>45422</v>
      </c>
      <c r="B946" s="2" t="s">
        <v>15</v>
      </c>
      <c r="C946" s="2" t="s">
        <v>6</v>
      </c>
      <c r="D946" s="2" t="s">
        <v>6</v>
      </c>
      <c r="E946" s="3">
        <v>1200</v>
      </c>
      <c r="F946" t="str">
        <f t="shared" si="71"/>
        <v>payroll</v>
      </c>
      <c r="G946" s="7" t="s">
        <v>6</v>
      </c>
      <c r="H946">
        <f t="shared" si="73"/>
        <v>2024</v>
      </c>
      <c r="I946">
        <f t="shared" si="74"/>
        <v>5</v>
      </c>
      <c r="J946">
        <f t="shared" si="75"/>
        <v>612.01</v>
      </c>
    </row>
    <row r="947" spans="1:10" ht="12.5" x14ac:dyDescent="0.25">
      <c r="A947" s="1">
        <v>45423</v>
      </c>
      <c r="B947" s="2" t="s">
        <v>7</v>
      </c>
      <c r="C947" s="3">
        <v>5.99</v>
      </c>
      <c r="D947" s="3">
        <v>30</v>
      </c>
      <c r="E947" s="3">
        <v>179.70000000000002</v>
      </c>
      <c r="F947" t="str">
        <f t="shared" si="71"/>
        <v>cogs</v>
      </c>
      <c r="G947" s="7" t="str">
        <f t="shared" si="72"/>
        <v>product 1</v>
      </c>
      <c r="H947">
        <f t="shared" si="73"/>
        <v>2024</v>
      </c>
      <c r="I947">
        <f t="shared" si="74"/>
        <v>5</v>
      </c>
      <c r="J947">
        <f t="shared" si="75"/>
        <v>-479.20000000000005</v>
      </c>
    </row>
    <row r="948" spans="1:10" ht="12.5" x14ac:dyDescent="0.25">
      <c r="A948" s="1">
        <v>45423</v>
      </c>
      <c r="B948" s="2" t="s">
        <v>8</v>
      </c>
      <c r="C948" s="3">
        <v>16.989999999999998</v>
      </c>
      <c r="D948" s="3">
        <v>5</v>
      </c>
      <c r="E948" s="3">
        <v>84.949999999999989</v>
      </c>
      <c r="F948" t="str">
        <f t="shared" si="71"/>
        <v>cogs</v>
      </c>
      <c r="G948" s="7" t="str">
        <f t="shared" si="72"/>
        <v>product 2</v>
      </c>
      <c r="H948">
        <f t="shared" si="73"/>
        <v>2024</v>
      </c>
      <c r="I948">
        <f t="shared" si="74"/>
        <v>5</v>
      </c>
      <c r="J948">
        <f t="shared" si="75"/>
        <v>-50.97</v>
      </c>
    </row>
    <row r="949" spans="1:10" ht="12.5" x14ac:dyDescent="0.25">
      <c r="A949" s="1">
        <v>45423</v>
      </c>
      <c r="B949" s="2" t="s">
        <v>9</v>
      </c>
      <c r="C949" s="3">
        <v>8.49</v>
      </c>
      <c r="D949" s="3">
        <v>51</v>
      </c>
      <c r="E949" s="3">
        <v>432.99</v>
      </c>
      <c r="F949" t="str">
        <f t="shared" si="71"/>
        <v>cogs</v>
      </c>
      <c r="G949" s="7" t="str">
        <f t="shared" si="72"/>
        <v>product 3</v>
      </c>
      <c r="H949">
        <f t="shared" si="73"/>
        <v>2024</v>
      </c>
      <c r="I949">
        <f t="shared" si="74"/>
        <v>5</v>
      </c>
      <c r="J949">
        <f t="shared" si="75"/>
        <v>-1714.98</v>
      </c>
    </row>
    <row r="950" spans="1:10" ht="12.5" x14ac:dyDescent="0.25">
      <c r="A950" s="1">
        <v>45423</v>
      </c>
      <c r="B950" s="2" t="s">
        <v>10</v>
      </c>
      <c r="C950" s="2" t="s">
        <v>6</v>
      </c>
      <c r="D950" s="2" t="s">
        <v>6</v>
      </c>
      <c r="E950" s="3">
        <v>100.05</v>
      </c>
      <c r="F950" t="str">
        <f t="shared" si="71"/>
        <v>marketing</v>
      </c>
      <c r="G950" s="7" t="s">
        <v>6</v>
      </c>
      <c r="H950">
        <f t="shared" si="73"/>
        <v>2024</v>
      </c>
      <c r="I950">
        <f t="shared" si="74"/>
        <v>5</v>
      </c>
      <c r="J950">
        <f t="shared" si="75"/>
        <v>-100.06</v>
      </c>
    </row>
    <row r="951" spans="1:10" ht="12.5" x14ac:dyDescent="0.25">
      <c r="A951" s="1">
        <v>45423</v>
      </c>
      <c r="B951" s="2" t="s">
        <v>11</v>
      </c>
      <c r="C951" s="3">
        <v>9.99</v>
      </c>
      <c r="D951" s="3">
        <v>30</v>
      </c>
      <c r="E951" s="3">
        <v>299.7</v>
      </c>
      <c r="F951" t="str">
        <f t="shared" si="71"/>
        <v>net sales</v>
      </c>
      <c r="G951" s="7" t="str">
        <f t="shared" si="72"/>
        <v>product 1</v>
      </c>
      <c r="H951">
        <f t="shared" si="73"/>
        <v>2024</v>
      </c>
      <c r="I951">
        <f t="shared" si="74"/>
        <v>5</v>
      </c>
      <c r="J951">
        <f t="shared" si="75"/>
        <v>799.2</v>
      </c>
    </row>
    <row r="952" spans="1:10" ht="12.5" x14ac:dyDescent="0.25">
      <c r="A952" s="1">
        <v>45423</v>
      </c>
      <c r="B952" s="2" t="s">
        <v>12</v>
      </c>
      <c r="C952" s="3">
        <v>24.99</v>
      </c>
      <c r="D952" s="3">
        <v>5</v>
      </c>
      <c r="E952" s="3">
        <v>124.94999999999999</v>
      </c>
      <c r="F952" t="str">
        <f t="shared" si="71"/>
        <v>net sales</v>
      </c>
      <c r="G952" s="7" t="str">
        <f t="shared" si="72"/>
        <v>product 2</v>
      </c>
      <c r="H952">
        <f t="shared" si="73"/>
        <v>2024</v>
      </c>
      <c r="I952">
        <f t="shared" si="74"/>
        <v>5</v>
      </c>
      <c r="J952">
        <f t="shared" si="75"/>
        <v>74.97</v>
      </c>
    </row>
    <row r="953" spans="1:10" ht="12.5" x14ac:dyDescent="0.25">
      <c r="A953" s="1">
        <v>45423</v>
      </c>
      <c r="B953" s="2" t="s">
        <v>13</v>
      </c>
      <c r="C953" s="3">
        <v>12.49</v>
      </c>
      <c r="D953" s="3">
        <v>51</v>
      </c>
      <c r="E953" s="3">
        <v>636.99</v>
      </c>
      <c r="F953" t="str">
        <f t="shared" si="71"/>
        <v>net sales</v>
      </c>
      <c r="G953" s="7" t="str">
        <f t="shared" si="72"/>
        <v>product 3</v>
      </c>
      <c r="H953">
        <f t="shared" si="73"/>
        <v>2024</v>
      </c>
      <c r="I953">
        <f t="shared" si="74"/>
        <v>5</v>
      </c>
      <c r="J953">
        <f t="shared" si="75"/>
        <v>2522.98</v>
      </c>
    </row>
    <row r="954" spans="1:10" ht="12.5" x14ac:dyDescent="0.25">
      <c r="A954" s="1">
        <v>45424</v>
      </c>
      <c r="B954" s="2" t="s">
        <v>7</v>
      </c>
      <c r="C954" s="3">
        <v>5.99</v>
      </c>
      <c r="D954" s="3">
        <v>17</v>
      </c>
      <c r="E954" s="3">
        <v>101.83</v>
      </c>
      <c r="F954" t="str">
        <f t="shared" si="71"/>
        <v>cogs</v>
      </c>
      <c r="G954" s="7" t="str">
        <f t="shared" si="72"/>
        <v>product 1</v>
      </c>
      <c r="H954">
        <f t="shared" si="73"/>
        <v>2024</v>
      </c>
      <c r="I954">
        <f t="shared" si="74"/>
        <v>5</v>
      </c>
      <c r="J954">
        <f t="shared" si="75"/>
        <v>-275.54000000000002</v>
      </c>
    </row>
    <row r="955" spans="1:10" ht="12.5" x14ac:dyDescent="0.25">
      <c r="A955" s="1">
        <v>45424</v>
      </c>
      <c r="B955" s="2" t="s">
        <v>8</v>
      </c>
      <c r="C955" s="3">
        <v>16.989999999999998</v>
      </c>
      <c r="D955" s="3">
        <v>4</v>
      </c>
      <c r="E955" s="3">
        <v>67.959999999999994</v>
      </c>
      <c r="F955" t="str">
        <f t="shared" si="71"/>
        <v>cogs</v>
      </c>
      <c r="G955" s="7" t="str">
        <f t="shared" si="72"/>
        <v>product 2</v>
      </c>
      <c r="H955">
        <f t="shared" si="73"/>
        <v>2024</v>
      </c>
      <c r="I955">
        <f t="shared" si="74"/>
        <v>5</v>
      </c>
      <c r="J955">
        <f t="shared" si="75"/>
        <v>-152.91</v>
      </c>
    </row>
    <row r="956" spans="1:10" ht="12.5" x14ac:dyDescent="0.25">
      <c r="A956" s="1">
        <v>45424</v>
      </c>
      <c r="B956" s="2" t="s">
        <v>9</v>
      </c>
      <c r="C956" s="3">
        <v>8.49</v>
      </c>
      <c r="D956" s="3">
        <v>143</v>
      </c>
      <c r="E956" s="3">
        <v>1214.07</v>
      </c>
      <c r="F956" t="str">
        <f t="shared" si="71"/>
        <v>cogs</v>
      </c>
      <c r="G956" s="7" t="str">
        <f t="shared" si="72"/>
        <v>product 3</v>
      </c>
      <c r="H956">
        <f t="shared" si="73"/>
        <v>2024</v>
      </c>
      <c r="I956">
        <f t="shared" si="74"/>
        <v>5</v>
      </c>
      <c r="J956">
        <f t="shared" si="75"/>
        <v>-373.56</v>
      </c>
    </row>
    <row r="957" spans="1:10" ht="12.5" x14ac:dyDescent="0.25">
      <c r="A957" s="1">
        <v>45424</v>
      </c>
      <c r="B957" s="2" t="s">
        <v>10</v>
      </c>
      <c r="C957" s="2" t="s">
        <v>6</v>
      </c>
      <c r="D957" s="2" t="s">
        <v>6</v>
      </c>
      <c r="E957" s="3">
        <v>100.08</v>
      </c>
      <c r="F957" t="str">
        <f t="shared" si="71"/>
        <v>marketing</v>
      </c>
      <c r="G957" s="7" t="s">
        <v>6</v>
      </c>
      <c r="H957">
        <f t="shared" si="73"/>
        <v>2024</v>
      </c>
      <c r="I957">
        <f t="shared" si="74"/>
        <v>5</v>
      </c>
      <c r="J957">
        <f t="shared" si="75"/>
        <v>-99.95</v>
      </c>
    </row>
    <row r="958" spans="1:10" ht="12.5" x14ac:dyDescent="0.25">
      <c r="A958" s="1">
        <v>45424</v>
      </c>
      <c r="B958" s="2" t="s">
        <v>11</v>
      </c>
      <c r="C958" s="3">
        <v>9.99</v>
      </c>
      <c r="D958" s="3">
        <v>17</v>
      </c>
      <c r="E958" s="3">
        <v>169.83</v>
      </c>
      <c r="F958" t="str">
        <f t="shared" si="71"/>
        <v>net sales</v>
      </c>
      <c r="G958" s="7" t="str">
        <f t="shared" si="72"/>
        <v>product 1</v>
      </c>
      <c r="H958">
        <f t="shared" si="73"/>
        <v>2024</v>
      </c>
      <c r="I958">
        <f t="shared" si="74"/>
        <v>5</v>
      </c>
      <c r="J958">
        <f t="shared" si="75"/>
        <v>459.54</v>
      </c>
    </row>
    <row r="959" spans="1:10" ht="12.5" x14ac:dyDescent="0.25">
      <c r="A959" s="1">
        <v>45424</v>
      </c>
      <c r="B959" s="2" t="s">
        <v>12</v>
      </c>
      <c r="C959" s="3">
        <v>24.99</v>
      </c>
      <c r="D959" s="3">
        <v>4</v>
      </c>
      <c r="E959" s="3">
        <v>99.96</v>
      </c>
      <c r="F959" t="str">
        <f t="shared" si="71"/>
        <v>net sales</v>
      </c>
      <c r="G959" s="7" t="str">
        <f t="shared" si="72"/>
        <v>product 2</v>
      </c>
      <c r="H959">
        <f t="shared" si="73"/>
        <v>2024</v>
      </c>
      <c r="I959">
        <f t="shared" si="74"/>
        <v>5</v>
      </c>
      <c r="J959">
        <f t="shared" si="75"/>
        <v>224.91</v>
      </c>
    </row>
    <row r="960" spans="1:10" ht="12.5" x14ac:dyDescent="0.25">
      <c r="A960" s="1">
        <v>45424</v>
      </c>
      <c r="B960" s="2" t="s">
        <v>13</v>
      </c>
      <c r="C960" s="3">
        <v>12.49</v>
      </c>
      <c r="D960" s="3">
        <v>143</v>
      </c>
      <c r="E960" s="3">
        <v>1786.07</v>
      </c>
      <c r="F960" t="str">
        <f t="shared" si="71"/>
        <v>net sales</v>
      </c>
      <c r="G960" s="7" t="str">
        <f t="shared" si="72"/>
        <v>product 3</v>
      </c>
      <c r="H960">
        <f t="shared" si="73"/>
        <v>2024</v>
      </c>
      <c r="I960">
        <f t="shared" si="74"/>
        <v>5</v>
      </c>
      <c r="J960">
        <f t="shared" si="75"/>
        <v>549.56000000000006</v>
      </c>
    </row>
    <row r="961" spans="1:10" ht="12.5" x14ac:dyDescent="0.25">
      <c r="A961" s="1">
        <v>45425</v>
      </c>
      <c r="B961" s="2" t="s">
        <v>7</v>
      </c>
      <c r="C961" s="3">
        <v>5.99</v>
      </c>
      <c r="D961" s="3">
        <v>50</v>
      </c>
      <c r="E961" s="3">
        <v>299.5</v>
      </c>
      <c r="F961" t="str">
        <f t="shared" si="71"/>
        <v>cogs</v>
      </c>
      <c r="G961" s="7" t="str">
        <f t="shared" si="72"/>
        <v>product 1</v>
      </c>
      <c r="H961">
        <f t="shared" si="73"/>
        <v>2024</v>
      </c>
      <c r="I961">
        <f t="shared" si="74"/>
        <v>5</v>
      </c>
      <c r="J961">
        <f t="shared" si="75"/>
        <v>-1200</v>
      </c>
    </row>
    <row r="962" spans="1:10" ht="12.5" x14ac:dyDescent="0.25">
      <c r="A962" s="1">
        <v>45425</v>
      </c>
      <c r="B962" s="2" t="s">
        <v>8</v>
      </c>
      <c r="C962" s="3">
        <v>16.989999999999998</v>
      </c>
      <c r="D962" s="3">
        <v>10</v>
      </c>
      <c r="E962" s="3">
        <v>169.89999999999998</v>
      </c>
      <c r="F962" t="str">
        <f t="shared" si="71"/>
        <v>cogs</v>
      </c>
      <c r="G962" s="7" t="str">
        <f t="shared" si="72"/>
        <v>product 2</v>
      </c>
      <c r="H962">
        <f t="shared" si="73"/>
        <v>2024</v>
      </c>
      <c r="I962">
        <f t="shared" si="74"/>
        <v>5</v>
      </c>
      <c r="J962">
        <f t="shared" si="75"/>
        <v>-335.44</v>
      </c>
    </row>
    <row r="963" spans="1:10" ht="12.5" x14ac:dyDescent="0.25">
      <c r="A963" s="1">
        <v>45425</v>
      </c>
      <c r="B963" s="2" t="s">
        <v>9</v>
      </c>
      <c r="C963" s="3">
        <v>8.49</v>
      </c>
      <c r="D963" s="3">
        <v>237</v>
      </c>
      <c r="E963" s="3">
        <v>2012.13</v>
      </c>
      <c r="F963" t="str">
        <f t="shared" ref="F963:F1026" si="76">IFERROR(LEFT(B963,FIND(":",B963)-1),B963)</f>
        <v>cogs</v>
      </c>
      <c r="G963" s="7" t="str">
        <f t="shared" ref="G963:G1026" si="77">IFERROR(RIGHT(B963,LEN(B963)-FIND(":",B963)),"")</f>
        <v>product 3</v>
      </c>
      <c r="H963">
        <f t="shared" ref="H963:H1026" si="78">YEAR(A963)</f>
        <v>2024</v>
      </c>
      <c r="I963">
        <f t="shared" ref="I963:I1026" si="79">MONTH(A963)</f>
        <v>5</v>
      </c>
      <c r="J963">
        <f t="shared" si="75"/>
        <v>-50.97</v>
      </c>
    </row>
    <row r="964" spans="1:10" ht="12.5" x14ac:dyDescent="0.25">
      <c r="A964" s="1">
        <v>45425</v>
      </c>
      <c r="B964" s="2" t="s">
        <v>10</v>
      </c>
      <c r="C964" s="2" t="s">
        <v>6</v>
      </c>
      <c r="D964" s="2" t="s">
        <v>6</v>
      </c>
      <c r="E964" s="3">
        <v>99.97</v>
      </c>
      <c r="F964" t="str">
        <f t="shared" si="76"/>
        <v>marketing</v>
      </c>
      <c r="G964" s="7" t="s">
        <v>6</v>
      </c>
      <c r="H964">
        <f t="shared" si="78"/>
        <v>2024</v>
      </c>
      <c r="I964">
        <f t="shared" si="79"/>
        <v>5</v>
      </c>
      <c r="J964">
        <f t="shared" si="75"/>
        <v>-1451.79</v>
      </c>
    </row>
    <row r="965" spans="1:10" ht="12.5" x14ac:dyDescent="0.25">
      <c r="A965" s="1">
        <v>45425</v>
      </c>
      <c r="B965" s="2" t="s">
        <v>11</v>
      </c>
      <c r="C965" s="3">
        <v>9.99</v>
      </c>
      <c r="D965" s="3">
        <v>50</v>
      </c>
      <c r="E965" s="3">
        <v>499.5</v>
      </c>
      <c r="F965" t="str">
        <f t="shared" si="76"/>
        <v>net sales</v>
      </c>
      <c r="G965" s="7" t="str">
        <f t="shared" si="77"/>
        <v>product 1</v>
      </c>
      <c r="H965">
        <f t="shared" si="78"/>
        <v>2024</v>
      </c>
      <c r="I965">
        <f t="shared" si="79"/>
        <v>5</v>
      </c>
      <c r="J965">
        <f t="shared" si="75"/>
        <v>-99.9</v>
      </c>
    </row>
    <row r="966" spans="1:10" ht="12.5" x14ac:dyDescent="0.25">
      <c r="A966" s="1">
        <v>45425</v>
      </c>
      <c r="B966" s="2" t="s">
        <v>12</v>
      </c>
      <c r="C966" s="3">
        <v>24.99</v>
      </c>
      <c r="D966" s="3">
        <v>10</v>
      </c>
      <c r="E966" s="3">
        <v>249.89999999999998</v>
      </c>
      <c r="F966" t="str">
        <f t="shared" si="76"/>
        <v>net sales</v>
      </c>
      <c r="G966" s="7" t="str">
        <f t="shared" si="77"/>
        <v>product 2</v>
      </c>
      <c r="H966">
        <f t="shared" si="78"/>
        <v>2024</v>
      </c>
      <c r="I966">
        <f t="shared" si="79"/>
        <v>5</v>
      </c>
      <c r="J966">
        <f t="shared" si="75"/>
        <v>559.44000000000005</v>
      </c>
    </row>
    <row r="967" spans="1:10" ht="12.5" x14ac:dyDescent="0.25">
      <c r="A967" s="1">
        <v>45425</v>
      </c>
      <c r="B967" s="2" t="s">
        <v>13</v>
      </c>
      <c r="C967" s="3">
        <v>12.49</v>
      </c>
      <c r="D967" s="3">
        <v>237</v>
      </c>
      <c r="E967" s="3">
        <v>2960.13</v>
      </c>
      <c r="F967" t="str">
        <f t="shared" si="76"/>
        <v>net sales</v>
      </c>
      <c r="G967" s="7" t="str">
        <f t="shared" si="77"/>
        <v>product 3</v>
      </c>
      <c r="H967">
        <f t="shared" si="78"/>
        <v>2024</v>
      </c>
      <c r="I967">
        <f t="shared" si="79"/>
        <v>5</v>
      </c>
      <c r="J967">
        <f t="shared" si="75"/>
        <v>74.97</v>
      </c>
    </row>
    <row r="968" spans="1:10" ht="12.5" x14ac:dyDescent="0.25">
      <c r="A968" s="1">
        <v>45426</v>
      </c>
      <c r="B968" s="2" t="s">
        <v>7</v>
      </c>
      <c r="C968" s="3">
        <v>5.99</v>
      </c>
      <c r="D968" s="3">
        <v>63</v>
      </c>
      <c r="E968" s="3">
        <v>377.37</v>
      </c>
      <c r="F968" t="str">
        <f t="shared" si="76"/>
        <v>cogs</v>
      </c>
      <c r="G968" s="7" t="str">
        <f t="shared" si="77"/>
        <v>product 1</v>
      </c>
      <c r="H968">
        <f t="shared" si="78"/>
        <v>2024</v>
      </c>
      <c r="I968">
        <f t="shared" si="79"/>
        <v>5</v>
      </c>
      <c r="J968">
        <f t="shared" si="75"/>
        <v>2135.79</v>
      </c>
    </row>
    <row r="969" spans="1:10" ht="12.5" x14ac:dyDescent="0.25">
      <c r="A969" s="1">
        <v>45426</v>
      </c>
      <c r="B969" s="2" t="s">
        <v>8</v>
      </c>
      <c r="C969" s="3">
        <v>16.989999999999998</v>
      </c>
      <c r="D969" s="3">
        <v>3</v>
      </c>
      <c r="E969" s="3">
        <v>50.97</v>
      </c>
      <c r="F969" t="str">
        <f t="shared" si="76"/>
        <v>cogs</v>
      </c>
      <c r="G969" s="7" t="str">
        <f t="shared" si="77"/>
        <v>product 2</v>
      </c>
      <c r="H969">
        <f t="shared" si="78"/>
        <v>2024</v>
      </c>
      <c r="I969">
        <f t="shared" si="79"/>
        <v>5</v>
      </c>
      <c r="J969">
        <f t="shared" si="75"/>
        <v>-155.74</v>
      </c>
    </row>
    <row r="970" spans="1:10" ht="12.5" x14ac:dyDescent="0.25">
      <c r="A970" s="1">
        <v>45426</v>
      </c>
      <c r="B970" s="2" t="s">
        <v>9</v>
      </c>
      <c r="C970" s="3">
        <v>8.49</v>
      </c>
      <c r="D970" s="3">
        <v>37</v>
      </c>
      <c r="E970" s="3">
        <v>314.13</v>
      </c>
      <c r="F970" t="str">
        <f t="shared" si="76"/>
        <v>cogs</v>
      </c>
      <c r="G970" s="7" t="str">
        <f t="shared" si="77"/>
        <v>product 3</v>
      </c>
      <c r="H970">
        <f t="shared" si="78"/>
        <v>2024</v>
      </c>
      <c r="I970">
        <f t="shared" si="79"/>
        <v>5</v>
      </c>
      <c r="J970">
        <f t="shared" si="75"/>
        <v>-169.89999999999998</v>
      </c>
    </row>
    <row r="971" spans="1:10" ht="12.5" x14ac:dyDescent="0.25">
      <c r="A971" s="1">
        <v>45426</v>
      </c>
      <c r="B971" s="2" t="s">
        <v>10</v>
      </c>
      <c r="C971" s="2" t="s">
        <v>6</v>
      </c>
      <c r="D971" s="2" t="s">
        <v>6</v>
      </c>
      <c r="E971" s="3">
        <v>100.09</v>
      </c>
      <c r="F971" t="str">
        <f t="shared" si="76"/>
        <v>marketing</v>
      </c>
      <c r="G971" s="7" t="s">
        <v>6</v>
      </c>
      <c r="H971">
        <f t="shared" si="78"/>
        <v>2024</v>
      </c>
      <c r="I971">
        <f t="shared" si="79"/>
        <v>5</v>
      </c>
      <c r="J971">
        <f t="shared" si="75"/>
        <v>-101.88</v>
      </c>
    </row>
    <row r="972" spans="1:10" ht="12.5" x14ac:dyDescent="0.25">
      <c r="A972" s="1">
        <v>45426</v>
      </c>
      <c r="B972" s="2" t="s">
        <v>11</v>
      </c>
      <c r="C972" s="3">
        <v>9.99</v>
      </c>
      <c r="D972" s="3">
        <v>63</v>
      </c>
      <c r="E972" s="3">
        <v>629.37</v>
      </c>
      <c r="F972" t="str">
        <f t="shared" si="76"/>
        <v>net sales</v>
      </c>
      <c r="G972" s="7" t="str">
        <f t="shared" si="77"/>
        <v>product 1</v>
      </c>
      <c r="H972">
        <f t="shared" si="78"/>
        <v>2024</v>
      </c>
      <c r="I972">
        <f t="shared" si="79"/>
        <v>5</v>
      </c>
      <c r="J972">
        <f t="shared" si="75"/>
        <v>-99.91</v>
      </c>
    </row>
    <row r="973" spans="1:10" ht="12.5" x14ac:dyDescent="0.25">
      <c r="A973" s="1">
        <v>45426</v>
      </c>
      <c r="B973" s="2" t="s">
        <v>12</v>
      </c>
      <c r="C973" s="3">
        <v>24.99</v>
      </c>
      <c r="D973" s="3">
        <v>3</v>
      </c>
      <c r="E973" s="3">
        <v>74.97</v>
      </c>
      <c r="F973" t="str">
        <f t="shared" si="76"/>
        <v>net sales</v>
      </c>
      <c r="G973" s="7" t="str">
        <f t="shared" si="77"/>
        <v>product 2</v>
      </c>
      <c r="H973">
        <f t="shared" si="78"/>
        <v>2024</v>
      </c>
      <c r="I973">
        <f t="shared" si="79"/>
        <v>5</v>
      </c>
      <c r="J973">
        <f t="shared" si="75"/>
        <v>259.74</v>
      </c>
    </row>
    <row r="974" spans="1:10" ht="12.5" x14ac:dyDescent="0.25">
      <c r="A974" s="1">
        <v>45426</v>
      </c>
      <c r="B974" s="2" t="s">
        <v>13</v>
      </c>
      <c r="C974" s="3">
        <v>12.49</v>
      </c>
      <c r="D974" s="3">
        <v>37</v>
      </c>
      <c r="E974" s="3">
        <v>462.13</v>
      </c>
      <c r="F974" t="str">
        <f t="shared" si="76"/>
        <v>net sales</v>
      </c>
      <c r="G974" s="7" t="str">
        <f t="shared" si="77"/>
        <v>product 3</v>
      </c>
      <c r="H974">
        <f t="shared" si="78"/>
        <v>2024</v>
      </c>
      <c r="I974">
        <f t="shared" si="79"/>
        <v>5</v>
      </c>
      <c r="J974">
        <f t="shared" si="75"/>
        <v>249.89999999999998</v>
      </c>
    </row>
    <row r="975" spans="1:10" ht="12.5" x14ac:dyDescent="0.25">
      <c r="A975" s="1">
        <v>45427</v>
      </c>
      <c r="B975" s="2" t="s">
        <v>7</v>
      </c>
      <c r="C975" s="3">
        <v>5.99</v>
      </c>
      <c r="D975" s="3">
        <v>47</v>
      </c>
      <c r="E975" s="3">
        <v>281.53000000000003</v>
      </c>
      <c r="F975" t="str">
        <f t="shared" si="76"/>
        <v>cogs</v>
      </c>
      <c r="G975" s="7" t="str">
        <f t="shared" si="77"/>
        <v>product 1</v>
      </c>
      <c r="H975">
        <f t="shared" si="78"/>
        <v>2024</v>
      </c>
      <c r="I975">
        <f t="shared" si="79"/>
        <v>5</v>
      </c>
      <c r="J975">
        <f t="shared" si="75"/>
        <v>149.88</v>
      </c>
    </row>
    <row r="976" spans="1:10" ht="12.5" x14ac:dyDescent="0.25">
      <c r="A976" s="1">
        <v>45427</v>
      </c>
      <c r="B976" s="2" t="s">
        <v>8</v>
      </c>
      <c r="C976" s="3">
        <v>16.989999999999998</v>
      </c>
      <c r="D976" s="3">
        <v>7</v>
      </c>
      <c r="E976" s="3">
        <v>118.92999999999999</v>
      </c>
      <c r="F976" t="str">
        <f t="shared" si="76"/>
        <v>cogs</v>
      </c>
      <c r="G976" s="7" t="str">
        <f t="shared" si="77"/>
        <v>product 2</v>
      </c>
      <c r="H976">
        <f t="shared" si="78"/>
        <v>2024</v>
      </c>
      <c r="I976">
        <f t="shared" si="79"/>
        <v>5</v>
      </c>
      <c r="J976">
        <f t="shared" si="75"/>
        <v>-329.45</v>
      </c>
    </row>
    <row r="977" spans="1:10" ht="12.5" x14ac:dyDescent="0.25">
      <c r="A977" s="1">
        <v>45427</v>
      </c>
      <c r="B977" s="2" t="s">
        <v>9</v>
      </c>
      <c r="C977" s="3">
        <v>8.49</v>
      </c>
      <c r="D977" s="3">
        <v>52</v>
      </c>
      <c r="E977" s="3">
        <v>441.48</v>
      </c>
      <c r="F977" t="str">
        <f t="shared" si="76"/>
        <v>cogs</v>
      </c>
      <c r="G977" s="7" t="str">
        <f t="shared" si="77"/>
        <v>product 3</v>
      </c>
      <c r="H977">
        <f t="shared" si="78"/>
        <v>2024</v>
      </c>
      <c r="I977">
        <f t="shared" si="79"/>
        <v>5</v>
      </c>
      <c r="J977">
        <f t="shared" si="75"/>
        <v>-67.959999999999994</v>
      </c>
    </row>
    <row r="978" spans="1:10" ht="12.5" x14ac:dyDescent="0.25">
      <c r="A978" s="1">
        <v>45427</v>
      </c>
      <c r="B978" s="2" t="s">
        <v>16</v>
      </c>
      <c r="C978" s="2" t="s">
        <v>6</v>
      </c>
      <c r="D978" s="2" t="s">
        <v>6</v>
      </c>
      <c r="E978" s="3">
        <v>1262.4000000000001</v>
      </c>
      <c r="F978" t="str">
        <f t="shared" si="76"/>
        <v>interest</v>
      </c>
      <c r="G978" s="7" t="s">
        <v>6</v>
      </c>
      <c r="H978">
        <f t="shared" si="78"/>
        <v>2024</v>
      </c>
      <c r="I978">
        <f t="shared" si="79"/>
        <v>5</v>
      </c>
      <c r="J978">
        <f t="shared" si="75"/>
        <v>-1103.7</v>
      </c>
    </row>
    <row r="979" spans="1:10" ht="12.5" x14ac:dyDescent="0.25">
      <c r="A979" s="1">
        <v>45427</v>
      </c>
      <c r="B979" s="2" t="s">
        <v>10</v>
      </c>
      <c r="C979" s="2" t="s">
        <v>6</v>
      </c>
      <c r="D979" s="2" t="s">
        <v>6</v>
      </c>
      <c r="E979" s="3">
        <v>99.95</v>
      </c>
      <c r="F979" t="str">
        <f t="shared" si="76"/>
        <v>marketing</v>
      </c>
      <c r="G979" s="7" t="s">
        <v>6</v>
      </c>
      <c r="H979">
        <f t="shared" si="78"/>
        <v>2024</v>
      </c>
      <c r="I979">
        <f t="shared" si="79"/>
        <v>5</v>
      </c>
      <c r="J979">
        <f t="shared" si="75"/>
        <v>-1290.6400000000001</v>
      </c>
    </row>
    <row r="980" spans="1:10" ht="12.5" x14ac:dyDescent="0.25">
      <c r="A980" s="1">
        <v>45427</v>
      </c>
      <c r="B980" s="2" t="s">
        <v>11</v>
      </c>
      <c r="C980" s="3">
        <v>9.99</v>
      </c>
      <c r="D980" s="3">
        <v>47</v>
      </c>
      <c r="E980" s="3">
        <v>469.53000000000003</v>
      </c>
      <c r="F980" t="str">
        <f t="shared" si="76"/>
        <v>net sales</v>
      </c>
      <c r="G980" s="7" t="str">
        <f t="shared" si="77"/>
        <v>product 1</v>
      </c>
      <c r="H980">
        <f t="shared" si="78"/>
        <v>2024</v>
      </c>
      <c r="I980">
        <f t="shared" si="79"/>
        <v>5</v>
      </c>
      <c r="J980">
        <f t="shared" si="75"/>
        <v>-99.990000000000009</v>
      </c>
    </row>
    <row r="981" spans="1:10" ht="12.5" x14ac:dyDescent="0.25">
      <c r="A981" s="1">
        <v>45427</v>
      </c>
      <c r="B981" s="2" t="s">
        <v>12</v>
      </c>
      <c r="C981" s="3">
        <v>24.99</v>
      </c>
      <c r="D981" s="3">
        <v>7</v>
      </c>
      <c r="E981" s="3">
        <v>174.92999999999998</v>
      </c>
      <c r="F981" t="str">
        <f t="shared" si="76"/>
        <v>net sales</v>
      </c>
      <c r="G981" s="7" t="str">
        <f t="shared" si="77"/>
        <v>product 2</v>
      </c>
      <c r="H981">
        <f t="shared" si="78"/>
        <v>2024</v>
      </c>
      <c r="I981">
        <f t="shared" si="79"/>
        <v>5</v>
      </c>
      <c r="J981">
        <f t="shared" si="75"/>
        <v>549.45000000000005</v>
      </c>
    </row>
    <row r="982" spans="1:10" ht="12.5" x14ac:dyDescent="0.25">
      <c r="A982" s="1">
        <v>45427</v>
      </c>
      <c r="B982" s="2" t="s">
        <v>13</v>
      </c>
      <c r="C982" s="3">
        <v>12.49</v>
      </c>
      <c r="D982" s="3">
        <v>52</v>
      </c>
      <c r="E982" s="3">
        <v>649.48</v>
      </c>
      <c r="F982" t="str">
        <f t="shared" si="76"/>
        <v>net sales</v>
      </c>
      <c r="G982" s="7" t="str">
        <f t="shared" si="77"/>
        <v>product 3</v>
      </c>
      <c r="H982">
        <f t="shared" si="78"/>
        <v>2024</v>
      </c>
      <c r="I982">
        <f t="shared" si="79"/>
        <v>5</v>
      </c>
      <c r="J982">
        <f t="shared" si="75"/>
        <v>99.96</v>
      </c>
    </row>
    <row r="983" spans="1:10" ht="12.5" x14ac:dyDescent="0.25">
      <c r="A983" s="1">
        <v>45427</v>
      </c>
      <c r="B983" s="2" t="s">
        <v>14</v>
      </c>
      <c r="C983" s="2" t="s">
        <v>6</v>
      </c>
      <c r="D983" s="2" t="s">
        <v>6</v>
      </c>
      <c r="E983" s="3">
        <v>315.60000000000002</v>
      </c>
      <c r="F983" t="str">
        <f t="shared" si="76"/>
        <v>overhead</v>
      </c>
      <c r="G983" s="7" t="s">
        <v>6</v>
      </c>
      <c r="H983">
        <f t="shared" si="78"/>
        <v>2024</v>
      </c>
      <c r="I983">
        <f t="shared" si="79"/>
        <v>5</v>
      </c>
      <c r="J983">
        <f t="shared" si="75"/>
        <v>1623.7</v>
      </c>
    </row>
    <row r="984" spans="1:10" ht="12.5" x14ac:dyDescent="0.25">
      <c r="A984" s="1">
        <v>45428</v>
      </c>
      <c r="B984" s="2" t="s">
        <v>7</v>
      </c>
      <c r="C984" s="3">
        <v>5.99</v>
      </c>
      <c r="D984" s="3">
        <v>31</v>
      </c>
      <c r="E984" s="3">
        <v>185.69</v>
      </c>
      <c r="F984" t="str">
        <f t="shared" si="76"/>
        <v>cogs</v>
      </c>
      <c r="G984" s="7" t="str">
        <f t="shared" si="77"/>
        <v>product 1</v>
      </c>
      <c r="H984">
        <f t="shared" si="78"/>
        <v>2024</v>
      </c>
      <c r="I984">
        <f t="shared" si="79"/>
        <v>5</v>
      </c>
      <c r="J984">
        <f t="shared" si="75"/>
        <v>-293.93</v>
      </c>
    </row>
    <row r="985" spans="1:10" ht="12.5" x14ac:dyDescent="0.25">
      <c r="A985" s="1">
        <v>45428</v>
      </c>
      <c r="B985" s="2" t="s">
        <v>8</v>
      </c>
      <c r="C985" s="3">
        <v>16.989999999999998</v>
      </c>
      <c r="D985" s="3">
        <v>1</v>
      </c>
      <c r="E985" s="3">
        <v>16.989999999999998</v>
      </c>
      <c r="F985" t="str">
        <f t="shared" si="76"/>
        <v>cogs</v>
      </c>
      <c r="G985" s="7" t="str">
        <f t="shared" si="77"/>
        <v>product 2</v>
      </c>
      <c r="H985">
        <f t="shared" si="78"/>
        <v>2024</v>
      </c>
      <c r="I985">
        <f t="shared" si="79"/>
        <v>5</v>
      </c>
      <c r="J985">
        <f t="shared" si="75"/>
        <v>-29.950000000000003</v>
      </c>
    </row>
    <row r="986" spans="1:10" ht="12.5" x14ac:dyDescent="0.25">
      <c r="A986" s="1">
        <v>45428</v>
      </c>
      <c r="B986" s="2" t="s">
        <v>9</v>
      </c>
      <c r="C986" s="3">
        <v>8.49</v>
      </c>
      <c r="D986" s="3">
        <v>57</v>
      </c>
      <c r="E986" s="3">
        <v>483.93</v>
      </c>
      <c r="F986" t="str">
        <f t="shared" si="76"/>
        <v>cogs</v>
      </c>
      <c r="G986" s="7" t="str">
        <f t="shared" si="77"/>
        <v>product 3</v>
      </c>
      <c r="H986">
        <f t="shared" si="78"/>
        <v>2024</v>
      </c>
      <c r="I986">
        <f t="shared" si="79"/>
        <v>5</v>
      </c>
      <c r="J986">
        <f t="shared" si="75"/>
        <v>-84.949999999999989</v>
      </c>
    </row>
    <row r="987" spans="1:10" ht="12.5" x14ac:dyDescent="0.25">
      <c r="A987" s="1">
        <v>45428</v>
      </c>
      <c r="B987" s="2" t="s">
        <v>10</v>
      </c>
      <c r="C987" s="2" t="s">
        <v>6</v>
      </c>
      <c r="D987" s="2" t="s">
        <v>6</v>
      </c>
      <c r="E987" s="3">
        <v>100.01</v>
      </c>
      <c r="F987" t="str">
        <f t="shared" si="76"/>
        <v>marketing</v>
      </c>
      <c r="G987" s="7" t="s">
        <v>6</v>
      </c>
      <c r="H987">
        <f t="shared" si="78"/>
        <v>2024</v>
      </c>
      <c r="I987">
        <f t="shared" si="79"/>
        <v>5</v>
      </c>
      <c r="J987">
        <f t="shared" si="75"/>
        <v>-288.66000000000003</v>
      </c>
    </row>
    <row r="988" spans="1:10" ht="12.5" x14ac:dyDescent="0.25">
      <c r="A988" s="1">
        <v>45428</v>
      </c>
      <c r="B988" s="2" t="s">
        <v>11</v>
      </c>
      <c r="C988" s="3">
        <v>9.99</v>
      </c>
      <c r="D988" s="3">
        <v>31</v>
      </c>
      <c r="E988" s="3">
        <v>309.69</v>
      </c>
      <c r="F988" t="str">
        <f t="shared" si="76"/>
        <v>net sales</v>
      </c>
      <c r="G988" s="7" t="str">
        <f t="shared" si="77"/>
        <v>product 1</v>
      </c>
      <c r="H988">
        <f t="shared" si="78"/>
        <v>2024</v>
      </c>
      <c r="I988">
        <f t="shared" si="79"/>
        <v>5</v>
      </c>
      <c r="J988">
        <f t="shared" ref="J988:J1051" si="80">IF(F771="net sales",E771,
IF(F771="cogs",-E771,
IF(OR(F771="marketing",F771="overhead",F771="payroll",F771="interest","amortization"),-E771,0)))</f>
        <v>-100.05</v>
      </c>
    </row>
    <row r="989" spans="1:10" ht="12.5" x14ac:dyDescent="0.25">
      <c r="A989" s="1">
        <v>45428</v>
      </c>
      <c r="B989" s="2" t="s">
        <v>12</v>
      </c>
      <c r="C989" s="3">
        <v>24.99</v>
      </c>
      <c r="D989" s="3">
        <v>1</v>
      </c>
      <c r="E989" s="3">
        <v>24.99</v>
      </c>
      <c r="F989" t="str">
        <f t="shared" si="76"/>
        <v>net sales</v>
      </c>
      <c r="G989" s="7" t="str">
        <f t="shared" si="77"/>
        <v>product 2</v>
      </c>
      <c r="H989">
        <f t="shared" si="78"/>
        <v>2024</v>
      </c>
      <c r="I989">
        <f t="shared" si="79"/>
        <v>5</v>
      </c>
      <c r="J989">
        <f t="shared" si="80"/>
        <v>49.95</v>
      </c>
    </row>
    <row r="990" spans="1:10" ht="12.5" x14ac:dyDescent="0.25">
      <c r="A990" s="1">
        <v>45428</v>
      </c>
      <c r="B990" s="2" t="s">
        <v>13</v>
      </c>
      <c r="C990" s="3">
        <v>12.49</v>
      </c>
      <c r="D990" s="3">
        <v>57</v>
      </c>
      <c r="E990" s="3">
        <v>711.93000000000006</v>
      </c>
      <c r="F990" t="str">
        <f t="shared" si="76"/>
        <v>net sales</v>
      </c>
      <c r="G990" s="7" t="str">
        <f t="shared" si="77"/>
        <v>product 3</v>
      </c>
      <c r="H990">
        <f t="shared" si="78"/>
        <v>2024</v>
      </c>
      <c r="I990">
        <f t="shared" si="79"/>
        <v>5</v>
      </c>
      <c r="J990">
        <f t="shared" si="80"/>
        <v>124.94999999999999</v>
      </c>
    </row>
    <row r="991" spans="1:10" ht="12.5" x14ac:dyDescent="0.25">
      <c r="A991" s="1">
        <v>45429</v>
      </c>
      <c r="B991" s="2" t="s">
        <v>7</v>
      </c>
      <c r="C991" s="3">
        <v>5.99</v>
      </c>
      <c r="D991" s="3">
        <v>57</v>
      </c>
      <c r="E991" s="3">
        <v>341.43</v>
      </c>
      <c r="F991" t="str">
        <f t="shared" si="76"/>
        <v>cogs</v>
      </c>
      <c r="G991" s="7" t="str">
        <f t="shared" si="77"/>
        <v>product 1</v>
      </c>
      <c r="H991">
        <f t="shared" si="78"/>
        <v>2024</v>
      </c>
      <c r="I991">
        <f t="shared" si="79"/>
        <v>5</v>
      </c>
      <c r="J991">
        <f t="shared" si="80"/>
        <v>424.66</v>
      </c>
    </row>
    <row r="992" spans="1:10" ht="12.5" x14ac:dyDescent="0.25">
      <c r="A992" s="1">
        <v>45429</v>
      </c>
      <c r="B992" s="2" t="s">
        <v>8</v>
      </c>
      <c r="C992" s="3">
        <v>16.989999999999998</v>
      </c>
      <c r="D992" s="3">
        <v>10</v>
      </c>
      <c r="E992" s="3">
        <v>169.89999999999998</v>
      </c>
      <c r="F992" t="str">
        <f t="shared" si="76"/>
        <v>cogs</v>
      </c>
      <c r="G992" s="7" t="str">
        <f t="shared" si="77"/>
        <v>product 2</v>
      </c>
      <c r="H992">
        <f t="shared" si="78"/>
        <v>2024</v>
      </c>
      <c r="I992">
        <f t="shared" si="79"/>
        <v>5</v>
      </c>
      <c r="J992">
        <f t="shared" si="80"/>
        <v>-479.20000000000005</v>
      </c>
    </row>
    <row r="993" spans="1:10" ht="12.5" x14ac:dyDescent="0.25">
      <c r="A993" s="1">
        <v>45429</v>
      </c>
      <c r="B993" s="2" t="s">
        <v>9</v>
      </c>
      <c r="C993" s="3">
        <v>8.49</v>
      </c>
      <c r="D993" s="3">
        <v>98</v>
      </c>
      <c r="E993" s="3">
        <v>832.02</v>
      </c>
      <c r="F993" t="str">
        <f t="shared" si="76"/>
        <v>cogs</v>
      </c>
      <c r="G993" s="7" t="str">
        <f t="shared" si="77"/>
        <v>product 3</v>
      </c>
      <c r="H993">
        <f t="shared" si="78"/>
        <v>2024</v>
      </c>
      <c r="I993">
        <f t="shared" si="79"/>
        <v>5</v>
      </c>
      <c r="J993">
        <f t="shared" si="80"/>
        <v>-152.91</v>
      </c>
    </row>
    <row r="994" spans="1:10" ht="12.5" x14ac:dyDescent="0.25">
      <c r="A994" s="1">
        <v>45429</v>
      </c>
      <c r="B994" s="2" t="s">
        <v>10</v>
      </c>
      <c r="C994" s="2" t="s">
        <v>6</v>
      </c>
      <c r="D994" s="2" t="s">
        <v>6</v>
      </c>
      <c r="E994" s="3">
        <v>99.93</v>
      </c>
      <c r="F994" t="str">
        <f t="shared" si="76"/>
        <v>marketing</v>
      </c>
      <c r="G994" s="7" t="s">
        <v>6</v>
      </c>
      <c r="H994">
        <f t="shared" si="78"/>
        <v>2024</v>
      </c>
      <c r="I994">
        <f t="shared" si="79"/>
        <v>5</v>
      </c>
      <c r="J994">
        <f t="shared" si="80"/>
        <v>0</v>
      </c>
    </row>
    <row r="995" spans="1:10" ht="12.5" x14ac:dyDescent="0.25">
      <c r="A995" s="1">
        <v>45429</v>
      </c>
      <c r="B995" s="2" t="s">
        <v>11</v>
      </c>
      <c r="C995" s="3">
        <v>9.99</v>
      </c>
      <c r="D995" s="3">
        <v>57</v>
      </c>
      <c r="E995" s="3">
        <v>569.43000000000006</v>
      </c>
      <c r="F995" t="str">
        <f t="shared" si="76"/>
        <v>net sales</v>
      </c>
      <c r="G995" s="7" t="str">
        <f t="shared" si="77"/>
        <v>product 1</v>
      </c>
      <c r="H995">
        <f t="shared" si="78"/>
        <v>2024</v>
      </c>
      <c r="I995">
        <f t="shared" si="79"/>
        <v>5</v>
      </c>
      <c r="J995">
        <f t="shared" si="80"/>
        <v>-99.960000000000008</v>
      </c>
    </row>
    <row r="996" spans="1:10" ht="12.5" x14ac:dyDescent="0.25">
      <c r="A996" s="1">
        <v>45429</v>
      </c>
      <c r="B996" s="2" t="s">
        <v>12</v>
      </c>
      <c r="C996" s="3">
        <v>24.99</v>
      </c>
      <c r="D996" s="3">
        <v>10</v>
      </c>
      <c r="E996" s="3">
        <v>249.89999999999998</v>
      </c>
      <c r="F996" t="str">
        <f t="shared" si="76"/>
        <v>net sales</v>
      </c>
      <c r="G996" s="7" t="str">
        <f t="shared" si="77"/>
        <v>product 2</v>
      </c>
      <c r="H996">
        <f t="shared" si="78"/>
        <v>2024</v>
      </c>
      <c r="I996">
        <f t="shared" si="79"/>
        <v>5</v>
      </c>
      <c r="J996">
        <f t="shared" si="80"/>
        <v>799.2</v>
      </c>
    </row>
    <row r="997" spans="1:10" ht="12.5" x14ac:dyDescent="0.25">
      <c r="A997" s="1">
        <v>45429</v>
      </c>
      <c r="B997" s="2" t="s">
        <v>13</v>
      </c>
      <c r="C997" s="3">
        <v>12.49</v>
      </c>
      <c r="D997" s="3">
        <v>98</v>
      </c>
      <c r="E997" s="3">
        <v>1224.02</v>
      </c>
      <c r="F997" t="str">
        <f t="shared" si="76"/>
        <v>net sales</v>
      </c>
      <c r="G997" s="7" t="str">
        <f t="shared" si="77"/>
        <v>product 3</v>
      </c>
      <c r="H997">
        <f t="shared" si="78"/>
        <v>2024</v>
      </c>
      <c r="I997">
        <f t="shared" si="79"/>
        <v>5</v>
      </c>
      <c r="J997">
        <f t="shared" si="80"/>
        <v>224.91</v>
      </c>
    </row>
    <row r="998" spans="1:10" ht="12.5" x14ac:dyDescent="0.25">
      <c r="A998" s="1">
        <v>45430</v>
      </c>
      <c r="B998" s="2" t="s">
        <v>7</v>
      </c>
      <c r="C998" s="3">
        <v>5.99</v>
      </c>
      <c r="D998" s="3">
        <v>36</v>
      </c>
      <c r="E998" s="3">
        <v>215.64000000000001</v>
      </c>
      <c r="F998" t="str">
        <f t="shared" si="76"/>
        <v>cogs</v>
      </c>
      <c r="G998" s="7" t="str">
        <f t="shared" si="77"/>
        <v>product 1</v>
      </c>
      <c r="H998">
        <f t="shared" si="78"/>
        <v>2024</v>
      </c>
      <c r="I998">
        <f t="shared" si="79"/>
        <v>5</v>
      </c>
      <c r="J998">
        <f t="shared" si="80"/>
        <v>0</v>
      </c>
    </row>
    <row r="999" spans="1:10" ht="12.5" x14ac:dyDescent="0.25">
      <c r="A999" s="1">
        <v>45430</v>
      </c>
      <c r="B999" s="2" t="s">
        <v>8</v>
      </c>
      <c r="C999" s="3">
        <v>16.989999999999998</v>
      </c>
      <c r="D999" s="3">
        <v>6</v>
      </c>
      <c r="E999" s="3">
        <v>101.94</v>
      </c>
      <c r="F999" t="str">
        <f t="shared" si="76"/>
        <v>cogs</v>
      </c>
      <c r="G999" s="7" t="str">
        <f t="shared" si="77"/>
        <v>product 2</v>
      </c>
      <c r="H999">
        <f t="shared" si="78"/>
        <v>2024</v>
      </c>
      <c r="I999">
        <f t="shared" si="79"/>
        <v>5</v>
      </c>
      <c r="J999">
        <f t="shared" si="80"/>
        <v>-257.57</v>
      </c>
    </row>
    <row r="1000" spans="1:10" ht="12.5" x14ac:dyDescent="0.25">
      <c r="A1000" s="1">
        <v>45430</v>
      </c>
      <c r="B1000" s="2" t="s">
        <v>9</v>
      </c>
      <c r="C1000" s="3">
        <v>8.49</v>
      </c>
      <c r="D1000" s="3">
        <v>29</v>
      </c>
      <c r="E1000" s="3">
        <v>246.21</v>
      </c>
      <c r="F1000" t="str">
        <f t="shared" si="76"/>
        <v>cogs</v>
      </c>
      <c r="G1000" s="7" t="str">
        <f t="shared" si="77"/>
        <v>product 3</v>
      </c>
      <c r="H1000">
        <f t="shared" si="78"/>
        <v>2024</v>
      </c>
      <c r="I1000">
        <f t="shared" si="79"/>
        <v>5</v>
      </c>
      <c r="J1000">
        <f t="shared" si="80"/>
        <v>-67.959999999999994</v>
      </c>
    </row>
    <row r="1001" spans="1:10" ht="12.5" x14ac:dyDescent="0.25">
      <c r="A1001" s="1">
        <v>45430</v>
      </c>
      <c r="B1001" s="2" t="s">
        <v>10</v>
      </c>
      <c r="C1001" s="2" t="s">
        <v>6</v>
      </c>
      <c r="D1001" s="2" t="s">
        <v>6</v>
      </c>
      <c r="E1001" s="3">
        <v>100.01</v>
      </c>
      <c r="F1001" t="str">
        <f t="shared" si="76"/>
        <v>marketing</v>
      </c>
      <c r="G1001" s="7" t="s">
        <v>6</v>
      </c>
      <c r="H1001">
        <f t="shared" si="78"/>
        <v>2024</v>
      </c>
      <c r="I1001">
        <f t="shared" si="79"/>
        <v>5</v>
      </c>
      <c r="J1001">
        <f t="shared" si="80"/>
        <v>-135.84</v>
      </c>
    </row>
    <row r="1002" spans="1:10" ht="12.5" x14ac:dyDescent="0.25">
      <c r="A1002" s="1">
        <v>45430</v>
      </c>
      <c r="B1002" s="2" t="s">
        <v>11</v>
      </c>
      <c r="C1002" s="3">
        <v>9.99</v>
      </c>
      <c r="D1002" s="3">
        <v>36</v>
      </c>
      <c r="E1002" s="3">
        <v>359.64</v>
      </c>
      <c r="F1002" t="str">
        <f t="shared" si="76"/>
        <v>net sales</v>
      </c>
      <c r="G1002" s="7" t="str">
        <f t="shared" si="77"/>
        <v>product 1</v>
      </c>
      <c r="H1002">
        <f t="shared" si="78"/>
        <v>2024</v>
      </c>
      <c r="I1002">
        <f t="shared" si="79"/>
        <v>5</v>
      </c>
      <c r="J1002">
        <f t="shared" si="80"/>
        <v>-100.02</v>
      </c>
    </row>
    <row r="1003" spans="1:10" ht="12.5" x14ac:dyDescent="0.25">
      <c r="A1003" s="1">
        <v>45430</v>
      </c>
      <c r="B1003" s="2" t="s">
        <v>12</v>
      </c>
      <c r="C1003" s="3">
        <v>24.99</v>
      </c>
      <c r="D1003" s="3">
        <v>6</v>
      </c>
      <c r="E1003" s="3">
        <v>149.94</v>
      </c>
      <c r="F1003" t="str">
        <f t="shared" si="76"/>
        <v>net sales</v>
      </c>
      <c r="G1003" s="7" t="str">
        <f t="shared" si="77"/>
        <v>product 2</v>
      </c>
      <c r="H1003">
        <f t="shared" si="78"/>
        <v>2024</v>
      </c>
      <c r="I1003">
        <f t="shared" si="79"/>
        <v>5</v>
      </c>
      <c r="J1003">
        <f t="shared" si="80"/>
        <v>429.57</v>
      </c>
    </row>
    <row r="1004" spans="1:10" ht="12.5" x14ac:dyDescent="0.25">
      <c r="A1004" s="1">
        <v>45430</v>
      </c>
      <c r="B1004" s="2" t="s">
        <v>13</v>
      </c>
      <c r="C1004" s="3">
        <v>12.49</v>
      </c>
      <c r="D1004" s="3">
        <v>29</v>
      </c>
      <c r="E1004" s="3">
        <v>362.21</v>
      </c>
      <c r="F1004" t="str">
        <f t="shared" si="76"/>
        <v>net sales</v>
      </c>
      <c r="G1004" s="7" t="str">
        <f t="shared" si="77"/>
        <v>product 3</v>
      </c>
      <c r="H1004">
        <f t="shared" si="78"/>
        <v>2024</v>
      </c>
      <c r="I1004">
        <f t="shared" si="79"/>
        <v>5</v>
      </c>
      <c r="J1004">
        <f t="shared" si="80"/>
        <v>99.96</v>
      </c>
    </row>
    <row r="1005" spans="1:10" ht="12.5" x14ac:dyDescent="0.25">
      <c r="A1005" s="1">
        <v>45431</v>
      </c>
      <c r="B1005" s="2" t="s">
        <v>7</v>
      </c>
      <c r="C1005" s="3">
        <v>5.99</v>
      </c>
      <c r="D1005" s="3">
        <v>56</v>
      </c>
      <c r="E1005" s="3">
        <v>335.44</v>
      </c>
      <c r="F1005" t="str">
        <f t="shared" si="76"/>
        <v>cogs</v>
      </c>
      <c r="G1005" s="7" t="str">
        <f t="shared" si="77"/>
        <v>product 1</v>
      </c>
      <c r="H1005">
        <f t="shared" si="78"/>
        <v>2024</v>
      </c>
      <c r="I1005">
        <f t="shared" si="79"/>
        <v>5</v>
      </c>
      <c r="J1005">
        <f t="shared" si="80"/>
        <v>199.84</v>
      </c>
    </row>
    <row r="1006" spans="1:10" ht="12.5" x14ac:dyDescent="0.25">
      <c r="A1006" s="1">
        <v>45431</v>
      </c>
      <c r="B1006" s="2" t="s">
        <v>8</v>
      </c>
      <c r="C1006" s="3">
        <v>16.989999999999998</v>
      </c>
      <c r="D1006" s="3">
        <v>4</v>
      </c>
      <c r="E1006" s="3">
        <v>67.959999999999994</v>
      </c>
      <c r="F1006" t="str">
        <f t="shared" si="76"/>
        <v>cogs</v>
      </c>
      <c r="G1006" s="7" t="str">
        <f t="shared" si="77"/>
        <v>product 2</v>
      </c>
      <c r="H1006">
        <f t="shared" si="78"/>
        <v>2024</v>
      </c>
      <c r="I1006">
        <f t="shared" si="79"/>
        <v>5</v>
      </c>
      <c r="J1006">
        <f t="shared" si="80"/>
        <v>-497.17</v>
      </c>
    </row>
    <row r="1007" spans="1:10" ht="12.5" x14ac:dyDescent="0.25">
      <c r="A1007" s="1">
        <v>45431</v>
      </c>
      <c r="B1007" s="2" t="s">
        <v>9</v>
      </c>
      <c r="C1007" s="3">
        <v>8.49</v>
      </c>
      <c r="D1007" s="3">
        <v>196</v>
      </c>
      <c r="E1007" s="3">
        <v>1664.04</v>
      </c>
      <c r="F1007" t="str">
        <f t="shared" si="76"/>
        <v>cogs</v>
      </c>
      <c r="G1007" s="7" t="str">
        <f t="shared" si="77"/>
        <v>product 3</v>
      </c>
      <c r="H1007">
        <f t="shared" si="78"/>
        <v>2024</v>
      </c>
      <c r="I1007">
        <f t="shared" si="79"/>
        <v>5</v>
      </c>
      <c r="J1007">
        <f t="shared" si="80"/>
        <v>-33.979999999999997</v>
      </c>
    </row>
    <row r="1008" spans="1:10" ht="12.5" x14ac:dyDescent="0.25">
      <c r="A1008" s="1">
        <v>45431</v>
      </c>
      <c r="B1008" s="2" t="s">
        <v>10</v>
      </c>
      <c r="C1008" s="2" t="s">
        <v>6</v>
      </c>
      <c r="D1008" s="2" t="s">
        <v>6</v>
      </c>
      <c r="E1008" s="3">
        <v>99.91</v>
      </c>
      <c r="F1008" t="str">
        <f t="shared" si="76"/>
        <v>marketing</v>
      </c>
      <c r="G1008" s="7" t="s">
        <v>6</v>
      </c>
      <c r="H1008">
        <f t="shared" si="78"/>
        <v>2024</v>
      </c>
      <c r="I1008">
        <f t="shared" si="79"/>
        <v>5</v>
      </c>
      <c r="J1008">
        <f t="shared" si="80"/>
        <v>-1400.8500000000001</v>
      </c>
    </row>
    <row r="1009" spans="1:10" ht="12.5" x14ac:dyDescent="0.25">
      <c r="A1009" s="1">
        <v>45431</v>
      </c>
      <c r="B1009" s="2" t="s">
        <v>11</v>
      </c>
      <c r="C1009" s="3">
        <v>9.99</v>
      </c>
      <c r="D1009" s="3">
        <v>56</v>
      </c>
      <c r="E1009" s="3">
        <v>559.44000000000005</v>
      </c>
      <c r="F1009" t="str">
        <f t="shared" si="76"/>
        <v>net sales</v>
      </c>
      <c r="G1009" s="7" t="str">
        <f t="shared" si="77"/>
        <v>product 1</v>
      </c>
      <c r="H1009">
        <f t="shared" si="78"/>
        <v>2024</v>
      </c>
      <c r="I1009">
        <f t="shared" si="79"/>
        <v>5</v>
      </c>
      <c r="J1009">
        <f t="shared" si="80"/>
        <v>-100.06</v>
      </c>
    </row>
    <row r="1010" spans="1:10" ht="12.5" x14ac:dyDescent="0.25">
      <c r="A1010" s="1">
        <v>45431</v>
      </c>
      <c r="B1010" s="2" t="s">
        <v>12</v>
      </c>
      <c r="C1010" s="3">
        <v>24.99</v>
      </c>
      <c r="D1010" s="3">
        <v>4</v>
      </c>
      <c r="E1010" s="3">
        <v>99.96</v>
      </c>
      <c r="F1010" t="str">
        <f t="shared" si="76"/>
        <v>net sales</v>
      </c>
      <c r="G1010" s="7" t="str">
        <f t="shared" si="77"/>
        <v>product 2</v>
      </c>
      <c r="H1010">
        <f t="shared" si="78"/>
        <v>2024</v>
      </c>
      <c r="I1010">
        <f t="shared" si="79"/>
        <v>5</v>
      </c>
      <c r="J1010">
        <f t="shared" si="80"/>
        <v>829.17000000000007</v>
      </c>
    </row>
    <row r="1011" spans="1:10" ht="12.5" x14ac:dyDescent="0.25">
      <c r="A1011" s="1">
        <v>45431</v>
      </c>
      <c r="B1011" s="2" t="s">
        <v>13</v>
      </c>
      <c r="C1011" s="3">
        <v>12.49</v>
      </c>
      <c r="D1011" s="3">
        <v>196</v>
      </c>
      <c r="E1011" s="3">
        <v>2448.04</v>
      </c>
      <c r="F1011" t="str">
        <f t="shared" si="76"/>
        <v>net sales</v>
      </c>
      <c r="G1011" s="7" t="str">
        <f t="shared" si="77"/>
        <v>product 3</v>
      </c>
      <c r="H1011">
        <f t="shared" si="78"/>
        <v>2024</v>
      </c>
      <c r="I1011">
        <f t="shared" si="79"/>
        <v>5</v>
      </c>
      <c r="J1011">
        <f t="shared" si="80"/>
        <v>49.98</v>
      </c>
    </row>
    <row r="1012" spans="1:10" ht="12.5" x14ac:dyDescent="0.25">
      <c r="A1012" s="1">
        <v>45432</v>
      </c>
      <c r="B1012" s="2" t="s">
        <v>7</v>
      </c>
      <c r="C1012" s="3">
        <v>5.99</v>
      </c>
      <c r="D1012" s="3">
        <v>49</v>
      </c>
      <c r="E1012" s="3">
        <v>293.51</v>
      </c>
      <c r="F1012" t="str">
        <f t="shared" si="76"/>
        <v>cogs</v>
      </c>
      <c r="G1012" s="7" t="str">
        <f t="shared" si="77"/>
        <v>product 1</v>
      </c>
      <c r="H1012">
        <f t="shared" si="78"/>
        <v>2024</v>
      </c>
      <c r="I1012">
        <f t="shared" si="79"/>
        <v>5</v>
      </c>
      <c r="J1012">
        <f t="shared" si="80"/>
        <v>2060.85</v>
      </c>
    </row>
    <row r="1013" spans="1:10" ht="12.5" x14ac:dyDescent="0.25">
      <c r="A1013" s="1">
        <v>45432</v>
      </c>
      <c r="B1013" s="2" t="s">
        <v>8</v>
      </c>
      <c r="C1013" s="3">
        <v>16.989999999999998</v>
      </c>
      <c r="D1013" s="3">
        <v>6</v>
      </c>
      <c r="E1013" s="3">
        <v>101.94</v>
      </c>
      <c r="F1013" t="str">
        <f t="shared" si="76"/>
        <v>cogs</v>
      </c>
      <c r="G1013" s="7" t="str">
        <f t="shared" si="77"/>
        <v>product 2</v>
      </c>
      <c r="H1013">
        <f t="shared" si="78"/>
        <v>2024</v>
      </c>
      <c r="I1013">
        <f t="shared" si="79"/>
        <v>5</v>
      </c>
      <c r="J1013">
        <f t="shared" si="80"/>
        <v>-197.67000000000002</v>
      </c>
    </row>
    <row r="1014" spans="1:10" ht="12.5" x14ac:dyDescent="0.25">
      <c r="A1014" s="1">
        <v>45432</v>
      </c>
      <c r="B1014" s="2" t="s">
        <v>9</v>
      </c>
      <c r="C1014" s="3">
        <v>8.49</v>
      </c>
      <c r="D1014" s="3">
        <v>6</v>
      </c>
      <c r="E1014" s="3">
        <v>50.94</v>
      </c>
      <c r="F1014" t="str">
        <f t="shared" si="76"/>
        <v>cogs</v>
      </c>
      <c r="G1014" s="7" t="str">
        <f t="shared" si="77"/>
        <v>product 3</v>
      </c>
      <c r="H1014">
        <f t="shared" si="78"/>
        <v>2024</v>
      </c>
      <c r="I1014">
        <f t="shared" si="79"/>
        <v>5</v>
      </c>
      <c r="J1014">
        <f t="shared" si="80"/>
        <v>-50.97</v>
      </c>
    </row>
    <row r="1015" spans="1:10" ht="12.5" x14ac:dyDescent="0.25">
      <c r="A1015" s="1">
        <v>45432</v>
      </c>
      <c r="B1015" s="2" t="s">
        <v>10</v>
      </c>
      <c r="C1015" s="2" t="s">
        <v>6</v>
      </c>
      <c r="D1015" s="2" t="s">
        <v>6</v>
      </c>
      <c r="E1015" s="3">
        <v>99.98</v>
      </c>
      <c r="F1015" t="str">
        <f t="shared" si="76"/>
        <v>marketing</v>
      </c>
      <c r="G1015" s="7" t="s">
        <v>6</v>
      </c>
      <c r="H1015">
        <f t="shared" si="78"/>
        <v>2024</v>
      </c>
      <c r="I1015">
        <f t="shared" si="79"/>
        <v>5</v>
      </c>
      <c r="J1015">
        <f t="shared" si="80"/>
        <v>-1129.17</v>
      </c>
    </row>
    <row r="1016" spans="1:10" ht="12.5" x14ac:dyDescent="0.25">
      <c r="A1016" s="1">
        <v>45432</v>
      </c>
      <c r="B1016" s="2" t="s">
        <v>11</v>
      </c>
      <c r="C1016" s="3">
        <v>9.99</v>
      </c>
      <c r="D1016" s="3">
        <v>49</v>
      </c>
      <c r="E1016" s="3">
        <v>489.51</v>
      </c>
      <c r="F1016" t="str">
        <f t="shared" si="76"/>
        <v>net sales</v>
      </c>
      <c r="G1016" s="7" t="str">
        <f t="shared" si="77"/>
        <v>product 1</v>
      </c>
      <c r="H1016">
        <f t="shared" si="78"/>
        <v>2024</v>
      </c>
      <c r="I1016">
        <f t="shared" si="79"/>
        <v>5</v>
      </c>
      <c r="J1016">
        <f t="shared" si="80"/>
        <v>-99.91</v>
      </c>
    </row>
    <row r="1017" spans="1:10" ht="12.5" x14ac:dyDescent="0.25">
      <c r="A1017" s="1">
        <v>45432</v>
      </c>
      <c r="B1017" s="2" t="s">
        <v>12</v>
      </c>
      <c r="C1017" s="3">
        <v>24.99</v>
      </c>
      <c r="D1017" s="3">
        <v>6</v>
      </c>
      <c r="E1017" s="3">
        <v>149.94</v>
      </c>
      <c r="F1017" t="str">
        <f t="shared" si="76"/>
        <v>net sales</v>
      </c>
      <c r="G1017" s="7" t="str">
        <f t="shared" si="77"/>
        <v>product 2</v>
      </c>
      <c r="H1017">
        <f t="shared" si="78"/>
        <v>2024</v>
      </c>
      <c r="I1017">
        <f t="shared" si="79"/>
        <v>5</v>
      </c>
      <c r="J1017">
        <f t="shared" si="80"/>
        <v>329.67</v>
      </c>
    </row>
    <row r="1018" spans="1:10" ht="12.5" x14ac:dyDescent="0.25">
      <c r="A1018" s="1">
        <v>45432</v>
      </c>
      <c r="B1018" s="2" t="s">
        <v>13</v>
      </c>
      <c r="C1018" s="3">
        <v>12.49</v>
      </c>
      <c r="D1018" s="3">
        <v>6</v>
      </c>
      <c r="E1018" s="3">
        <v>74.94</v>
      </c>
      <c r="F1018" t="str">
        <f t="shared" si="76"/>
        <v>net sales</v>
      </c>
      <c r="G1018" s="7" t="str">
        <f t="shared" si="77"/>
        <v>product 3</v>
      </c>
      <c r="H1018">
        <f t="shared" si="78"/>
        <v>2024</v>
      </c>
      <c r="I1018">
        <f t="shared" si="79"/>
        <v>5</v>
      </c>
      <c r="J1018">
        <f t="shared" si="80"/>
        <v>74.97</v>
      </c>
    </row>
    <row r="1019" spans="1:10" ht="12.5" x14ac:dyDescent="0.25">
      <c r="A1019" s="1">
        <v>45433</v>
      </c>
      <c r="B1019" s="2" t="s">
        <v>7</v>
      </c>
      <c r="C1019" s="3">
        <v>5.99</v>
      </c>
      <c r="D1019" s="3">
        <v>42</v>
      </c>
      <c r="E1019" s="3">
        <v>251.58</v>
      </c>
      <c r="F1019" t="str">
        <f t="shared" si="76"/>
        <v>cogs</v>
      </c>
      <c r="G1019" s="7" t="str">
        <f t="shared" si="77"/>
        <v>product 1</v>
      </c>
      <c r="H1019">
        <f t="shared" si="78"/>
        <v>2024</v>
      </c>
      <c r="I1019">
        <f t="shared" si="79"/>
        <v>5</v>
      </c>
      <c r="J1019">
        <f t="shared" si="80"/>
        <v>1661.17</v>
      </c>
    </row>
    <row r="1020" spans="1:10" ht="12.5" x14ac:dyDescent="0.25">
      <c r="A1020" s="1">
        <v>45433</v>
      </c>
      <c r="B1020" s="2" t="s">
        <v>8</v>
      </c>
      <c r="C1020" s="3">
        <v>16.989999999999998</v>
      </c>
      <c r="D1020" s="3">
        <v>8</v>
      </c>
      <c r="E1020" s="3">
        <v>135.91999999999999</v>
      </c>
      <c r="F1020" t="str">
        <f t="shared" si="76"/>
        <v>cogs</v>
      </c>
      <c r="G1020" s="7" t="str">
        <f t="shared" si="77"/>
        <v>product 2</v>
      </c>
      <c r="H1020">
        <f t="shared" si="78"/>
        <v>2024</v>
      </c>
      <c r="I1020">
        <f t="shared" si="79"/>
        <v>5</v>
      </c>
      <c r="J1020">
        <f t="shared" si="80"/>
        <v>-221.63</v>
      </c>
    </row>
    <row r="1021" spans="1:10" ht="12.5" x14ac:dyDescent="0.25">
      <c r="A1021" s="1">
        <v>45433</v>
      </c>
      <c r="B1021" s="2" t="s">
        <v>9</v>
      </c>
      <c r="C1021" s="3">
        <v>8.49</v>
      </c>
      <c r="D1021" s="3">
        <v>32</v>
      </c>
      <c r="E1021" s="3">
        <v>271.68</v>
      </c>
      <c r="F1021" t="str">
        <f t="shared" si="76"/>
        <v>cogs</v>
      </c>
      <c r="G1021" s="7" t="str">
        <f t="shared" si="77"/>
        <v>product 3</v>
      </c>
      <c r="H1021">
        <f t="shared" si="78"/>
        <v>2024</v>
      </c>
      <c r="I1021">
        <f t="shared" si="79"/>
        <v>5</v>
      </c>
      <c r="J1021">
        <f t="shared" si="80"/>
        <v>-33.979999999999997</v>
      </c>
    </row>
    <row r="1022" spans="1:10" ht="12.5" x14ac:dyDescent="0.25">
      <c r="A1022" s="1">
        <v>45433</v>
      </c>
      <c r="B1022" s="2" t="s">
        <v>10</v>
      </c>
      <c r="C1022" s="2" t="s">
        <v>6</v>
      </c>
      <c r="D1022" s="2" t="s">
        <v>6</v>
      </c>
      <c r="E1022" s="3">
        <v>100.05</v>
      </c>
      <c r="F1022" t="str">
        <f t="shared" si="76"/>
        <v>marketing</v>
      </c>
      <c r="G1022" s="7" t="s">
        <v>6</v>
      </c>
      <c r="H1022">
        <f t="shared" si="78"/>
        <v>2024</v>
      </c>
      <c r="I1022">
        <f t="shared" si="79"/>
        <v>5</v>
      </c>
      <c r="J1022">
        <f t="shared" si="80"/>
        <v>-755.61</v>
      </c>
    </row>
    <row r="1023" spans="1:10" ht="12.5" x14ac:dyDescent="0.25">
      <c r="A1023" s="1">
        <v>45433</v>
      </c>
      <c r="B1023" s="2" t="s">
        <v>11</v>
      </c>
      <c r="C1023" s="3">
        <v>9.99</v>
      </c>
      <c r="D1023" s="3">
        <v>42</v>
      </c>
      <c r="E1023" s="3">
        <v>419.58</v>
      </c>
      <c r="F1023" t="str">
        <f t="shared" si="76"/>
        <v>net sales</v>
      </c>
      <c r="G1023" s="7" t="str">
        <f t="shared" si="77"/>
        <v>product 1</v>
      </c>
      <c r="H1023">
        <f t="shared" si="78"/>
        <v>2024</v>
      </c>
      <c r="I1023">
        <f t="shared" si="79"/>
        <v>5</v>
      </c>
      <c r="J1023">
        <f t="shared" si="80"/>
        <v>-100.05</v>
      </c>
    </row>
    <row r="1024" spans="1:10" ht="12.5" x14ac:dyDescent="0.25">
      <c r="A1024" s="1">
        <v>45433</v>
      </c>
      <c r="B1024" s="2" t="s">
        <v>12</v>
      </c>
      <c r="C1024" s="3">
        <v>24.99</v>
      </c>
      <c r="D1024" s="3">
        <v>8</v>
      </c>
      <c r="E1024" s="3">
        <v>199.92</v>
      </c>
      <c r="F1024" t="str">
        <f t="shared" si="76"/>
        <v>net sales</v>
      </c>
      <c r="G1024" s="7" t="str">
        <f t="shared" si="77"/>
        <v>product 2</v>
      </c>
      <c r="H1024">
        <f t="shared" si="78"/>
        <v>2024</v>
      </c>
      <c r="I1024">
        <f t="shared" si="79"/>
        <v>5</v>
      </c>
      <c r="J1024">
        <f t="shared" si="80"/>
        <v>369.63</v>
      </c>
    </row>
    <row r="1025" spans="1:10" ht="12.5" x14ac:dyDescent="0.25">
      <c r="A1025" s="1">
        <v>45433</v>
      </c>
      <c r="B1025" s="2" t="s">
        <v>13</v>
      </c>
      <c r="C1025" s="3">
        <v>12.49</v>
      </c>
      <c r="D1025" s="3">
        <v>32</v>
      </c>
      <c r="E1025" s="3">
        <v>399.68</v>
      </c>
      <c r="F1025" t="str">
        <f t="shared" si="76"/>
        <v>net sales</v>
      </c>
      <c r="G1025" s="7" t="str">
        <f t="shared" si="77"/>
        <v>product 3</v>
      </c>
      <c r="H1025">
        <f t="shared" si="78"/>
        <v>2024</v>
      </c>
      <c r="I1025">
        <f t="shared" si="79"/>
        <v>5</v>
      </c>
      <c r="J1025">
        <f t="shared" si="80"/>
        <v>49.98</v>
      </c>
    </row>
    <row r="1026" spans="1:10" ht="12.5" x14ac:dyDescent="0.25">
      <c r="A1026" s="1">
        <v>45434</v>
      </c>
      <c r="B1026" s="2" t="s">
        <v>7</v>
      </c>
      <c r="C1026" s="3">
        <v>5.99</v>
      </c>
      <c r="D1026" s="3">
        <v>37</v>
      </c>
      <c r="E1026" s="3">
        <v>221.63</v>
      </c>
      <c r="F1026" t="str">
        <f t="shared" si="76"/>
        <v>cogs</v>
      </c>
      <c r="G1026" s="7" t="str">
        <f t="shared" si="77"/>
        <v>product 1</v>
      </c>
      <c r="H1026">
        <f t="shared" si="78"/>
        <v>2024</v>
      </c>
      <c r="I1026">
        <f t="shared" si="79"/>
        <v>5</v>
      </c>
      <c r="J1026">
        <f t="shared" si="80"/>
        <v>1111.6100000000001</v>
      </c>
    </row>
    <row r="1027" spans="1:10" ht="12.5" x14ac:dyDescent="0.25">
      <c r="A1027" s="1">
        <v>45434</v>
      </c>
      <c r="B1027" s="2" t="s">
        <v>8</v>
      </c>
      <c r="C1027" s="3">
        <v>16.989999999999998</v>
      </c>
      <c r="D1027" s="3">
        <v>9</v>
      </c>
      <c r="E1027" s="3">
        <v>152.91</v>
      </c>
      <c r="F1027" t="str">
        <f t="shared" ref="F1027:F1090" si="81">IFERROR(LEFT(B1027,FIND(":",B1027)-1),B1027)</f>
        <v>cogs</v>
      </c>
      <c r="G1027" s="7" t="str">
        <f t="shared" ref="G1027:G1090" si="82">IFERROR(RIGHT(B1027,LEN(B1027)-FIND(":",B1027)),"")</f>
        <v>product 2</v>
      </c>
      <c r="H1027">
        <f t="shared" ref="H1027:H1090" si="83">YEAR(A1027)</f>
        <v>2024</v>
      </c>
      <c r="I1027">
        <f t="shared" ref="I1027:I1090" si="84">MONTH(A1027)</f>
        <v>5</v>
      </c>
      <c r="J1027">
        <f t="shared" si="80"/>
        <v>-335.44</v>
      </c>
    </row>
    <row r="1028" spans="1:10" ht="12.5" x14ac:dyDescent="0.25">
      <c r="A1028" s="1">
        <v>45434</v>
      </c>
      <c r="B1028" s="2" t="s">
        <v>9</v>
      </c>
      <c r="C1028" s="3">
        <v>8.49</v>
      </c>
      <c r="D1028" s="3">
        <v>74</v>
      </c>
      <c r="E1028" s="3">
        <v>628.26</v>
      </c>
      <c r="F1028" t="str">
        <f t="shared" si="81"/>
        <v>cogs</v>
      </c>
      <c r="G1028" s="7" t="str">
        <f t="shared" si="82"/>
        <v>product 3</v>
      </c>
      <c r="H1028">
        <f t="shared" si="83"/>
        <v>2024</v>
      </c>
      <c r="I1028">
        <f t="shared" si="84"/>
        <v>5</v>
      </c>
      <c r="J1028">
        <f t="shared" si="80"/>
        <v>-101.94</v>
      </c>
    </row>
    <row r="1029" spans="1:10" ht="12.5" x14ac:dyDescent="0.25">
      <c r="A1029" s="1">
        <v>45434</v>
      </c>
      <c r="B1029" s="2" t="s">
        <v>10</v>
      </c>
      <c r="C1029" s="2" t="s">
        <v>6</v>
      </c>
      <c r="D1029" s="2" t="s">
        <v>6</v>
      </c>
      <c r="E1029" s="3">
        <v>99.94</v>
      </c>
      <c r="F1029" t="str">
        <f t="shared" si="81"/>
        <v>marketing</v>
      </c>
      <c r="G1029" s="7" t="s">
        <v>6</v>
      </c>
      <c r="H1029">
        <f t="shared" si="83"/>
        <v>2024</v>
      </c>
      <c r="I1029">
        <f t="shared" si="84"/>
        <v>5</v>
      </c>
      <c r="J1029">
        <f t="shared" si="80"/>
        <v>0</v>
      </c>
    </row>
    <row r="1030" spans="1:10" ht="12.5" x14ac:dyDescent="0.25">
      <c r="A1030" s="1">
        <v>45434</v>
      </c>
      <c r="B1030" s="2" t="s">
        <v>11</v>
      </c>
      <c r="C1030" s="3">
        <v>9.99</v>
      </c>
      <c r="D1030" s="3">
        <v>37</v>
      </c>
      <c r="E1030" s="3">
        <v>369.63</v>
      </c>
      <c r="F1030" t="str">
        <f t="shared" si="81"/>
        <v>net sales</v>
      </c>
      <c r="G1030" s="7" t="str">
        <f t="shared" si="82"/>
        <v>product 1</v>
      </c>
      <c r="H1030">
        <f t="shared" si="83"/>
        <v>2024</v>
      </c>
      <c r="I1030">
        <f t="shared" si="84"/>
        <v>5</v>
      </c>
      <c r="J1030">
        <f t="shared" si="80"/>
        <v>-99.98</v>
      </c>
    </row>
    <row r="1031" spans="1:10" ht="12.5" x14ac:dyDescent="0.25">
      <c r="A1031" s="1">
        <v>45434</v>
      </c>
      <c r="B1031" s="2" t="s">
        <v>12</v>
      </c>
      <c r="C1031" s="3">
        <v>24.99</v>
      </c>
      <c r="D1031" s="3">
        <v>9</v>
      </c>
      <c r="E1031" s="3">
        <v>224.91</v>
      </c>
      <c r="F1031" t="str">
        <f t="shared" si="81"/>
        <v>net sales</v>
      </c>
      <c r="G1031" s="7" t="str">
        <f t="shared" si="82"/>
        <v>product 2</v>
      </c>
      <c r="H1031">
        <f t="shared" si="83"/>
        <v>2024</v>
      </c>
      <c r="I1031">
        <f t="shared" si="84"/>
        <v>5</v>
      </c>
      <c r="J1031">
        <f t="shared" si="80"/>
        <v>559.44000000000005</v>
      </c>
    </row>
    <row r="1032" spans="1:10" ht="12.5" x14ac:dyDescent="0.25">
      <c r="A1032" s="1">
        <v>45434</v>
      </c>
      <c r="B1032" s="2" t="s">
        <v>13</v>
      </c>
      <c r="C1032" s="3">
        <v>12.49</v>
      </c>
      <c r="D1032" s="3">
        <v>74</v>
      </c>
      <c r="E1032" s="3">
        <v>924.26</v>
      </c>
      <c r="F1032" t="str">
        <f t="shared" si="81"/>
        <v>net sales</v>
      </c>
      <c r="G1032" s="7" t="str">
        <f t="shared" si="82"/>
        <v>product 3</v>
      </c>
      <c r="H1032">
        <f t="shared" si="83"/>
        <v>2024</v>
      </c>
      <c r="I1032">
        <f t="shared" si="84"/>
        <v>5</v>
      </c>
      <c r="J1032">
        <f t="shared" si="80"/>
        <v>149.94</v>
      </c>
    </row>
    <row r="1033" spans="1:10" ht="12.5" x14ac:dyDescent="0.25">
      <c r="A1033" s="1">
        <v>45435</v>
      </c>
      <c r="B1033" s="2" t="s">
        <v>7</v>
      </c>
      <c r="C1033" s="3">
        <v>5.99</v>
      </c>
      <c r="D1033" s="3">
        <v>70</v>
      </c>
      <c r="E1033" s="3">
        <v>419.3</v>
      </c>
      <c r="F1033" t="str">
        <f t="shared" si="81"/>
        <v>cogs</v>
      </c>
      <c r="G1033" s="7" t="str">
        <f t="shared" si="82"/>
        <v>product 1</v>
      </c>
      <c r="H1033">
        <f t="shared" si="83"/>
        <v>2024</v>
      </c>
      <c r="I1033">
        <f t="shared" si="84"/>
        <v>5</v>
      </c>
      <c r="J1033">
        <f t="shared" si="80"/>
        <v>0</v>
      </c>
    </row>
    <row r="1034" spans="1:10" ht="12.5" x14ac:dyDescent="0.25">
      <c r="A1034" s="1">
        <v>45435</v>
      </c>
      <c r="B1034" s="2" t="s">
        <v>8</v>
      </c>
      <c r="C1034" s="3">
        <v>16.989999999999998</v>
      </c>
      <c r="D1034" s="3">
        <v>0</v>
      </c>
      <c r="E1034" s="2">
        <f>C1034*D1034</f>
        <v>0</v>
      </c>
      <c r="F1034" t="str">
        <f t="shared" si="81"/>
        <v>cogs</v>
      </c>
      <c r="G1034" s="7" t="str">
        <f t="shared" si="82"/>
        <v>product 2</v>
      </c>
      <c r="H1034">
        <f t="shared" si="83"/>
        <v>2024</v>
      </c>
      <c r="I1034">
        <f t="shared" si="84"/>
        <v>5</v>
      </c>
      <c r="J1034">
        <f t="shared" si="80"/>
        <v>-161.73000000000002</v>
      </c>
    </row>
    <row r="1035" spans="1:10" ht="12.5" x14ac:dyDescent="0.25">
      <c r="A1035" s="1">
        <v>45435</v>
      </c>
      <c r="B1035" s="2" t="s">
        <v>9</v>
      </c>
      <c r="C1035" s="3">
        <v>8.49</v>
      </c>
      <c r="D1035" s="3">
        <v>223</v>
      </c>
      <c r="E1035" s="3">
        <v>1893.27</v>
      </c>
      <c r="F1035" t="str">
        <f t="shared" si="81"/>
        <v>cogs</v>
      </c>
      <c r="G1035" s="7" t="str">
        <f t="shared" si="82"/>
        <v>product 3</v>
      </c>
      <c r="H1035">
        <f t="shared" si="83"/>
        <v>2024</v>
      </c>
      <c r="I1035">
        <f t="shared" si="84"/>
        <v>5</v>
      </c>
      <c r="J1035">
        <f t="shared" si="80"/>
        <v>-118.92999999999999</v>
      </c>
    </row>
    <row r="1036" spans="1:10" ht="12.5" x14ac:dyDescent="0.25">
      <c r="A1036" s="1">
        <v>45435</v>
      </c>
      <c r="B1036" s="2" t="s">
        <v>10</v>
      </c>
      <c r="C1036" s="2" t="s">
        <v>6</v>
      </c>
      <c r="D1036" s="2" t="s">
        <v>6</v>
      </c>
      <c r="E1036" s="3">
        <v>100</v>
      </c>
      <c r="F1036" t="str">
        <f t="shared" si="81"/>
        <v>marketing</v>
      </c>
      <c r="G1036" s="7" t="s">
        <v>6</v>
      </c>
      <c r="H1036">
        <f t="shared" si="83"/>
        <v>2024</v>
      </c>
      <c r="I1036">
        <f t="shared" si="84"/>
        <v>5</v>
      </c>
      <c r="J1036">
        <f t="shared" si="80"/>
        <v>-1426.32</v>
      </c>
    </row>
    <row r="1037" spans="1:10" ht="12.5" x14ac:dyDescent="0.25">
      <c r="A1037" s="1">
        <v>45435</v>
      </c>
      <c r="B1037" s="2" t="s">
        <v>11</v>
      </c>
      <c r="C1037" s="3">
        <v>9.99</v>
      </c>
      <c r="D1037" s="3">
        <v>70</v>
      </c>
      <c r="E1037" s="3">
        <v>699.30000000000007</v>
      </c>
      <c r="F1037" t="str">
        <f t="shared" si="81"/>
        <v>net sales</v>
      </c>
      <c r="G1037" s="7" t="str">
        <f t="shared" si="82"/>
        <v>product 1</v>
      </c>
      <c r="H1037">
        <f t="shared" si="83"/>
        <v>2024</v>
      </c>
      <c r="I1037">
        <f t="shared" si="84"/>
        <v>5</v>
      </c>
      <c r="J1037">
        <f t="shared" si="80"/>
        <v>-99.92</v>
      </c>
    </row>
    <row r="1038" spans="1:10" ht="12.5" x14ac:dyDescent="0.25">
      <c r="A1038" s="1">
        <v>45435</v>
      </c>
      <c r="B1038" s="2" t="s">
        <v>12</v>
      </c>
      <c r="C1038" s="3">
        <v>24.99</v>
      </c>
      <c r="D1038" s="3">
        <v>0</v>
      </c>
      <c r="E1038" s="2">
        <f>C1038*D1038</f>
        <v>0</v>
      </c>
      <c r="F1038" t="str">
        <f t="shared" si="81"/>
        <v>net sales</v>
      </c>
      <c r="G1038" s="7" t="str">
        <f t="shared" si="82"/>
        <v>product 2</v>
      </c>
      <c r="H1038">
        <f t="shared" si="83"/>
        <v>2024</v>
      </c>
      <c r="I1038">
        <f t="shared" si="84"/>
        <v>5</v>
      </c>
      <c r="J1038">
        <f t="shared" si="80"/>
        <v>269.73</v>
      </c>
    </row>
    <row r="1039" spans="1:10" ht="12.5" x14ac:dyDescent="0.25">
      <c r="A1039" s="1">
        <v>45435</v>
      </c>
      <c r="B1039" s="2" t="s">
        <v>13</v>
      </c>
      <c r="C1039" s="3">
        <v>12.49</v>
      </c>
      <c r="D1039" s="3">
        <v>223</v>
      </c>
      <c r="E1039" s="3">
        <v>2785.27</v>
      </c>
      <c r="F1039" t="str">
        <f t="shared" si="81"/>
        <v>net sales</v>
      </c>
      <c r="G1039" s="7" t="str">
        <f t="shared" si="82"/>
        <v>product 3</v>
      </c>
      <c r="H1039">
        <f t="shared" si="83"/>
        <v>2024</v>
      </c>
      <c r="I1039">
        <f t="shared" si="84"/>
        <v>5</v>
      </c>
      <c r="J1039">
        <f t="shared" si="80"/>
        <v>174.92999999999998</v>
      </c>
    </row>
    <row r="1040" spans="1:10" ht="12.5" x14ac:dyDescent="0.25">
      <c r="A1040" s="1">
        <v>45436</v>
      </c>
      <c r="B1040" s="2" t="s">
        <v>7</v>
      </c>
      <c r="C1040" s="3">
        <v>5.99</v>
      </c>
      <c r="D1040" s="3">
        <v>24</v>
      </c>
      <c r="E1040" s="3">
        <v>143.76</v>
      </c>
      <c r="F1040" t="str">
        <f t="shared" si="81"/>
        <v>cogs</v>
      </c>
      <c r="G1040" s="7" t="str">
        <f t="shared" si="82"/>
        <v>product 1</v>
      </c>
      <c r="H1040">
        <f t="shared" si="83"/>
        <v>2024</v>
      </c>
      <c r="I1040">
        <f t="shared" si="84"/>
        <v>5</v>
      </c>
      <c r="J1040">
        <f t="shared" si="80"/>
        <v>2098.3200000000002</v>
      </c>
    </row>
    <row r="1041" spans="1:10" ht="12.5" x14ac:dyDescent="0.25">
      <c r="A1041" s="1">
        <v>45436</v>
      </c>
      <c r="B1041" s="2" t="s">
        <v>8</v>
      </c>
      <c r="C1041" s="3">
        <v>16.989999999999998</v>
      </c>
      <c r="D1041" s="3">
        <v>9</v>
      </c>
      <c r="E1041" s="3">
        <v>152.91</v>
      </c>
      <c r="F1041" t="str">
        <f t="shared" si="81"/>
        <v>cogs</v>
      </c>
      <c r="G1041" s="7" t="str">
        <f t="shared" si="82"/>
        <v>product 2</v>
      </c>
      <c r="H1041">
        <f t="shared" si="83"/>
        <v>2024</v>
      </c>
      <c r="I1041">
        <f t="shared" si="84"/>
        <v>5</v>
      </c>
      <c r="J1041">
        <f t="shared" si="80"/>
        <v>-83.86</v>
      </c>
    </row>
    <row r="1042" spans="1:10" ht="12.5" x14ac:dyDescent="0.25">
      <c r="A1042" s="1">
        <v>45436</v>
      </c>
      <c r="B1042" s="2" t="s">
        <v>9</v>
      </c>
      <c r="C1042" s="3">
        <v>8.49</v>
      </c>
      <c r="D1042" s="3">
        <v>155</v>
      </c>
      <c r="E1042" s="3">
        <v>1315.95</v>
      </c>
      <c r="F1042" t="str">
        <f t="shared" si="81"/>
        <v>cogs</v>
      </c>
      <c r="G1042" s="7" t="str">
        <f t="shared" si="82"/>
        <v>product 3</v>
      </c>
      <c r="H1042">
        <f t="shared" si="83"/>
        <v>2024</v>
      </c>
      <c r="I1042">
        <f t="shared" si="84"/>
        <v>5</v>
      </c>
      <c r="J1042">
        <f t="shared" si="80"/>
        <v>-101.94</v>
      </c>
    </row>
    <row r="1043" spans="1:10" ht="12.5" x14ac:dyDescent="0.25">
      <c r="A1043" s="1">
        <v>45436</v>
      </c>
      <c r="B1043" s="2" t="s">
        <v>10</v>
      </c>
      <c r="C1043" s="2" t="s">
        <v>6</v>
      </c>
      <c r="D1043" s="2" t="s">
        <v>6</v>
      </c>
      <c r="E1043" s="3">
        <v>99.93</v>
      </c>
      <c r="F1043" t="str">
        <f t="shared" si="81"/>
        <v>marketing</v>
      </c>
      <c r="G1043" s="7" t="s">
        <v>6</v>
      </c>
      <c r="H1043">
        <f t="shared" si="83"/>
        <v>2024</v>
      </c>
      <c r="I1043">
        <f t="shared" si="84"/>
        <v>5</v>
      </c>
      <c r="J1043">
        <f t="shared" si="80"/>
        <v>-178.29</v>
      </c>
    </row>
    <row r="1044" spans="1:10" ht="12.5" x14ac:dyDescent="0.25">
      <c r="A1044" s="1">
        <v>45436</v>
      </c>
      <c r="B1044" s="2" t="s">
        <v>11</v>
      </c>
      <c r="C1044" s="3">
        <v>9.99</v>
      </c>
      <c r="D1044" s="3">
        <v>24</v>
      </c>
      <c r="E1044" s="3">
        <v>239.76</v>
      </c>
      <c r="F1044" t="str">
        <f t="shared" si="81"/>
        <v>net sales</v>
      </c>
      <c r="G1044" s="7" t="str">
        <f t="shared" si="82"/>
        <v>product 1</v>
      </c>
      <c r="H1044">
        <f t="shared" si="83"/>
        <v>2024</v>
      </c>
      <c r="I1044">
        <f t="shared" si="84"/>
        <v>5</v>
      </c>
      <c r="J1044">
        <f t="shared" si="80"/>
        <v>-100.03</v>
      </c>
    </row>
    <row r="1045" spans="1:10" ht="12.5" x14ac:dyDescent="0.25">
      <c r="A1045" s="1">
        <v>45436</v>
      </c>
      <c r="B1045" s="2" t="s">
        <v>12</v>
      </c>
      <c r="C1045" s="3">
        <v>24.99</v>
      </c>
      <c r="D1045" s="3">
        <v>9</v>
      </c>
      <c r="E1045" s="3">
        <v>224.91</v>
      </c>
      <c r="F1045" t="str">
        <f t="shared" si="81"/>
        <v>net sales</v>
      </c>
      <c r="G1045" s="7" t="str">
        <f t="shared" si="82"/>
        <v>product 2</v>
      </c>
      <c r="H1045">
        <f t="shared" si="83"/>
        <v>2024</v>
      </c>
      <c r="I1045">
        <f t="shared" si="84"/>
        <v>5</v>
      </c>
      <c r="J1045">
        <f t="shared" si="80"/>
        <v>139.86000000000001</v>
      </c>
    </row>
    <row r="1046" spans="1:10" ht="12.5" x14ac:dyDescent="0.25">
      <c r="A1046" s="1">
        <v>45436</v>
      </c>
      <c r="B1046" s="2" t="s">
        <v>13</v>
      </c>
      <c r="C1046" s="3">
        <v>12.49</v>
      </c>
      <c r="D1046" s="3">
        <v>155</v>
      </c>
      <c r="E1046" s="3">
        <v>1935.95</v>
      </c>
      <c r="F1046" t="str">
        <f t="shared" si="81"/>
        <v>net sales</v>
      </c>
      <c r="G1046" s="7" t="str">
        <f t="shared" si="82"/>
        <v>product 3</v>
      </c>
      <c r="H1046">
        <f t="shared" si="83"/>
        <v>2024</v>
      </c>
      <c r="I1046">
        <f t="shared" si="84"/>
        <v>5</v>
      </c>
      <c r="J1046">
        <f t="shared" si="80"/>
        <v>149.94</v>
      </c>
    </row>
    <row r="1047" spans="1:10" ht="12.5" x14ac:dyDescent="0.25">
      <c r="A1047" s="1">
        <v>45436</v>
      </c>
      <c r="B1047" s="2" t="s">
        <v>15</v>
      </c>
      <c r="C1047" s="2" t="s">
        <v>6</v>
      </c>
      <c r="D1047" s="2" t="s">
        <v>6</v>
      </c>
      <c r="E1047" s="3">
        <v>1200</v>
      </c>
      <c r="F1047" t="str">
        <f t="shared" si="81"/>
        <v>payroll</v>
      </c>
      <c r="G1047" s="7" t="s">
        <v>6</v>
      </c>
      <c r="H1047">
        <f t="shared" si="83"/>
        <v>2024</v>
      </c>
      <c r="I1047">
        <f t="shared" si="84"/>
        <v>5</v>
      </c>
      <c r="J1047">
        <f t="shared" si="80"/>
        <v>262.29000000000002</v>
      </c>
    </row>
    <row r="1048" spans="1:10" ht="12.5" x14ac:dyDescent="0.25">
      <c r="A1048" s="1">
        <v>45437</v>
      </c>
      <c r="B1048" s="2" t="s">
        <v>7</v>
      </c>
      <c r="C1048" s="3">
        <v>5.99</v>
      </c>
      <c r="D1048" s="3">
        <v>0</v>
      </c>
      <c r="E1048" s="2">
        <f>C1048*D1048</f>
        <v>0</v>
      </c>
      <c r="F1048" t="str">
        <f t="shared" si="81"/>
        <v>cogs</v>
      </c>
      <c r="G1048" s="7" t="str">
        <f t="shared" si="82"/>
        <v>product 1</v>
      </c>
      <c r="H1048">
        <f t="shared" si="83"/>
        <v>2024</v>
      </c>
      <c r="I1048">
        <f t="shared" si="84"/>
        <v>5</v>
      </c>
      <c r="J1048">
        <f t="shared" si="80"/>
        <v>-245.59</v>
      </c>
    </row>
    <row r="1049" spans="1:10" ht="12.5" x14ac:dyDescent="0.25">
      <c r="A1049" s="1">
        <v>45437</v>
      </c>
      <c r="B1049" s="2" t="s">
        <v>8</v>
      </c>
      <c r="C1049" s="3">
        <v>16.989999999999998</v>
      </c>
      <c r="D1049" s="3">
        <v>9</v>
      </c>
      <c r="E1049" s="3">
        <v>152.91</v>
      </c>
      <c r="F1049" t="str">
        <f t="shared" si="81"/>
        <v>cogs</v>
      </c>
      <c r="G1049" s="7" t="str">
        <f t="shared" si="82"/>
        <v>product 2</v>
      </c>
      <c r="H1049">
        <f t="shared" si="83"/>
        <v>2024</v>
      </c>
      <c r="I1049">
        <f t="shared" si="84"/>
        <v>5</v>
      </c>
      <c r="J1049">
        <f t="shared" si="80"/>
        <v>0</v>
      </c>
    </row>
    <row r="1050" spans="1:10" ht="12.5" x14ac:dyDescent="0.25">
      <c r="A1050" s="1">
        <v>45437</v>
      </c>
      <c r="B1050" s="2" t="s">
        <v>9</v>
      </c>
      <c r="C1050" s="3">
        <v>8.49</v>
      </c>
      <c r="D1050" s="3">
        <v>247</v>
      </c>
      <c r="E1050" s="3">
        <v>2097.0300000000002</v>
      </c>
      <c r="F1050" t="str">
        <f t="shared" si="81"/>
        <v>cogs</v>
      </c>
      <c r="G1050" s="7" t="str">
        <f t="shared" si="82"/>
        <v>product 3</v>
      </c>
      <c r="H1050">
        <f t="shared" si="83"/>
        <v>2024</v>
      </c>
      <c r="I1050">
        <f t="shared" si="84"/>
        <v>5</v>
      </c>
      <c r="J1050">
        <f t="shared" si="80"/>
        <v>-331.11</v>
      </c>
    </row>
    <row r="1051" spans="1:10" ht="12.5" x14ac:dyDescent="0.25">
      <c r="A1051" s="1">
        <v>45437</v>
      </c>
      <c r="B1051" s="2" t="s">
        <v>10</v>
      </c>
      <c r="C1051" s="2" t="s">
        <v>6</v>
      </c>
      <c r="D1051" s="2" t="s">
        <v>6</v>
      </c>
      <c r="E1051" s="3">
        <v>99.92</v>
      </c>
      <c r="F1051" t="str">
        <f t="shared" si="81"/>
        <v>marketing</v>
      </c>
      <c r="G1051" s="7" t="s">
        <v>6</v>
      </c>
      <c r="H1051">
        <f t="shared" si="83"/>
        <v>2024</v>
      </c>
      <c r="I1051">
        <f t="shared" si="84"/>
        <v>5</v>
      </c>
      <c r="J1051">
        <f t="shared" si="80"/>
        <v>-99.9</v>
      </c>
    </row>
    <row r="1052" spans="1:10" ht="12.5" x14ac:dyDescent="0.25">
      <c r="A1052" s="1">
        <v>45437</v>
      </c>
      <c r="B1052" s="2" t="s">
        <v>11</v>
      </c>
      <c r="C1052" s="3">
        <v>9.99</v>
      </c>
      <c r="D1052" s="3">
        <v>0</v>
      </c>
      <c r="E1052" s="2">
        <f>C1052*D1052</f>
        <v>0</v>
      </c>
      <c r="F1052" t="str">
        <f t="shared" si="81"/>
        <v>net sales</v>
      </c>
      <c r="G1052" s="7" t="str">
        <f t="shared" si="82"/>
        <v>product 1</v>
      </c>
      <c r="H1052">
        <f t="shared" si="83"/>
        <v>2024</v>
      </c>
      <c r="I1052">
        <f t="shared" si="84"/>
        <v>5</v>
      </c>
      <c r="J1052">
        <f t="shared" ref="J1052:J1115" si="85">IF(F835="net sales",E835,
IF(F835="cogs",-E835,
IF(OR(F835="marketing",F835="overhead",F835="payroll",F835="interest","amortization"),-E835,0)))</f>
        <v>409.59000000000003</v>
      </c>
    </row>
    <row r="1053" spans="1:10" ht="12.5" x14ac:dyDescent="0.25">
      <c r="A1053" s="1">
        <v>45437</v>
      </c>
      <c r="B1053" s="2" t="s">
        <v>12</v>
      </c>
      <c r="C1053" s="3">
        <v>24.99</v>
      </c>
      <c r="D1053" s="3">
        <v>9</v>
      </c>
      <c r="E1053" s="3">
        <v>224.91</v>
      </c>
      <c r="F1053" t="str">
        <f t="shared" si="81"/>
        <v>net sales</v>
      </c>
      <c r="G1053" s="7" t="str">
        <f t="shared" si="82"/>
        <v>product 2</v>
      </c>
      <c r="H1053">
        <f t="shared" si="83"/>
        <v>2024</v>
      </c>
      <c r="I1053">
        <f t="shared" si="84"/>
        <v>5</v>
      </c>
      <c r="J1053">
        <f t="shared" si="85"/>
        <v>0</v>
      </c>
    </row>
    <row r="1054" spans="1:10" ht="12.5" x14ac:dyDescent="0.25">
      <c r="A1054" s="1">
        <v>45437</v>
      </c>
      <c r="B1054" s="2" t="s">
        <v>13</v>
      </c>
      <c r="C1054" s="3">
        <v>12.49</v>
      </c>
      <c r="D1054" s="3">
        <v>247</v>
      </c>
      <c r="E1054" s="3">
        <v>3085.03</v>
      </c>
      <c r="F1054" t="str">
        <f t="shared" si="81"/>
        <v>net sales</v>
      </c>
      <c r="G1054" s="7" t="str">
        <f t="shared" si="82"/>
        <v>product 3</v>
      </c>
      <c r="H1054">
        <f t="shared" si="83"/>
        <v>2024</v>
      </c>
      <c r="I1054">
        <f t="shared" si="84"/>
        <v>5</v>
      </c>
      <c r="J1054">
        <f t="shared" si="85"/>
        <v>487.11</v>
      </c>
    </row>
    <row r="1055" spans="1:10" ht="12.5" x14ac:dyDescent="0.25">
      <c r="A1055" s="1">
        <v>45438</v>
      </c>
      <c r="B1055" s="2" t="s">
        <v>7</v>
      </c>
      <c r="C1055" s="3">
        <v>5.99</v>
      </c>
      <c r="D1055" s="3">
        <v>55</v>
      </c>
      <c r="E1055" s="3">
        <v>329.45</v>
      </c>
      <c r="F1055" t="str">
        <f t="shared" si="81"/>
        <v>cogs</v>
      </c>
      <c r="G1055" s="7" t="str">
        <f t="shared" si="82"/>
        <v>product 1</v>
      </c>
      <c r="H1055">
        <f t="shared" si="83"/>
        <v>2024</v>
      </c>
      <c r="I1055">
        <f t="shared" si="84"/>
        <v>5</v>
      </c>
      <c r="J1055">
        <f t="shared" si="85"/>
        <v>-341.43</v>
      </c>
    </row>
    <row r="1056" spans="1:10" ht="12.5" x14ac:dyDescent="0.25">
      <c r="A1056" s="1">
        <v>45438</v>
      </c>
      <c r="B1056" s="2" t="s">
        <v>8</v>
      </c>
      <c r="C1056" s="3">
        <v>16.989999999999998</v>
      </c>
      <c r="D1056" s="3">
        <v>1</v>
      </c>
      <c r="E1056" s="3">
        <v>16.989999999999998</v>
      </c>
      <c r="F1056" t="str">
        <f t="shared" si="81"/>
        <v>cogs</v>
      </c>
      <c r="G1056" s="7" t="str">
        <f t="shared" si="82"/>
        <v>product 2</v>
      </c>
      <c r="H1056">
        <f t="shared" si="83"/>
        <v>2024</v>
      </c>
      <c r="I1056">
        <f t="shared" si="84"/>
        <v>5</v>
      </c>
      <c r="J1056">
        <f t="shared" si="85"/>
        <v>-33.979999999999997</v>
      </c>
    </row>
    <row r="1057" spans="1:10" ht="12.5" x14ac:dyDescent="0.25">
      <c r="A1057" s="1">
        <v>45438</v>
      </c>
      <c r="B1057" s="2" t="s">
        <v>9</v>
      </c>
      <c r="C1057" s="3">
        <v>8.49</v>
      </c>
      <c r="D1057" s="3">
        <v>14</v>
      </c>
      <c r="E1057" s="3">
        <v>118.86</v>
      </c>
      <c r="F1057" t="str">
        <f t="shared" si="81"/>
        <v>cogs</v>
      </c>
      <c r="G1057" s="7" t="str">
        <f t="shared" si="82"/>
        <v>product 3</v>
      </c>
      <c r="H1057">
        <f t="shared" si="83"/>
        <v>2024</v>
      </c>
      <c r="I1057">
        <f t="shared" si="84"/>
        <v>5</v>
      </c>
      <c r="J1057">
        <f t="shared" si="85"/>
        <v>-237.72</v>
      </c>
    </row>
    <row r="1058" spans="1:10" ht="12.5" x14ac:dyDescent="0.25">
      <c r="A1058" s="1">
        <v>45438</v>
      </c>
      <c r="B1058" s="2" t="s">
        <v>10</v>
      </c>
      <c r="C1058" s="2" t="s">
        <v>6</v>
      </c>
      <c r="D1058" s="2" t="s">
        <v>6</v>
      </c>
      <c r="E1058" s="3">
        <v>100.07000000000001</v>
      </c>
      <c r="F1058" t="str">
        <f t="shared" si="81"/>
        <v>marketing</v>
      </c>
      <c r="G1058" s="7" t="s">
        <v>6</v>
      </c>
      <c r="H1058">
        <f t="shared" si="83"/>
        <v>2024</v>
      </c>
      <c r="I1058">
        <f t="shared" si="84"/>
        <v>5</v>
      </c>
      <c r="J1058">
        <f t="shared" si="85"/>
        <v>-100.07000000000001</v>
      </c>
    </row>
    <row r="1059" spans="1:10" ht="12.5" x14ac:dyDescent="0.25">
      <c r="A1059" s="1">
        <v>45438</v>
      </c>
      <c r="B1059" s="2" t="s">
        <v>11</v>
      </c>
      <c r="C1059" s="3">
        <v>9.99</v>
      </c>
      <c r="D1059" s="3">
        <v>55</v>
      </c>
      <c r="E1059" s="3">
        <v>549.45000000000005</v>
      </c>
      <c r="F1059" t="str">
        <f t="shared" si="81"/>
        <v>net sales</v>
      </c>
      <c r="G1059" s="7" t="str">
        <f t="shared" si="82"/>
        <v>product 1</v>
      </c>
      <c r="H1059">
        <f t="shared" si="83"/>
        <v>2024</v>
      </c>
      <c r="I1059">
        <f t="shared" si="84"/>
        <v>5</v>
      </c>
      <c r="J1059">
        <f t="shared" si="85"/>
        <v>569.43000000000006</v>
      </c>
    </row>
    <row r="1060" spans="1:10" ht="12.5" x14ac:dyDescent="0.25">
      <c r="A1060" s="1">
        <v>45438</v>
      </c>
      <c r="B1060" s="2" t="s">
        <v>12</v>
      </c>
      <c r="C1060" s="3">
        <v>24.99</v>
      </c>
      <c r="D1060" s="3">
        <v>1</v>
      </c>
      <c r="E1060" s="3">
        <v>24.99</v>
      </c>
      <c r="F1060" t="str">
        <f t="shared" si="81"/>
        <v>net sales</v>
      </c>
      <c r="G1060" s="7" t="str">
        <f t="shared" si="82"/>
        <v>product 2</v>
      </c>
      <c r="H1060">
        <f t="shared" si="83"/>
        <v>2024</v>
      </c>
      <c r="I1060">
        <f t="shared" si="84"/>
        <v>5</v>
      </c>
      <c r="J1060">
        <f t="shared" si="85"/>
        <v>49.98</v>
      </c>
    </row>
    <row r="1061" spans="1:10" ht="12.5" x14ac:dyDescent="0.25">
      <c r="A1061" s="1">
        <v>45438</v>
      </c>
      <c r="B1061" s="2" t="s">
        <v>13</v>
      </c>
      <c r="C1061" s="3">
        <v>12.49</v>
      </c>
      <c r="D1061" s="3">
        <v>14</v>
      </c>
      <c r="E1061" s="3">
        <v>174.86</v>
      </c>
      <c r="F1061" t="str">
        <f t="shared" si="81"/>
        <v>net sales</v>
      </c>
      <c r="G1061" s="7" t="str">
        <f t="shared" si="82"/>
        <v>product 3</v>
      </c>
      <c r="H1061">
        <f t="shared" si="83"/>
        <v>2024</v>
      </c>
      <c r="I1061">
        <f t="shared" si="84"/>
        <v>5</v>
      </c>
      <c r="J1061">
        <f t="shared" si="85"/>
        <v>349.72</v>
      </c>
    </row>
    <row r="1062" spans="1:10" ht="12.5" x14ac:dyDescent="0.25">
      <c r="A1062" s="1">
        <v>45439</v>
      </c>
      <c r="B1062" s="2" t="s">
        <v>7</v>
      </c>
      <c r="C1062" s="3">
        <v>5.99</v>
      </c>
      <c r="D1062" s="3">
        <v>79</v>
      </c>
      <c r="E1062" s="3">
        <v>473.21000000000004</v>
      </c>
      <c r="F1062" t="str">
        <f t="shared" si="81"/>
        <v>cogs</v>
      </c>
      <c r="G1062" s="7" t="str">
        <f t="shared" si="82"/>
        <v>product 1</v>
      </c>
      <c r="H1062">
        <f t="shared" si="83"/>
        <v>2024</v>
      </c>
      <c r="I1062">
        <f t="shared" si="84"/>
        <v>5</v>
      </c>
      <c r="J1062">
        <f t="shared" si="85"/>
        <v>-1200</v>
      </c>
    </row>
    <row r="1063" spans="1:10" ht="12.5" x14ac:dyDescent="0.25">
      <c r="A1063" s="1">
        <v>45439</v>
      </c>
      <c r="B1063" s="2" t="s">
        <v>8</v>
      </c>
      <c r="C1063" s="3">
        <v>16.989999999999998</v>
      </c>
      <c r="D1063" s="3">
        <v>5</v>
      </c>
      <c r="E1063" s="3">
        <v>84.949999999999989</v>
      </c>
      <c r="F1063" t="str">
        <f t="shared" si="81"/>
        <v>cogs</v>
      </c>
      <c r="G1063" s="7" t="str">
        <f t="shared" si="82"/>
        <v>product 2</v>
      </c>
      <c r="H1063">
        <f t="shared" si="83"/>
        <v>2024</v>
      </c>
      <c r="I1063">
        <f t="shared" si="84"/>
        <v>5</v>
      </c>
      <c r="J1063">
        <f t="shared" si="85"/>
        <v>-551.08000000000004</v>
      </c>
    </row>
    <row r="1064" spans="1:10" ht="12.5" x14ac:dyDescent="0.25">
      <c r="A1064" s="1">
        <v>45439</v>
      </c>
      <c r="B1064" s="2" t="s">
        <v>9</v>
      </c>
      <c r="C1064" s="3">
        <v>8.49</v>
      </c>
      <c r="D1064" s="3">
        <v>233</v>
      </c>
      <c r="E1064" s="3">
        <v>1978.17</v>
      </c>
      <c r="F1064" t="str">
        <f t="shared" si="81"/>
        <v>cogs</v>
      </c>
      <c r="G1064" s="7" t="str">
        <f t="shared" si="82"/>
        <v>product 3</v>
      </c>
      <c r="H1064">
        <f t="shared" si="83"/>
        <v>2024</v>
      </c>
      <c r="I1064">
        <f t="shared" si="84"/>
        <v>5</v>
      </c>
      <c r="J1064">
        <f t="shared" si="85"/>
        <v>-67.959999999999994</v>
      </c>
    </row>
    <row r="1065" spans="1:10" ht="12.5" x14ac:dyDescent="0.25">
      <c r="A1065" s="1">
        <v>45439</v>
      </c>
      <c r="B1065" s="2" t="s">
        <v>10</v>
      </c>
      <c r="C1065" s="2" t="s">
        <v>6</v>
      </c>
      <c r="D1065" s="2" t="s">
        <v>6</v>
      </c>
      <c r="E1065" s="3">
        <v>100.08</v>
      </c>
      <c r="F1065" t="str">
        <f t="shared" si="81"/>
        <v>marketing</v>
      </c>
      <c r="G1065" s="7" t="s">
        <v>6</v>
      </c>
      <c r="H1065">
        <f t="shared" si="83"/>
        <v>2024</v>
      </c>
      <c r="I1065">
        <f t="shared" si="84"/>
        <v>5</v>
      </c>
      <c r="J1065">
        <f t="shared" si="85"/>
        <v>-1137.6600000000001</v>
      </c>
    </row>
    <row r="1066" spans="1:10" ht="12.5" x14ac:dyDescent="0.25">
      <c r="A1066" s="1">
        <v>45439</v>
      </c>
      <c r="B1066" s="2" t="s">
        <v>11</v>
      </c>
      <c r="C1066" s="3">
        <v>9.99</v>
      </c>
      <c r="D1066" s="3">
        <v>79</v>
      </c>
      <c r="E1066" s="3">
        <v>789.21</v>
      </c>
      <c r="F1066" t="str">
        <f t="shared" si="81"/>
        <v>net sales</v>
      </c>
      <c r="G1066" s="7" t="str">
        <f t="shared" si="82"/>
        <v>product 1</v>
      </c>
      <c r="H1066">
        <f t="shared" si="83"/>
        <v>2024</v>
      </c>
      <c r="I1066">
        <f t="shared" si="84"/>
        <v>5</v>
      </c>
      <c r="J1066">
        <f t="shared" si="85"/>
        <v>-100</v>
      </c>
    </row>
    <row r="1067" spans="1:10" ht="12.5" x14ac:dyDescent="0.25">
      <c r="A1067" s="1">
        <v>45439</v>
      </c>
      <c r="B1067" s="2" t="s">
        <v>12</v>
      </c>
      <c r="C1067" s="3">
        <v>24.99</v>
      </c>
      <c r="D1067" s="3">
        <v>5</v>
      </c>
      <c r="E1067" s="3">
        <v>124.94999999999999</v>
      </c>
      <c r="F1067" t="str">
        <f t="shared" si="81"/>
        <v>net sales</v>
      </c>
      <c r="G1067" s="7" t="str">
        <f t="shared" si="82"/>
        <v>product 2</v>
      </c>
      <c r="H1067">
        <f t="shared" si="83"/>
        <v>2024</v>
      </c>
      <c r="I1067">
        <f t="shared" si="84"/>
        <v>5</v>
      </c>
      <c r="J1067">
        <f t="shared" si="85"/>
        <v>919.08</v>
      </c>
    </row>
    <row r="1068" spans="1:10" ht="12.5" x14ac:dyDescent="0.25">
      <c r="A1068" s="1">
        <v>45439</v>
      </c>
      <c r="B1068" s="2" t="s">
        <v>13</v>
      </c>
      <c r="C1068" s="3">
        <v>12.49</v>
      </c>
      <c r="D1068" s="3">
        <v>233</v>
      </c>
      <c r="E1068" s="3">
        <v>2910.17</v>
      </c>
      <c r="F1068" t="str">
        <f t="shared" si="81"/>
        <v>net sales</v>
      </c>
      <c r="G1068" s="7" t="str">
        <f t="shared" si="82"/>
        <v>product 3</v>
      </c>
      <c r="H1068">
        <f t="shared" si="83"/>
        <v>2024</v>
      </c>
      <c r="I1068">
        <f t="shared" si="84"/>
        <v>5</v>
      </c>
      <c r="J1068">
        <f t="shared" si="85"/>
        <v>99.96</v>
      </c>
    </row>
    <row r="1069" spans="1:10" ht="12.5" x14ac:dyDescent="0.25">
      <c r="A1069" s="1">
        <v>45440</v>
      </c>
      <c r="B1069" s="2" t="s">
        <v>7</v>
      </c>
      <c r="C1069" s="3">
        <v>5.99</v>
      </c>
      <c r="D1069" s="3">
        <v>67</v>
      </c>
      <c r="E1069" s="3">
        <v>401.33000000000004</v>
      </c>
      <c r="F1069" t="str">
        <f t="shared" si="81"/>
        <v>cogs</v>
      </c>
      <c r="G1069" s="7" t="str">
        <f t="shared" si="82"/>
        <v>product 1</v>
      </c>
      <c r="H1069">
        <f t="shared" si="83"/>
        <v>2024</v>
      </c>
      <c r="I1069">
        <f t="shared" si="84"/>
        <v>5</v>
      </c>
      <c r="J1069">
        <f t="shared" si="85"/>
        <v>1673.66</v>
      </c>
    </row>
    <row r="1070" spans="1:10" ht="12.5" x14ac:dyDescent="0.25">
      <c r="A1070" s="1">
        <v>45440</v>
      </c>
      <c r="B1070" s="2" t="s">
        <v>8</v>
      </c>
      <c r="C1070" s="3">
        <v>16.989999999999998</v>
      </c>
      <c r="D1070" s="3">
        <v>5</v>
      </c>
      <c r="E1070" s="3">
        <v>84.949999999999989</v>
      </c>
      <c r="F1070" t="str">
        <f t="shared" si="81"/>
        <v>cogs</v>
      </c>
      <c r="G1070" s="7" t="str">
        <f t="shared" si="82"/>
        <v>product 2</v>
      </c>
      <c r="H1070">
        <f t="shared" si="83"/>
        <v>2024</v>
      </c>
      <c r="I1070">
        <f t="shared" si="84"/>
        <v>5</v>
      </c>
      <c r="J1070">
        <f t="shared" si="85"/>
        <v>-491.18</v>
      </c>
    </row>
    <row r="1071" spans="1:10" ht="12.5" x14ac:dyDescent="0.25">
      <c r="A1071" s="1">
        <v>45440</v>
      </c>
      <c r="B1071" s="2" t="s">
        <v>9</v>
      </c>
      <c r="C1071" s="3">
        <v>8.49</v>
      </c>
      <c r="D1071" s="3">
        <v>142</v>
      </c>
      <c r="E1071" s="3">
        <v>1205.58</v>
      </c>
      <c r="F1071" t="str">
        <f t="shared" si="81"/>
        <v>cogs</v>
      </c>
      <c r="G1071" s="7" t="str">
        <f t="shared" si="82"/>
        <v>product 3</v>
      </c>
      <c r="H1071">
        <f t="shared" si="83"/>
        <v>2024</v>
      </c>
      <c r="I1071">
        <f t="shared" si="84"/>
        <v>5</v>
      </c>
      <c r="J1071">
        <f t="shared" si="85"/>
        <v>-101.94</v>
      </c>
    </row>
    <row r="1072" spans="1:10" ht="12.5" x14ac:dyDescent="0.25">
      <c r="A1072" s="1">
        <v>45440</v>
      </c>
      <c r="B1072" s="2" t="s">
        <v>10</v>
      </c>
      <c r="C1072" s="2" t="s">
        <v>6</v>
      </c>
      <c r="D1072" s="2" t="s">
        <v>6</v>
      </c>
      <c r="E1072" s="3">
        <v>99.9</v>
      </c>
      <c r="F1072" t="str">
        <f t="shared" si="81"/>
        <v>marketing</v>
      </c>
      <c r="G1072" s="7" t="s">
        <v>6</v>
      </c>
      <c r="H1072">
        <f t="shared" si="83"/>
        <v>2024</v>
      </c>
      <c r="I1072">
        <f t="shared" si="84"/>
        <v>5</v>
      </c>
      <c r="J1072">
        <f t="shared" si="85"/>
        <v>-1536.69</v>
      </c>
    </row>
    <row r="1073" spans="1:10" ht="12.5" x14ac:dyDescent="0.25">
      <c r="A1073" s="1">
        <v>45440</v>
      </c>
      <c r="B1073" s="2" t="s">
        <v>11</v>
      </c>
      <c r="C1073" s="3">
        <v>9.99</v>
      </c>
      <c r="D1073" s="3">
        <v>67</v>
      </c>
      <c r="E1073" s="3">
        <v>669.33</v>
      </c>
      <c r="F1073" t="str">
        <f t="shared" si="81"/>
        <v>net sales</v>
      </c>
      <c r="G1073" s="7" t="str">
        <f t="shared" si="82"/>
        <v>product 1</v>
      </c>
      <c r="H1073">
        <f t="shared" si="83"/>
        <v>2024</v>
      </c>
      <c r="I1073">
        <f t="shared" si="84"/>
        <v>5</v>
      </c>
      <c r="J1073">
        <f t="shared" si="85"/>
        <v>-100.06</v>
      </c>
    </row>
    <row r="1074" spans="1:10" ht="12.5" x14ac:dyDescent="0.25">
      <c r="A1074" s="1">
        <v>45440</v>
      </c>
      <c r="B1074" s="2" t="s">
        <v>12</v>
      </c>
      <c r="C1074" s="3">
        <v>24.99</v>
      </c>
      <c r="D1074" s="3">
        <v>5</v>
      </c>
      <c r="E1074" s="3">
        <v>124.94999999999999</v>
      </c>
      <c r="F1074" t="str">
        <f t="shared" si="81"/>
        <v>net sales</v>
      </c>
      <c r="G1074" s="7" t="str">
        <f t="shared" si="82"/>
        <v>product 2</v>
      </c>
      <c r="H1074">
        <f t="shared" si="83"/>
        <v>2024</v>
      </c>
      <c r="I1074">
        <f t="shared" si="84"/>
        <v>5</v>
      </c>
      <c r="J1074">
        <f t="shared" si="85"/>
        <v>819.18000000000006</v>
      </c>
    </row>
    <row r="1075" spans="1:10" ht="12.5" x14ac:dyDescent="0.25">
      <c r="A1075" s="1">
        <v>45440</v>
      </c>
      <c r="B1075" s="2" t="s">
        <v>13</v>
      </c>
      <c r="C1075" s="3">
        <v>12.49</v>
      </c>
      <c r="D1075" s="3">
        <v>142</v>
      </c>
      <c r="E1075" s="3">
        <v>1773.58</v>
      </c>
      <c r="F1075" t="str">
        <f t="shared" si="81"/>
        <v>net sales</v>
      </c>
      <c r="G1075" s="7" t="str">
        <f t="shared" si="82"/>
        <v>product 3</v>
      </c>
      <c r="H1075">
        <f t="shared" si="83"/>
        <v>2024</v>
      </c>
      <c r="I1075">
        <f t="shared" si="84"/>
        <v>5</v>
      </c>
      <c r="J1075">
        <f t="shared" si="85"/>
        <v>149.94</v>
      </c>
    </row>
    <row r="1076" spans="1:10" ht="12.5" x14ac:dyDescent="0.25">
      <c r="A1076" s="1">
        <v>45441</v>
      </c>
      <c r="B1076" s="2" t="s">
        <v>7</v>
      </c>
      <c r="C1076" s="3">
        <v>5.99</v>
      </c>
      <c r="D1076" s="3">
        <v>82</v>
      </c>
      <c r="E1076" s="3">
        <v>491.18</v>
      </c>
      <c r="F1076" t="str">
        <f t="shared" si="81"/>
        <v>cogs</v>
      </c>
      <c r="G1076" s="7" t="str">
        <f t="shared" si="82"/>
        <v>product 1</v>
      </c>
      <c r="H1076">
        <f t="shared" si="83"/>
        <v>2024</v>
      </c>
      <c r="I1076">
        <f t="shared" si="84"/>
        <v>5</v>
      </c>
      <c r="J1076">
        <f t="shared" si="85"/>
        <v>2260.69</v>
      </c>
    </row>
    <row r="1077" spans="1:10" ht="12.5" x14ac:dyDescent="0.25">
      <c r="A1077" s="1">
        <v>45441</v>
      </c>
      <c r="B1077" s="2" t="s">
        <v>8</v>
      </c>
      <c r="C1077" s="3">
        <v>16.989999999999998</v>
      </c>
      <c r="D1077" s="3">
        <v>8</v>
      </c>
      <c r="E1077" s="3">
        <v>135.91999999999999</v>
      </c>
      <c r="F1077" t="str">
        <f t="shared" si="81"/>
        <v>cogs</v>
      </c>
      <c r="G1077" s="7" t="str">
        <f t="shared" si="82"/>
        <v>product 2</v>
      </c>
      <c r="H1077">
        <f t="shared" si="83"/>
        <v>2024</v>
      </c>
      <c r="I1077">
        <f t="shared" si="84"/>
        <v>5</v>
      </c>
      <c r="J1077">
        <f t="shared" si="85"/>
        <v>-371.38</v>
      </c>
    </row>
    <row r="1078" spans="1:10" ht="12.5" x14ac:dyDescent="0.25">
      <c r="A1078" s="1">
        <v>45441</v>
      </c>
      <c r="B1078" s="2" t="s">
        <v>9</v>
      </c>
      <c r="C1078" s="3">
        <v>8.49</v>
      </c>
      <c r="D1078" s="3">
        <v>0</v>
      </c>
      <c r="E1078" s="2">
        <f>C1078*D1078</f>
        <v>0</v>
      </c>
      <c r="F1078" t="str">
        <f t="shared" si="81"/>
        <v>cogs</v>
      </c>
      <c r="G1078" s="7" t="str">
        <f t="shared" si="82"/>
        <v>product 3</v>
      </c>
      <c r="H1078">
        <f t="shared" si="83"/>
        <v>2024</v>
      </c>
      <c r="I1078">
        <f t="shared" si="84"/>
        <v>5</v>
      </c>
      <c r="J1078">
        <f t="shared" si="85"/>
        <v>-135.91999999999999</v>
      </c>
    </row>
    <row r="1079" spans="1:10" ht="12.5" x14ac:dyDescent="0.25">
      <c r="A1079" s="1">
        <v>45441</v>
      </c>
      <c r="B1079" s="2" t="s">
        <v>10</v>
      </c>
      <c r="C1079" s="2" t="s">
        <v>6</v>
      </c>
      <c r="D1079" s="2" t="s">
        <v>6</v>
      </c>
      <c r="E1079" s="3">
        <v>100.10000000000001</v>
      </c>
      <c r="F1079" t="str">
        <f t="shared" si="81"/>
        <v>marketing</v>
      </c>
      <c r="G1079" s="7" t="s">
        <v>6</v>
      </c>
      <c r="H1079">
        <f t="shared" si="83"/>
        <v>2024</v>
      </c>
      <c r="I1079">
        <f t="shared" si="84"/>
        <v>5</v>
      </c>
      <c r="J1079">
        <f t="shared" si="85"/>
        <v>-1341.42</v>
      </c>
    </row>
    <row r="1080" spans="1:10" ht="12.5" x14ac:dyDescent="0.25">
      <c r="A1080" s="1">
        <v>45441</v>
      </c>
      <c r="B1080" s="2" t="s">
        <v>11</v>
      </c>
      <c r="C1080" s="3">
        <v>9.99</v>
      </c>
      <c r="D1080" s="3">
        <v>82</v>
      </c>
      <c r="E1080" s="3">
        <v>819.18000000000006</v>
      </c>
      <c r="F1080" t="str">
        <f t="shared" si="81"/>
        <v>net sales</v>
      </c>
      <c r="G1080" s="7" t="str">
        <f t="shared" si="82"/>
        <v>product 1</v>
      </c>
      <c r="H1080">
        <f t="shared" si="83"/>
        <v>2024</v>
      </c>
      <c r="I1080">
        <f t="shared" si="84"/>
        <v>5</v>
      </c>
      <c r="J1080">
        <f t="shared" si="85"/>
        <v>-100</v>
      </c>
    </row>
    <row r="1081" spans="1:10" ht="12.5" x14ac:dyDescent="0.25">
      <c r="A1081" s="1">
        <v>45441</v>
      </c>
      <c r="B1081" s="2" t="s">
        <v>12</v>
      </c>
      <c r="C1081" s="3">
        <v>24.99</v>
      </c>
      <c r="D1081" s="3">
        <v>8</v>
      </c>
      <c r="E1081" s="3">
        <v>199.92</v>
      </c>
      <c r="F1081" t="str">
        <f t="shared" si="81"/>
        <v>net sales</v>
      </c>
      <c r="G1081" s="7" t="str">
        <f t="shared" si="82"/>
        <v>product 2</v>
      </c>
      <c r="H1081">
        <f t="shared" si="83"/>
        <v>2024</v>
      </c>
      <c r="I1081">
        <f t="shared" si="84"/>
        <v>5</v>
      </c>
      <c r="J1081">
        <f t="shared" si="85"/>
        <v>619.38</v>
      </c>
    </row>
    <row r="1082" spans="1:10" ht="12.5" x14ac:dyDescent="0.25">
      <c r="A1082" s="1">
        <v>45441</v>
      </c>
      <c r="B1082" s="2" t="s">
        <v>13</v>
      </c>
      <c r="C1082" s="3">
        <v>12.49</v>
      </c>
      <c r="D1082" s="3">
        <v>0</v>
      </c>
      <c r="E1082" s="2">
        <f>C1082*D1082</f>
        <v>0</v>
      </c>
      <c r="F1082" t="str">
        <f t="shared" si="81"/>
        <v>net sales</v>
      </c>
      <c r="G1082" s="7" t="str">
        <f t="shared" si="82"/>
        <v>product 3</v>
      </c>
      <c r="H1082">
        <f t="shared" si="83"/>
        <v>2024</v>
      </c>
      <c r="I1082">
        <f t="shared" si="84"/>
        <v>5</v>
      </c>
      <c r="J1082">
        <f t="shared" si="85"/>
        <v>199.92</v>
      </c>
    </row>
    <row r="1083" spans="1:10" ht="12.5" x14ac:dyDescent="0.25">
      <c r="A1083" s="1">
        <v>45442</v>
      </c>
      <c r="B1083" s="2" t="s">
        <v>7</v>
      </c>
      <c r="C1083" s="3">
        <v>5.99</v>
      </c>
      <c r="D1083" s="3">
        <v>47</v>
      </c>
      <c r="E1083" s="3">
        <v>281.53000000000003</v>
      </c>
      <c r="F1083" t="str">
        <f t="shared" si="81"/>
        <v>cogs</v>
      </c>
      <c r="G1083" s="7" t="str">
        <f t="shared" si="82"/>
        <v>product 1</v>
      </c>
      <c r="H1083">
        <f t="shared" si="83"/>
        <v>2024</v>
      </c>
      <c r="I1083">
        <f t="shared" si="84"/>
        <v>5</v>
      </c>
      <c r="J1083">
        <f t="shared" si="85"/>
        <v>1973.42</v>
      </c>
    </row>
    <row r="1084" spans="1:10" ht="12.5" x14ac:dyDescent="0.25">
      <c r="A1084" s="1">
        <v>45442</v>
      </c>
      <c r="B1084" s="2" t="s">
        <v>8</v>
      </c>
      <c r="C1084" s="3">
        <v>16.989999999999998</v>
      </c>
      <c r="D1084" s="3">
        <v>5</v>
      </c>
      <c r="E1084" s="3">
        <v>84.949999999999989</v>
      </c>
      <c r="F1084" t="str">
        <f t="shared" si="81"/>
        <v>cogs</v>
      </c>
      <c r="G1084" s="7" t="str">
        <f t="shared" si="82"/>
        <v>product 2</v>
      </c>
      <c r="H1084">
        <f t="shared" si="83"/>
        <v>2024</v>
      </c>
      <c r="I1084">
        <f t="shared" si="84"/>
        <v>5</v>
      </c>
      <c r="J1084">
        <f t="shared" si="85"/>
        <v>-131.78</v>
      </c>
    </row>
    <row r="1085" spans="1:10" ht="12.5" x14ac:dyDescent="0.25">
      <c r="A1085" s="1">
        <v>45442</v>
      </c>
      <c r="B1085" s="2" t="s">
        <v>9</v>
      </c>
      <c r="C1085" s="3">
        <v>8.49</v>
      </c>
      <c r="D1085" s="3">
        <v>44</v>
      </c>
      <c r="E1085" s="3">
        <v>373.56</v>
      </c>
      <c r="F1085" t="str">
        <f t="shared" si="81"/>
        <v>cogs</v>
      </c>
      <c r="G1085" s="7" t="str">
        <f t="shared" si="82"/>
        <v>product 3</v>
      </c>
      <c r="H1085">
        <f t="shared" si="83"/>
        <v>2024</v>
      </c>
      <c r="I1085">
        <f t="shared" si="84"/>
        <v>5</v>
      </c>
      <c r="J1085">
        <f t="shared" si="85"/>
        <v>-135.91999999999999</v>
      </c>
    </row>
    <row r="1086" spans="1:10" ht="12.5" x14ac:dyDescent="0.25">
      <c r="A1086" s="1">
        <v>45442</v>
      </c>
      <c r="B1086" s="2" t="s">
        <v>10</v>
      </c>
      <c r="C1086" s="2" t="s">
        <v>6</v>
      </c>
      <c r="D1086" s="2" t="s">
        <v>6</v>
      </c>
      <c r="E1086" s="3">
        <v>99.91</v>
      </c>
      <c r="F1086" t="str">
        <f t="shared" si="81"/>
        <v>marketing</v>
      </c>
      <c r="G1086" s="7" t="s">
        <v>6</v>
      </c>
      <c r="H1086">
        <f t="shared" si="83"/>
        <v>2024</v>
      </c>
      <c r="I1086">
        <f t="shared" si="84"/>
        <v>5</v>
      </c>
      <c r="J1086">
        <f t="shared" si="85"/>
        <v>-365.07</v>
      </c>
    </row>
    <row r="1087" spans="1:10" ht="12.5" x14ac:dyDescent="0.25">
      <c r="A1087" s="1">
        <v>45442</v>
      </c>
      <c r="B1087" s="2" t="s">
        <v>11</v>
      </c>
      <c r="C1087" s="3">
        <v>9.99</v>
      </c>
      <c r="D1087" s="3">
        <v>47</v>
      </c>
      <c r="E1087" s="3">
        <v>469.53000000000003</v>
      </c>
      <c r="F1087" t="str">
        <f t="shared" si="81"/>
        <v>net sales</v>
      </c>
      <c r="G1087" s="7" t="str">
        <f t="shared" si="82"/>
        <v>product 1</v>
      </c>
      <c r="H1087">
        <f t="shared" si="83"/>
        <v>2024</v>
      </c>
      <c r="I1087">
        <f t="shared" si="84"/>
        <v>5</v>
      </c>
      <c r="J1087">
        <f t="shared" si="85"/>
        <v>-100.02</v>
      </c>
    </row>
    <row r="1088" spans="1:10" ht="12.5" x14ac:dyDescent="0.25">
      <c r="A1088" s="1">
        <v>45442</v>
      </c>
      <c r="B1088" s="2" t="s">
        <v>12</v>
      </c>
      <c r="C1088" s="3">
        <v>24.99</v>
      </c>
      <c r="D1088" s="3">
        <v>5</v>
      </c>
      <c r="E1088" s="3">
        <v>124.94999999999999</v>
      </c>
      <c r="F1088" t="str">
        <f t="shared" si="81"/>
        <v>net sales</v>
      </c>
      <c r="G1088" s="7" t="str">
        <f t="shared" si="82"/>
        <v>product 2</v>
      </c>
      <c r="H1088">
        <f t="shared" si="83"/>
        <v>2024</v>
      </c>
      <c r="I1088">
        <f t="shared" si="84"/>
        <v>5</v>
      </c>
      <c r="J1088">
        <f t="shared" si="85"/>
        <v>219.78</v>
      </c>
    </row>
    <row r="1089" spans="1:10" ht="12.5" x14ac:dyDescent="0.25">
      <c r="A1089" s="1">
        <v>45442</v>
      </c>
      <c r="B1089" s="2" t="s">
        <v>13</v>
      </c>
      <c r="C1089" s="3">
        <v>12.49</v>
      </c>
      <c r="D1089" s="3">
        <v>44</v>
      </c>
      <c r="E1089" s="3">
        <v>549.56000000000006</v>
      </c>
      <c r="F1089" t="str">
        <f t="shared" si="81"/>
        <v>net sales</v>
      </c>
      <c r="G1089" s="7" t="str">
        <f t="shared" si="82"/>
        <v>product 3</v>
      </c>
      <c r="H1089">
        <f t="shared" si="83"/>
        <v>2024</v>
      </c>
      <c r="I1089">
        <f t="shared" si="84"/>
        <v>5</v>
      </c>
      <c r="J1089">
        <f t="shared" si="85"/>
        <v>199.92</v>
      </c>
    </row>
    <row r="1090" spans="1:10" ht="12.5" x14ac:dyDescent="0.25">
      <c r="A1090" s="1">
        <v>45443</v>
      </c>
      <c r="B1090" s="2" t="s">
        <v>7</v>
      </c>
      <c r="C1090" s="3">
        <v>5.99</v>
      </c>
      <c r="D1090" s="3">
        <v>61</v>
      </c>
      <c r="E1090" s="3">
        <v>365.39</v>
      </c>
      <c r="F1090" t="str">
        <f t="shared" si="81"/>
        <v>cogs</v>
      </c>
      <c r="G1090" s="7" t="str">
        <f t="shared" si="82"/>
        <v>product 1</v>
      </c>
      <c r="H1090">
        <f t="shared" si="83"/>
        <v>2024</v>
      </c>
      <c r="I1090">
        <f t="shared" si="84"/>
        <v>5</v>
      </c>
      <c r="J1090">
        <f t="shared" si="85"/>
        <v>537.07000000000005</v>
      </c>
    </row>
    <row r="1091" spans="1:10" ht="12.5" x14ac:dyDescent="0.25">
      <c r="A1091" s="1">
        <v>45443</v>
      </c>
      <c r="B1091" s="2" t="s">
        <v>8</v>
      </c>
      <c r="C1091" s="3">
        <v>16.989999999999998</v>
      </c>
      <c r="D1091" s="3">
        <v>1</v>
      </c>
      <c r="E1091" s="3">
        <v>16.989999999999998</v>
      </c>
      <c r="F1091" t="str">
        <f t="shared" ref="F1091:F1154" si="86">IFERROR(LEFT(B1091,FIND(":",B1091)-1),B1091)</f>
        <v>cogs</v>
      </c>
      <c r="G1091" s="7" t="str">
        <f t="shared" ref="G1091:G1154" si="87">IFERROR(RIGHT(B1091,LEN(B1091)-FIND(":",B1091)),"")</f>
        <v>product 2</v>
      </c>
      <c r="H1091">
        <f t="shared" ref="H1091:H1154" si="88">YEAR(A1091)</f>
        <v>2024</v>
      </c>
      <c r="I1091">
        <f t="shared" ref="I1091:I1154" si="89">MONTH(A1091)</f>
        <v>5</v>
      </c>
      <c r="J1091">
        <f t="shared" si="85"/>
        <v>0</v>
      </c>
    </row>
    <row r="1092" spans="1:10" ht="12.5" x14ac:dyDescent="0.25">
      <c r="A1092" s="1">
        <v>45443</v>
      </c>
      <c r="B1092" s="2" t="s">
        <v>9</v>
      </c>
      <c r="C1092" s="3">
        <v>8.49</v>
      </c>
      <c r="D1092" s="3">
        <v>15</v>
      </c>
      <c r="E1092" s="3">
        <v>127.35000000000001</v>
      </c>
      <c r="F1092" t="str">
        <f t="shared" si="86"/>
        <v>cogs</v>
      </c>
      <c r="G1092" s="7" t="str">
        <f t="shared" si="87"/>
        <v>product 3</v>
      </c>
      <c r="H1092">
        <f t="shared" si="88"/>
        <v>2024</v>
      </c>
      <c r="I1092">
        <f t="shared" si="89"/>
        <v>5</v>
      </c>
      <c r="J1092">
        <f t="shared" si="85"/>
        <v>-305.49</v>
      </c>
    </row>
    <row r="1093" spans="1:10" ht="12.5" x14ac:dyDescent="0.25">
      <c r="A1093" s="1">
        <v>45443</v>
      </c>
      <c r="B1093" s="2" t="s">
        <v>10</v>
      </c>
      <c r="C1093" s="2" t="s">
        <v>6</v>
      </c>
      <c r="D1093" s="2" t="s">
        <v>6</v>
      </c>
      <c r="E1093" s="3">
        <v>99.98</v>
      </c>
      <c r="F1093" t="str">
        <f t="shared" si="86"/>
        <v>marketing</v>
      </c>
      <c r="G1093" s="7" t="s">
        <v>6</v>
      </c>
      <c r="H1093">
        <f t="shared" si="88"/>
        <v>2024</v>
      </c>
      <c r="I1093">
        <f t="shared" si="89"/>
        <v>5</v>
      </c>
      <c r="J1093">
        <f t="shared" si="85"/>
        <v>0</v>
      </c>
    </row>
    <row r="1094" spans="1:10" ht="12.5" x14ac:dyDescent="0.25">
      <c r="A1094" s="1">
        <v>45443</v>
      </c>
      <c r="B1094" s="2" t="s">
        <v>11</v>
      </c>
      <c r="C1094" s="3">
        <v>9.99</v>
      </c>
      <c r="D1094" s="3">
        <v>61</v>
      </c>
      <c r="E1094" s="3">
        <v>609.39</v>
      </c>
      <c r="F1094" t="str">
        <f t="shared" si="86"/>
        <v>net sales</v>
      </c>
      <c r="G1094" s="7" t="str">
        <f t="shared" si="87"/>
        <v>product 1</v>
      </c>
      <c r="H1094">
        <f t="shared" si="88"/>
        <v>2024</v>
      </c>
      <c r="I1094">
        <f t="shared" si="89"/>
        <v>5</v>
      </c>
      <c r="J1094">
        <f t="shared" si="85"/>
        <v>-339.6</v>
      </c>
    </row>
    <row r="1095" spans="1:10" ht="12.5" x14ac:dyDescent="0.25">
      <c r="A1095" s="1">
        <v>45443</v>
      </c>
      <c r="B1095" s="2" t="s">
        <v>12</v>
      </c>
      <c r="C1095" s="3">
        <v>24.99</v>
      </c>
      <c r="D1095" s="3">
        <v>1</v>
      </c>
      <c r="E1095" s="3">
        <v>24.99</v>
      </c>
      <c r="F1095" t="str">
        <f t="shared" si="86"/>
        <v>net sales</v>
      </c>
      <c r="G1095" s="7" t="str">
        <f t="shared" si="87"/>
        <v>product 2</v>
      </c>
      <c r="H1095">
        <f t="shared" si="88"/>
        <v>2024</v>
      </c>
      <c r="I1095">
        <f t="shared" si="89"/>
        <v>5</v>
      </c>
      <c r="J1095">
        <f t="shared" si="85"/>
        <v>-99.960000000000008</v>
      </c>
    </row>
    <row r="1096" spans="1:10" ht="12.5" x14ac:dyDescent="0.25">
      <c r="A1096" s="1">
        <v>45443</v>
      </c>
      <c r="B1096" s="2" t="s">
        <v>13</v>
      </c>
      <c r="C1096" s="3">
        <v>12.49</v>
      </c>
      <c r="D1096" s="3">
        <v>15</v>
      </c>
      <c r="E1096" s="3">
        <v>187.35</v>
      </c>
      <c r="F1096" t="str">
        <f t="shared" si="86"/>
        <v>net sales</v>
      </c>
      <c r="G1096" s="7" t="str">
        <f t="shared" si="87"/>
        <v>product 3</v>
      </c>
      <c r="H1096">
        <f t="shared" si="88"/>
        <v>2024</v>
      </c>
      <c r="I1096">
        <f t="shared" si="89"/>
        <v>5</v>
      </c>
      <c r="J1096">
        <f t="shared" si="85"/>
        <v>509.49</v>
      </c>
    </row>
    <row r="1097" spans="1:10" ht="12.5" x14ac:dyDescent="0.25">
      <c r="A1097" s="1">
        <v>45444</v>
      </c>
      <c r="B1097" s="2" t="s">
        <v>5</v>
      </c>
      <c r="C1097" s="2" t="s">
        <v>6</v>
      </c>
      <c r="D1097" s="2" t="s">
        <v>6</v>
      </c>
      <c r="E1097" s="3">
        <v>50</v>
      </c>
      <c r="F1097" t="str">
        <f t="shared" si="86"/>
        <v>amortization</v>
      </c>
      <c r="G1097" s="7" t="s">
        <v>6</v>
      </c>
      <c r="H1097">
        <f t="shared" si="88"/>
        <v>2024</v>
      </c>
      <c r="I1097">
        <f t="shared" si="89"/>
        <v>6</v>
      </c>
      <c r="J1097">
        <f t="shared" si="85"/>
        <v>0</v>
      </c>
    </row>
    <row r="1098" spans="1:10" ht="12.5" x14ac:dyDescent="0.25">
      <c r="A1098" s="1">
        <v>45444</v>
      </c>
      <c r="B1098" s="2" t="s">
        <v>7</v>
      </c>
      <c r="C1098" s="3">
        <v>5.99</v>
      </c>
      <c r="D1098" s="3">
        <v>3</v>
      </c>
      <c r="E1098" s="3">
        <v>17.97</v>
      </c>
      <c r="F1098" t="str">
        <f t="shared" si="86"/>
        <v>cogs</v>
      </c>
      <c r="G1098" s="7" t="str">
        <f t="shared" si="87"/>
        <v>product 1</v>
      </c>
      <c r="H1098">
        <f t="shared" si="88"/>
        <v>2024</v>
      </c>
      <c r="I1098">
        <f t="shared" si="89"/>
        <v>6</v>
      </c>
      <c r="J1098">
        <f t="shared" si="85"/>
        <v>499.6</v>
      </c>
    </row>
    <row r="1099" spans="1:10" ht="12.5" x14ac:dyDescent="0.25">
      <c r="A1099" s="1">
        <v>45444</v>
      </c>
      <c r="B1099" s="2" t="s">
        <v>8</v>
      </c>
      <c r="C1099" s="3">
        <v>16.989999999999998</v>
      </c>
      <c r="D1099" s="3">
        <v>0</v>
      </c>
      <c r="E1099" s="2">
        <f>C1099*D1099</f>
        <v>0</v>
      </c>
      <c r="F1099" t="str">
        <f t="shared" si="86"/>
        <v>cogs</v>
      </c>
      <c r="G1099" s="7" t="str">
        <f t="shared" si="87"/>
        <v>product 2</v>
      </c>
      <c r="H1099">
        <f t="shared" si="88"/>
        <v>2024</v>
      </c>
      <c r="I1099">
        <f t="shared" si="89"/>
        <v>6</v>
      </c>
      <c r="J1099">
        <f t="shared" si="85"/>
        <v>-2000</v>
      </c>
    </row>
    <row r="1100" spans="1:10" ht="12.5" x14ac:dyDescent="0.25">
      <c r="A1100" s="1">
        <v>45444</v>
      </c>
      <c r="B1100" s="2" t="s">
        <v>9</v>
      </c>
      <c r="C1100" s="3">
        <v>8.49</v>
      </c>
      <c r="D1100" s="3">
        <v>63</v>
      </c>
      <c r="E1100" s="3">
        <v>534.87</v>
      </c>
      <c r="F1100" t="str">
        <f t="shared" si="86"/>
        <v>cogs</v>
      </c>
      <c r="G1100" s="7" t="str">
        <f t="shared" si="87"/>
        <v>product 3</v>
      </c>
      <c r="H1100">
        <f t="shared" si="88"/>
        <v>2024</v>
      </c>
      <c r="I1100">
        <f t="shared" si="89"/>
        <v>6</v>
      </c>
      <c r="J1100">
        <f t="shared" si="85"/>
        <v>-131.78</v>
      </c>
    </row>
    <row r="1101" spans="1:10" ht="12.5" x14ac:dyDescent="0.25">
      <c r="A1101" s="1">
        <v>45444</v>
      </c>
      <c r="B1101" s="2" t="s">
        <v>10</v>
      </c>
      <c r="C1101" s="2" t="s">
        <v>6</v>
      </c>
      <c r="D1101" s="2" t="s">
        <v>6</v>
      </c>
      <c r="E1101" s="3">
        <v>100.07000000000001</v>
      </c>
      <c r="F1101" t="str">
        <f t="shared" si="86"/>
        <v>marketing</v>
      </c>
      <c r="G1101" s="7" t="s">
        <v>6</v>
      </c>
      <c r="H1101">
        <f t="shared" si="88"/>
        <v>2024</v>
      </c>
      <c r="I1101">
        <f t="shared" si="89"/>
        <v>6</v>
      </c>
      <c r="J1101">
        <f t="shared" si="85"/>
        <v>-50.97</v>
      </c>
    </row>
    <row r="1102" spans="1:10" ht="12.5" x14ac:dyDescent="0.25">
      <c r="A1102" s="1">
        <v>45444</v>
      </c>
      <c r="B1102" s="2" t="s">
        <v>11</v>
      </c>
      <c r="C1102" s="3">
        <v>9.99</v>
      </c>
      <c r="D1102" s="3">
        <v>3</v>
      </c>
      <c r="E1102" s="3">
        <v>29.97</v>
      </c>
      <c r="F1102" t="str">
        <f t="shared" si="86"/>
        <v>net sales</v>
      </c>
      <c r="G1102" s="7" t="str">
        <f t="shared" si="87"/>
        <v>product 1</v>
      </c>
      <c r="H1102">
        <f t="shared" si="88"/>
        <v>2024</v>
      </c>
      <c r="I1102">
        <f t="shared" si="89"/>
        <v>6</v>
      </c>
      <c r="J1102">
        <f t="shared" si="85"/>
        <v>-1400.8500000000001</v>
      </c>
    </row>
    <row r="1103" spans="1:10" ht="12.5" x14ac:dyDescent="0.25">
      <c r="A1103" s="1">
        <v>45444</v>
      </c>
      <c r="B1103" s="2" t="s">
        <v>12</v>
      </c>
      <c r="C1103" s="3">
        <v>24.99</v>
      </c>
      <c r="D1103" s="3">
        <v>0</v>
      </c>
      <c r="E1103" s="2">
        <f>C1103*D1103</f>
        <v>0</v>
      </c>
      <c r="F1103" t="str">
        <f t="shared" si="86"/>
        <v>net sales</v>
      </c>
      <c r="G1103" s="7" t="str">
        <f t="shared" si="87"/>
        <v>product 2</v>
      </c>
      <c r="H1103">
        <f t="shared" si="88"/>
        <v>2024</v>
      </c>
      <c r="I1103">
        <f t="shared" si="89"/>
        <v>6</v>
      </c>
      <c r="J1103">
        <f t="shared" si="85"/>
        <v>-100.06</v>
      </c>
    </row>
    <row r="1104" spans="1:10" ht="12.5" x14ac:dyDescent="0.25">
      <c r="A1104" s="1">
        <v>45444</v>
      </c>
      <c r="B1104" s="2" t="s">
        <v>13</v>
      </c>
      <c r="C1104" s="3">
        <v>12.49</v>
      </c>
      <c r="D1104" s="3">
        <v>63</v>
      </c>
      <c r="E1104" s="3">
        <v>786.87</v>
      </c>
      <c r="F1104" t="str">
        <f t="shared" si="86"/>
        <v>net sales</v>
      </c>
      <c r="G1104" s="7" t="str">
        <f t="shared" si="87"/>
        <v>product 3</v>
      </c>
      <c r="H1104">
        <f t="shared" si="88"/>
        <v>2024</v>
      </c>
      <c r="I1104">
        <f t="shared" si="89"/>
        <v>6</v>
      </c>
      <c r="J1104">
        <f t="shared" si="85"/>
        <v>219.78</v>
      </c>
    </row>
    <row r="1105" spans="1:10" ht="12.5" x14ac:dyDescent="0.25">
      <c r="A1105" s="1">
        <v>45444</v>
      </c>
      <c r="B1105" s="2" t="s">
        <v>14</v>
      </c>
      <c r="C1105" s="2" t="s">
        <v>6</v>
      </c>
      <c r="D1105" s="2" t="s">
        <v>6</v>
      </c>
      <c r="E1105" s="3">
        <v>2000</v>
      </c>
      <c r="F1105" t="str">
        <f t="shared" si="86"/>
        <v>overhead</v>
      </c>
      <c r="G1105" s="7" t="s">
        <v>6</v>
      </c>
      <c r="H1105">
        <f t="shared" si="88"/>
        <v>2024</v>
      </c>
      <c r="I1105">
        <f t="shared" si="89"/>
        <v>6</v>
      </c>
      <c r="J1105">
        <f t="shared" si="85"/>
        <v>74.97</v>
      </c>
    </row>
    <row r="1106" spans="1:10" ht="12.5" x14ac:dyDescent="0.25">
      <c r="A1106" s="1">
        <v>45445</v>
      </c>
      <c r="B1106" s="2" t="s">
        <v>7</v>
      </c>
      <c r="C1106" s="3">
        <v>5.99</v>
      </c>
      <c r="D1106" s="3">
        <v>88</v>
      </c>
      <c r="E1106" s="3">
        <v>527.12</v>
      </c>
      <c r="F1106" t="str">
        <f t="shared" si="86"/>
        <v>cogs</v>
      </c>
      <c r="G1106" s="7" t="str">
        <f t="shared" si="87"/>
        <v>product 1</v>
      </c>
      <c r="H1106">
        <f t="shared" si="88"/>
        <v>2024</v>
      </c>
      <c r="I1106">
        <f t="shared" si="89"/>
        <v>6</v>
      </c>
      <c r="J1106">
        <f t="shared" si="85"/>
        <v>2060.85</v>
      </c>
    </row>
    <row r="1107" spans="1:10" ht="12.5" x14ac:dyDescent="0.25">
      <c r="A1107" s="1">
        <v>45445</v>
      </c>
      <c r="B1107" s="2" t="s">
        <v>8</v>
      </c>
      <c r="C1107" s="3">
        <v>16.989999999999998</v>
      </c>
      <c r="D1107" s="3">
        <v>3</v>
      </c>
      <c r="E1107" s="3">
        <v>50.97</v>
      </c>
      <c r="F1107" t="str">
        <f t="shared" si="86"/>
        <v>cogs</v>
      </c>
      <c r="G1107" s="7" t="str">
        <f t="shared" si="87"/>
        <v>product 2</v>
      </c>
      <c r="H1107">
        <f t="shared" si="88"/>
        <v>2024</v>
      </c>
      <c r="I1107">
        <f t="shared" si="89"/>
        <v>6</v>
      </c>
      <c r="J1107">
        <f t="shared" si="85"/>
        <v>-353.41</v>
      </c>
    </row>
    <row r="1108" spans="1:10" ht="12.5" x14ac:dyDescent="0.25">
      <c r="A1108" s="1">
        <v>45445</v>
      </c>
      <c r="B1108" s="2" t="s">
        <v>9</v>
      </c>
      <c r="C1108" s="3">
        <v>8.49</v>
      </c>
      <c r="D1108" s="3">
        <v>144</v>
      </c>
      <c r="E1108" s="3">
        <v>1222.56</v>
      </c>
      <c r="F1108" t="str">
        <f t="shared" si="86"/>
        <v>cogs</v>
      </c>
      <c r="G1108" s="7" t="str">
        <f t="shared" si="87"/>
        <v>product 3</v>
      </c>
      <c r="H1108">
        <f t="shared" si="88"/>
        <v>2024</v>
      </c>
      <c r="I1108">
        <f t="shared" si="89"/>
        <v>6</v>
      </c>
      <c r="J1108">
        <f t="shared" si="85"/>
        <v>-50.97</v>
      </c>
    </row>
    <row r="1109" spans="1:10" ht="12.5" x14ac:dyDescent="0.25">
      <c r="A1109" s="1">
        <v>45445</v>
      </c>
      <c r="B1109" s="2" t="s">
        <v>10</v>
      </c>
      <c r="C1109" s="2" t="s">
        <v>6</v>
      </c>
      <c r="D1109" s="2" t="s">
        <v>6</v>
      </c>
      <c r="E1109" s="3">
        <v>100.04</v>
      </c>
      <c r="F1109" t="str">
        <f t="shared" si="86"/>
        <v>marketing</v>
      </c>
      <c r="G1109" s="7" t="s">
        <v>6</v>
      </c>
      <c r="H1109">
        <f t="shared" si="88"/>
        <v>2024</v>
      </c>
      <c r="I1109">
        <f t="shared" si="89"/>
        <v>6</v>
      </c>
      <c r="J1109">
        <f t="shared" si="85"/>
        <v>-798.06000000000006</v>
      </c>
    </row>
    <row r="1110" spans="1:10" ht="12.5" x14ac:dyDescent="0.25">
      <c r="A1110" s="1">
        <v>45445</v>
      </c>
      <c r="B1110" s="2" t="s">
        <v>11</v>
      </c>
      <c r="C1110" s="3">
        <v>9.99</v>
      </c>
      <c r="D1110" s="3">
        <v>88</v>
      </c>
      <c r="E1110" s="3">
        <v>879.12</v>
      </c>
      <c r="F1110" t="str">
        <f t="shared" si="86"/>
        <v>net sales</v>
      </c>
      <c r="G1110" s="7" t="str">
        <f t="shared" si="87"/>
        <v>product 1</v>
      </c>
      <c r="H1110">
        <f t="shared" si="88"/>
        <v>2024</v>
      </c>
      <c r="I1110">
        <f t="shared" si="89"/>
        <v>6</v>
      </c>
      <c r="J1110">
        <f t="shared" si="85"/>
        <v>-99.92</v>
      </c>
    </row>
    <row r="1111" spans="1:10" ht="12.5" x14ac:dyDescent="0.25">
      <c r="A1111" s="1">
        <v>45445</v>
      </c>
      <c r="B1111" s="2" t="s">
        <v>12</v>
      </c>
      <c r="C1111" s="3">
        <v>24.99</v>
      </c>
      <c r="D1111" s="3">
        <v>3</v>
      </c>
      <c r="E1111" s="3">
        <v>74.97</v>
      </c>
      <c r="F1111" t="str">
        <f t="shared" si="86"/>
        <v>net sales</v>
      </c>
      <c r="G1111" s="7" t="str">
        <f t="shared" si="87"/>
        <v>product 2</v>
      </c>
      <c r="H1111">
        <f t="shared" si="88"/>
        <v>2024</v>
      </c>
      <c r="I1111">
        <f t="shared" si="89"/>
        <v>6</v>
      </c>
      <c r="J1111">
        <f t="shared" si="85"/>
        <v>589.41</v>
      </c>
    </row>
    <row r="1112" spans="1:10" ht="12.5" x14ac:dyDescent="0.25">
      <c r="A1112" s="1">
        <v>45445</v>
      </c>
      <c r="B1112" s="2" t="s">
        <v>13</v>
      </c>
      <c r="C1112" s="3">
        <v>12.49</v>
      </c>
      <c r="D1112" s="3">
        <v>144</v>
      </c>
      <c r="E1112" s="3">
        <v>1798.56</v>
      </c>
      <c r="F1112" t="str">
        <f t="shared" si="86"/>
        <v>net sales</v>
      </c>
      <c r="G1112" s="7" t="str">
        <f t="shared" si="87"/>
        <v>product 3</v>
      </c>
      <c r="H1112">
        <f t="shared" si="88"/>
        <v>2024</v>
      </c>
      <c r="I1112">
        <f t="shared" si="89"/>
        <v>6</v>
      </c>
      <c r="J1112">
        <f t="shared" si="85"/>
        <v>74.97</v>
      </c>
    </row>
    <row r="1113" spans="1:10" ht="12.5" x14ac:dyDescent="0.25">
      <c r="A1113" s="1">
        <v>45446</v>
      </c>
      <c r="B1113" s="2" t="s">
        <v>7</v>
      </c>
      <c r="C1113" s="3">
        <v>5.99</v>
      </c>
      <c r="D1113" s="3">
        <v>12</v>
      </c>
      <c r="E1113" s="3">
        <v>71.88</v>
      </c>
      <c r="F1113" t="str">
        <f t="shared" si="86"/>
        <v>cogs</v>
      </c>
      <c r="G1113" s="7" t="str">
        <f t="shared" si="87"/>
        <v>product 1</v>
      </c>
      <c r="H1113">
        <f t="shared" si="88"/>
        <v>2024</v>
      </c>
      <c r="I1113">
        <f t="shared" si="89"/>
        <v>6</v>
      </c>
      <c r="J1113">
        <f t="shared" si="85"/>
        <v>1174.06</v>
      </c>
    </row>
    <row r="1114" spans="1:10" ht="12.5" x14ac:dyDescent="0.25">
      <c r="A1114" s="1">
        <v>45446</v>
      </c>
      <c r="B1114" s="2" t="s">
        <v>8</v>
      </c>
      <c r="C1114" s="3">
        <v>16.989999999999998</v>
      </c>
      <c r="D1114" s="3">
        <v>8</v>
      </c>
      <c r="E1114" s="3">
        <v>135.91999999999999</v>
      </c>
      <c r="F1114" t="str">
        <f t="shared" si="86"/>
        <v>cogs</v>
      </c>
      <c r="G1114" s="7" t="str">
        <f t="shared" si="87"/>
        <v>product 2</v>
      </c>
      <c r="H1114">
        <f t="shared" si="88"/>
        <v>2024</v>
      </c>
      <c r="I1114">
        <f t="shared" si="89"/>
        <v>6</v>
      </c>
      <c r="J1114">
        <f t="shared" si="85"/>
        <v>-167.72</v>
      </c>
    </row>
    <row r="1115" spans="1:10" ht="12.5" x14ac:dyDescent="0.25">
      <c r="A1115" s="1">
        <v>45446</v>
      </c>
      <c r="B1115" s="2" t="s">
        <v>9</v>
      </c>
      <c r="C1115" s="3">
        <v>8.49</v>
      </c>
      <c r="D1115" s="3">
        <v>0</v>
      </c>
      <c r="E1115" s="2">
        <f>C1115*D1115</f>
        <v>0</v>
      </c>
      <c r="F1115" t="str">
        <f t="shared" si="86"/>
        <v>cogs</v>
      </c>
      <c r="G1115" s="7" t="str">
        <f t="shared" si="87"/>
        <v>product 3</v>
      </c>
      <c r="H1115">
        <f t="shared" si="88"/>
        <v>2024</v>
      </c>
      <c r="I1115">
        <f t="shared" si="89"/>
        <v>6</v>
      </c>
      <c r="J1115">
        <f t="shared" si="85"/>
        <v>-50.97</v>
      </c>
    </row>
    <row r="1116" spans="1:10" ht="12.5" x14ac:dyDescent="0.25">
      <c r="A1116" s="1">
        <v>45446</v>
      </c>
      <c r="B1116" s="2" t="s">
        <v>10</v>
      </c>
      <c r="C1116" s="2" t="s">
        <v>6</v>
      </c>
      <c r="D1116" s="2" t="s">
        <v>6</v>
      </c>
      <c r="E1116" s="3">
        <v>100.03</v>
      </c>
      <c r="F1116" t="str">
        <f t="shared" si="86"/>
        <v>marketing</v>
      </c>
      <c r="G1116" s="7" t="s">
        <v>6</v>
      </c>
      <c r="H1116">
        <f t="shared" si="88"/>
        <v>2024</v>
      </c>
      <c r="I1116">
        <f t="shared" si="89"/>
        <v>6</v>
      </c>
      <c r="J1116">
        <f t="shared" ref="J1116:J1179" si="90">IF(F899="net sales",E899,
IF(F899="cogs",-E899,
IF(OR(F899="marketing",F899="overhead",F899="payroll",F899="interest","amortization"),-E899,0)))</f>
        <v>-1969.68</v>
      </c>
    </row>
    <row r="1117" spans="1:10" ht="12.5" x14ac:dyDescent="0.25">
      <c r="A1117" s="1">
        <v>45446</v>
      </c>
      <c r="B1117" s="2" t="s">
        <v>11</v>
      </c>
      <c r="C1117" s="3">
        <v>9.99</v>
      </c>
      <c r="D1117" s="3">
        <v>12</v>
      </c>
      <c r="E1117" s="3">
        <v>119.88</v>
      </c>
      <c r="F1117" t="str">
        <f t="shared" si="86"/>
        <v>net sales</v>
      </c>
      <c r="G1117" s="7" t="str">
        <f t="shared" si="87"/>
        <v>product 1</v>
      </c>
      <c r="H1117">
        <f t="shared" si="88"/>
        <v>2024</v>
      </c>
      <c r="I1117">
        <f t="shared" si="89"/>
        <v>6</v>
      </c>
      <c r="J1117">
        <f t="shared" si="90"/>
        <v>-99.98</v>
      </c>
    </row>
    <row r="1118" spans="1:10" ht="12.5" x14ac:dyDescent="0.25">
      <c r="A1118" s="1">
        <v>45446</v>
      </c>
      <c r="B1118" s="2" t="s">
        <v>12</v>
      </c>
      <c r="C1118" s="3">
        <v>24.99</v>
      </c>
      <c r="D1118" s="3">
        <v>8</v>
      </c>
      <c r="E1118" s="3">
        <v>199.92</v>
      </c>
      <c r="F1118" t="str">
        <f t="shared" si="86"/>
        <v>net sales</v>
      </c>
      <c r="G1118" s="7" t="str">
        <f t="shared" si="87"/>
        <v>product 2</v>
      </c>
      <c r="H1118">
        <f t="shared" si="88"/>
        <v>2024</v>
      </c>
      <c r="I1118">
        <f t="shared" si="89"/>
        <v>6</v>
      </c>
      <c r="J1118">
        <f t="shared" si="90"/>
        <v>279.72000000000003</v>
      </c>
    </row>
    <row r="1119" spans="1:10" ht="12.5" x14ac:dyDescent="0.25">
      <c r="A1119" s="1">
        <v>45446</v>
      </c>
      <c r="B1119" s="2" t="s">
        <v>13</v>
      </c>
      <c r="C1119" s="3">
        <v>12.49</v>
      </c>
      <c r="D1119" s="3">
        <v>0</v>
      </c>
      <c r="E1119" s="2">
        <f>C1119*D1119</f>
        <v>0</v>
      </c>
      <c r="F1119" t="str">
        <f t="shared" si="86"/>
        <v>net sales</v>
      </c>
      <c r="G1119" s="7" t="str">
        <f t="shared" si="87"/>
        <v>product 3</v>
      </c>
      <c r="H1119">
        <f t="shared" si="88"/>
        <v>2024</v>
      </c>
      <c r="I1119">
        <f t="shared" si="89"/>
        <v>6</v>
      </c>
      <c r="J1119">
        <f t="shared" si="90"/>
        <v>74.97</v>
      </c>
    </row>
    <row r="1120" spans="1:10" ht="12.5" x14ac:dyDescent="0.25">
      <c r="A1120" s="1">
        <v>45447</v>
      </c>
      <c r="B1120" s="2" t="s">
        <v>7</v>
      </c>
      <c r="C1120" s="3">
        <v>5.99</v>
      </c>
      <c r="D1120" s="3">
        <v>3</v>
      </c>
      <c r="E1120" s="3">
        <v>17.97</v>
      </c>
      <c r="F1120" t="str">
        <f t="shared" si="86"/>
        <v>cogs</v>
      </c>
      <c r="G1120" s="7" t="str">
        <f t="shared" si="87"/>
        <v>product 1</v>
      </c>
      <c r="H1120">
        <f t="shared" si="88"/>
        <v>2024</v>
      </c>
      <c r="I1120">
        <f t="shared" si="89"/>
        <v>6</v>
      </c>
      <c r="J1120">
        <f t="shared" si="90"/>
        <v>2897.68</v>
      </c>
    </row>
    <row r="1121" spans="1:10" ht="12.5" x14ac:dyDescent="0.25">
      <c r="A1121" s="1">
        <v>45447</v>
      </c>
      <c r="B1121" s="2" t="s">
        <v>8</v>
      </c>
      <c r="C1121" s="3">
        <v>16.989999999999998</v>
      </c>
      <c r="D1121" s="3">
        <v>7</v>
      </c>
      <c r="E1121" s="3">
        <v>118.92999999999999</v>
      </c>
      <c r="F1121" t="str">
        <f t="shared" si="86"/>
        <v>cogs</v>
      </c>
      <c r="G1121" s="7" t="str">
        <f t="shared" si="87"/>
        <v>product 2</v>
      </c>
      <c r="H1121">
        <f t="shared" si="88"/>
        <v>2024</v>
      </c>
      <c r="I1121">
        <f t="shared" si="89"/>
        <v>6</v>
      </c>
      <c r="J1121">
        <f t="shared" si="90"/>
        <v>-527.12</v>
      </c>
    </row>
    <row r="1122" spans="1:10" ht="12.5" x14ac:dyDescent="0.25">
      <c r="A1122" s="1">
        <v>45447</v>
      </c>
      <c r="B1122" s="2" t="s">
        <v>9</v>
      </c>
      <c r="C1122" s="3">
        <v>8.49</v>
      </c>
      <c r="D1122" s="3">
        <v>12</v>
      </c>
      <c r="E1122" s="3">
        <v>101.88</v>
      </c>
      <c r="F1122" t="str">
        <f t="shared" si="86"/>
        <v>cogs</v>
      </c>
      <c r="G1122" s="7" t="str">
        <f t="shared" si="87"/>
        <v>product 3</v>
      </c>
      <c r="H1122">
        <f t="shared" si="88"/>
        <v>2024</v>
      </c>
      <c r="I1122">
        <f t="shared" si="89"/>
        <v>6</v>
      </c>
      <c r="J1122">
        <f t="shared" si="90"/>
        <v>-84.949999999999989</v>
      </c>
    </row>
    <row r="1123" spans="1:10" ht="12.5" x14ac:dyDescent="0.25">
      <c r="A1123" s="1">
        <v>45447</v>
      </c>
      <c r="B1123" s="2" t="s">
        <v>10</v>
      </c>
      <c r="C1123" s="2" t="s">
        <v>6</v>
      </c>
      <c r="D1123" s="2" t="s">
        <v>6</v>
      </c>
      <c r="E1123" s="3">
        <v>100.02</v>
      </c>
      <c r="F1123" t="str">
        <f t="shared" si="86"/>
        <v>marketing</v>
      </c>
      <c r="G1123" s="7" t="s">
        <v>6</v>
      </c>
      <c r="H1123">
        <f t="shared" si="88"/>
        <v>2024</v>
      </c>
      <c r="I1123">
        <f t="shared" si="89"/>
        <v>6</v>
      </c>
      <c r="J1123">
        <f t="shared" si="90"/>
        <v>-823.53</v>
      </c>
    </row>
    <row r="1124" spans="1:10" ht="12.5" x14ac:dyDescent="0.25">
      <c r="A1124" s="1">
        <v>45447</v>
      </c>
      <c r="B1124" s="2" t="s">
        <v>11</v>
      </c>
      <c r="C1124" s="3">
        <v>9.99</v>
      </c>
      <c r="D1124" s="3">
        <v>3</v>
      </c>
      <c r="E1124" s="3">
        <v>29.97</v>
      </c>
      <c r="F1124" t="str">
        <f t="shared" si="86"/>
        <v>net sales</v>
      </c>
      <c r="G1124" s="7" t="str">
        <f t="shared" si="87"/>
        <v>product 1</v>
      </c>
      <c r="H1124">
        <f t="shared" si="88"/>
        <v>2024</v>
      </c>
      <c r="I1124">
        <f t="shared" si="89"/>
        <v>6</v>
      </c>
      <c r="J1124">
        <f t="shared" si="90"/>
        <v>-100.09</v>
      </c>
    </row>
    <row r="1125" spans="1:10" ht="12.5" x14ac:dyDescent="0.25">
      <c r="A1125" s="1">
        <v>45447</v>
      </c>
      <c r="B1125" s="2" t="s">
        <v>12</v>
      </c>
      <c r="C1125" s="3">
        <v>24.99</v>
      </c>
      <c r="D1125" s="3">
        <v>7</v>
      </c>
      <c r="E1125" s="3">
        <v>174.92999999999998</v>
      </c>
      <c r="F1125" t="str">
        <f t="shared" si="86"/>
        <v>net sales</v>
      </c>
      <c r="G1125" s="7" t="str">
        <f t="shared" si="87"/>
        <v>product 2</v>
      </c>
      <c r="H1125">
        <f t="shared" si="88"/>
        <v>2024</v>
      </c>
      <c r="I1125">
        <f t="shared" si="89"/>
        <v>6</v>
      </c>
      <c r="J1125">
        <f t="shared" si="90"/>
        <v>879.12</v>
      </c>
    </row>
    <row r="1126" spans="1:10" ht="12.5" x14ac:dyDescent="0.25">
      <c r="A1126" s="1">
        <v>45447</v>
      </c>
      <c r="B1126" s="2" t="s">
        <v>13</v>
      </c>
      <c r="C1126" s="3">
        <v>12.49</v>
      </c>
      <c r="D1126" s="3">
        <v>12</v>
      </c>
      <c r="E1126" s="3">
        <v>149.88</v>
      </c>
      <c r="F1126" t="str">
        <f t="shared" si="86"/>
        <v>net sales</v>
      </c>
      <c r="G1126" s="7" t="str">
        <f t="shared" si="87"/>
        <v>product 3</v>
      </c>
      <c r="H1126">
        <f t="shared" si="88"/>
        <v>2024</v>
      </c>
      <c r="I1126">
        <f t="shared" si="89"/>
        <v>6</v>
      </c>
      <c r="J1126">
        <f t="shared" si="90"/>
        <v>124.94999999999999</v>
      </c>
    </row>
    <row r="1127" spans="1:10" ht="12.5" x14ac:dyDescent="0.25">
      <c r="A1127" s="1">
        <v>45448</v>
      </c>
      <c r="B1127" s="2" t="s">
        <v>7</v>
      </c>
      <c r="C1127" s="3">
        <v>5.99</v>
      </c>
      <c r="D1127" s="3">
        <v>60</v>
      </c>
      <c r="E1127" s="3">
        <v>359.40000000000003</v>
      </c>
      <c r="F1127" t="str">
        <f t="shared" si="86"/>
        <v>cogs</v>
      </c>
      <c r="G1127" s="7" t="str">
        <f t="shared" si="87"/>
        <v>product 1</v>
      </c>
      <c r="H1127">
        <f t="shared" si="88"/>
        <v>2024</v>
      </c>
      <c r="I1127">
        <f t="shared" si="89"/>
        <v>6</v>
      </c>
      <c r="J1127">
        <f t="shared" si="90"/>
        <v>1211.53</v>
      </c>
    </row>
    <row r="1128" spans="1:10" ht="12.5" x14ac:dyDescent="0.25">
      <c r="A1128" s="1">
        <v>45448</v>
      </c>
      <c r="B1128" s="2" t="s">
        <v>8</v>
      </c>
      <c r="C1128" s="3">
        <v>16.989999999999998</v>
      </c>
      <c r="D1128" s="3">
        <v>5</v>
      </c>
      <c r="E1128" s="3">
        <v>84.949999999999989</v>
      </c>
      <c r="F1128" t="str">
        <f t="shared" si="86"/>
        <v>cogs</v>
      </c>
      <c r="G1128" s="7" t="str">
        <f t="shared" si="87"/>
        <v>product 2</v>
      </c>
      <c r="H1128">
        <f t="shared" si="88"/>
        <v>2024</v>
      </c>
      <c r="I1128">
        <f t="shared" si="89"/>
        <v>6</v>
      </c>
      <c r="J1128">
        <f t="shared" si="90"/>
        <v>-377.37</v>
      </c>
    </row>
    <row r="1129" spans="1:10" ht="12.5" x14ac:dyDescent="0.25">
      <c r="A1129" s="1">
        <v>45448</v>
      </c>
      <c r="B1129" s="2" t="s">
        <v>9</v>
      </c>
      <c r="C1129" s="3">
        <v>8.49</v>
      </c>
      <c r="D1129" s="3">
        <v>169</v>
      </c>
      <c r="E1129" s="3">
        <v>1434.81</v>
      </c>
      <c r="F1129" t="str">
        <f t="shared" si="86"/>
        <v>cogs</v>
      </c>
      <c r="G1129" s="7" t="str">
        <f t="shared" si="87"/>
        <v>product 3</v>
      </c>
      <c r="H1129">
        <f t="shared" si="88"/>
        <v>2024</v>
      </c>
      <c r="I1129">
        <f t="shared" si="89"/>
        <v>6</v>
      </c>
      <c r="J1129">
        <f t="shared" si="90"/>
        <v>-33.979999999999997</v>
      </c>
    </row>
    <row r="1130" spans="1:10" ht="12.5" x14ac:dyDescent="0.25">
      <c r="A1130" s="1">
        <v>45448</v>
      </c>
      <c r="B1130" s="2" t="s">
        <v>10</v>
      </c>
      <c r="C1130" s="2" t="s">
        <v>6</v>
      </c>
      <c r="D1130" s="2" t="s">
        <v>6</v>
      </c>
      <c r="E1130" s="3">
        <v>100.09</v>
      </c>
      <c r="F1130" t="str">
        <f t="shared" si="86"/>
        <v>marketing</v>
      </c>
      <c r="G1130" s="7" t="s">
        <v>6</v>
      </c>
      <c r="H1130">
        <f t="shared" si="88"/>
        <v>2024</v>
      </c>
      <c r="I1130">
        <f t="shared" si="89"/>
        <v>6</v>
      </c>
      <c r="J1130">
        <f t="shared" si="90"/>
        <v>-721.65</v>
      </c>
    </row>
    <row r="1131" spans="1:10" ht="12.5" x14ac:dyDescent="0.25">
      <c r="A1131" s="1">
        <v>45448</v>
      </c>
      <c r="B1131" s="2" t="s">
        <v>11</v>
      </c>
      <c r="C1131" s="3">
        <v>9.99</v>
      </c>
      <c r="D1131" s="3">
        <v>60</v>
      </c>
      <c r="E1131" s="3">
        <v>599.4</v>
      </c>
      <c r="F1131" t="str">
        <f t="shared" si="86"/>
        <v>net sales</v>
      </c>
      <c r="G1131" s="7" t="str">
        <f t="shared" si="87"/>
        <v>product 1</v>
      </c>
      <c r="H1131">
        <f t="shared" si="88"/>
        <v>2024</v>
      </c>
      <c r="I1131">
        <f t="shared" si="89"/>
        <v>6</v>
      </c>
      <c r="J1131">
        <f t="shared" si="90"/>
        <v>-99.960000000000008</v>
      </c>
    </row>
    <row r="1132" spans="1:10" ht="12.5" x14ac:dyDescent="0.25">
      <c r="A1132" s="1">
        <v>45448</v>
      </c>
      <c r="B1132" s="2" t="s">
        <v>12</v>
      </c>
      <c r="C1132" s="3">
        <v>24.99</v>
      </c>
      <c r="D1132" s="3">
        <v>5</v>
      </c>
      <c r="E1132" s="3">
        <v>124.94999999999999</v>
      </c>
      <c r="F1132" t="str">
        <f t="shared" si="86"/>
        <v>net sales</v>
      </c>
      <c r="G1132" s="7" t="str">
        <f t="shared" si="87"/>
        <v>product 2</v>
      </c>
      <c r="H1132">
        <f t="shared" si="88"/>
        <v>2024</v>
      </c>
      <c r="I1132">
        <f t="shared" si="89"/>
        <v>6</v>
      </c>
      <c r="J1132">
        <f t="shared" si="90"/>
        <v>629.37</v>
      </c>
    </row>
    <row r="1133" spans="1:10" ht="12.5" x14ac:dyDescent="0.25">
      <c r="A1133" s="1">
        <v>45448</v>
      </c>
      <c r="B1133" s="2" t="s">
        <v>13</v>
      </c>
      <c r="C1133" s="3">
        <v>12.49</v>
      </c>
      <c r="D1133" s="3">
        <v>169</v>
      </c>
      <c r="E1133" s="3">
        <v>2110.81</v>
      </c>
      <c r="F1133" t="str">
        <f t="shared" si="86"/>
        <v>net sales</v>
      </c>
      <c r="G1133" s="7" t="str">
        <f t="shared" si="87"/>
        <v>product 3</v>
      </c>
      <c r="H1133">
        <f t="shared" si="88"/>
        <v>2024</v>
      </c>
      <c r="I1133">
        <f t="shared" si="89"/>
        <v>6</v>
      </c>
      <c r="J1133">
        <f t="shared" si="90"/>
        <v>49.98</v>
      </c>
    </row>
    <row r="1134" spans="1:10" ht="12.5" x14ac:dyDescent="0.25">
      <c r="A1134" s="1">
        <v>45449</v>
      </c>
      <c r="B1134" s="2" t="s">
        <v>7</v>
      </c>
      <c r="C1134" s="3">
        <v>5.99</v>
      </c>
      <c r="D1134" s="3">
        <v>89</v>
      </c>
      <c r="E1134" s="3">
        <v>533.11</v>
      </c>
      <c r="F1134" t="str">
        <f t="shared" si="86"/>
        <v>cogs</v>
      </c>
      <c r="G1134" s="7" t="str">
        <f t="shared" si="87"/>
        <v>product 1</v>
      </c>
      <c r="H1134">
        <f t="shared" si="88"/>
        <v>2024</v>
      </c>
      <c r="I1134">
        <f t="shared" si="89"/>
        <v>6</v>
      </c>
      <c r="J1134">
        <f t="shared" si="90"/>
        <v>1061.6500000000001</v>
      </c>
    </row>
    <row r="1135" spans="1:10" ht="12.5" x14ac:dyDescent="0.25">
      <c r="A1135" s="1">
        <v>45449</v>
      </c>
      <c r="B1135" s="2" t="s">
        <v>8</v>
      </c>
      <c r="C1135" s="3">
        <v>16.989999999999998</v>
      </c>
      <c r="D1135" s="3">
        <v>4</v>
      </c>
      <c r="E1135" s="3">
        <v>67.959999999999994</v>
      </c>
      <c r="F1135" t="str">
        <f t="shared" si="86"/>
        <v>cogs</v>
      </c>
      <c r="G1135" s="7" t="str">
        <f t="shared" si="87"/>
        <v>product 2</v>
      </c>
      <c r="H1135">
        <f t="shared" si="88"/>
        <v>2024</v>
      </c>
      <c r="I1135">
        <f t="shared" si="89"/>
        <v>6</v>
      </c>
      <c r="J1135">
        <f t="shared" si="90"/>
        <v>-29.950000000000003</v>
      </c>
    </row>
    <row r="1136" spans="1:10" ht="12.5" x14ac:dyDescent="0.25">
      <c r="A1136" s="1">
        <v>45449</v>
      </c>
      <c r="B1136" s="2" t="s">
        <v>9</v>
      </c>
      <c r="C1136" s="3">
        <v>8.49</v>
      </c>
      <c r="D1136" s="3">
        <v>187</v>
      </c>
      <c r="E1136" s="3">
        <v>1587.63</v>
      </c>
      <c r="F1136" t="str">
        <f t="shared" si="86"/>
        <v>cogs</v>
      </c>
      <c r="G1136" s="7" t="str">
        <f t="shared" si="87"/>
        <v>product 3</v>
      </c>
      <c r="H1136">
        <f t="shared" si="88"/>
        <v>2024</v>
      </c>
      <c r="I1136">
        <f t="shared" si="89"/>
        <v>6</v>
      </c>
      <c r="J1136">
        <f t="shared" si="90"/>
        <v>-101.94</v>
      </c>
    </row>
    <row r="1137" spans="1:10" ht="12.5" x14ac:dyDescent="0.25">
      <c r="A1137" s="1">
        <v>45449</v>
      </c>
      <c r="B1137" s="2" t="s">
        <v>10</v>
      </c>
      <c r="C1137" s="2" t="s">
        <v>6</v>
      </c>
      <c r="D1137" s="2" t="s">
        <v>6</v>
      </c>
      <c r="E1137" s="3">
        <v>100.08</v>
      </c>
      <c r="F1137" t="str">
        <f t="shared" si="86"/>
        <v>marketing</v>
      </c>
      <c r="G1137" s="7" t="s">
        <v>6</v>
      </c>
      <c r="H1137">
        <f t="shared" si="88"/>
        <v>2024</v>
      </c>
      <c r="I1137">
        <f t="shared" si="89"/>
        <v>6</v>
      </c>
      <c r="J1137">
        <f t="shared" si="90"/>
        <v>-696.18000000000006</v>
      </c>
    </row>
    <row r="1138" spans="1:10" ht="12.5" x14ac:dyDescent="0.25">
      <c r="A1138" s="1">
        <v>45449</v>
      </c>
      <c r="B1138" s="2" t="s">
        <v>11</v>
      </c>
      <c r="C1138" s="3">
        <v>9.99</v>
      </c>
      <c r="D1138" s="3">
        <v>89</v>
      </c>
      <c r="E1138" s="3">
        <v>889.11</v>
      </c>
      <c r="F1138" t="str">
        <f t="shared" si="86"/>
        <v>net sales</v>
      </c>
      <c r="G1138" s="7" t="str">
        <f t="shared" si="87"/>
        <v>product 1</v>
      </c>
      <c r="H1138">
        <f t="shared" si="88"/>
        <v>2024</v>
      </c>
      <c r="I1138">
        <f t="shared" si="89"/>
        <v>6</v>
      </c>
      <c r="J1138">
        <f t="shared" si="90"/>
        <v>-100.07000000000001</v>
      </c>
    </row>
    <row r="1139" spans="1:10" ht="12.5" x14ac:dyDescent="0.25">
      <c r="A1139" s="1">
        <v>45449</v>
      </c>
      <c r="B1139" s="2" t="s">
        <v>12</v>
      </c>
      <c r="C1139" s="3">
        <v>24.99</v>
      </c>
      <c r="D1139" s="3">
        <v>4</v>
      </c>
      <c r="E1139" s="3">
        <v>99.96</v>
      </c>
      <c r="F1139" t="str">
        <f t="shared" si="86"/>
        <v>net sales</v>
      </c>
      <c r="G1139" s="7" t="str">
        <f t="shared" si="87"/>
        <v>product 2</v>
      </c>
      <c r="H1139">
        <f t="shared" si="88"/>
        <v>2024</v>
      </c>
      <c r="I1139">
        <f t="shared" si="89"/>
        <v>6</v>
      </c>
      <c r="J1139">
        <f t="shared" si="90"/>
        <v>49.95</v>
      </c>
    </row>
    <row r="1140" spans="1:10" ht="12.5" x14ac:dyDescent="0.25">
      <c r="A1140" s="1">
        <v>45449</v>
      </c>
      <c r="B1140" s="2" t="s">
        <v>13</v>
      </c>
      <c r="C1140" s="3">
        <v>12.49</v>
      </c>
      <c r="D1140" s="3">
        <v>187</v>
      </c>
      <c r="E1140" s="3">
        <v>2335.63</v>
      </c>
      <c r="F1140" t="str">
        <f t="shared" si="86"/>
        <v>net sales</v>
      </c>
      <c r="G1140" s="7" t="str">
        <f t="shared" si="87"/>
        <v>product 3</v>
      </c>
      <c r="H1140">
        <f t="shared" si="88"/>
        <v>2024</v>
      </c>
      <c r="I1140">
        <f t="shared" si="89"/>
        <v>6</v>
      </c>
      <c r="J1140">
        <f t="shared" si="90"/>
        <v>149.94</v>
      </c>
    </row>
    <row r="1141" spans="1:10" ht="12.5" x14ac:dyDescent="0.25">
      <c r="A1141" s="1">
        <v>45450</v>
      </c>
      <c r="B1141" s="2" t="s">
        <v>7</v>
      </c>
      <c r="C1141" s="3">
        <v>5.99</v>
      </c>
      <c r="D1141" s="3">
        <v>28</v>
      </c>
      <c r="E1141" s="3">
        <v>167.72</v>
      </c>
      <c r="F1141" t="str">
        <f t="shared" si="86"/>
        <v>cogs</v>
      </c>
      <c r="G1141" s="7" t="str">
        <f t="shared" si="87"/>
        <v>product 1</v>
      </c>
      <c r="H1141">
        <f t="shared" si="88"/>
        <v>2024</v>
      </c>
      <c r="I1141">
        <f t="shared" si="89"/>
        <v>6</v>
      </c>
      <c r="J1141">
        <f t="shared" si="90"/>
        <v>1024.18</v>
      </c>
    </row>
    <row r="1142" spans="1:10" ht="12.5" x14ac:dyDescent="0.25">
      <c r="A1142" s="1">
        <v>45450</v>
      </c>
      <c r="B1142" s="2" t="s">
        <v>8</v>
      </c>
      <c r="C1142" s="3">
        <v>16.989999999999998</v>
      </c>
      <c r="D1142" s="3">
        <v>3</v>
      </c>
      <c r="E1142" s="3">
        <v>50.97</v>
      </c>
      <c r="F1142" t="str">
        <f t="shared" si="86"/>
        <v>cogs</v>
      </c>
      <c r="G1142" s="7" t="str">
        <f t="shared" si="87"/>
        <v>product 2</v>
      </c>
      <c r="H1142">
        <f t="shared" si="88"/>
        <v>2024</v>
      </c>
      <c r="I1142">
        <f t="shared" si="89"/>
        <v>6</v>
      </c>
      <c r="J1142">
        <f t="shared" si="90"/>
        <v>-233.61</v>
      </c>
    </row>
    <row r="1143" spans="1:10" ht="12.5" x14ac:dyDescent="0.25">
      <c r="A1143" s="1">
        <v>45450</v>
      </c>
      <c r="B1143" s="2" t="s">
        <v>9</v>
      </c>
      <c r="C1143" s="3">
        <v>8.49</v>
      </c>
      <c r="D1143" s="3">
        <v>198</v>
      </c>
      <c r="E1143" s="3">
        <v>1681.02</v>
      </c>
      <c r="F1143" t="str">
        <f t="shared" si="86"/>
        <v>cogs</v>
      </c>
      <c r="G1143" s="7" t="str">
        <f t="shared" si="87"/>
        <v>product 3</v>
      </c>
      <c r="H1143">
        <f t="shared" si="88"/>
        <v>2024</v>
      </c>
      <c r="I1143">
        <f t="shared" si="89"/>
        <v>6</v>
      </c>
      <c r="J1143">
        <f t="shared" si="90"/>
        <v>-101.94</v>
      </c>
    </row>
    <row r="1144" spans="1:10" ht="12.5" x14ac:dyDescent="0.25">
      <c r="A1144" s="1">
        <v>45450</v>
      </c>
      <c r="B1144" s="2" t="s">
        <v>10</v>
      </c>
      <c r="C1144" s="2" t="s">
        <v>6</v>
      </c>
      <c r="D1144" s="2" t="s">
        <v>6</v>
      </c>
      <c r="E1144" s="3">
        <v>100.05</v>
      </c>
      <c r="F1144" t="str">
        <f t="shared" si="86"/>
        <v>marketing</v>
      </c>
      <c r="G1144" s="7" t="s">
        <v>6</v>
      </c>
      <c r="H1144">
        <f t="shared" si="88"/>
        <v>2024</v>
      </c>
      <c r="I1144">
        <f t="shared" si="89"/>
        <v>6</v>
      </c>
      <c r="J1144">
        <f t="shared" si="90"/>
        <v>-118.86</v>
      </c>
    </row>
    <row r="1145" spans="1:10" ht="12.5" x14ac:dyDescent="0.25">
      <c r="A1145" s="1">
        <v>45450</v>
      </c>
      <c r="B1145" s="2" t="s">
        <v>11</v>
      </c>
      <c r="C1145" s="3">
        <v>9.99</v>
      </c>
      <c r="D1145" s="3">
        <v>28</v>
      </c>
      <c r="E1145" s="3">
        <v>279.72000000000003</v>
      </c>
      <c r="F1145" t="str">
        <f t="shared" si="86"/>
        <v>net sales</v>
      </c>
      <c r="G1145" s="7" t="str">
        <f t="shared" si="87"/>
        <v>product 1</v>
      </c>
      <c r="H1145">
        <f t="shared" si="88"/>
        <v>2024</v>
      </c>
      <c r="I1145">
        <f t="shared" si="89"/>
        <v>6</v>
      </c>
      <c r="J1145">
        <f t="shared" si="90"/>
        <v>-99.93</v>
      </c>
    </row>
    <row r="1146" spans="1:10" ht="12.5" x14ac:dyDescent="0.25">
      <c r="A1146" s="1">
        <v>45450</v>
      </c>
      <c r="B1146" s="2" t="s">
        <v>12</v>
      </c>
      <c r="C1146" s="3">
        <v>24.99</v>
      </c>
      <c r="D1146" s="3">
        <v>3</v>
      </c>
      <c r="E1146" s="3">
        <v>74.97</v>
      </c>
      <c r="F1146" t="str">
        <f t="shared" si="86"/>
        <v>net sales</v>
      </c>
      <c r="G1146" s="7" t="str">
        <f t="shared" si="87"/>
        <v>product 2</v>
      </c>
      <c r="H1146">
        <f t="shared" si="88"/>
        <v>2024</v>
      </c>
      <c r="I1146">
        <f t="shared" si="89"/>
        <v>6</v>
      </c>
      <c r="J1146">
        <f t="shared" si="90"/>
        <v>389.61</v>
      </c>
    </row>
    <row r="1147" spans="1:10" ht="12.5" x14ac:dyDescent="0.25">
      <c r="A1147" s="1">
        <v>45450</v>
      </c>
      <c r="B1147" s="2" t="s">
        <v>13</v>
      </c>
      <c r="C1147" s="3">
        <v>12.49</v>
      </c>
      <c r="D1147" s="3">
        <v>198</v>
      </c>
      <c r="E1147" s="3">
        <v>2473.02</v>
      </c>
      <c r="F1147" t="str">
        <f t="shared" si="86"/>
        <v>net sales</v>
      </c>
      <c r="G1147" s="7" t="str">
        <f t="shared" si="87"/>
        <v>product 3</v>
      </c>
      <c r="H1147">
        <f t="shared" si="88"/>
        <v>2024</v>
      </c>
      <c r="I1147">
        <f t="shared" si="89"/>
        <v>6</v>
      </c>
      <c r="J1147">
        <f t="shared" si="90"/>
        <v>149.94</v>
      </c>
    </row>
    <row r="1148" spans="1:10" ht="12.5" x14ac:dyDescent="0.25">
      <c r="A1148" s="1">
        <v>45450</v>
      </c>
      <c r="B1148" s="2" t="s">
        <v>15</v>
      </c>
      <c r="C1148" s="2" t="s">
        <v>6</v>
      </c>
      <c r="D1148" s="2" t="s">
        <v>6</v>
      </c>
      <c r="E1148" s="3">
        <v>1200</v>
      </c>
      <c r="F1148" t="str">
        <f t="shared" si="86"/>
        <v>payroll</v>
      </c>
      <c r="G1148" s="7" t="s">
        <v>6</v>
      </c>
      <c r="H1148">
        <f t="shared" si="88"/>
        <v>2024</v>
      </c>
      <c r="I1148">
        <f t="shared" si="89"/>
        <v>6</v>
      </c>
      <c r="J1148">
        <f t="shared" si="90"/>
        <v>174.86</v>
      </c>
    </row>
    <row r="1149" spans="1:10" ht="12.5" x14ac:dyDescent="0.25">
      <c r="A1149" s="1">
        <v>45451</v>
      </c>
      <c r="B1149" s="2" t="s">
        <v>7</v>
      </c>
      <c r="C1149" s="3">
        <v>5.99</v>
      </c>
      <c r="D1149" s="3">
        <v>81</v>
      </c>
      <c r="E1149" s="3">
        <v>485.19</v>
      </c>
      <c r="F1149" t="str">
        <f t="shared" si="86"/>
        <v>cogs</v>
      </c>
      <c r="G1149" s="7" t="str">
        <f t="shared" si="87"/>
        <v>product 1</v>
      </c>
      <c r="H1149">
        <f t="shared" si="88"/>
        <v>2024</v>
      </c>
      <c r="I1149">
        <f t="shared" si="89"/>
        <v>6</v>
      </c>
      <c r="J1149">
        <f t="shared" si="90"/>
        <v>-539.1</v>
      </c>
    </row>
    <row r="1150" spans="1:10" ht="12.5" x14ac:dyDescent="0.25">
      <c r="A1150" s="1">
        <v>45451</v>
      </c>
      <c r="B1150" s="2" t="s">
        <v>8</v>
      </c>
      <c r="C1150" s="3">
        <v>16.989999999999998</v>
      </c>
      <c r="D1150" s="3">
        <v>10</v>
      </c>
      <c r="E1150" s="3">
        <v>169.89999999999998</v>
      </c>
      <c r="F1150" t="str">
        <f t="shared" si="86"/>
        <v>cogs</v>
      </c>
      <c r="G1150" s="7" t="str">
        <f t="shared" si="87"/>
        <v>product 2</v>
      </c>
      <c r="H1150">
        <f t="shared" si="88"/>
        <v>2024</v>
      </c>
      <c r="I1150">
        <f t="shared" si="89"/>
        <v>6</v>
      </c>
      <c r="J1150">
        <f t="shared" si="90"/>
        <v>-67.959999999999994</v>
      </c>
    </row>
    <row r="1151" spans="1:10" ht="12.5" x14ac:dyDescent="0.25">
      <c r="A1151" s="1">
        <v>45451</v>
      </c>
      <c r="B1151" s="2" t="s">
        <v>9</v>
      </c>
      <c r="C1151" s="3">
        <v>8.49</v>
      </c>
      <c r="D1151" s="3">
        <v>74</v>
      </c>
      <c r="E1151" s="3">
        <v>628.26</v>
      </c>
      <c r="F1151" t="str">
        <f t="shared" si="86"/>
        <v>cogs</v>
      </c>
      <c r="G1151" s="7" t="str">
        <f t="shared" si="87"/>
        <v>product 3</v>
      </c>
      <c r="H1151">
        <f t="shared" si="88"/>
        <v>2024</v>
      </c>
      <c r="I1151">
        <f t="shared" si="89"/>
        <v>6</v>
      </c>
      <c r="J1151">
        <f t="shared" si="90"/>
        <v>-1171.6200000000001</v>
      </c>
    </row>
    <row r="1152" spans="1:10" ht="12.5" x14ac:dyDescent="0.25">
      <c r="A1152" s="1">
        <v>45451</v>
      </c>
      <c r="B1152" s="2" t="s">
        <v>10</v>
      </c>
      <c r="C1152" s="2" t="s">
        <v>6</v>
      </c>
      <c r="D1152" s="2" t="s">
        <v>6</v>
      </c>
      <c r="E1152" s="3">
        <v>100.02</v>
      </c>
      <c r="F1152" t="str">
        <f t="shared" si="86"/>
        <v>marketing</v>
      </c>
      <c r="G1152" s="7" t="s">
        <v>6</v>
      </c>
      <c r="H1152">
        <f t="shared" si="88"/>
        <v>2024</v>
      </c>
      <c r="I1152">
        <f t="shared" si="89"/>
        <v>6</v>
      </c>
      <c r="J1152">
        <f t="shared" si="90"/>
        <v>-99.95</v>
      </c>
    </row>
    <row r="1153" spans="1:10" ht="12.5" x14ac:dyDescent="0.25">
      <c r="A1153" s="1">
        <v>45451</v>
      </c>
      <c r="B1153" s="2" t="s">
        <v>11</v>
      </c>
      <c r="C1153" s="3">
        <v>9.99</v>
      </c>
      <c r="D1153" s="3">
        <v>81</v>
      </c>
      <c r="E1153" s="3">
        <v>809.19</v>
      </c>
      <c r="F1153" t="str">
        <f t="shared" si="86"/>
        <v>net sales</v>
      </c>
      <c r="G1153" s="7" t="str">
        <f t="shared" si="87"/>
        <v>product 1</v>
      </c>
      <c r="H1153">
        <f t="shared" si="88"/>
        <v>2024</v>
      </c>
      <c r="I1153">
        <f t="shared" si="89"/>
        <v>6</v>
      </c>
      <c r="J1153">
        <f t="shared" si="90"/>
        <v>899.1</v>
      </c>
    </row>
    <row r="1154" spans="1:10" ht="12.5" x14ac:dyDescent="0.25">
      <c r="A1154" s="1">
        <v>45451</v>
      </c>
      <c r="B1154" s="2" t="s">
        <v>12</v>
      </c>
      <c r="C1154" s="3">
        <v>24.99</v>
      </c>
      <c r="D1154" s="3">
        <v>10</v>
      </c>
      <c r="E1154" s="3">
        <v>249.89999999999998</v>
      </c>
      <c r="F1154" t="str">
        <f t="shared" si="86"/>
        <v>net sales</v>
      </c>
      <c r="G1154" s="7" t="str">
        <f t="shared" si="87"/>
        <v>product 2</v>
      </c>
      <c r="H1154">
        <f t="shared" si="88"/>
        <v>2024</v>
      </c>
      <c r="I1154">
        <f t="shared" si="89"/>
        <v>6</v>
      </c>
      <c r="J1154">
        <f t="shared" si="90"/>
        <v>99.96</v>
      </c>
    </row>
    <row r="1155" spans="1:10" ht="12.5" x14ac:dyDescent="0.25">
      <c r="A1155" s="1">
        <v>45451</v>
      </c>
      <c r="B1155" s="2" t="s">
        <v>13</v>
      </c>
      <c r="C1155" s="3">
        <v>12.49</v>
      </c>
      <c r="D1155" s="3">
        <v>74</v>
      </c>
      <c r="E1155" s="3">
        <v>924.26</v>
      </c>
      <c r="F1155" t="str">
        <f t="shared" ref="F1155:F1218" si="91">IFERROR(LEFT(B1155,FIND(":",B1155)-1),B1155)</f>
        <v>net sales</v>
      </c>
      <c r="G1155" s="7" t="str">
        <f t="shared" ref="G1155:G1218" si="92">IFERROR(RIGHT(B1155,LEN(B1155)-FIND(":",B1155)),"")</f>
        <v>product 3</v>
      </c>
      <c r="H1155">
        <f t="shared" ref="H1155:H1218" si="93">YEAR(A1155)</f>
        <v>2024</v>
      </c>
      <c r="I1155">
        <f t="shared" ref="I1155:I1218" si="94">MONTH(A1155)</f>
        <v>6</v>
      </c>
      <c r="J1155">
        <f t="shared" si="90"/>
        <v>1723.6200000000001</v>
      </c>
    </row>
    <row r="1156" spans="1:10" ht="12.5" x14ac:dyDescent="0.25">
      <c r="A1156" s="1">
        <v>45452</v>
      </c>
      <c r="B1156" s="2" t="s">
        <v>7</v>
      </c>
      <c r="C1156" s="3">
        <v>5.99</v>
      </c>
      <c r="D1156" s="3">
        <v>69</v>
      </c>
      <c r="E1156" s="3">
        <v>413.31</v>
      </c>
      <c r="F1156" t="str">
        <f t="shared" si="91"/>
        <v>cogs</v>
      </c>
      <c r="G1156" s="7" t="str">
        <f t="shared" si="92"/>
        <v>product 1</v>
      </c>
      <c r="H1156">
        <f t="shared" si="93"/>
        <v>2024</v>
      </c>
      <c r="I1156">
        <f t="shared" si="94"/>
        <v>6</v>
      </c>
      <c r="J1156">
        <f t="shared" si="90"/>
        <v>-383.36</v>
      </c>
    </row>
    <row r="1157" spans="1:10" ht="12.5" x14ac:dyDescent="0.25">
      <c r="A1157" s="1">
        <v>45452</v>
      </c>
      <c r="B1157" s="2" t="s">
        <v>8</v>
      </c>
      <c r="C1157" s="3">
        <v>16.989999999999998</v>
      </c>
      <c r="D1157" s="3">
        <v>4</v>
      </c>
      <c r="E1157" s="3">
        <v>67.959999999999994</v>
      </c>
      <c r="F1157" t="str">
        <f t="shared" si="91"/>
        <v>cogs</v>
      </c>
      <c r="G1157" s="7" t="str">
        <f t="shared" si="92"/>
        <v>product 2</v>
      </c>
      <c r="H1157">
        <f t="shared" si="93"/>
        <v>2024</v>
      </c>
      <c r="I1157">
        <f t="shared" si="94"/>
        <v>6</v>
      </c>
      <c r="J1157">
        <f t="shared" si="90"/>
        <v>-169.89999999999998</v>
      </c>
    </row>
    <row r="1158" spans="1:10" ht="12.5" x14ac:dyDescent="0.25">
      <c r="A1158" s="1">
        <v>45452</v>
      </c>
      <c r="B1158" s="2" t="s">
        <v>9</v>
      </c>
      <c r="C1158" s="3">
        <v>8.49</v>
      </c>
      <c r="D1158" s="3">
        <v>152</v>
      </c>
      <c r="E1158" s="3">
        <v>1290.48</v>
      </c>
      <c r="F1158" t="str">
        <f t="shared" si="91"/>
        <v>cogs</v>
      </c>
      <c r="G1158" s="7" t="str">
        <f t="shared" si="92"/>
        <v>product 3</v>
      </c>
      <c r="H1158">
        <f t="shared" si="93"/>
        <v>2024</v>
      </c>
      <c r="I1158">
        <f t="shared" si="94"/>
        <v>6</v>
      </c>
      <c r="J1158">
        <f t="shared" si="90"/>
        <v>-280.17</v>
      </c>
    </row>
    <row r="1159" spans="1:10" ht="12.5" x14ac:dyDescent="0.25">
      <c r="A1159" s="1">
        <v>45452</v>
      </c>
      <c r="B1159" s="2" t="s">
        <v>10</v>
      </c>
      <c r="C1159" s="2" t="s">
        <v>6</v>
      </c>
      <c r="D1159" s="2" t="s">
        <v>6</v>
      </c>
      <c r="E1159" s="3">
        <v>99.990000000000009</v>
      </c>
      <c r="F1159" t="str">
        <f t="shared" si="91"/>
        <v>marketing</v>
      </c>
      <c r="G1159" s="7" t="s">
        <v>6</v>
      </c>
      <c r="H1159">
        <f t="shared" si="93"/>
        <v>2024</v>
      </c>
      <c r="I1159">
        <f t="shared" si="94"/>
        <v>6</v>
      </c>
      <c r="J1159">
        <f t="shared" si="90"/>
        <v>-99.93</v>
      </c>
    </row>
    <row r="1160" spans="1:10" ht="12.5" x14ac:dyDescent="0.25">
      <c r="A1160" s="1">
        <v>45452</v>
      </c>
      <c r="B1160" s="2" t="s">
        <v>11</v>
      </c>
      <c r="C1160" s="3">
        <v>9.99</v>
      </c>
      <c r="D1160" s="3">
        <v>69</v>
      </c>
      <c r="E1160" s="3">
        <v>689.31000000000006</v>
      </c>
      <c r="F1160" t="str">
        <f t="shared" si="91"/>
        <v>net sales</v>
      </c>
      <c r="G1160" s="7" t="str">
        <f t="shared" si="92"/>
        <v>product 1</v>
      </c>
      <c r="H1160">
        <f t="shared" si="93"/>
        <v>2024</v>
      </c>
      <c r="I1160">
        <f t="shared" si="94"/>
        <v>6</v>
      </c>
      <c r="J1160">
        <f t="shared" si="90"/>
        <v>639.36</v>
      </c>
    </row>
    <row r="1161" spans="1:10" ht="12.5" x14ac:dyDescent="0.25">
      <c r="A1161" s="1">
        <v>45452</v>
      </c>
      <c r="B1161" s="2" t="s">
        <v>12</v>
      </c>
      <c r="C1161" s="3">
        <v>24.99</v>
      </c>
      <c r="D1161" s="3">
        <v>4</v>
      </c>
      <c r="E1161" s="3">
        <v>99.96</v>
      </c>
      <c r="F1161" t="str">
        <f t="shared" si="91"/>
        <v>net sales</v>
      </c>
      <c r="G1161" s="7" t="str">
        <f t="shared" si="92"/>
        <v>product 2</v>
      </c>
      <c r="H1161">
        <f t="shared" si="93"/>
        <v>2024</v>
      </c>
      <c r="I1161">
        <f t="shared" si="94"/>
        <v>6</v>
      </c>
      <c r="J1161">
        <f t="shared" si="90"/>
        <v>249.89999999999998</v>
      </c>
    </row>
    <row r="1162" spans="1:10" ht="12.5" x14ac:dyDescent="0.25">
      <c r="A1162" s="1">
        <v>45452</v>
      </c>
      <c r="B1162" s="2" t="s">
        <v>13</v>
      </c>
      <c r="C1162" s="3">
        <v>12.49</v>
      </c>
      <c r="D1162" s="3">
        <v>152</v>
      </c>
      <c r="E1162" s="3">
        <v>1898.48</v>
      </c>
      <c r="F1162" t="str">
        <f t="shared" si="91"/>
        <v>net sales</v>
      </c>
      <c r="G1162" s="7" t="str">
        <f t="shared" si="92"/>
        <v>product 3</v>
      </c>
      <c r="H1162">
        <f t="shared" si="93"/>
        <v>2024</v>
      </c>
      <c r="I1162">
        <f t="shared" si="94"/>
        <v>6</v>
      </c>
      <c r="J1162">
        <f t="shared" si="90"/>
        <v>412.17</v>
      </c>
    </row>
    <row r="1163" spans="1:10" ht="12.5" x14ac:dyDescent="0.25">
      <c r="A1163" s="1">
        <v>45453</v>
      </c>
      <c r="B1163" s="2" t="s">
        <v>7</v>
      </c>
      <c r="C1163" s="3">
        <v>5.99</v>
      </c>
      <c r="D1163" s="3">
        <v>24</v>
      </c>
      <c r="E1163" s="3">
        <v>143.76</v>
      </c>
      <c r="F1163" t="str">
        <f t="shared" si="91"/>
        <v>cogs</v>
      </c>
      <c r="G1163" s="7" t="str">
        <f t="shared" si="92"/>
        <v>product 1</v>
      </c>
      <c r="H1163">
        <f t="shared" si="93"/>
        <v>2024</v>
      </c>
      <c r="I1163">
        <f t="shared" si="94"/>
        <v>6</v>
      </c>
      <c r="J1163">
        <f t="shared" si="90"/>
        <v>-1200</v>
      </c>
    </row>
    <row r="1164" spans="1:10" ht="12.5" x14ac:dyDescent="0.25">
      <c r="A1164" s="1">
        <v>45453</v>
      </c>
      <c r="B1164" s="2" t="s">
        <v>8</v>
      </c>
      <c r="C1164" s="3">
        <v>16.989999999999998</v>
      </c>
      <c r="D1164" s="3">
        <v>7</v>
      </c>
      <c r="E1164" s="3">
        <v>118.92999999999999</v>
      </c>
      <c r="F1164" t="str">
        <f t="shared" si="91"/>
        <v>cogs</v>
      </c>
      <c r="G1164" s="7" t="str">
        <f t="shared" si="92"/>
        <v>product 2</v>
      </c>
      <c r="H1164">
        <f t="shared" si="93"/>
        <v>2024</v>
      </c>
      <c r="I1164">
        <f t="shared" si="94"/>
        <v>6</v>
      </c>
      <c r="J1164">
        <f t="shared" si="90"/>
        <v>-179.70000000000002</v>
      </c>
    </row>
    <row r="1165" spans="1:10" ht="12.5" x14ac:dyDescent="0.25">
      <c r="A1165" s="1">
        <v>45453</v>
      </c>
      <c r="B1165" s="2" t="s">
        <v>9</v>
      </c>
      <c r="C1165" s="3">
        <v>8.49</v>
      </c>
      <c r="D1165" s="3">
        <v>20</v>
      </c>
      <c r="E1165" s="3">
        <v>169.8</v>
      </c>
      <c r="F1165" t="str">
        <f t="shared" si="91"/>
        <v>cogs</v>
      </c>
      <c r="G1165" s="7" t="str">
        <f t="shared" si="92"/>
        <v>product 3</v>
      </c>
      <c r="H1165">
        <f t="shared" si="93"/>
        <v>2024</v>
      </c>
      <c r="I1165">
        <f t="shared" si="94"/>
        <v>6</v>
      </c>
      <c r="J1165">
        <f t="shared" si="90"/>
        <v>-84.949999999999989</v>
      </c>
    </row>
    <row r="1166" spans="1:10" ht="12.5" x14ac:dyDescent="0.25">
      <c r="A1166" s="1">
        <v>45453</v>
      </c>
      <c r="B1166" s="2" t="s">
        <v>10</v>
      </c>
      <c r="C1166" s="2" t="s">
        <v>6</v>
      </c>
      <c r="D1166" s="2" t="s">
        <v>6</v>
      </c>
      <c r="E1166" s="3">
        <v>99.95</v>
      </c>
      <c r="F1166" t="str">
        <f t="shared" si="91"/>
        <v>marketing</v>
      </c>
      <c r="G1166" s="7" t="s">
        <v>6</v>
      </c>
      <c r="H1166">
        <f t="shared" si="93"/>
        <v>2024</v>
      </c>
      <c r="I1166">
        <f t="shared" si="94"/>
        <v>6</v>
      </c>
      <c r="J1166">
        <f t="shared" si="90"/>
        <v>-432.99</v>
      </c>
    </row>
    <row r="1167" spans="1:10" ht="12.5" x14ac:dyDescent="0.25">
      <c r="A1167" s="1">
        <v>45453</v>
      </c>
      <c r="B1167" s="2" t="s">
        <v>11</v>
      </c>
      <c r="C1167" s="3">
        <v>9.99</v>
      </c>
      <c r="D1167" s="3">
        <v>24</v>
      </c>
      <c r="E1167" s="3">
        <v>239.76</v>
      </c>
      <c r="F1167" t="str">
        <f t="shared" si="91"/>
        <v>net sales</v>
      </c>
      <c r="G1167" s="7" t="str">
        <f t="shared" si="92"/>
        <v>product 1</v>
      </c>
      <c r="H1167">
        <f t="shared" si="93"/>
        <v>2024</v>
      </c>
      <c r="I1167">
        <f t="shared" si="94"/>
        <v>6</v>
      </c>
      <c r="J1167">
        <f t="shared" si="90"/>
        <v>-100.05</v>
      </c>
    </row>
    <row r="1168" spans="1:10" ht="12.5" x14ac:dyDescent="0.25">
      <c r="A1168" s="1">
        <v>45453</v>
      </c>
      <c r="B1168" s="2" t="s">
        <v>12</v>
      </c>
      <c r="C1168" s="3">
        <v>24.99</v>
      </c>
      <c r="D1168" s="3">
        <v>7</v>
      </c>
      <c r="E1168" s="3">
        <v>174.92999999999998</v>
      </c>
      <c r="F1168" t="str">
        <f t="shared" si="91"/>
        <v>net sales</v>
      </c>
      <c r="G1168" s="7" t="str">
        <f t="shared" si="92"/>
        <v>product 2</v>
      </c>
      <c r="H1168">
        <f t="shared" si="93"/>
        <v>2024</v>
      </c>
      <c r="I1168">
        <f t="shared" si="94"/>
        <v>6</v>
      </c>
      <c r="J1168">
        <f t="shared" si="90"/>
        <v>299.7</v>
      </c>
    </row>
    <row r="1169" spans="1:10" ht="12.5" x14ac:dyDescent="0.25">
      <c r="A1169" s="1">
        <v>45453</v>
      </c>
      <c r="B1169" s="2" t="s">
        <v>13</v>
      </c>
      <c r="C1169" s="3">
        <v>12.49</v>
      </c>
      <c r="D1169" s="3">
        <v>20</v>
      </c>
      <c r="E1169" s="3">
        <v>249.8</v>
      </c>
      <c r="F1169" t="str">
        <f t="shared" si="91"/>
        <v>net sales</v>
      </c>
      <c r="G1169" s="7" t="str">
        <f t="shared" si="92"/>
        <v>product 3</v>
      </c>
      <c r="H1169">
        <f t="shared" si="93"/>
        <v>2024</v>
      </c>
      <c r="I1169">
        <f t="shared" si="94"/>
        <v>6</v>
      </c>
      <c r="J1169">
        <f t="shared" si="90"/>
        <v>124.94999999999999</v>
      </c>
    </row>
    <row r="1170" spans="1:10" ht="12.5" x14ac:dyDescent="0.25">
      <c r="A1170" s="1">
        <v>45454</v>
      </c>
      <c r="B1170" s="2" t="s">
        <v>7</v>
      </c>
      <c r="C1170" s="3">
        <v>5.99</v>
      </c>
      <c r="D1170" s="3">
        <v>14</v>
      </c>
      <c r="E1170" s="3">
        <v>83.86</v>
      </c>
      <c r="F1170" t="str">
        <f t="shared" si="91"/>
        <v>cogs</v>
      </c>
      <c r="G1170" s="7" t="str">
        <f t="shared" si="92"/>
        <v>product 1</v>
      </c>
      <c r="H1170">
        <f t="shared" si="93"/>
        <v>2024</v>
      </c>
      <c r="I1170">
        <f t="shared" si="94"/>
        <v>6</v>
      </c>
      <c r="J1170">
        <f t="shared" si="90"/>
        <v>636.99</v>
      </c>
    </row>
    <row r="1171" spans="1:10" ht="12.5" x14ac:dyDescent="0.25">
      <c r="A1171" s="1">
        <v>45454</v>
      </c>
      <c r="B1171" s="2" t="s">
        <v>8</v>
      </c>
      <c r="C1171" s="3">
        <v>16.989999999999998</v>
      </c>
      <c r="D1171" s="3">
        <v>6</v>
      </c>
      <c r="E1171" s="3">
        <v>101.94</v>
      </c>
      <c r="F1171" t="str">
        <f t="shared" si="91"/>
        <v>cogs</v>
      </c>
      <c r="G1171" s="7" t="str">
        <f t="shared" si="92"/>
        <v>product 2</v>
      </c>
      <c r="H1171">
        <f t="shared" si="93"/>
        <v>2024</v>
      </c>
      <c r="I1171">
        <f t="shared" si="94"/>
        <v>6</v>
      </c>
      <c r="J1171">
        <f t="shared" si="90"/>
        <v>-101.83</v>
      </c>
    </row>
    <row r="1172" spans="1:10" ht="12.5" x14ac:dyDescent="0.25">
      <c r="A1172" s="1">
        <v>45454</v>
      </c>
      <c r="B1172" s="2" t="s">
        <v>9</v>
      </c>
      <c r="C1172" s="3">
        <v>8.49</v>
      </c>
      <c r="D1172" s="3">
        <v>0</v>
      </c>
      <c r="E1172" s="2">
        <f>C1172*D1172</f>
        <v>0</v>
      </c>
      <c r="F1172" t="str">
        <f t="shared" si="91"/>
        <v>cogs</v>
      </c>
      <c r="G1172" s="7" t="str">
        <f t="shared" si="92"/>
        <v>product 3</v>
      </c>
      <c r="H1172">
        <f t="shared" si="93"/>
        <v>2024</v>
      </c>
      <c r="I1172">
        <f t="shared" si="94"/>
        <v>6</v>
      </c>
      <c r="J1172">
        <f t="shared" si="90"/>
        <v>-67.959999999999994</v>
      </c>
    </row>
    <row r="1173" spans="1:10" ht="12.5" x14ac:dyDescent="0.25">
      <c r="A1173" s="1">
        <v>45454</v>
      </c>
      <c r="B1173" s="2" t="s">
        <v>10</v>
      </c>
      <c r="C1173" s="2" t="s">
        <v>6</v>
      </c>
      <c r="D1173" s="2" t="s">
        <v>6</v>
      </c>
      <c r="E1173" s="3">
        <v>99.98</v>
      </c>
      <c r="F1173" t="str">
        <f t="shared" si="91"/>
        <v>marketing</v>
      </c>
      <c r="G1173" s="7" t="s">
        <v>6</v>
      </c>
      <c r="H1173">
        <f t="shared" si="93"/>
        <v>2024</v>
      </c>
      <c r="I1173">
        <f t="shared" si="94"/>
        <v>6</v>
      </c>
      <c r="J1173">
        <f t="shared" si="90"/>
        <v>-1214.07</v>
      </c>
    </row>
    <row r="1174" spans="1:10" ht="12.5" x14ac:dyDescent="0.25">
      <c r="A1174" s="1">
        <v>45454</v>
      </c>
      <c r="B1174" s="2" t="s">
        <v>11</v>
      </c>
      <c r="C1174" s="3">
        <v>9.99</v>
      </c>
      <c r="D1174" s="3">
        <v>14</v>
      </c>
      <c r="E1174" s="3">
        <v>139.86000000000001</v>
      </c>
      <c r="F1174" t="str">
        <f t="shared" si="91"/>
        <v>net sales</v>
      </c>
      <c r="G1174" s="7" t="str">
        <f t="shared" si="92"/>
        <v>product 1</v>
      </c>
      <c r="H1174">
        <f t="shared" si="93"/>
        <v>2024</v>
      </c>
      <c r="I1174">
        <f t="shared" si="94"/>
        <v>6</v>
      </c>
      <c r="J1174">
        <f t="shared" si="90"/>
        <v>-100.08</v>
      </c>
    </row>
    <row r="1175" spans="1:10" ht="12.5" x14ac:dyDescent="0.25">
      <c r="A1175" s="1">
        <v>45454</v>
      </c>
      <c r="B1175" s="2" t="s">
        <v>12</v>
      </c>
      <c r="C1175" s="3">
        <v>24.99</v>
      </c>
      <c r="D1175" s="3">
        <v>6</v>
      </c>
      <c r="E1175" s="3">
        <v>149.94</v>
      </c>
      <c r="F1175" t="str">
        <f t="shared" si="91"/>
        <v>net sales</v>
      </c>
      <c r="G1175" s="7" t="str">
        <f t="shared" si="92"/>
        <v>product 2</v>
      </c>
      <c r="H1175">
        <f t="shared" si="93"/>
        <v>2024</v>
      </c>
      <c r="I1175">
        <f t="shared" si="94"/>
        <v>6</v>
      </c>
      <c r="J1175">
        <f t="shared" si="90"/>
        <v>169.83</v>
      </c>
    </row>
    <row r="1176" spans="1:10" ht="12.5" x14ac:dyDescent="0.25">
      <c r="A1176" s="1">
        <v>45454</v>
      </c>
      <c r="B1176" s="2" t="s">
        <v>13</v>
      </c>
      <c r="C1176" s="3">
        <v>12.49</v>
      </c>
      <c r="D1176" s="3">
        <v>0</v>
      </c>
      <c r="E1176" s="2">
        <f t="shared" ref="E1176:E1177" si="95">C1176*D1176</f>
        <v>0</v>
      </c>
      <c r="F1176" t="str">
        <f t="shared" si="91"/>
        <v>net sales</v>
      </c>
      <c r="G1176" s="7" t="str">
        <f t="shared" si="92"/>
        <v>product 3</v>
      </c>
      <c r="H1176">
        <f t="shared" si="93"/>
        <v>2024</v>
      </c>
      <c r="I1176">
        <f t="shared" si="94"/>
        <v>6</v>
      </c>
      <c r="J1176">
        <f t="shared" si="90"/>
        <v>99.96</v>
      </c>
    </row>
    <row r="1177" spans="1:10" ht="12.5" x14ac:dyDescent="0.25">
      <c r="A1177" s="1">
        <v>45455</v>
      </c>
      <c r="B1177" s="2" t="s">
        <v>7</v>
      </c>
      <c r="C1177" s="3">
        <v>5.99</v>
      </c>
      <c r="D1177" s="3">
        <v>0</v>
      </c>
      <c r="E1177" s="2">
        <f t="shared" si="95"/>
        <v>0</v>
      </c>
      <c r="F1177" t="str">
        <f t="shared" si="91"/>
        <v>cogs</v>
      </c>
      <c r="G1177" s="7" t="str">
        <f t="shared" si="92"/>
        <v>product 1</v>
      </c>
      <c r="H1177">
        <f t="shared" si="93"/>
        <v>2024</v>
      </c>
      <c r="I1177">
        <f t="shared" si="94"/>
        <v>6</v>
      </c>
      <c r="J1177">
        <f t="shared" si="90"/>
        <v>1786.07</v>
      </c>
    </row>
    <row r="1178" spans="1:10" ht="12.5" x14ac:dyDescent="0.25">
      <c r="A1178" s="1">
        <v>45455</v>
      </c>
      <c r="B1178" s="2" t="s">
        <v>8</v>
      </c>
      <c r="C1178" s="3">
        <v>16.989999999999998</v>
      </c>
      <c r="D1178" s="3">
        <v>3</v>
      </c>
      <c r="E1178" s="3">
        <v>50.97</v>
      </c>
      <c r="F1178" t="str">
        <f t="shared" si="91"/>
        <v>cogs</v>
      </c>
      <c r="G1178" s="7" t="str">
        <f t="shared" si="92"/>
        <v>product 2</v>
      </c>
      <c r="H1178">
        <f t="shared" si="93"/>
        <v>2024</v>
      </c>
      <c r="I1178">
        <f t="shared" si="94"/>
        <v>6</v>
      </c>
      <c r="J1178">
        <f t="shared" si="90"/>
        <v>-299.5</v>
      </c>
    </row>
    <row r="1179" spans="1:10" ht="12.5" x14ac:dyDescent="0.25">
      <c r="A1179" s="1">
        <v>45455</v>
      </c>
      <c r="B1179" s="2" t="s">
        <v>9</v>
      </c>
      <c r="C1179" s="3">
        <v>8.49</v>
      </c>
      <c r="D1179" s="3">
        <v>200</v>
      </c>
      <c r="E1179" s="3">
        <v>1698</v>
      </c>
      <c r="F1179" t="str">
        <f t="shared" si="91"/>
        <v>cogs</v>
      </c>
      <c r="G1179" s="7" t="str">
        <f t="shared" si="92"/>
        <v>product 3</v>
      </c>
      <c r="H1179">
        <f t="shared" si="93"/>
        <v>2024</v>
      </c>
      <c r="I1179">
        <f t="shared" si="94"/>
        <v>6</v>
      </c>
      <c r="J1179">
        <f t="shared" si="90"/>
        <v>-169.89999999999998</v>
      </c>
    </row>
    <row r="1180" spans="1:10" ht="12.5" x14ac:dyDescent="0.25">
      <c r="A1180" s="1">
        <v>45455</v>
      </c>
      <c r="B1180" s="2" t="s">
        <v>10</v>
      </c>
      <c r="C1180" s="2" t="s">
        <v>6</v>
      </c>
      <c r="D1180" s="2" t="s">
        <v>6</v>
      </c>
      <c r="E1180" s="3">
        <v>100.02</v>
      </c>
      <c r="F1180" t="str">
        <f t="shared" si="91"/>
        <v>marketing</v>
      </c>
      <c r="G1180" s="7" t="s">
        <v>6</v>
      </c>
      <c r="H1180">
        <f t="shared" si="93"/>
        <v>2024</v>
      </c>
      <c r="I1180">
        <f t="shared" si="94"/>
        <v>6</v>
      </c>
      <c r="J1180">
        <f t="shared" ref="J1180:J1243" si="96">IF(F963="net sales",E963,
IF(F963="cogs",-E963,
IF(OR(F963="marketing",F963="overhead",F963="payroll",F963="interest","amortization"),-E963,0)))</f>
        <v>-2012.13</v>
      </c>
    </row>
    <row r="1181" spans="1:10" ht="12.5" x14ac:dyDescent="0.25">
      <c r="A1181" s="1">
        <v>45455</v>
      </c>
      <c r="B1181" s="2" t="s">
        <v>11</v>
      </c>
      <c r="C1181" s="3">
        <v>9.99</v>
      </c>
      <c r="D1181" s="3">
        <v>0</v>
      </c>
      <c r="E1181" s="2">
        <f>C1181*D1181</f>
        <v>0</v>
      </c>
      <c r="F1181" t="str">
        <f t="shared" si="91"/>
        <v>net sales</v>
      </c>
      <c r="G1181" s="7" t="str">
        <f t="shared" si="92"/>
        <v>product 1</v>
      </c>
      <c r="H1181">
        <f t="shared" si="93"/>
        <v>2024</v>
      </c>
      <c r="I1181">
        <f t="shared" si="94"/>
        <v>6</v>
      </c>
      <c r="J1181">
        <f t="shared" si="96"/>
        <v>-99.97</v>
      </c>
    </row>
    <row r="1182" spans="1:10" ht="12.5" x14ac:dyDescent="0.25">
      <c r="A1182" s="1">
        <v>45455</v>
      </c>
      <c r="B1182" s="2" t="s">
        <v>12</v>
      </c>
      <c r="C1182" s="3">
        <v>24.99</v>
      </c>
      <c r="D1182" s="3">
        <v>3</v>
      </c>
      <c r="E1182" s="3">
        <v>74.97</v>
      </c>
      <c r="F1182" t="str">
        <f t="shared" si="91"/>
        <v>net sales</v>
      </c>
      <c r="G1182" s="7" t="str">
        <f t="shared" si="92"/>
        <v>product 2</v>
      </c>
      <c r="H1182">
        <f t="shared" si="93"/>
        <v>2024</v>
      </c>
      <c r="I1182">
        <f t="shared" si="94"/>
        <v>6</v>
      </c>
      <c r="J1182">
        <f t="shared" si="96"/>
        <v>499.5</v>
      </c>
    </row>
    <row r="1183" spans="1:10" ht="12.5" x14ac:dyDescent="0.25">
      <c r="A1183" s="1">
        <v>45455</v>
      </c>
      <c r="B1183" s="2" t="s">
        <v>13</v>
      </c>
      <c r="C1183" s="3">
        <v>12.49</v>
      </c>
      <c r="D1183" s="3">
        <v>200</v>
      </c>
      <c r="E1183" s="3">
        <v>2498</v>
      </c>
      <c r="F1183" t="str">
        <f t="shared" si="91"/>
        <v>net sales</v>
      </c>
      <c r="G1183" s="7" t="str">
        <f t="shared" si="92"/>
        <v>product 3</v>
      </c>
      <c r="H1183">
        <f t="shared" si="93"/>
        <v>2024</v>
      </c>
      <c r="I1183">
        <f t="shared" si="94"/>
        <v>6</v>
      </c>
      <c r="J1183">
        <f t="shared" si="96"/>
        <v>249.89999999999998</v>
      </c>
    </row>
    <row r="1184" spans="1:10" ht="12.5" x14ac:dyDescent="0.25">
      <c r="A1184" s="1">
        <v>45456</v>
      </c>
      <c r="B1184" s="2" t="s">
        <v>7</v>
      </c>
      <c r="C1184" s="3">
        <v>5.99</v>
      </c>
      <c r="D1184" s="3">
        <v>26</v>
      </c>
      <c r="E1184" s="3">
        <v>155.74</v>
      </c>
      <c r="F1184" t="str">
        <f t="shared" si="91"/>
        <v>cogs</v>
      </c>
      <c r="G1184" s="7" t="str">
        <f t="shared" si="92"/>
        <v>product 1</v>
      </c>
      <c r="H1184">
        <f t="shared" si="93"/>
        <v>2024</v>
      </c>
      <c r="I1184">
        <f t="shared" si="94"/>
        <v>6</v>
      </c>
      <c r="J1184">
        <f t="shared" si="96"/>
        <v>2960.13</v>
      </c>
    </row>
    <row r="1185" spans="1:10" ht="12.5" x14ac:dyDescent="0.25">
      <c r="A1185" s="1">
        <v>45456</v>
      </c>
      <c r="B1185" s="2" t="s">
        <v>8</v>
      </c>
      <c r="C1185" s="3">
        <v>16.989999999999998</v>
      </c>
      <c r="D1185" s="3">
        <v>6</v>
      </c>
      <c r="E1185" s="3">
        <v>101.94</v>
      </c>
      <c r="F1185" t="str">
        <f t="shared" si="91"/>
        <v>cogs</v>
      </c>
      <c r="G1185" s="7" t="str">
        <f t="shared" si="92"/>
        <v>product 2</v>
      </c>
      <c r="H1185">
        <f t="shared" si="93"/>
        <v>2024</v>
      </c>
      <c r="I1185">
        <f t="shared" si="94"/>
        <v>6</v>
      </c>
      <c r="J1185">
        <f t="shared" si="96"/>
        <v>-377.37</v>
      </c>
    </row>
    <row r="1186" spans="1:10" ht="12.5" x14ac:dyDescent="0.25">
      <c r="A1186" s="1">
        <v>45456</v>
      </c>
      <c r="B1186" s="2" t="s">
        <v>9</v>
      </c>
      <c r="C1186" s="3">
        <v>8.49</v>
      </c>
      <c r="D1186" s="3">
        <v>50</v>
      </c>
      <c r="E1186" s="3">
        <v>424.5</v>
      </c>
      <c r="F1186" t="str">
        <f t="shared" si="91"/>
        <v>cogs</v>
      </c>
      <c r="G1186" s="7" t="str">
        <f t="shared" si="92"/>
        <v>product 3</v>
      </c>
      <c r="H1186">
        <f t="shared" si="93"/>
        <v>2024</v>
      </c>
      <c r="I1186">
        <f t="shared" si="94"/>
        <v>6</v>
      </c>
      <c r="J1186">
        <f t="shared" si="96"/>
        <v>-50.97</v>
      </c>
    </row>
    <row r="1187" spans="1:10" ht="12.5" x14ac:dyDescent="0.25">
      <c r="A1187" s="1">
        <v>45456</v>
      </c>
      <c r="B1187" s="2" t="s">
        <v>10</v>
      </c>
      <c r="C1187" s="2" t="s">
        <v>6</v>
      </c>
      <c r="D1187" s="2" t="s">
        <v>6</v>
      </c>
      <c r="E1187" s="3">
        <v>99.94</v>
      </c>
      <c r="F1187" t="str">
        <f t="shared" si="91"/>
        <v>marketing</v>
      </c>
      <c r="G1187" s="7" t="s">
        <v>6</v>
      </c>
      <c r="H1187">
        <f t="shared" si="93"/>
        <v>2024</v>
      </c>
      <c r="I1187">
        <f t="shared" si="94"/>
        <v>6</v>
      </c>
      <c r="J1187">
        <f t="shared" si="96"/>
        <v>-314.13</v>
      </c>
    </row>
    <row r="1188" spans="1:10" ht="12.5" x14ac:dyDescent="0.25">
      <c r="A1188" s="1">
        <v>45456</v>
      </c>
      <c r="B1188" s="2" t="s">
        <v>11</v>
      </c>
      <c r="C1188" s="3">
        <v>9.99</v>
      </c>
      <c r="D1188" s="3">
        <v>26</v>
      </c>
      <c r="E1188" s="3">
        <v>259.74</v>
      </c>
      <c r="F1188" t="str">
        <f t="shared" si="91"/>
        <v>net sales</v>
      </c>
      <c r="G1188" s="7" t="str">
        <f t="shared" si="92"/>
        <v>product 1</v>
      </c>
      <c r="H1188">
        <f t="shared" si="93"/>
        <v>2024</v>
      </c>
      <c r="I1188">
        <f t="shared" si="94"/>
        <v>6</v>
      </c>
      <c r="J1188">
        <f t="shared" si="96"/>
        <v>-100.09</v>
      </c>
    </row>
    <row r="1189" spans="1:10" ht="12.5" x14ac:dyDescent="0.25">
      <c r="A1189" s="1">
        <v>45456</v>
      </c>
      <c r="B1189" s="2" t="s">
        <v>12</v>
      </c>
      <c r="C1189" s="3">
        <v>24.99</v>
      </c>
      <c r="D1189" s="3">
        <v>6</v>
      </c>
      <c r="E1189" s="3">
        <v>149.94</v>
      </c>
      <c r="F1189" t="str">
        <f t="shared" si="91"/>
        <v>net sales</v>
      </c>
      <c r="G1189" s="7" t="str">
        <f t="shared" si="92"/>
        <v>product 2</v>
      </c>
      <c r="H1189">
        <f t="shared" si="93"/>
        <v>2024</v>
      </c>
      <c r="I1189">
        <f t="shared" si="94"/>
        <v>6</v>
      </c>
      <c r="J1189">
        <f t="shared" si="96"/>
        <v>629.37</v>
      </c>
    </row>
    <row r="1190" spans="1:10" ht="12.5" x14ac:dyDescent="0.25">
      <c r="A1190" s="1">
        <v>45456</v>
      </c>
      <c r="B1190" s="2" t="s">
        <v>13</v>
      </c>
      <c r="C1190" s="3">
        <v>12.49</v>
      </c>
      <c r="D1190" s="3">
        <v>50</v>
      </c>
      <c r="E1190" s="3">
        <v>624.5</v>
      </c>
      <c r="F1190" t="str">
        <f t="shared" si="91"/>
        <v>net sales</v>
      </c>
      <c r="G1190" s="7" t="str">
        <f t="shared" si="92"/>
        <v>product 3</v>
      </c>
      <c r="H1190">
        <f t="shared" si="93"/>
        <v>2024</v>
      </c>
      <c r="I1190">
        <f t="shared" si="94"/>
        <v>6</v>
      </c>
      <c r="J1190">
        <f t="shared" si="96"/>
        <v>74.97</v>
      </c>
    </row>
    <row r="1191" spans="1:10" ht="12.5" x14ac:dyDescent="0.25">
      <c r="A1191" s="1">
        <v>45457</v>
      </c>
      <c r="B1191" s="2" t="s">
        <v>7</v>
      </c>
      <c r="C1191" s="3">
        <v>5.99</v>
      </c>
      <c r="D1191" s="3">
        <v>19</v>
      </c>
      <c r="E1191" s="3">
        <v>113.81</v>
      </c>
      <c r="F1191" t="str">
        <f t="shared" si="91"/>
        <v>cogs</v>
      </c>
      <c r="G1191" s="7" t="str">
        <f t="shared" si="92"/>
        <v>product 1</v>
      </c>
      <c r="H1191">
        <f t="shared" si="93"/>
        <v>2024</v>
      </c>
      <c r="I1191">
        <f t="shared" si="94"/>
        <v>6</v>
      </c>
      <c r="J1191">
        <f t="shared" si="96"/>
        <v>462.13</v>
      </c>
    </row>
    <row r="1192" spans="1:10" ht="12.5" x14ac:dyDescent="0.25">
      <c r="A1192" s="1">
        <v>45457</v>
      </c>
      <c r="B1192" s="2" t="s">
        <v>8</v>
      </c>
      <c r="C1192" s="3">
        <v>16.989999999999998</v>
      </c>
      <c r="D1192" s="3">
        <v>8</v>
      </c>
      <c r="E1192" s="3">
        <v>135.91999999999999</v>
      </c>
      <c r="F1192" t="str">
        <f t="shared" si="91"/>
        <v>cogs</v>
      </c>
      <c r="G1192" s="7" t="str">
        <f t="shared" si="92"/>
        <v>product 2</v>
      </c>
      <c r="H1192">
        <f t="shared" si="93"/>
        <v>2024</v>
      </c>
      <c r="I1192">
        <f t="shared" si="94"/>
        <v>6</v>
      </c>
      <c r="J1192">
        <f t="shared" si="96"/>
        <v>-281.53000000000003</v>
      </c>
    </row>
    <row r="1193" spans="1:10" ht="12.5" x14ac:dyDescent="0.25">
      <c r="A1193" s="1">
        <v>45457</v>
      </c>
      <c r="B1193" s="2" t="s">
        <v>9</v>
      </c>
      <c r="C1193" s="3">
        <v>8.49</v>
      </c>
      <c r="D1193" s="3">
        <v>202</v>
      </c>
      <c r="E1193" s="3">
        <v>1714.98</v>
      </c>
      <c r="F1193" t="str">
        <f t="shared" si="91"/>
        <v>cogs</v>
      </c>
      <c r="G1193" s="7" t="str">
        <f t="shared" si="92"/>
        <v>product 3</v>
      </c>
      <c r="H1193">
        <f t="shared" si="93"/>
        <v>2024</v>
      </c>
      <c r="I1193">
        <f t="shared" si="94"/>
        <v>6</v>
      </c>
      <c r="J1193">
        <f t="shared" si="96"/>
        <v>-118.92999999999999</v>
      </c>
    </row>
    <row r="1194" spans="1:10" ht="12.5" x14ac:dyDescent="0.25">
      <c r="A1194" s="1">
        <v>45457</v>
      </c>
      <c r="B1194" s="2" t="s">
        <v>10</v>
      </c>
      <c r="C1194" s="2" t="s">
        <v>6</v>
      </c>
      <c r="D1194" s="2" t="s">
        <v>6</v>
      </c>
      <c r="E1194" s="3">
        <v>99.91</v>
      </c>
      <c r="F1194" t="str">
        <f t="shared" si="91"/>
        <v>marketing</v>
      </c>
      <c r="G1194" s="7" t="s">
        <v>6</v>
      </c>
      <c r="H1194">
        <f t="shared" si="93"/>
        <v>2024</v>
      </c>
      <c r="I1194">
        <f t="shared" si="94"/>
        <v>6</v>
      </c>
      <c r="J1194">
        <f t="shared" si="96"/>
        <v>-441.48</v>
      </c>
    </row>
    <row r="1195" spans="1:10" ht="12.5" x14ac:dyDescent="0.25">
      <c r="A1195" s="1">
        <v>45457</v>
      </c>
      <c r="B1195" s="2" t="s">
        <v>11</v>
      </c>
      <c r="C1195" s="3">
        <v>9.99</v>
      </c>
      <c r="D1195" s="3">
        <v>19</v>
      </c>
      <c r="E1195" s="3">
        <v>189.81</v>
      </c>
      <c r="F1195" t="str">
        <f t="shared" si="91"/>
        <v>net sales</v>
      </c>
      <c r="G1195" s="7" t="str">
        <f t="shared" si="92"/>
        <v>product 1</v>
      </c>
      <c r="H1195">
        <f t="shared" si="93"/>
        <v>2024</v>
      </c>
      <c r="I1195">
        <f t="shared" si="94"/>
        <v>6</v>
      </c>
      <c r="J1195">
        <f t="shared" si="96"/>
        <v>-1262.4000000000001</v>
      </c>
    </row>
    <row r="1196" spans="1:10" ht="12.5" x14ac:dyDescent="0.25">
      <c r="A1196" s="1">
        <v>45457</v>
      </c>
      <c r="B1196" s="2" t="s">
        <v>12</v>
      </c>
      <c r="C1196" s="3">
        <v>24.99</v>
      </c>
      <c r="D1196" s="3">
        <v>8</v>
      </c>
      <c r="E1196" s="3">
        <v>199.92</v>
      </c>
      <c r="F1196" t="str">
        <f t="shared" si="91"/>
        <v>net sales</v>
      </c>
      <c r="G1196" s="7" t="str">
        <f t="shared" si="92"/>
        <v>product 2</v>
      </c>
      <c r="H1196">
        <f t="shared" si="93"/>
        <v>2024</v>
      </c>
      <c r="I1196">
        <f t="shared" si="94"/>
        <v>6</v>
      </c>
      <c r="J1196">
        <f t="shared" si="96"/>
        <v>-99.95</v>
      </c>
    </row>
    <row r="1197" spans="1:10" ht="12.5" x14ac:dyDescent="0.25">
      <c r="A1197" s="1">
        <v>45457</v>
      </c>
      <c r="B1197" s="2" t="s">
        <v>13</v>
      </c>
      <c r="C1197" s="3">
        <v>12.49</v>
      </c>
      <c r="D1197" s="3">
        <v>202</v>
      </c>
      <c r="E1197" s="3">
        <v>2522.98</v>
      </c>
      <c r="F1197" t="str">
        <f t="shared" si="91"/>
        <v>net sales</v>
      </c>
      <c r="G1197" s="7" t="str">
        <f t="shared" si="92"/>
        <v>product 3</v>
      </c>
      <c r="H1197">
        <f t="shared" si="93"/>
        <v>2024</v>
      </c>
      <c r="I1197">
        <f t="shared" si="94"/>
        <v>6</v>
      </c>
      <c r="J1197">
        <f t="shared" si="96"/>
        <v>469.53000000000003</v>
      </c>
    </row>
    <row r="1198" spans="1:10" ht="12.5" x14ac:dyDescent="0.25">
      <c r="A1198" s="1">
        <v>45458</v>
      </c>
      <c r="B1198" s="2" t="s">
        <v>7</v>
      </c>
      <c r="C1198" s="3">
        <v>5.99</v>
      </c>
      <c r="D1198" s="3">
        <v>41</v>
      </c>
      <c r="E1198" s="3">
        <v>245.59</v>
      </c>
      <c r="F1198" t="str">
        <f t="shared" si="91"/>
        <v>cogs</v>
      </c>
      <c r="G1198" s="7" t="str">
        <f t="shared" si="92"/>
        <v>product 1</v>
      </c>
      <c r="H1198">
        <f t="shared" si="93"/>
        <v>2024</v>
      </c>
      <c r="I1198">
        <f t="shared" si="94"/>
        <v>6</v>
      </c>
      <c r="J1198">
        <f t="shared" si="96"/>
        <v>174.92999999999998</v>
      </c>
    </row>
    <row r="1199" spans="1:10" ht="12.5" x14ac:dyDescent="0.25">
      <c r="A1199" s="1">
        <v>45458</v>
      </c>
      <c r="B1199" s="2" t="s">
        <v>8</v>
      </c>
      <c r="C1199" s="3">
        <v>16.989999999999998</v>
      </c>
      <c r="D1199" s="3">
        <v>3</v>
      </c>
      <c r="E1199" s="3">
        <v>50.97</v>
      </c>
      <c r="F1199" t="str">
        <f t="shared" si="91"/>
        <v>cogs</v>
      </c>
      <c r="G1199" s="7" t="str">
        <f t="shared" si="92"/>
        <v>product 2</v>
      </c>
      <c r="H1199">
        <f t="shared" si="93"/>
        <v>2024</v>
      </c>
      <c r="I1199">
        <f t="shared" si="94"/>
        <v>6</v>
      </c>
      <c r="J1199">
        <f t="shared" si="96"/>
        <v>649.48</v>
      </c>
    </row>
    <row r="1200" spans="1:10" ht="12.5" x14ac:dyDescent="0.25">
      <c r="A1200" s="1">
        <v>45458</v>
      </c>
      <c r="B1200" s="2" t="s">
        <v>9</v>
      </c>
      <c r="C1200" s="3">
        <v>8.49</v>
      </c>
      <c r="D1200" s="3">
        <v>190</v>
      </c>
      <c r="E1200" s="3">
        <v>1613.1000000000001</v>
      </c>
      <c r="F1200" t="str">
        <f t="shared" si="91"/>
        <v>cogs</v>
      </c>
      <c r="G1200" s="7" t="str">
        <f t="shared" si="92"/>
        <v>product 3</v>
      </c>
      <c r="H1200">
        <f t="shared" si="93"/>
        <v>2024</v>
      </c>
      <c r="I1200">
        <f t="shared" si="94"/>
        <v>6</v>
      </c>
      <c r="J1200">
        <f t="shared" si="96"/>
        <v>-315.60000000000002</v>
      </c>
    </row>
    <row r="1201" spans="1:10" ht="12.5" x14ac:dyDescent="0.25">
      <c r="A1201" s="1">
        <v>45458</v>
      </c>
      <c r="B1201" s="2" t="s">
        <v>16</v>
      </c>
      <c r="C1201" s="2" t="s">
        <v>6</v>
      </c>
      <c r="D1201" s="2" t="s">
        <v>6</v>
      </c>
      <c r="E1201" s="3">
        <v>1286.44</v>
      </c>
      <c r="F1201" t="str">
        <f t="shared" si="91"/>
        <v>interest</v>
      </c>
      <c r="G1201" s="7" t="s">
        <v>6</v>
      </c>
      <c r="H1201">
        <f t="shared" si="93"/>
        <v>2024</v>
      </c>
      <c r="I1201">
        <f t="shared" si="94"/>
        <v>6</v>
      </c>
      <c r="J1201">
        <f t="shared" si="96"/>
        <v>-185.69</v>
      </c>
    </row>
    <row r="1202" spans="1:10" ht="12.5" x14ac:dyDescent="0.25">
      <c r="A1202" s="1">
        <v>45458</v>
      </c>
      <c r="B1202" s="2" t="s">
        <v>10</v>
      </c>
      <c r="C1202" s="2" t="s">
        <v>6</v>
      </c>
      <c r="D1202" s="2" t="s">
        <v>6</v>
      </c>
      <c r="E1202" s="3">
        <v>99.92</v>
      </c>
      <c r="F1202" t="str">
        <f t="shared" si="91"/>
        <v>marketing</v>
      </c>
      <c r="G1202" s="7" t="s">
        <v>6</v>
      </c>
      <c r="H1202">
        <f t="shared" si="93"/>
        <v>2024</v>
      </c>
      <c r="I1202">
        <f t="shared" si="94"/>
        <v>6</v>
      </c>
      <c r="J1202">
        <f t="shared" si="96"/>
        <v>-16.989999999999998</v>
      </c>
    </row>
    <row r="1203" spans="1:10" ht="12.5" x14ac:dyDescent="0.25">
      <c r="A1203" s="1">
        <v>45458</v>
      </c>
      <c r="B1203" s="2" t="s">
        <v>11</v>
      </c>
      <c r="C1203" s="3">
        <v>9.99</v>
      </c>
      <c r="D1203" s="3">
        <v>41</v>
      </c>
      <c r="E1203" s="3">
        <v>409.59000000000003</v>
      </c>
      <c r="F1203" t="str">
        <f t="shared" si="91"/>
        <v>net sales</v>
      </c>
      <c r="G1203" s="7" t="str">
        <f t="shared" si="92"/>
        <v>product 1</v>
      </c>
      <c r="H1203">
        <f t="shared" si="93"/>
        <v>2024</v>
      </c>
      <c r="I1203">
        <f t="shared" si="94"/>
        <v>6</v>
      </c>
      <c r="J1203">
        <f t="shared" si="96"/>
        <v>-483.93</v>
      </c>
    </row>
    <row r="1204" spans="1:10" ht="12.5" x14ac:dyDescent="0.25">
      <c r="A1204" s="1">
        <v>45458</v>
      </c>
      <c r="B1204" s="2" t="s">
        <v>12</v>
      </c>
      <c r="C1204" s="3">
        <v>24.99</v>
      </c>
      <c r="D1204" s="3">
        <v>3</v>
      </c>
      <c r="E1204" s="3">
        <v>74.97</v>
      </c>
      <c r="F1204" t="str">
        <f t="shared" si="91"/>
        <v>net sales</v>
      </c>
      <c r="G1204" s="7" t="str">
        <f t="shared" si="92"/>
        <v>product 2</v>
      </c>
      <c r="H1204">
        <f t="shared" si="93"/>
        <v>2024</v>
      </c>
      <c r="I1204">
        <f t="shared" si="94"/>
        <v>6</v>
      </c>
      <c r="J1204">
        <f t="shared" si="96"/>
        <v>-100.01</v>
      </c>
    </row>
    <row r="1205" spans="1:10" ht="12.5" x14ac:dyDescent="0.25">
      <c r="A1205" s="1">
        <v>45458</v>
      </c>
      <c r="B1205" s="2" t="s">
        <v>13</v>
      </c>
      <c r="C1205" s="3">
        <v>12.49</v>
      </c>
      <c r="D1205" s="3">
        <v>190</v>
      </c>
      <c r="E1205" s="3">
        <v>2373.1</v>
      </c>
      <c r="F1205" t="str">
        <f t="shared" si="91"/>
        <v>net sales</v>
      </c>
      <c r="G1205" s="7" t="str">
        <f t="shared" si="92"/>
        <v>product 3</v>
      </c>
      <c r="H1205">
        <f t="shared" si="93"/>
        <v>2024</v>
      </c>
      <c r="I1205">
        <f t="shared" si="94"/>
        <v>6</v>
      </c>
      <c r="J1205">
        <f t="shared" si="96"/>
        <v>309.69</v>
      </c>
    </row>
    <row r="1206" spans="1:10" ht="12.5" x14ac:dyDescent="0.25">
      <c r="A1206" s="1">
        <v>45458</v>
      </c>
      <c r="B1206" s="2" t="s">
        <v>14</v>
      </c>
      <c r="C1206" s="2" t="s">
        <v>6</v>
      </c>
      <c r="D1206" s="2" t="s">
        <v>6</v>
      </c>
      <c r="E1206" s="3">
        <v>314.10000000000002</v>
      </c>
      <c r="F1206" t="str">
        <f t="shared" si="91"/>
        <v>overhead</v>
      </c>
      <c r="G1206" s="7" t="s">
        <v>6</v>
      </c>
      <c r="H1206">
        <f t="shared" si="93"/>
        <v>2024</v>
      </c>
      <c r="I1206">
        <f t="shared" si="94"/>
        <v>6</v>
      </c>
      <c r="J1206">
        <f t="shared" si="96"/>
        <v>24.99</v>
      </c>
    </row>
    <row r="1207" spans="1:10" ht="12.5" x14ac:dyDescent="0.25">
      <c r="A1207" s="1">
        <v>45459</v>
      </c>
      <c r="B1207" s="2" t="s">
        <v>7</v>
      </c>
      <c r="C1207" s="3">
        <v>5.99</v>
      </c>
      <c r="D1207" s="3">
        <v>7</v>
      </c>
      <c r="E1207" s="3">
        <v>41.93</v>
      </c>
      <c r="F1207" t="str">
        <f t="shared" si="91"/>
        <v>cogs</v>
      </c>
      <c r="G1207" s="7" t="str">
        <f t="shared" si="92"/>
        <v>product 1</v>
      </c>
      <c r="H1207">
        <f t="shared" si="93"/>
        <v>2024</v>
      </c>
      <c r="I1207">
        <f t="shared" si="94"/>
        <v>6</v>
      </c>
      <c r="J1207">
        <f t="shared" si="96"/>
        <v>711.93000000000006</v>
      </c>
    </row>
    <row r="1208" spans="1:10" ht="12.5" x14ac:dyDescent="0.25">
      <c r="A1208" s="1">
        <v>45459</v>
      </c>
      <c r="B1208" s="2" t="s">
        <v>8</v>
      </c>
      <c r="C1208" s="3">
        <v>16.989999999999998</v>
      </c>
      <c r="D1208" s="3">
        <v>8</v>
      </c>
      <c r="E1208" s="3">
        <v>135.91999999999999</v>
      </c>
      <c r="F1208" t="str">
        <f t="shared" si="91"/>
        <v>cogs</v>
      </c>
      <c r="G1208" s="7" t="str">
        <f t="shared" si="92"/>
        <v>product 2</v>
      </c>
      <c r="H1208">
        <f t="shared" si="93"/>
        <v>2024</v>
      </c>
      <c r="I1208">
        <f t="shared" si="94"/>
        <v>6</v>
      </c>
      <c r="J1208">
        <f t="shared" si="96"/>
        <v>-341.43</v>
      </c>
    </row>
    <row r="1209" spans="1:10" ht="12.5" x14ac:dyDescent="0.25">
      <c r="A1209" s="1">
        <v>45459</v>
      </c>
      <c r="B1209" s="2" t="s">
        <v>9</v>
      </c>
      <c r="C1209" s="3">
        <v>8.49</v>
      </c>
      <c r="D1209" s="3">
        <v>44</v>
      </c>
      <c r="E1209" s="3">
        <v>373.56</v>
      </c>
      <c r="F1209" t="str">
        <f t="shared" si="91"/>
        <v>cogs</v>
      </c>
      <c r="G1209" s="7" t="str">
        <f t="shared" si="92"/>
        <v>product 3</v>
      </c>
      <c r="H1209">
        <f t="shared" si="93"/>
        <v>2024</v>
      </c>
      <c r="I1209">
        <f t="shared" si="94"/>
        <v>6</v>
      </c>
      <c r="J1209">
        <f t="shared" si="96"/>
        <v>-169.89999999999998</v>
      </c>
    </row>
    <row r="1210" spans="1:10" ht="12.5" x14ac:dyDescent="0.25">
      <c r="A1210" s="1">
        <v>45459</v>
      </c>
      <c r="B1210" s="2" t="s">
        <v>10</v>
      </c>
      <c r="C1210" s="2" t="s">
        <v>6</v>
      </c>
      <c r="D1210" s="2" t="s">
        <v>6</v>
      </c>
      <c r="E1210" s="3">
        <v>100.06</v>
      </c>
      <c r="F1210" t="str">
        <f t="shared" si="91"/>
        <v>marketing</v>
      </c>
      <c r="G1210" s="7" t="s">
        <v>6</v>
      </c>
      <c r="H1210">
        <f t="shared" si="93"/>
        <v>2024</v>
      </c>
      <c r="I1210">
        <f t="shared" si="94"/>
        <v>6</v>
      </c>
      <c r="J1210">
        <f t="shared" si="96"/>
        <v>-832.02</v>
      </c>
    </row>
    <row r="1211" spans="1:10" ht="12.5" x14ac:dyDescent="0.25">
      <c r="A1211" s="1">
        <v>45459</v>
      </c>
      <c r="B1211" s="2" t="s">
        <v>11</v>
      </c>
      <c r="C1211" s="3">
        <v>9.99</v>
      </c>
      <c r="D1211" s="3">
        <v>7</v>
      </c>
      <c r="E1211" s="3">
        <v>69.930000000000007</v>
      </c>
      <c r="F1211" t="str">
        <f t="shared" si="91"/>
        <v>net sales</v>
      </c>
      <c r="G1211" s="7" t="str">
        <f t="shared" si="92"/>
        <v>product 1</v>
      </c>
      <c r="H1211">
        <f t="shared" si="93"/>
        <v>2024</v>
      </c>
      <c r="I1211">
        <f t="shared" si="94"/>
        <v>6</v>
      </c>
      <c r="J1211">
        <f t="shared" si="96"/>
        <v>-99.93</v>
      </c>
    </row>
    <row r="1212" spans="1:10" ht="12.5" x14ac:dyDescent="0.25">
      <c r="A1212" s="1">
        <v>45459</v>
      </c>
      <c r="B1212" s="2" t="s">
        <v>12</v>
      </c>
      <c r="C1212" s="3">
        <v>24.99</v>
      </c>
      <c r="D1212" s="3">
        <v>8</v>
      </c>
      <c r="E1212" s="3">
        <v>199.92</v>
      </c>
      <c r="F1212" t="str">
        <f t="shared" si="91"/>
        <v>net sales</v>
      </c>
      <c r="G1212" s="7" t="str">
        <f t="shared" si="92"/>
        <v>product 2</v>
      </c>
      <c r="H1212">
        <f t="shared" si="93"/>
        <v>2024</v>
      </c>
      <c r="I1212">
        <f t="shared" si="94"/>
        <v>6</v>
      </c>
      <c r="J1212">
        <f t="shared" si="96"/>
        <v>569.43000000000006</v>
      </c>
    </row>
    <row r="1213" spans="1:10" ht="12.5" x14ac:dyDescent="0.25">
      <c r="A1213" s="1">
        <v>45459</v>
      </c>
      <c r="B1213" s="2" t="s">
        <v>13</v>
      </c>
      <c r="C1213" s="3">
        <v>12.49</v>
      </c>
      <c r="D1213" s="3">
        <v>44</v>
      </c>
      <c r="E1213" s="3">
        <v>549.56000000000006</v>
      </c>
      <c r="F1213" t="str">
        <f t="shared" si="91"/>
        <v>net sales</v>
      </c>
      <c r="G1213" s="7" t="str">
        <f t="shared" si="92"/>
        <v>product 3</v>
      </c>
      <c r="H1213">
        <f t="shared" si="93"/>
        <v>2024</v>
      </c>
      <c r="I1213">
        <f t="shared" si="94"/>
        <v>6</v>
      </c>
      <c r="J1213">
        <f t="shared" si="96"/>
        <v>249.89999999999998</v>
      </c>
    </row>
    <row r="1214" spans="1:10" ht="12.5" x14ac:dyDescent="0.25">
      <c r="A1214" s="1">
        <v>45460</v>
      </c>
      <c r="B1214" s="2" t="s">
        <v>7</v>
      </c>
      <c r="C1214" s="3">
        <v>5.99</v>
      </c>
      <c r="D1214" s="3">
        <v>23</v>
      </c>
      <c r="E1214" s="3">
        <v>137.77000000000001</v>
      </c>
      <c r="F1214" t="str">
        <f t="shared" si="91"/>
        <v>cogs</v>
      </c>
      <c r="G1214" s="7" t="str">
        <f t="shared" si="92"/>
        <v>product 1</v>
      </c>
      <c r="H1214">
        <f t="shared" si="93"/>
        <v>2024</v>
      </c>
      <c r="I1214">
        <f t="shared" si="94"/>
        <v>6</v>
      </c>
      <c r="J1214">
        <f t="shared" si="96"/>
        <v>1224.02</v>
      </c>
    </row>
    <row r="1215" spans="1:10" ht="12.5" x14ac:dyDescent="0.25">
      <c r="A1215" s="1">
        <v>45460</v>
      </c>
      <c r="B1215" s="2" t="s">
        <v>8</v>
      </c>
      <c r="C1215" s="3">
        <v>16.989999999999998</v>
      </c>
      <c r="D1215" s="3">
        <v>7</v>
      </c>
      <c r="E1215" s="3">
        <v>118.92999999999999</v>
      </c>
      <c r="F1215" t="str">
        <f t="shared" si="91"/>
        <v>cogs</v>
      </c>
      <c r="G1215" s="7" t="str">
        <f t="shared" si="92"/>
        <v>product 2</v>
      </c>
      <c r="H1215">
        <f t="shared" si="93"/>
        <v>2024</v>
      </c>
      <c r="I1215">
        <f t="shared" si="94"/>
        <v>6</v>
      </c>
      <c r="J1215">
        <f t="shared" si="96"/>
        <v>-215.64000000000001</v>
      </c>
    </row>
    <row r="1216" spans="1:10" ht="12.5" x14ac:dyDescent="0.25">
      <c r="A1216" s="1">
        <v>45460</v>
      </c>
      <c r="B1216" s="2" t="s">
        <v>9</v>
      </c>
      <c r="C1216" s="3">
        <v>8.49</v>
      </c>
      <c r="D1216" s="3">
        <v>208</v>
      </c>
      <c r="E1216" s="3">
        <v>1765.92</v>
      </c>
      <c r="F1216" t="str">
        <f t="shared" si="91"/>
        <v>cogs</v>
      </c>
      <c r="G1216" s="7" t="str">
        <f t="shared" si="92"/>
        <v>product 3</v>
      </c>
      <c r="H1216">
        <f t="shared" si="93"/>
        <v>2024</v>
      </c>
      <c r="I1216">
        <f t="shared" si="94"/>
        <v>6</v>
      </c>
      <c r="J1216">
        <f t="shared" si="96"/>
        <v>-101.94</v>
      </c>
    </row>
    <row r="1217" spans="1:10" ht="12.5" x14ac:dyDescent="0.25">
      <c r="A1217" s="1">
        <v>45460</v>
      </c>
      <c r="B1217" s="2" t="s">
        <v>10</v>
      </c>
      <c r="C1217" s="2" t="s">
        <v>6</v>
      </c>
      <c r="D1217" s="2" t="s">
        <v>6</v>
      </c>
      <c r="E1217" s="3">
        <v>100.07000000000001</v>
      </c>
      <c r="F1217" t="str">
        <f t="shared" si="91"/>
        <v>marketing</v>
      </c>
      <c r="G1217" s="7" t="s">
        <v>6</v>
      </c>
      <c r="H1217">
        <f t="shared" si="93"/>
        <v>2024</v>
      </c>
      <c r="I1217">
        <f t="shared" si="94"/>
        <v>6</v>
      </c>
      <c r="J1217">
        <f t="shared" si="96"/>
        <v>-246.21</v>
      </c>
    </row>
    <row r="1218" spans="1:10" ht="12.5" x14ac:dyDescent="0.25">
      <c r="A1218" s="1">
        <v>45460</v>
      </c>
      <c r="B1218" s="2" t="s">
        <v>11</v>
      </c>
      <c r="C1218" s="3">
        <v>9.99</v>
      </c>
      <c r="D1218" s="3">
        <v>23</v>
      </c>
      <c r="E1218" s="3">
        <v>229.77</v>
      </c>
      <c r="F1218" t="str">
        <f t="shared" si="91"/>
        <v>net sales</v>
      </c>
      <c r="G1218" s="7" t="str">
        <f t="shared" si="92"/>
        <v>product 1</v>
      </c>
      <c r="H1218">
        <f t="shared" si="93"/>
        <v>2024</v>
      </c>
      <c r="I1218">
        <f t="shared" si="94"/>
        <v>6</v>
      </c>
      <c r="J1218">
        <f t="shared" si="96"/>
        <v>-100.01</v>
      </c>
    </row>
    <row r="1219" spans="1:10" ht="12.5" x14ac:dyDescent="0.25">
      <c r="A1219" s="1">
        <v>45460</v>
      </c>
      <c r="B1219" s="2" t="s">
        <v>12</v>
      </c>
      <c r="C1219" s="3">
        <v>24.99</v>
      </c>
      <c r="D1219" s="3">
        <v>7</v>
      </c>
      <c r="E1219" s="3">
        <v>174.92999999999998</v>
      </c>
      <c r="F1219" t="str">
        <f t="shared" ref="F1219:F1282" si="97">IFERROR(LEFT(B1219,FIND(":",B1219)-1),B1219)</f>
        <v>net sales</v>
      </c>
      <c r="G1219" s="7" t="str">
        <f t="shared" ref="G1219:G1282" si="98">IFERROR(RIGHT(B1219,LEN(B1219)-FIND(":",B1219)),"")</f>
        <v>product 2</v>
      </c>
      <c r="H1219">
        <f t="shared" ref="H1219:H1282" si="99">YEAR(A1219)</f>
        <v>2024</v>
      </c>
      <c r="I1219">
        <f t="shared" ref="I1219:I1282" si="100">MONTH(A1219)</f>
        <v>6</v>
      </c>
      <c r="J1219">
        <f t="shared" si="96"/>
        <v>359.64</v>
      </c>
    </row>
    <row r="1220" spans="1:10" ht="12.5" x14ac:dyDescent="0.25">
      <c r="A1220" s="1">
        <v>45460</v>
      </c>
      <c r="B1220" s="2" t="s">
        <v>13</v>
      </c>
      <c r="C1220" s="3">
        <v>12.49</v>
      </c>
      <c r="D1220" s="3">
        <v>208</v>
      </c>
      <c r="E1220" s="3">
        <v>2597.92</v>
      </c>
      <c r="F1220" t="str">
        <f t="shared" si="97"/>
        <v>net sales</v>
      </c>
      <c r="G1220" s="7" t="str">
        <f t="shared" si="98"/>
        <v>product 3</v>
      </c>
      <c r="H1220">
        <f t="shared" si="99"/>
        <v>2024</v>
      </c>
      <c r="I1220">
        <f t="shared" si="100"/>
        <v>6</v>
      </c>
      <c r="J1220">
        <f t="shared" si="96"/>
        <v>149.94</v>
      </c>
    </row>
    <row r="1221" spans="1:10" ht="12.5" x14ac:dyDescent="0.25">
      <c r="A1221" s="1">
        <v>45461</v>
      </c>
      <c r="B1221" s="2" t="s">
        <v>7</v>
      </c>
      <c r="C1221" s="3">
        <v>5.99</v>
      </c>
      <c r="D1221" s="3">
        <v>74</v>
      </c>
      <c r="E1221" s="3">
        <v>443.26</v>
      </c>
      <c r="F1221" t="str">
        <f t="shared" si="97"/>
        <v>cogs</v>
      </c>
      <c r="G1221" s="7" t="str">
        <f t="shared" si="98"/>
        <v>product 1</v>
      </c>
      <c r="H1221">
        <f t="shared" si="99"/>
        <v>2024</v>
      </c>
      <c r="I1221">
        <f t="shared" si="100"/>
        <v>6</v>
      </c>
      <c r="J1221">
        <f t="shared" si="96"/>
        <v>362.21</v>
      </c>
    </row>
    <row r="1222" spans="1:10" ht="12.5" x14ac:dyDescent="0.25">
      <c r="A1222" s="1">
        <v>45461</v>
      </c>
      <c r="B1222" s="2" t="s">
        <v>8</v>
      </c>
      <c r="C1222" s="3">
        <v>16.989999999999998</v>
      </c>
      <c r="D1222" s="3">
        <v>9</v>
      </c>
      <c r="E1222" s="3">
        <v>152.91</v>
      </c>
      <c r="F1222" t="str">
        <f t="shared" si="97"/>
        <v>cogs</v>
      </c>
      <c r="G1222" s="7" t="str">
        <f t="shared" si="98"/>
        <v>product 2</v>
      </c>
      <c r="H1222">
        <f t="shared" si="99"/>
        <v>2024</v>
      </c>
      <c r="I1222">
        <f t="shared" si="100"/>
        <v>6</v>
      </c>
      <c r="J1222">
        <f t="shared" si="96"/>
        <v>-335.44</v>
      </c>
    </row>
    <row r="1223" spans="1:10" ht="12.5" x14ac:dyDescent="0.25">
      <c r="A1223" s="1">
        <v>45461</v>
      </c>
      <c r="B1223" s="2" t="s">
        <v>9</v>
      </c>
      <c r="C1223" s="3">
        <v>8.49</v>
      </c>
      <c r="D1223" s="3">
        <v>194</v>
      </c>
      <c r="E1223" s="3">
        <v>1647.06</v>
      </c>
      <c r="F1223" t="str">
        <f t="shared" si="97"/>
        <v>cogs</v>
      </c>
      <c r="G1223" s="7" t="str">
        <f t="shared" si="98"/>
        <v>product 3</v>
      </c>
      <c r="H1223">
        <f t="shared" si="99"/>
        <v>2024</v>
      </c>
      <c r="I1223">
        <f t="shared" si="100"/>
        <v>6</v>
      </c>
      <c r="J1223">
        <f t="shared" si="96"/>
        <v>-67.959999999999994</v>
      </c>
    </row>
    <row r="1224" spans="1:10" ht="12.5" x14ac:dyDescent="0.25">
      <c r="A1224" s="1">
        <v>45461</v>
      </c>
      <c r="B1224" s="2" t="s">
        <v>10</v>
      </c>
      <c r="C1224" s="2" t="s">
        <v>6</v>
      </c>
      <c r="D1224" s="2" t="s">
        <v>6</v>
      </c>
      <c r="E1224" s="3">
        <v>99.98</v>
      </c>
      <c r="F1224" t="str">
        <f t="shared" si="97"/>
        <v>marketing</v>
      </c>
      <c r="G1224" s="7" t="s">
        <v>6</v>
      </c>
      <c r="H1224">
        <f t="shared" si="99"/>
        <v>2024</v>
      </c>
      <c r="I1224">
        <f t="shared" si="100"/>
        <v>6</v>
      </c>
      <c r="J1224">
        <f t="shared" si="96"/>
        <v>-1664.04</v>
      </c>
    </row>
    <row r="1225" spans="1:10" ht="12.5" x14ac:dyDescent="0.25">
      <c r="A1225" s="1">
        <v>45461</v>
      </c>
      <c r="B1225" s="2" t="s">
        <v>11</v>
      </c>
      <c r="C1225" s="3">
        <v>9.99</v>
      </c>
      <c r="D1225" s="3">
        <v>74</v>
      </c>
      <c r="E1225" s="3">
        <v>739.26</v>
      </c>
      <c r="F1225" t="str">
        <f t="shared" si="97"/>
        <v>net sales</v>
      </c>
      <c r="G1225" s="7" t="str">
        <f t="shared" si="98"/>
        <v>product 1</v>
      </c>
      <c r="H1225">
        <f t="shared" si="99"/>
        <v>2024</v>
      </c>
      <c r="I1225">
        <f t="shared" si="100"/>
        <v>6</v>
      </c>
      <c r="J1225">
        <f t="shared" si="96"/>
        <v>-99.91</v>
      </c>
    </row>
    <row r="1226" spans="1:10" ht="12.5" x14ac:dyDescent="0.25">
      <c r="A1226" s="1">
        <v>45461</v>
      </c>
      <c r="B1226" s="2" t="s">
        <v>12</v>
      </c>
      <c r="C1226" s="3">
        <v>24.99</v>
      </c>
      <c r="D1226" s="3">
        <v>9</v>
      </c>
      <c r="E1226" s="3">
        <v>224.91</v>
      </c>
      <c r="F1226" t="str">
        <f t="shared" si="97"/>
        <v>net sales</v>
      </c>
      <c r="G1226" s="7" t="str">
        <f t="shared" si="98"/>
        <v>product 2</v>
      </c>
      <c r="H1226">
        <f t="shared" si="99"/>
        <v>2024</v>
      </c>
      <c r="I1226">
        <f t="shared" si="100"/>
        <v>6</v>
      </c>
      <c r="J1226">
        <f t="shared" si="96"/>
        <v>559.44000000000005</v>
      </c>
    </row>
    <row r="1227" spans="1:10" ht="12.5" x14ac:dyDescent="0.25">
      <c r="A1227" s="1">
        <v>45461</v>
      </c>
      <c r="B1227" s="2" t="s">
        <v>13</v>
      </c>
      <c r="C1227" s="3">
        <v>12.49</v>
      </c>
      <c r="D1227" s="3">
        <v>194</v>
      </c>
      <c r="E1227" s="3">
        <v>2423.06</v>
      </c>
      <c r="F1227" t="str">
        <f t="shared" si="97"/>
        <v>net sales</v>
      </c>
      <c r="G1227" s="7" t="str">
        <f t="shared" si="98"/>
        <v>product 3</v>
      </c>
      <c r="H1227">
        <f t="shared" si="99"/>
        <v>2024</v>
      </c>
      <c r="I1227">
        <f t="shared" si="100"/>
        <v>6</v>
      </c>
      <c r="J1227">
        <f t="shared" si="96"/>
        <v>99.96</v>
      </c>
    </row>
    <row r="1228" spans="1:10" ht="12.5" x14ac:dyDescent="0.25">
      <c r="A1228" s="1">
        <v>45462</v>
      </c>
      <c r="B1228" s="2" t="s">
        <v>7</v>
      </c>
      <c r="C1228" s="3">
        <v>5.99</v>
      </c>
      <c r="D1228" s="3">
        <v>41</v>
      </c>
      <c r="E1228" s="3">
        <v>245.59</v>
      </c>
      <c r="F1228" t="str">
        <f t="shared" si="97"/>
        <v>cogs</v>
      </c>
      <c r="G1228" s="7" t="str">
        <f t="shared" si="98"/>
        <v>product 1</v>
      </c>
      <c r="H1228">
        <f t="shared" si="99"/>
        <v>2024</v>
      </c>
      <c r="I1228">
        <f t="shared" si="100"/>
        <v>6</v>
      </c>
      <c r="J1228">
        <f t="shared" si="96"/>
        <v>2448.04</v>
      </c>
    </row>
    <row r="1229" spans="1:10" ht="12.5" x14ac:dyDescent="0.25">
      <c r="A1229" s="1">
        <v>45462</v>
      </c>
      <c r="B1229" s="2" t="s">
        <v>8</v>
      </c>
      <c r="C1229" s="3">
        <v>16.989999999999998</v>
      </c>
      <c r="D1229" s="3">
        <v>9</v>
      </c>
      <c r="E1229" s="3">
        <v>152.91</v>
      </c>
      <c r="F1229" t="str">
        <f t="shared" si="97"/>
        <v>cogs</v>
      </c>
      <c r="G1229" s="7" t="str">
        <f t="shared" si="98"/>
        <v>product 2</v>
      </c>
      <c r="H1229">
        <f t="shared" si="99"/>
        <v>2024</v>
      </c>
      <c r="I1229">
        <f t="shared" si="100"/>
        <v>6</v>
      </c>
      <c r="J1229">
        <f t="shared" si="96"/>
        <v>-293.51</v>
      </c>
    </row>
    <row r="1230" spans="1:10" ht="12.5" x14ac:dyDescent="0.25">
      <c r="A1230" s="1">
        <v>45462</v>
      </c>
      <c r="B1230" s="2" t="s">
        <v>9</v>
      </c>
      <c r="C1230" s="3">
        <v>8.49</v>
      </c>
      <c r="D1230" s="3">
        <v>130</v>
      </c>
      <c r="E1230" s="3">
        <v>1103.7</v>
      </c>
      <c r="F1230" t="str">
        <f t="shared" si="97"/>
        <v>cogs</v>
      </c>
      <c r="G1230" s="7" t="str">
        <f t="shared" si="98"/>
        <v>product 3</v>
      </c>
      <c r="H1230">
        <f t="shared" si="99"/>
        <v>2024</v>
      </c>
      <c r="I1230">
        <f t="shared" si="100"/>
        <v>6</v>
      </c>
      <c r="J1230">
        <f t="shared" si="96"/>
        <v>-101.94</v>
      </c>
    </row>
    <row r="1231" spans="1:10" ht="12.5" x14ac:dyDescent="0.25">
      <c r="A1231" s="1">
        <v>45462</v>
      </c>
      <c r="B1231" s="2" t="s">
        <v>10</v>
      </c>
      <c r="C1231" s="2" t="s">
        <v>6</v>
      </c>
      <c r="D1231" s="2" t="s">
        <v>6</v>
      </c>
      <c r="E1231" s="3">
        <v>99.94</v>
      </c>
      <c r="F1231" t="str">
        <f t="shared" si="97"/>
        <v>marketing</v>
      </c>
      <c r="G1231" s="7" t="s">
        <v>6</v>
      </c>
      <c r="H1231">
        <f t="shared" si="99"/>
        <v>2024</v>
      </c>
      <c r="I1231">
        <f t="shared" si="100"/>
        <v>6</v>
      </c>
      <c r="J1231">
        <f t="shared" si="96"/>
        <v>-50.94</v>
      </c>
    </row>
    <row r="1232" spans="1:10" ht="12.5" x14ac:dyDescent="0.25">
      <c r="A1232" s="1">
        <v>45462</v>
      </c>
      <c r="B1232" s="2" t="s">
        <v>11</v>
      </c>
      <c r="C1232" s="3">
        <v>9.99</v>
      </c>
      <c r="D1232" s="3">
        <v>41</v>
      </c>
      <c r="E1232" s="3">
        <v>409.59000000000003</v>
      </c>
      <c r="F1232" t="str">
        <f t="shared" si="97"/>
        <v>net sales</v>
      </c>
      <c r="G1232" s="7" t="str">
        <f t="shared" si="98"/>
        <v>product 1</v>
      </c>
      <c r="H1232">
        <f t="shared" si="99"/>
        <v>2024</v>
      </c>
      <c r="I1232">
        <f t="shared" si="100"/>
        <v>6</v>
      </c>
      <c r="J1232">
        <f t="shared" si="96"/>
        <v>-99.98</v>
      </c>
    </row>
    <row r="1233" spans="1:10" ht="12.5" x14ac:dyDescent="0.25">
      <c r="A1233" s="1">
        <v>45462</v>
      </c>
      <c r="B1233" s="2" t="s">
        <v>12</v>
      </c>
      <c r="C1233" s="3">
        <v>24.99</v>
      </c>
      <c r="D1233" s="3">
        <v>9</v>
      </c>
      <c r="E1233" s="3">
        <v>224.91</v>
      </c>
      <c r="F1233" t="str">
        <f t="shared" si="97"/>
        <v>net sales</v>
      </c>
      <c r="G1233" s="7" t="str">
        <f t="shared" si="98"/>
        <v>product 2</v>
      </c>
      <c r="H1233">
        <f t="shared" si="99"/>
        <v>2024</v>
      </c>
      <c r="I1233">
        <f t="shared" si="100"/>
        <v>6</v>
      </c>
      <c r="J1233">
        <f t="shared" si="96"/>
        <v>489.51</v>
      </c>
    </row>
    <row r="1234" spans="1:10" ht="12.5" x14ac:dyDescent="0.25">
      <c r="A1234" s="1">
        <v>45462</v>
      </c>
      <c r="B1234" s="2" t="s">
        <v>13</v>
      </c>
      <c r="C1234" s="3">
        <v>12.49</v>
      </c>
      <c r="D1234" s="3">
        <v>130</v>
      </c>
      <c r="E1234" s="3">
        <v>1623.7</v>
      </c>
      <c r="F1234" t="str">
        <f t="shared" si="97"/>
        <v>net sales</v>
      </c>
      <c r="G1234" s="7" t="str">
        <f t="shared" si="98"/>
        <v>product 3</v>
      </c>
      <c r="H1234">
        <f t="shared" si="99"/>
        <v>2024</v>
      </c>
      <c r="I1234">
        <f t="shared" si="100"/>
        <v>6</v>
      </c>
      <c r="J1234">
        <f t="shared" si="96"/>
        <v>149.94</v>
      </c>
    </row>
    <row r="1235" spans="1:10" ht="12.5" x14ac:dyDescent="0.25">
      <c r="A1235" s="1">
        <v>45463</v>
      </c>
      <c r="B1235" s="2" t="s">
        <v>7</v>
      </c>
      <c r="C1235" s="3">
        <v>5.99</v>
      </c>
      <c r="D1235" s="3">
        <v>92</v>
      </c>
      <c r="E1235" s="3">
        <v>551.08000000000004</v>
      </c>
      <c r="F1235" t="str">
        <f t="shared" si="97"/>
        <v>cogs</v>
      </c>
      <c r="G1235" s="7" t="str">
        <f t="shared" si="98"/>
        <v>product 1</v>
      </c>
      <c r="H1235">
        <f t="shared" si="99"/>
        <v>2024</v>
      </c>
      <c r="I1235">
        <f t="shared" si="100"/>
        <v>6</v>
      </c>
      <c r="J1235">
        <f t="shared" si="96"/>
        <v>74.94</v>
      </c>
    </row>
    <row r="1236" spans="1:10" ht="12.5" x14ac:dyDescent="0.25">
      <c r="A1236" s="1">
        <v>45463</v>
      </c>
      <c r="B1236" s="2" t="s">
        <v>8</v>
      </c>
      <c r="C1236" s="3">
        <v>16.989999999999998</v>
      </c>
      <c r="D1236" s="3">
        <v>7</v>
      </c>
      <c r="E1236" s="3">
        <v>118.92999999999999</v>
      </c>
      <c r="F1236" t="str">
        <f t="shared" si="97"/>
        <v>cogs</v>
      </c>
      <c r="G1236" s="7" t="str">
        <f t="shared" si="98"/>
        <v>product 2</v>
      </c>
      <c r="H1236">
        <f t="shared" si="99"/>
        <v>2024</v>
      </c>
      <c r="I1236">
        <f t="shared" si="100"/>
        <v>6</v>
      </c>
      <c r="J1236">
        <f t="shared" si="96"/>
        <v>-251.58</v>
      </c>
    </row>
    <row r="1237" spans="1:10" ht="12.5" x14ac:dyDescent="0.25">
      <c r="A1237" s="1">
        <v>45463</v>
      </c>
      <c r="B1237" s="2" t="s">
        <v>9</v>
      </c>
      <c r="C1237" s="3">
        <v>8.49</v>
      </c>
      <c r="D1237" s="3">
        <v>208</v>
      </c>
      <c r="E1237" s="3">
        <v>1765.92</v>
      </c>
      <c r="F1237" t="str">
        <f t="shared" si="97"/>
        <v>cogs</v>
      </c>
      <c r="G1237" s="7" t="str">
        <f t="shared" si="98"/>
        <v>product 3</v>
      </c>
      <c r="H1237">
        <f t="shared" si="99"/>
        <v>2024</v>
      </c>
      <c r="I1237">
        <f t="shared" si="100"/>
        <v>6</v>
      </c>
      <c r="J1237">
        <f t="shared" si="96"/>
        <v>-135.91999999999999</v>
      </c>
    </row>
    <row r="1238" spans="1:10" ht="12.5" x14ac:dyDescent="0.25">
      <c r="A1238" s="1">
        <v>45463</v>
      </c>
      <c r="B1238" s="2" t="s">
        <v>10</v>
      </c>
      <c r="C1238" s="2" t="s">
        <v>6</v>
      </c>
      <c r="D1238" s="2" t="s">
        <v>6</v>
      </c>
      <c r="E1238" s="3">
        <v>99.93</v>
      </c>
      <c r="F1238" t="str">
        <f t="shared" si="97"/>
        <v>marketing</v>
      </c>
      <c r="G1238" s="7" t="s">
        <v>6</v>
      </c>
      <c r="H1238">
        <f t="shared" si="99"/>
        <v>2024</v>
      </c>
      <c r="I1238">
        <f t="shared" si="100"/>
        <v>6</v>
      </c>
      <c r="J1238">
        <f t="shared" si="96"/>
        <v>-271.68</v>
      </c>
    </row>
    <row r="1239" spans="1:10" ht="12.5" x14ac:dyDescent="0.25">
      <c r="A1239" s="1">
        <v>45463</v>
      </c>
      <c r="B1239" s="2" t="s">
        <v>11</v>
      </c>
      <c r="C1239" s="3">
        <v>9.99</v>
      </c>
      <c r="D1239" s="3">
        <v>92</v>
      </c>
      <c r="E1239" s="3">
        <v>919.08</v>
      </c>
      <c r="F1239" t="str">
        <f t="shared" si="97"/>
        <v>net sales</v>
      </c>
      <c r="G1239" s="7" t="str">
        <f t="shared" si="98"/>
        <v>product 1</v>
      </c>
      <c r="H1239">
        <f t="shared" si="99"/>
        <v>2024</v>
      </c>
      <c r="I1239">
        <f t="shared" si="100"/>
        <v>6</v>
      </c>
      <c r="J1239">
        <f t="shared" si="96"/>
        <v>-100.05</v>
      </c>
    </row>
    <row r="1240" spans="1:10" ht="12.5" x14ac:dyDescent="0.25">
      <c r="A1240" s="1">
        <v>45463</v>
      </c>
      <c r="B1240" s="2" t="s">
        <v>12</v>
      </c>
      <c r="C1240" s="3">
        <v>24.99</v>
      </c>
      <c r="D1240" s="3">
        <v>7</v>
      </c>
      <c r="E1240" s="3">
        <v>174.92999999999998</v>
      </c>
      <c r="F1240" t="str">
        <f t="shared" si="97"/>
        <v>net sales</v>
      </c>
      <c r="G1240" s="7" t="str">
        <f t="shared" si="98"/>
        <v>product 2</v>
      </c>
      <c r="H1240">
        <f t="shared" si="99"/>
        <v>2024</v>
      </c>
      <c r="I1240">
        <f t="shared" si="100"/>
        <v>6</v>
      </c>
      <c r="J1240">
        <f t="shared" si="96"/>
        <v>419.58</v>
      </c>
    </row>
    <row r="1241" spans="1:10" ht="12.5" x14ac:dyDescent="0.25">
      <c r="A1241" s="1">
        <v>45463</v>
      </c>
      <c r="B1241" s="2" t="s">
        <v>13</v>
      </c>
      <c r="C1241" s="3">
        <v>12.49</v>
      </c>
      <c r="D1241" s="3">
        <v>208</v>
      </c>
      <c r="E1241" s="3">
        <v>2597.92</v>
      </c>
      <c r="F1241" t="str">
        <f t="shared" si="97"/>
        <v>net sales</v>
      </c>
      <c r="G1241" s="7" t="str">
        <f t="shared" si="98"/>
        <v>product 3</v>
      </c>
      <c r="H1241">
        <f t="shared" si="99"/>
        <v>2024</v>
      </c>
      <c r="I1241">
        <f t="shared" si="100"/>
        <v>6</v>
      </c>
      <c r="J1241">
        <f t="shared" si="96"/>
        <v>199.92</v>
      </c>
    </row>
    <row r="1242" spans="1:10" ht="12.5" x14ac:dyDescent="0.25">
      <c r="A1242" s="1">
        <v>45464</v>
      </c>
      <c r="B1242" s="2" t="s">
        <v>7</v>
      </c>
      <c r="C1242" s="3">
        <v>5.99</v>
      </c>
      <c r="D1242" s="3">
        <v>95</v>
      </c>
      <c r="E1242" s="3">
        <v>569.05000000000007</v>
      </c>
      <c r="F1242" t="str">
        <f t="shared" si="97"/>
        <v>cogs</v>
      </c>
      <c r="G1242" s="7" t="str">
        <f t="shared" si="98"/>
        <v>product 1</v>
      </c>
      <c r="H1242">
        <f t="shared" si="99"/>
        <v>2024</v>
      </c>
      <c r="I1242">
        <f t="shared" si="100"/>
        <v>6</v>
      </c>
      <c r="J1242">
        <f t="shared" si="96"/>
        <v>399.68</v>
      </c>
    </row>
    <row r="1243" spans="1:10" ht="12.5" x14ac:dyDescent="0.25">
      <c r="A1243" s="1">
        <v>45464</v>
      </c>
      <c r="B1243" s="2" t="s">
        <v>8</v>
      </c>
      <c r="C1243" s="3">
        <v>16.989999999999998</v>
      </c>
      <c r="D1243" s="3">
        <v>5</v>
      </c>
      <c r="E1243" s="3">
        <v>84.949999999999989</v>
      </c>
      <c r="F1243" t="str">
        <f t="shared" si="97"/>
        <v>cogs</v>
      </c>
      <c r="G1243" s="7" t="str">
        <f t="shared" si="98"/>
        <v>product 2</v>
      </c>
      <c r="H1243">
        <f t="shared" si="99"/>
        <v>2024</v>
      </c>
      <c r="I1243">
        <f t="shared" si="100"/>
        <v>6</v>
      </c>
      <c r="J1243">
        <f t="shared" si="96"/>
        <v>-221.63</v>
      </c>
    </row>
    <row r="1244" spans="1:10" ht="12.5" x14ac:dyDescent="0.25">
      <c r="A1244" s="1">
        <v>45464</v>
      </c>
      <c r="B1244" s="2" t="s">
        <v>9</v>
      </c>
      <c r="C1244" s="3">
        <v>8.49</v>
      </c>
      <c r="D1244" s="3">
        <v>0</v>
      </c>
      <c r="E1244" s="2">
        <f>C1244*D1244</f>
        <v>0</v>
      </c>
      <c r="F1244" t="str">
        <f t="shared" si="97"/>
        <v>cogs</v>
      </c>
      <c r="G1244" s="7" t="str">
        <f t="shared" si="98"/>
        <v>product 3</v>
      </c>
      <c r="H1244">
        <f t="shared" si="99"/>
        <v>2024</v>
      </c>
      <c r="I1244">
        <f t="shared" si="100"/>
        <v>6</v>
      </c>
      <c r="J1244">
        <f t="shared" ref="J1244:J1307" si="101">IF(F1027="net sales",E1027,
IF(F1027="cogs",-E1027,
IF(OR(F1027="marketing",F1027="overhead",F1027="payroll",F1027="interest","amortization"),-E1027,0)))</f>
        <v>-152.91</v>
      </c>
    </row>
    <row r="1245" spans="1:10" ht="12.5" x14ac:dyDescent="0.25">
      <c r="A1245" s="1">
        <v>45464</v>
      </c>
      <c r="B1245" s="2" t="s">
        <v>10</v>
      </c>
      <c r="C1245" s="2" t="s">
        <v>6</v>
      </c>
      <c r="D1245" s="2" t="s">
        <v>6</v>
      </c>
      <c r="E1245" s="3">
        <v>100.03</v>
      </c>
      <c r="F1245" t="str">
        <f t="shared" si="97"/>
        <v>marketing</v>
      </c>
      <c r="G1245" s="7" t="s">
        <v>6</v>
      </c>
      <c r="H1245">
        <f t="shared" si="99"/>
        <v>2024</v>
      </c>
      <c r="I1245">
        <f t="shared" si="100"/>
        <v>6</v>
      </c>
      <c r="J1245">
        <f t="shared" si="101"/>
        <v>-628.26</v>
      </c>
    </row>
    <row r="1246" spans="1:10" ht="12.5" x14ac:dyDescent="0.25">
      <c r="A1246" s="1">
        <v>45464</v>
      </c>
      <c r="B1246" s="2" t="s">
        <v>11</v>
      </c>
      <c r="C1246" s="3">
        <v>9.99</v>
      </c>
      <c r="D1246" s="3">
        <v>95</v>
      </c>
      <c r="E1246" s="3">
        <v>949.05000000000007</v>
      </c>
      <c r="F1246" t="str">
        <f t="shared" si="97"/>
        <v>net sales</v>
      </c>
      <c r="G1246" s="7" t="str">
        <f t="shared" si="98"/>
        <v>product 1</v>
      </c>
      <c r="H1246">
        <f t="shared" si="99"/>
        <v>2024</v>
      </c>
      <c r="I1246">
        <f t="shared" si="100"/>
        <v>6</v>
      </c>
      <c r="J1246">
        <f t="shared" si="101"/>
        <v>-99.94</v>
      </c>
    </row>
    <row r="1247" spans="1:10" ht="12.5" x14ac:dyDescent="0.25">
      <c r="A1247" s="1">
        <v>45464</v>
      </c>
      <c r="B1247" s="2" t="s">
        <v>12</v>
      </c>
      <c r="C1247" s="3">
        <v>24.99</v>
      </c>
      <c r="D1247" s="3">
        <v>5</v>
      </c>
      <c r="E1247" s="3">
        <v>124.94999999999999</v>
      </c>
      <c r="F1247" t="str">
        <f t="shared" si="97"/>
        <v>net sales</v>
      </c>
      <c r="G1247" s="7" t="str">
        <f t="shared" si="98"/>
        <v>product 2</v>
      </c>
      <c r="H1247">
        <f t="shared" si="99"/>
        <v>2024</v>
      </c>
      <c r="I1247">
        <f t="shared" si="100"/>
        <v>6</v>
      </c>
      <c r="J1247">
        <f t="shared" si="101"/>
        <v>369.63</v>
      </c>
    </row>
    <row r="1248" spans="1:10" ht="12.5" x14ac:dyDescent="0.25">
      <c r="A1248" s="1">
        <v>45464</v>
      </c>
      <c r="B1248" s="2" t="s">
        <v>13</v>
      </c>
      <c r="C1248" s="3">
        <v>12.49</v>
      </c>
      <c r="D1248" s="3">
        <v>0</v>
      </c>
      <c r="E1248" s="2">
        <f>C1248*D1248</f>
        <v>0</v>
      </c>
      <c r="F1248" t="str">
        <f t="shared" si="97"/>
        <v>net sales</v>
      </c>
      <c r="G1248" s="7" t="str">
        <f t="shared" si="98"/>
        <v>product 3</v>
      </c>
      <c r="H1248">
        <f t="shared" si="99"/>
        <v>2024</v>
      </c>
      <c r="I1248">
        <f t="shared" si="100"/>
        <v>6</v>
      </c>
      <c r="J1248">
        <f t="shared" si="101"/>
        <v>224.91</v>
      </c>
    </row>
    <row r="1249" spans="1:10" ht="12.5" x14ac:dyDescent="0.25">
      <c r="A1249" s="1">
        <v>45464</v>
      </c>
      <c r="B1249" s="2" t="s">
        <v>15</v>
      </c>
      <c r="C1249" s="2" t="s">
        <v>6</v>
      </c>
      <c r="D1249" s="2" t="s">
        <v>6</v>
      </c>
      <c r="E1249" s="3">
        <v>1200</v>
      </c>
      <c r="F1249" t="str">
        <f t="shared" si="97"/>
        <v>payroll</v>
      </c>
      <c r="G1249" s="7" t="s">
        <v>6</v>
      </c>
      <c r="H1249">
        <f t="shared" si="99"/>
        <v>2024</v>
      </c>
      <c r="I1249">
        <f t="shared" si="100"/>
        <v>6</v>
      </c>
      <c r="J1249">
        <f t="shared" si="101"/>
        <v>924.26</v>
      </c>
    </row>
    <row r="1250" spans="1:10" ht="12.5" x14ac:dyDescent="0.25">
      <c r="A1250" s="1">
        <v>45465</v>
      </c>
      <c r="B1250" s="2" t="s">
        <v>7</v>
      </c>
      <c r="C1250" s="3">
        <v>5.99</v>
      </c>
      <c r="D1250" s="3">
        <v>7</v>
      </c>
      <c r="E1250" s="3">
        <v>41.93</v>
      </c>
      <c r="F1250" t="str">
        <f t="shared" si="97"/>
        <v>cogs</v>
      </c>
      <c r="G1250" s="7" t="str">
        <f t="shared" si="98"/>
        <v>product 1</v>
      </c>
      <c r="H1250">
        <f t="shared" si="99"/>
        <v>2024</v>
      </c>
      <c r="I1250">
        <f t="shared" si="100"/>
        <v>6</v>
      </c>
      <c r="J1250">
        <f t="shared" si="101"/>
        <v>-419.3</v>
      </c>
    </row>
    <row r="1251" spans="1:10" ht="12.5" x14ac:dyDescent="0.25">
      <c r="A1251" s="1">
        <v>45465</v>
      </c>
      <c r="B1251" s="2" t="s">
        <v>8</v>
      </c>
      <c r="C1251" s="3">
        <v>16.989999999999998</v>
      </c>
      <c r="D1251" s="3">
        <v>6</v>
      </c>
      <c r="E1251" s="3">
        <v>101.94</v>
      </c>
      <c r="F1251" t="str">
        <f t="shared" si="97"/>
        <v>cogs</v>
      </c>
      <c r="G1251" s="7" t="str">
        <f t="shared" si="98"/>
        <v>product 2</v>
      </c>
      <c r="H1251">
        <f t="shared" si="99"/>
        <v>2024</v>
      </c>
      <c r="I1251">
        <f t="shared" si="100"/>
        <v>6</v>
      </c>
      <c r="J1251">
        <f t="shared" si="101"/>
        <v>0</v>
      </c>
    </row>
    <row r="1252" spans="1:10" ht="12.5" x14ac:dyDescent="0.25">
      <c r="A1252" s="1">
        <v>45465</v>
      </c>
      <c r="B1252" s="2" t="s">
        <v>9</v>
      </c>
      <c r="C1252" s="3">
        <v>8.49</v>
      </c>
      <c r="D1252" s="3">
        <v>138</v>
      </c>
      <c r="E1252" s="3">
        <v>1171.6200000000001</v>
      </c>
      <c r="F1252" t="str">
        <f t="shared" si="97"/>
        <v>cogs</v>
      </c>
      <c r="G1252" s="7" t="str">
        <f t="shared" si="98"/>
        <v>product 3</v>
      </c>
      <c r="H1252">
        <f t="shared" si="99"/>
        <v>2024</v>
      </c>
      <c r="I1252">
        <f t="shared" si="100"/>
        <v>6</v>
      </c>
      <c r="J1252">
        <f t="shared" si="101"/>
        <v>-1893.27</v>
      </c>
    </row>
    <row r="1253" spans="1:10" ht="12.5" x14ac:dyDescent="0.25">
      <c r="A1253" s="1">
        <v>45465</v>
      </c>
      <c r="B1253" s="2" t="s">
        <v>10</v>
      </c>
      <c r="C1253" s="2" t="s">
        <v>6</v>
      </c>
      <c r="D1253" s="2" t="s">
        <v>6</v>
      </c>
      <c r="E1253" s="3">
        <v>100.08</v>
      </c>
      <c r="F1253" t="str">
        <f t="shared" si="97"/>
        <v>marketing</v>
      </c>
      <c r="G1253" s="7" t="s">
        <v>6</v>
      </c>
      <c r="H1253">
        <f t="shared" si="99"/>
        <v>2024</v>
      </c>
      <c r="I1253">
        <f t="shared" si="100"/>
        <v>6</v>
      </c>
      <c r="J1253">
        <f t="shared" si="101"/>
        <v>-100</v>
      </c>
    </row>
    <row r="1254" spans="1:10" ht="12.5" x14ac:dyDescent="0.25">
      <c r="A1254" s="1">
        <v>45465</v>
      </c>
      <c r="B1254" s="2" t="s">
        <v>11</v>
      </c>
      <c r="C1254" s="3">
        <v>9.99</v>
      </c>
      <c r="D1254" s="3">
        <v>7</v>
      </c>
      <c r="E1254" s="3">
        <v>69.930000000000007</v>
      </c>
      <c r="F1254" t="str">
        <f t="shared" si="97"/>
        <v>net sales</v>
      </c>
      <c r="G1254" s="7" t="str">
        <f t="shared" si="98"/>
        <v>product 1</v>
      </c>
      <c r="H1254">
        <f t="shared" si="99"/>
        <v>2024</v>
      </c>
      <c r="I1254">
        <f t="shared" si="100"/>
        <v>6</v>
      </c>
      <c r="J1254">
        <f t="shared" si="101"/>
        <v>699.30000000000007</v>
      </c>
    </row>
    <row r="1255" spans="1:10" ht="12.5" x14ac:dyDescent="0.25">
      <c r="A1255" s="1">
        <v>45465</v>
      </c>
      <c r="B1255" s="2" t="s">
        <v>12</v>
      </c>
      <c r="C1255" s="3">
        <v>24.99</v>
      </c>
      <c r="D1255" s="3">
        <v>6</v>
      </c>
      <c r="E1255" s="3">
        <v>149.94</v>
      </c>
      <c r="F1255" t="str">
        <f t="shared" si="97"/>
        <v>net sales</v>
      </c>
      <c r="G1255" s="7" t="str">
        <f t="shared" si="98"/>
        <v>product 2</v>
      </c>
      <c r="H1255">
        <f t="shared" si="99"/>
        <v>2024</v>
      </c>
      <c r="I1255">
        <f t="shared" si="100"/>
        <v>6</v>
      </c>
      <c r="J1255">
        <f t="shared" si="101"/>
        <v>0</v>
      </c>
    </row>
    <row r="1256" spans="1:10" ht="12.5" x14ac:dyDescent="0.25">
      <c r="A1256" s="1">
        <v>45465</v>
      </c>
      <c r="B1256" s="2" t="s">
        <v>13</v>
      </c>
      <c r="C1256" s="3">
        <v>12.49</v>
      </c>
      <c r="D1256" s="3">
        <v>138</v>
      </c>
      <c r="E1256" s="3">
        <v>1723.6200000000001</v>
      </c>
      <c r="F1256" t="str">
        <f t="shared" si="97"/>
        <v>net sales</v>
      </c>
      <c r="G1256" s="7" t="str">
        <f t="shared" si="98"/>
        <v>product 3</v>
      </c>
      <c r="H1256">
        <f t="shared" si="99"/>
        <v>2024</v>
      </c>
      <c r="I1256">
        <f t="shared" si="100"/>
        <v>6</v>
      </c>
      <c r="J1256">
        <f t="shared" si="101"/>
        <v>2785.27</v>
      </c>
    </row>
    <row r="1257" spans="1:10" ht="12.5" x14ac:dyDescent="0.25">
      <c r="A1257" s="1">
        <v>45466</v>
      </c>
      <c r="B1257" s="2" t="s">
        <v>7</v>
      </c>
      <c r="C1257" s="3">
        <v>5.99</v>
      </c>
      <c r="D1257" s="3">
        <v>92</v>
      </c>
      <c r="E1257" s="3">
        <v>551.08000000000004</v>
      </c>
      <c r="F1257" t="str">
        <f t="shared" si="97"/>
        <v>cogs</v>
      </c>
      <c r="G1257" s="7" t="str">
        <f t="shared" si="98"/>
        <v>product 1</v>
      </c>
      <c r="H1257">
        <f t="shared" si="99"/>
        <v>2024</v>
      </c>
      <c r="I1257">
        <f t="shared" si="100"/>
        <v>6</v>
      </c>
      <c r="J1257">
        <f t="shared" si="101"/>
        <v>-143.76</v>
      </c>
    </row>
    <row r="1258" spans="1:10" ht="12.5" x14ac:dyDescent="0.25">
      <c r="A1258" s="1">
        <v>45466</v>
      </c>
      <c r="B1258" s="2" t="s">
        <v>8</v>
      </c>
      <c r="C1258" s="3">
        <v>16.989999999999998</v>
      </c>
      <c r="D1258" s="3">
        <v>2</v>
      </c>
      <c r="E1258" s="3">
        <v>33.979999999999997</v>
      </c>
      <c r="F1258" t="str">
        <f t="shared" si="97"/>
        <v>cogs</v>
      </c>
      <c r="G1258" s="7" t="str">
        <f t="shared" si="98"/>
        <v>product 2</v>
      </c>
      <c r="H1258">
        <f t="shared" si="99"/>
        <v>2024</v>
      </c>
      <c r="I1258">
        <f t="shared" si="100"/>
        <v>6</v>
      </c>
      <c r="J1258">
        <f t="shared" si="101"/>
        <v>-152.91</v>
      </c>
    </row>
    <row r="1259" spans="1:10" ht="12.5" x14ac:dyDescent="0.25">
      <c r="A1259" s="1">
        <v>45466</v>
      </c>
      <c r="B1259" s="2" t="s">
        <v>9</v>
      </c>
      <c r="C1259" s="3">
        <v>8.49</v>
      </c>
      <c r="D1259" s="3">
        <v>47</v>
      </c>
      <c r="E1259" s="3">
        <v>399.03000000000003</v>
      </c>
      <c r="F1259" t="str">
        <f t="shared" si="97"/>
        <v>cogs</v>
      </c>
      <c r="G1259" s="7" t="str">
        <f t="shared" si="98"/>
        <v>product 3</v>
      </c>
      <c r="H1259">
        <f t="shared" si="99"/>
        <v>2024</v>
      </c>
      <c r="I1259">
        <f t="shared" si="100"/>
        <v>6</v>
      </c>
      <c r="J1259">
        <f t="shared" si="101"/>
        <v>-1315.95</v>
      </c>
    </row>
    <row r="1260" spans="1:10" ht="12.5" x14ac:dyDescent="0.25">
      <c r="A1260" s="1">
        <v>45466</v>
      </c>
      <c r="B1260" s="2" t="s">
        <v>10</v>
      </c>
      <c r="C1260" s="2" t="s">
        <v>6</v>
      </c>
      <c r="D1260" s="2" t="s">
        <v>6</v>
      </c>
      <c r="E1260" s="3">
        <v>100</v>
      </c>
      <c r="F1260" t="str">
        <f t="shared" si="97"/>
        <v>marketing</v>
      </c>
      <c r="G1260" s="7" t="s">
        <v>6</v>
      </c>
      <c r="H1260">
        <f t="shared" si="99"/>
        <v>2024</v>
      </c>
      <c r="I1260">
        <f t="shared" si="100"/>
        <v>6</v>
      </c>
      <c r="J1260">
        <f t="shared" si="101"/>
        <v>-99.93</v>
      </c>
    </row>
    <row r="1261" spans="1:10" ht="12.5" x14ac:dyDescent="0.25">
      <c r="A1261" s="1">
        <v>45466</v>
      </c>
      <c r="B1261" s="2" t="s">
        <v>11</v>
      </c>
      <c r="C1261" s="3">
        <v>9.99</v>
      </c>
      <c r="D1261" s="3">
        <v>92</v>
      </c>
      <c r="E1261" s="3">
        <v>919.08</v>
      </c>
      <c r="F1261" t="str">
        <f t="shared" si="97"/>
        <v>net sales</v>
      </c>
      <c r="G1261" s="7" t="str">
        <f t="shared" si="98"/>
        <v>product 1</v>
      </c>
      <c r="H1261">
        <f t="shared" si="99"/>
        <v>2024</v>
      </c>
      <c r="I1261">
        <f t="shared" si="100"/>
        <v>6</v>
      </c>
      <c r="J1261">
        <f t="shared" si="101"/>
        <v>239.76</v>
      </c>
    </row>
    <row r="1262" spans="1:10" ht="12.5" x14ac:dyDescent="0.25">
      <c r="A1262" s="1">
        <v>45466</v>
      </c>
      <c r="B1262" s="2" t="s">
        <v>12</v>
      </c>
      <c r="C1262" s="3">
        <v>24.99</v>
      </c>
      <c r="D1262" s="3">
        <v>2</v>
      </c>
      <c r="E1262" s="3">
        <v>49.98</v>
      </c>
      <c r="F1262" t="str">
        <f t="shared" si="97"/>
        <v>net sales</v>
      </c>
      <c r="G1262" s="7" t="str">
        <f t="shared" si="98"/>
        <v>product 2</v>
      </c>
      <c r="H1262">
        <f t="shared" si="99"/>
        <v>2024</v>
      </c>
      <c r="I1262">
        <f t="shared" si="100"/>
        <v>6</v>
      </c>
      <c r="J1262">
        <f t="shared" si="101"/>
        <v>224.91</v>
      </c>
    </row>
    <row r="1263" spans="1:10" ht="12.5" x14ac:dyDescent="0.25">
      <c r="A1263" s="1">
        <v>45466</v>
      </c>
      <c r="B1263" s="2" t="s">
        <v>13</v>
      </c>
      <c r="C1263" s="3">
        <v>12.49</v>
      </c>
      <c r="D1263" s="3">
        <v>47</v>
      </c>
      <c r="E1263" s="3">
        <v>587.03</v>
      </c>
      <c r="F1263" t="str">
        <f t="shared" si="97"/>
        <v>net sales</v>
      </c>
      <c r="G1263" s="7" t="str">
        <f t="shared" si="98"/>
        <v>product 3</v>
      </c>
      <c r="H1263">
        <f t="shared" si="99"/>
        <v>2024</v>
      </c>
      <c r="I1263">
        <f t="shared" si="100"/>
        <v>6</v>
      </c>
      <c r="J1263">
        <f t="shared" si="101"/>
        <v>1935.95</v>
      </c>
    </row>
    <row r="1264" spans="1:10" ht="12.5" x14ac:dyDescent="0.25">
      <c r="A1264" s="1">
        <v>45467</v>
      </c>
      <c r="B1264" s="2" t="s">
        <v>7</v>
      </c>
      <c r="C1264" s="3">
        <v>5.99</v>
      </c>
      <c r="D1264" s="3">
        <v>28</v>
      </c>
      <c r="E1264" s="3">
        <v>167.72</v>
      </c>
      <c r="F1264" t="str">
        <f t="shared" si="97"/>
        <v>cogs</v>
      </c>
      <c r="G1264" s="7" t="str">
        <f t="shared" si="98"/>
        <v>product 1</v>
      </c>
      <c r="H1264">
        <f t="shared" si="99"/>
        <v>2024</v>
      </c>
      <c r="I1264">
        <f t="shared" si="100"/>
        <v>6</v>
      </c>
      <c r="J1264">
        <f t="shared" si="101"/>
        <v>-1200</v>
      </c>
    </row>
    <row r="1265" spans="1:10" ht="12.5" x14ac:dyDescent="0.25">
      <c r="A1265" s="1">
        <v>45467</v>
      </c>
      <c r="B1265" s="2" t="s">
        <v>8</v>
      </c>
      <c r="C1265" s="3">
        <v>16.989999999999998</v>
      </c>
      <c r="D1265" s="3">
        <v>8</v>
      </c>
      <c r="E1265" s="3">
        <v>135.91999999999999</v>
      </c>
      <c r="F1265" t="str">
        <f t="shared" si="97"/>
        <v>cogs</v>
      </c>
      <c r="G1265" s="7" t="str">
        <f t="shared" si="98"/>
        <v>product 2</v>
      </c>
      <c r="H1265">
        <f t="shared" si="99"/>
        <v>2024</v>
      </c>
      <c r="I1265">
        <f t="shared" si="100"/>
        <v>6</v>
      </c>
      <c r="J1265">
        <f t="shared" si="101"/>
        <v>0</v>
      </c>
    </row>
    <row r="1266" spans="1:10" ht="12.5" x14ac:dyDescent="0.25">
      <c r="A1266" s="1">
        <v>45467</v>
      </c>
      <c r="B1266" s="2" t="s">
        <v>9</v>
      </c>
      <c r="C1266" s="3">
        <v>8.49</v>
      </c>
      <c r="D1266" s="3">
        <v>121</v>
      </c>
      <c r="E1266" s="3">
        <v>1027.29</v>
      </c>
      <c r="F1266" t="str">
        <f t="shared" si="97"/>
        <v>cogs</v>
      </c>
      <c r="G1266" s="7" t="str">
        <f t="shared" si="98"/>
        <v>product 3</v>
      </c>
      <c r="H1266">
        <f t="shared" si="99"/>
        <v>2024</v>
      </c>
      <c r="I1266">
        <f t="shared" si="100"/>
        <v>6</v>
      </c>
      <c r="J1266">
        <f t="shared" si="101"/>
        <v>-152.91</v>
      </c>
    </row>
    <row r="1267" spans="1:10" ht="12.5" x14ac:dyDescent="0.25">
      <c r="A1267" s="1">
        <v>45467</v>
      </c>
      <c r="B1267" s="2" t="s">
        <v>10</v>
      </c>
      <c r="C1267" s="2" t="s">
        <v>6</v>
      </c>
      <c r="D1267" s="2" t="s">
        <v>6</v>
      </c>
      <c r="E1267" s="3">
        <v>100.03</v>
      </c>
      <c r="F1267" t="str">
        <f t="shared" si="97"/>
        <v>marketing</v>
      </c>
      <c r="G1267" s="7" t="s">
        <v>6</v>
      </c>
      <c r="H1267">
        <f t="shared" si="99"/>
        <v>2024</v>
      </c>
      <c r="I1267">
        <f t="shared" si="100"/>
        <v>6</v>
      </c>
      <c r="J1267">
        <f t="shared" si="101"/>
        <v>-2097.0300000000002</v>
      </c>
    </row>
    <row r="1268" spans="1:10" ht="12.5" x14ac:dyDescent="0.25">
      <c r="A1268" s="1">
        <v>45467</v>
      </c>
      <c r="B1268" s="2" t="s">
        <v>11</v>
      </c>
      <c r="C1268" s="3">
        <v>9.99</v>
      </c>
      <c r="D1268" s="3">
        <v>28</v>
      </c>
      <c r="E1268" s="3">
        <v>279.72000000000003</v>
      </c>
      <c r="F1268" t="str">
        <f t="shared" si="97"/>
        <v>net sales</v>
      </c>
      <c r="G1268" s="7" t="str">
        <f t="shared" si="98"/>
        <v>product 1</v>
      </c>
      <c r="H1268">
        <f t="shared" si="99"/>
        <v>2024</v>
      </c>
      <c r="I1268">
        <f t="shared" si="100"/>
        <v>6</v>
      </c>
      <c r="J1268">
        <f t="shared" si="101"/>
        <v>-99.92</v>
      </c>
    </row>
    <row r="1269" spans="1:10" ht="12.5" x14ac:dyDescent="0.25">
      <c r="A1269" s="1">
        <v>45467</v>
      </c>
      <c r="B1269" s="2" t="s">
        <v>12</v>
      </c>
      <c r="C1269" s="3">
        <v>24.99</v>
      </c>
      <c r="D1269" s="3">
        <v>8</v>
      </c>
      <c r="E1269" s="3">
        <v>199.92</v>
      </c>
      <c r="F1269" t="str">
        <f t="shared" si="97"/>
        <v>net sales</v>
      </c>
      <c r="G1269" s="7" t="str">
        <f t="shared" si="98"/>
        <v>product 2</v>
      </c>
      <c r="H1269">
        <f t="shared" si="99"/>
        <v>2024</v>
      </c>
      <c r="I1269">
        <f t="shared" si="100"/>
        <v>6</v>
      </c>
      <c r="J1269">
        <f t="shared" si="101"/>
        <v>0</v>
      </c>
    </row>
    <row r="1270" spans="1:10" ht="12.5" x14ac:dyDescent="0.25">
      <c r="A1270" s="1">
        <v>45467</v>
      </c>
      <c r="B1270" s="2" t="s">
        <v>13</v>
      </c>
      <c r="C1270" s="3">
        <v>12.49</v>
      </c>
      <c r="D1270" s="3">
        <v>121</v>
      </c>
      <c r="E1270" s="3">
        <v>1511.29</v>
      </c>
      <c r="F1270" t="str">
        <f t="shared" si="97"/>
        <v>net sales</v>
      </c>
      <c r="G1270" s="7" t="str">
        <f t="shared" si="98"/>
        <v>product 3</v>
      </c>
      <c r="H1270">
        <f t="shared" si="99"/>
        <v>2024</v>
      </c>
      <c r="I1270">
        <f t="shared" si="100"/>
        <v>6</v>
      </c>
      <c r="J1270">
        <f t="shared" si="101"/>
        <v>224.91</v>
      </c>
    </row>
    <row r="1271" spans="1:10" ht="12.5" x14ac:dyDescent="0.25">
      <c r="A1271" s="1">
        <v>45468</v>
      </c>
      <c r="B1271" s="2" t="s">
        <v>7</v>
      </c>
      <c r="C1271" s="3">
        <v>5.99</v>
      </c>
      <c r="D1271" s="3">
        <v>55</v>
      </c>
      <c r="E1271" s="3">
        <v>329.45</v>
      </c>
      <c r="F1271" t="str">
        <f t="shared" si="97"/>
        <v>cogs</v>
      </c>
      <c r="G1271" s="7" t="str">
        <f t="shared" si="98"/>
        <v>product 1</v>
      </c>
      <c r="H1271">
        <f t="shared" si="99"/>
        <v>2024</v>
      </c>
      <c r="I1271">
        <f t="shared" si="100"/>
        <v>6</v>
      </c>
      <c r="J1271">
        <f t="shared" si="101"/>
        <v>3085.03</v>
      </c>
    </row>
    <row r="1272" spans="1:10" ht="12.5" x14ac:dyDescent="0.25">
      <c r="A1272" s="1">
        <v>45468</v>
      </c>
      <c r="B1272" s="2" t="s">
        <v>8</v>
      </c>
      <c r="C1272" s="3">
        <v>16.989999999999998</v>
      </c>
      <c r="D1272" s="3">
        <v>6</v>
      </c>
      <c r="E1272" s="3">
        <v>101.94</v>
      </c>
      <c r="F1272" t="str">
        <f t="shared" si="97"/>
        <v>cogs</v>
      </c>
      <c r="G1272" s="7" t="str">
        <f t="shared" si="98"/>
        <v>product 2</v>
      </c>
      <c r="H1272">
        <f t="shared" si="99"/>
        <v>2024</v>
      </c>
      <c r="I1272">
        <f t="shared" si="100"/>
        <v>6</v>
      </c>
      <c r="J1272">
        <f t="shared" si="101"/>
        <v>-329.45</v>
      </c>
    </row>
    <row r="1273" spans="1:10" ht="12.5" x14ac:dyDescent="0.25">
      <c r="A1273" s="1">
        <v>45468</v>
      </c>
      <c r="B1273" s="2" t="s">
        <v>9</v>
      </c>
      <c r="C1273" s="3">
        <v>8.49</v>
      </c>
      <c r="D1273" s="3">
        <v>123</v>
      </c>
      <c r="E1273" s="3">
        <v>1044.27</v>
      </c>
      <c r="F1273" t="str">
        <f t="shared" si="97"/>
        <v>cogs</v>
      </c>
      <c r="G1273" s="7" t="str">
        <f t="shared" si="98"/>
        <v>product 3</v>
      </c>
      <c r="H1273">
        <f t="shared" si="99"/>
        <v>2024</v>
      </c>
      <c r="I1273">
        <f t="shared" si="100"/>
        <v>6</v>
      </c>
      <c r="J1273">
        <f t="shared" si="101"/>
        <v>-16.989999999999998</v>
      </c>
    </row>
    <row r="1274" spans="1:10" ht="12.5" x14ac:dyDescent="0.25">
      <c r="A1274" s="1">
        <v>45468</v>
      </c>
      <c r="B1274" s="2" t="s">
        <v>10</v>
      </c>
      <c r="C1274" s="2" t="s">
        <v>6</v>
      </c>
      <c r="D1274" s="2" t="s">
        <v>6</v>
      </c>
      <c r="E1274" s="3">
        <v>99.98</v>
      </c>
      <c r="F1274" t="str">
        <f t="shared" si="97"/>
        <v>marketing</v>
      </c>
      <c r="G1274" s="7" t="s">
        <v>6</v>
      </c>
      <c r="H1274">
        <f t="shared" si="99"/>
        <v>2024</v>
      </c>
      <c r="I1274">
        <f t="shared" si="100"/>
        <v>6</v>
      </c>
      <c r="J1274">
        <f t="shared" si="101"/>
        <v>-118.86</v>
      </c>
    </row>
    <row r="1275" spans="1:10" ht="12.5" x14ac:dyDescent="0.25">
      <c r="A1275" s="1">
        <v>45468</v>
      </c>
      <c r="B1275" s="2" t="s">
        <v>11</v>
      </c>
      <c r="C1275" s="3">
        <v>9.99</v>
      </c>
      <c r="D1275" s="3">
        <v>55</v>
      </c>
      <c r="E1275" s="3">
        <v>549.45000000000005</v>
      </c>
      <c r="F1275" t="str">
        <f t="shared" si="97"/>
        <v>net sales</v>
      </c>
      <c r="G1275" s="7" t="str">
        <f t="shared" si="98"/>
        <v>product 1</v>
      </c>
      <c r="H1275">
        <f t="shared" si="99"/>
        <v>2024</v>
      </c>
      <c r="I1275">
        <f t="shared" si="100"/>
        <v>6</v>
      </c>
      <c r="J1275">
        <f t="shared" si="101"/>
        <v>-100.07000000000001</v>
      </c>
    </row>
    <row r="1276" spans="1:10" ht="12.5" x14ac:dyDescent="0.25">
      <c r="A1276" s="1">
        <v>45468</v>
      </c>
      <c r="B1276" s="2" t="s">
        <v>12</v>
      </c>
      <c r="C1276" s="3">
        <v>24.99</v>
      </c>
      <c r="D1276" s="3">
        <v>6</v>
      </c>
      <c r="E1276" s="3">
        <v>149.94</v>
      </c>
      <c r="F1276" t="str">
        <f t="shared" si="97"/>
        <v>net sales</v>
      </c>
      <c r="G1276" s="7" t="str">
        <f t="shared" si="98"/>
        <v>product 2</v>
      </c>
      <c r="H1276">
        <f t="shared" si="99"/>
        <v>2024</v>
      </c>
      <c r="I1276">
        <f t="shared" si="100"/>
        <v>6</v>
      </c>
      <c r="J1276">
        <f t="shared" si="101"/>
        <v>549.45000000000005</v>
      </c>
    </row>
    <row r="1277" spans="1:10" ht="12.5" x14ac:dyDescent="0.25">
      <c r="A1277" s="1">
        <v>45468</v>
      </c>
      <c r="B1277" s="2" t="s">
        <v>13</v>
      </c>
      <c r="C1277" s="3">
        <v>12.49</v>
      </c>
      <c r="D1277" s="3">
        <v>123</v>
      </c>
      <c r="E1277" s="3">
        <v>1536.27</v>
      </c>
      <c r="F1277" t="str">
        <f t="shared" si="97"/>
        <v>net sales</v>
      </c>
      <c r="G1277" s="7" t="str">
        <f t="shared" si="98"/>
        <v>product 3</v>
      </c>
      <c r="H1277">
        <f t="shared" si="99"/>
        <v>2024</v>
      </c>
      <c r="I1277">
        <f t="shared" si="100"/>
        <v>6</v>
      </c>
      <c r="J1277">
        <f t="shared" si="101"/>
        <v>24.99</v>
      </c>
    </row>
    <row r="1278" spans="1:10" ht="12.5" x14ac:dyDescent="0.25">
      <c r="A1278" s="1">
        <v>45469</v>
      </c>
      <c r="B1278" s="2" t="s">
        <v>7</v>
      </c>
      <c r="C1278" s="3">
        <v>5.99</v>
      </c>
      <c r="D1278" s="3">
        <v>96</v>
      </c>
      <c r="E1278" s="3">
        <v>575.04</v>
      </c>
      <c r="F1278" t="str">
        <f t="shared" si="97"/>
        <v>cogs</v>
      </c>
      <c r="G1278" s="7" t="str">
        <f t="shared" si="98"/>
        <v>product 1</v>
      </c>
      <c r="H1278">
        <f t="shared" si="99"/>
        <v>2024</v>
      </c>
      <c r="I1278">
        <f t="shared" si="100"/>
        <v>6</v>
      </c>
      <c r="J1278">
        <f t="shared" si="101"/>
        <v>174.86</v>
      </c>
    </row>
    <row r="1279" spans="1:10" ht="12.5" x14ac:dyDescent="0.25">
      <c r="A1279" s="1">
        <v>45469</v>
      </c>
      <c r="B1279" s="2" t="s">
        <v>8</v>
      </c>
      <c r="C1279" s="3">
        <v>16.989999999999998</v>
      </c>
      <c r="D1279" s="3">
        <v>1</v>
      </c>
      <c r="E1279" s="3">
        <v>16.989999999999998</v>
      </c>
      <c r="F1279" t="str">
        <f t="shared" si="97"/>
        <v>cogs</v>
      </c>
      <c r="G1279" s="7" t="str">
        <f t="shared" si="98"/>
        <v>product 2</v>
      </c>
      <c r="H1279">
        <f t="shared" si="99"/>
        <v>2024</v>
      </c>
      <c r="I1279">
        <f t="shared" si="100"/>
        <v>6</v>
      </c>
      <c r="J1279">
        <f t="shared" si="101"/>
        <v>-473.21000000000004</v>
      </c>
    </row>
    <row r="1280" spans="1:10" ht="12.5" x14ac:dyDescent="0.25">
      <c r="A1280" s="1">
        <v>45469</v>
      </c>
      <c r="B1280" s="2" t="s">
        <v>9</v>
      </c>
      <c r="C1280" s="3">
        <v>8.49</v>
      </c>
      <c r="D1280" s="3">
        <v>171</v>
      </c>
      <c r="E1280" s="3">
        <v>1451.79</v>
      </c>
      <c r="F1280" t="str">
        <f t="shared" si="97"/>
        <v>cogs</v>
      </c>
      <c r="G1280" s="7" t="str">
        <f t="shared" si="98"/>
        <v>product 3</v>
      </c>
      <c r="H1280">
        <f t="shared" si="99"/>
        <v>2024</v>
      </c>
      <c r="I1280">
        <f t="shared" si="100"/>
        <v>6</v>
      </c>
      <c r="J1280">
        <f t="shared" si="101"/>
        <v>-84.949999999999989</v>
      </c>
    </row>
    <row r="1281" spans="1:10" ht="12.5" x14ac:dyDescent="0.25">
      <c r="A1281" s="1">
        <v>45469</v>
      </c>
      <c r="B1281" s="2" t="s">
        <v>10</v>
      </c>
      <c r="C1281" s="2" t="s">
        <v>6</v>
      </c>
      <c r="D1281" s="2" t="s">
        <v>6</v>
      </c>
      <c r="E1281" s="3">
        <v>100.06</v>
      </c>
      <c r="F1281" t="str">
        <f t="shared" si="97"/>
        <v>marketing</v>
      </c>
      <c r="G1281" s="7" t="s">
        <v>6</v>
      </c>
      <c r="H1281">
        <f t="shared" si="99"/>
        <v>2024</v>
      </c>
      <c r="I1281">
        <f t="shared" si="100"/>
        <v>6</v>
      </c>
      <c r="J1281">
        <f t="shared" si="101"/>
        <v>-1978.17</v>
      </c>
    </row>
    <row r="1282" spans="1:10" ht="12.5" x14ac:dyDescent="0.25">
      <c r="A1282" s="1">
        <v>45469</v>
      </c>
      <c r="B1282" s="2" t="s">
        <v>11</v>
      </c>
      <c r="C1282" s="3">
        <v>9.99</v>
      </c>
      <c r="D1282" s="3">
        <v>96</v>
      </c>
      <c r="E1282" s="3">
        <v>959.04</v>
      </c>
      <c r="F1282" t="str">
        <f t="shared" si="97"/>
        <v>net sales</v>
      </c>
      <c r="G1282" s="7" t="str">
        <f t="shared" si="98"/>
        <v>product 1</v>
      </c>
      <c r="H1282">
        <f t="shared" si="99"/>
        <v>2024</v>
      </c>
      <c r="I1282">
        <f t="shared" si="100"/>
        <v>6</v>
      </c>
      <c r="J1282">
        <f t="shared" si="101"/>
        <v>-100.08</v>
      </c>
    </row>
    <row r="1283" spans="1:10" ht="12.5" x14ac:dyDescent="0.25">
      <c r="A1283" s="1">
        <v>45469</v>
      </c>
      <c r="B1283" s="2" t="s">
        <v>12</v>
      </c>
      <c r="C1283" s="3">
        <v>24.99</v>
      </c>
      <c r="D1283" s="3">
        <v>1</v>
      </c>
      <c r="E1283" s="3">
        <v>24.99</v>
      </c>
      <c r="F1283" t="str">
        <f t="shared" ref="F1283:F1346" si="102">IFERROR(LEFT(B1283,FIND(":",B1283)-1),B1283)</f>
        <v>net sales</v>
      </c>
      <c r="G1283" s="7" t="str">
        <f t="shared" ref="G1283:G1345" si="103">IFERROR(RIGHT(B1283,LEN(B1283)-FIND(":",B1283)),"")</f>
        <v>product 2</v>
      </c>
      <c r="H1283">
        <f t="shared" ref="H1283:H1346" si="104">YEAR(A1283)</f>
        <v>2024</v>
      </c>
      <c r="I1283">
        <f t="shared" ref="I1283:I1346" si="105">MONTH(A1283)</f>
        <v>6</v>
      </c>
      <c r="J1283">
        <f t="shared" si="101"/>
        <v>789.21</v>
      </c>
    </row>
    <row r="1284" spans="1:10" ht="12.5" x14ac:dyDescent="0.25">
      <c r="A1284" s="1">
        <v>45469</v>
      </c>
      <c r="B1284" s="2" t="s">
        <v>13</v>
      </c>
      <c r="C1284" s="3">
        <v>12.49</v>
      </c>
      <c r="D1284" s="3">
        <v>171</v>
      </c>
      <c r="E1284" s="3">
        <v>2135.79</v>
      </c>
      <c r="F1284" t="str">
        <f t="shared" si="102"/>
        <v>net sales</v>
      </c>
      <c r="G1284" s="7" t="str">
        <f t="shared" si="103"/>
        <v>product 3</v>
      </c>
      <c r="H1284">
        <f t="shared" si="104"/>
        <v>2024</v>
      </c>
      <c r="I1284">
        <f t="shared" si="105"/>
        <v>6</v>
      </c>
      <c r="J1284">
        <f t="shared" si="101"/>
        <v>124.94999999999999</v>
      </c>
    </row>
    <row r="1285" spans="1:10" ht="12.5" x14ac:dyDescent="0.25">
      <c r="A1285" s="1">
        <v>45470</v>
      </c>
      <c r="B1285" s="2" t="s">
        <v>7</v>
      </c>
      <c r="C1285" s="3">
        <v>5.99</v>
      </c>
      <c r="D1285" s="3">
        <v>65</v>
      </c>
      <c r="E1285" s="3">
        <v>389.35</v>
      </c>
      <c r="F1285" t="str">
        <f t="shared" si="102"/>
        <v>cogs</v>
      </c>
      <c r="G1285" s="7" t="str">
        <f t="shared" si="103"/>
        <v>product 1</v>
      </c>
      <c r="H1285">
        <f t="shared" si="104"/>
        <v>2024</v>
      </c>
      <c r="I1285">
        <f t="shared" si="105"/>
        <v>6</v>
      </c>
      <c r="J1285">
        <f t="shared" si="101"/>
        <v>2910.17</v>
      </c>
    </row>
    <row r="1286" spans="1:10" ht="12.5" x14ac:dyDescent="0.25">
      <c r="A1286" s="1">
        <v>45470</v>
      </c>
      <c r="B1286" s="2" t="s">
        <v>8</v>
      </c>
      <c r="C1286" s="3">
        <v>16.989999999999998</v>
      </c>
      <c r="D1286" s="3">
        <v>9</v>
      </c>
      <c r="E1286" s="3">
        <v>152.91</v>
      </c>
      <c r="F1286" t="str">
        <f t="shared" si="102"/>
        <v>cogs</v>
      </c>
      <c r="G1286" s="7" t="str">
        <f t="shared" si="103"/>
        <v>product 2</v>
      </c>
      <c r="H1286">
        <f t="shared" si="104"/>
        <v>2024</v>
      </c>
      <c r="I1286">
        <f t="shared" si="105"/>
        <v>6</v>
      </c>
      <c r="J1286">
        <f t="shared" si="101"/>
        <v>-401.33000000000004</v>
      </c>
    </row>
    <row r="1287" spans="1:10" ht="12.5" x14ac:dyDescent="0.25">
      <c r="A1287" s="1">
        <v>45470</v>
      </c>
      <c r="B1287" s="2" t="s">
        <v>9</v>
      </c>
      <c r="C1287" s="3">
        <v>8.49</v>
      </c>
      <c r="D1287" s="3">
        <v>157</v>
      </c>
      <c r="E1287" s="3">
        <v>1332.93</v>
      </c>
      <c r="F1287" t="str">
        <f t="shared" si="102"/>
        <v>cogs</v>
      </c>
      <c r="G1287" s="7" t="str">
        <f t="shared" si="103"/>
        <v>product 3</v>
      </c>
      <c r="H1287">
        <f t="shared" si="104"/>
        <v>2024</v>
      </c>
      <c r="I1287">
        <f t="shared" si="105"/>
        <v>6</v>
      </c>
      <c r="J1287">
        <f t="shared" si="101"/>
        <v>-84.949999999999989</v>
      </c>
    </row>
    <row r="1288" spans="1:10" ht="12.5" x14ac:dyDescent="0.25">
      <c r="A1288" s="1">
        <v>45470</v>
      </c>
      <c r="B1288" s="2" t="s">
        <v>10</v>
      </c>
      <c r="C1288" s="2" t="s">
        <v>6</v>
      </c>
      <c r="D1288" s="2" t="s">
        <v>6</v>
      </c>
      <c r="E1288" s="3">
        <v>100.01</v>
      </c>
      <c r="F1288" t="str">
        <f t="shared" si="102"/>
        <v>marketing</v>
      </c>
      <c r="G1288" s="7" t="s">
        <v>6</v>
      </c>
      <c r="H1288">
        <f t="shared" si="104"/>
        <v>2024</v>
      </c>
      <c r="I1288">
        <f t="shared" si="105"/>
        <v>6</v>
      </c>
      <c r="J1288">
        <f t="shared" si="101"/>
        <v>-1205.58</v>
      </c>
    </row>
    <row r="1289" spans="1:10" ht="12.5" x14ac:dyDescent="0.25">
      <c r="A1289" s="1">
        <v>45470</v>
      </c>
      <c r="B1289" s="2" t="s">
        <v>11</v>
      </c>
      <c r="C1289" s="3">
        <v>9.99</v>
      </c>
      <c r="D1289" s="3">
        <v>65</v>
      </c>
      <c r="E1289" s="3">
        <v>649.35</v>
      </c>
      <c r="F1289" t="str">
        <f t="shared" si="102"/>
        <v>net sales</v>
      </c>
      <c r="G1289" s="7" t="str">
        <f t="shared" si="103"/>
        <v>product 1</v>
      </c>
      <c r="H1289">
        <f t="shared" si="104"/>
        <v>2024</v>
      </c>
      <c r="I1289">
        <f t="shared" si="105"/>
        <v>6</v>
      </c>
      <c r="J1289">
        <f t="shared" si="101"/>
        <v>-99.9</v>
      </c>
    </row>
    <row r="1290" spans="1:10" ht="12.5" x14ac:dyDescent="0.25">
      <c r="A1290" s="1">
        <v>45470</v>
      </c>
      <c r="B1290" s="2" t="s">
        <v>12</v>
      </c>
      <c r="C1290" s="3">
        <v>24.99</v>
      </c>
      <c r="D1290" s="3">
        <v>9</v>
      </c>
      <c r="E1290" s="3">
        <v>224.91</v>
      </c>
      <c r="F1290" t="str">
        <f t="shared" si="102"/>
        <v>net sales</v>
      </c>
      <c r="G1290" s="7" t="str">
        <f t="shared" si="103"/>
        <v>product 2</v>
      </c>
      <c r="H1290">
        <f t="shared" si="104"/>
        <v>2024</v>
      </c>
      <c r="I1290">
        <f t="shared" si="105"/>
        <v>6</v>
      </c>
      <c r="J1290">
        <f t="shared" si="101"/>
        <v>669.33</v>
      </c>
    </row>
    <row r="1291" spans="1:10" ht="12.5" x14ac:dyDescent="0.25">
      <c r="A1291" s="1">
        <v>45470</v>
      </c>
      <c r="B1291" s="2" t="s">
        <v>13</v>
      </c>
      <c r="C1291" s="3">
        <v>12.49</v>
      </c>
      <c r="D1291" s="3">
        <v>157</v>
      </c>
      <c r="E1291" s="3">
        <v>1960.93</v>
      </c>
      <c r="F1291" t="str">
        <f t="shared" si="102"/>
        <v>net sales</v>
      </c>
      <c r="G1291" s="7" t="str">
        <f t="shared" si="103"/>
        <v>product 3</v>
      </c>
      <c r="H1291">
        <f t="shared" si="104"/>
        <v>2024</v>
      </c>
      <c r="I1291">
        <f t="shared" si="105"/>
        <v>6</v>
      </c>
      <c r="J1291">
        <f t="shared" si="101"/>
        <v>124.94999999999999</v>
      </c>
    </row>
    <row r="1292" spans="1:10" ht="12.5" x14ac:dyDescent="0.25">
      <c r="A1292" s="1">
        <v>45471</v>
      </c>
      <c r="B1292" s="2" t="s">
        <v>7</v>
      </c>
      <c r="C1292" s="3">
        <v>5.99</v>
      </c>
      <c r="D1292" s="3">
        <v>32</v>
      </c>
      <c r="E1292" s="3">
        <v>191.68</v>
      </c>
      <c r="F1292" t="str">
        <f t="shared" si="102"/>
        <v>cogs</v>
      </c>
      <c r="G1292" s="7" t="str">
        <f t="shared" si="103"/>
        <v>product 1</v>
      </c>
      <c r="H1292">
        <f t="shared" si="104"/>
        <v>2024</v>
      </c>
      <c r="I1292">
        <f t="shared" si="105"/>
        <v>6</v>
      </c>
      <c r="J1292">
        <f t="shared" si="101"/>
        <v>1773.58</v>
      </c>
    </row>
    <row r="1293" spans="1:10" ht="12.5" x14ac:dyDescent="0.25">
      <c r="A1293" s="1">
        <v>45471</v>
      </c>
      <c r="B1293" s="2" t="s">
        <v>8</v>
      </c>
      <c r="C1293" s="3">
        <v>16.989999999999998</v>
      </c>
      <c r="D1293" s="3">
        <v>5</v>
      </c>
      <c r="E1293" s="3">
        <v>84.949999999999989</v>
      </c>
      <c r="F1293" t="str">
        <f t="shared" si="102"/>
        <v>cogs</v>
      </c>
      <c r="G1293" s="7" t="str">
        <f t="shared" si="103"/>
        <v>product 2</v>
      </c>
      <c r="H1293">
        <f t="shared" si="104"/>
        <v>2024</v>
      </c>
      <c r="I1293">
        <f t="shared" si="105"/>
        <v>6</v>
      </c>
      <c r="J1293">
        <f t="shared" si="101"/>
        <v>-491.18</v>
      </c>
    </row>
    <row r="1294" spans="1:10" ht="12.5" x14ac:dyDescent="0.25">
      <c r="A1294" s="1">
        <v>45471</v>
      </c>
      <c r="B1294" s="2" t="s">
        <v>9</v>
      </c>
      <c r="C1294" s="3">
        <v>8.49</v>
      </c>
      <c r="D1294" s="3">
        <v>4</v>
      </c>
      <c r="E1294" s="3">
        <v>33.96</v>
      </c>
      <c r="F1294" t="str">
        <f t="shared" si="102"/>
        <v>cogs</v>
      </c>
      <c r="G1294" s="7" t="str">
        <f t="shared" si="103"/>
        <v>product 3</v>
      </c>
      <c r="H1294">
        <f t="shared" si="104"/>
        <v>2024</v>
      </c>
      <c r="I1294">
        <f t="shared" si="105"/>
        <v>6</v>
      </c>
      <c r="J1294">
        <f t="shared" si="101"/>
        <v>-135.91999999999999</v>
      </c>
    </row>
    <row r="1295" spans="1:10" ht="12.5" x14ac:dyDescent="0.25">
      <c r="A1295" s="1">
        <v>45471</v>
      </c>
      <c r="B1295" s="2" t="s">
        <v>10</v>
      </c>
      <c r="C1295" s="2" t="s">
        <v>6</v>
      </c>
      <c r="D1295" s="2" t="s">
        <v>6</v>
      </c>
      <c r="E1295" s="3">
        <v>100.04</v>
      </c>
      <c r="F1295" t="str">
        <f t="shared" si="102"/>
        <v>marketing</v>
      </c>
      <c r="G1295" s="7" t="s">
        <v>6</v>
      </c>
      <c r="H1295">
        <f t="shared" si="104"/>
        <v>2024</v>
      </c>
      <c r="I1295">
        <f t="shared" si="105"/>
        <v>6</v>
      </c>
      <c r="J1295">
        <f t="shared" si="101"/>
        <v>0</v>
      </c>
    </row>
    <row r="1296" spans="1:10" ht="12.5" x14ac:dyDescent="0.25">
      <c r="A1296" s="1">
        <v>45471</v>
      </c>
      <c r="B1296" s="2" t="s">
        <v>11</v>
      </c>
      <c r="C1296" s="3">
        <v>9.99</v>
      </c>
      <c r="D1296" s="3">
        <v>32</v>
      </c>
      <c r="E1296" s="3">
        <v>319.68</v>
      </c>
      <c r="F1296" t="str">
        <f t="shared" si="102"/>
        <v>net sales</v>
      </c>
      <c r="G1296" s="7" t="str">
        <f t="shared" si="103"/>
        <v>product 1</v>
      </c>
      <c r="H1296">
        <f t="shared" si="104"/>
        <v>2024</v>
      </c>
      <c r="I1296">
        <f t="shared" si="105"/>
        <v>6</v>
      </c>
      <c r="J1296">
        <f t="shared" si="101"/>
        <v>-100.10000000000001</v>
      </c>
    </row>
    <row r="1297" spans="1:10" ht="12.5" x14ac:dyDescent="0.25">
      <c r="A1297" s="1">
        <v>45471</v>
      </c>
      <c r="B1297" s="2" t="s">
        <v>12</v>
      </c>
      <c r="C1297" s="3">
        <v>24.99</v>
      </c>
      <c r="D1297" s="3">
        <v>5</v>
      </c>
      <c r="E1297" s="3">
        <v>124.94999999999999</v>
      </c>
      <c r="F1297" t="str">
        <f t="shared" si="102"/>
        <v>net sales</v>
      </c>
      <c r="G1297" s="7" t="str">
        <f t="shared" si="103"/>
        <v>product 2</v>
      </c>
      <c r="H1297">
        <f t="shared" si="104"/>
        <v>2024</v>
      </c>
      <c r="I1297">
        <f t="shared" si="105"/>
        <v>6</v>
      </c>
      <c r="J1297">
        <f t="shared" si="101"/>
        <v>819.18000000000006</v>
      </c>
    </row>
    <row r="1298" spans="1:10" ht="12.5" x14ac:dyDescent="0.25">
      <c r="A1298" s="1">
        <v>45471</v>
      </c>
      <c r="B1298" s="2" t="s">
        <v>13</v>
      </c>
      <c r="C1298" s="3">
        <v>12.49</v>
      </c>
      <c r="D1298" s="3">
        <v>4</v>
      </c>
      <c r="E1298" s="3">
        <v>49.96</v>
      </c>
      <c r="F1298" t="str">
        <f t="shared" si="102"/>
        <v>net sales</v>
      </c>
      <c r="G1298" s="7" t="str">
        <f t="shared" si="103"/>
        <v>product 3</v>
      </c>
      <c r="H1298">
        <f t="shared" si="104"/>
        <v>2024</v>
      </c>
      <c r="I1298">
        <f t="shared" si="105"/>
        <v>6</v>
      </c>
      <c r="J1298">
        <f t="shared" si="101"/>
        <v>199.92</v>
      </c>
    </row>
    <row r="1299" spans="1:10" ht="12.5" x14ac:dyDescent="0.25">
      <c r="A1299" s="1">
        <v>45472</v>
      </c>
      <c r="B1299" s="2" t="s">
        <v>7</v>
      </c>
      <c r="C1299" s="3">
        <v>5.99</v>
      </c>
      <c r="D1299" s="3">
        <v>35</v>
      </c>
      <c r="E1299" s="3">
        <v>209.65</v>
      </c>
      <c r="F1299" t="str">
        <f t="shared" si="102"/>
        <v>cogs</v>
      </c>
      <c r="G1299" s="7" t="str">
        <f t="shared" si="103"/>
        <v>product 1</v>
      </c>
      <c r="H1299">
        <f t="shared" si="104"/>
        <v>2024</v>
      </c>
      <c r="I1299">
        <f t="shared" si="105"/>
        <v>6</v>
      </c>
      <c r="J1299">
        <f t="shared" si="101"/>
        <v>0</v>
      </c>
    </row>
    <row r="1300" spans="1:10" ht="12.5" x14ac:dyDescent="0.25">
      <c r="A1300" s="1">
        <v>45472</v>
      </c>
      <c r="B1300" s="2" t="s">
        <v>8</v>
      </c>
      <c r="C1300" s="3">
        <v>16.989999999999998</v>
      </c>
      <c r="D1300" s="3">
        <v>4</v>
      </c>
      <c r="E1300" s="3">
        <v>67.959999999999994</v>
      </c>
      <c r="F1300" t="str">
        <f t="shared" si="102"/>
        <v>cogs</v>
      </c>
      <c r="G1300" s="7" t="str">
        <f t="shared" si="103"/>
        <v>product 2</v>
      </c>
      <c r="H1300">
        <f t="shared" si="104"/>
        <v>2024</v>
      </c>
      <c r="I1300">
        <f t="shared" si="105"/>
        <v>6</v>
      </c>
      <c r="J1300">
        <f t="shared" si="101"/>
        <v>-281.53000000000003</v>
      </c>
    </row>
    <row r="1301" spans="1:10" ht="12.5" x14ac:dyDescent="0.25">
      <c r="A1301" s="1">
        <v>45472</v>
      </c>
      <c r="B1301" s="2" t="s">
        <v>9</v>
      </c>
      <c r="C1301" s="3">
        <v>8.49</v>
      </c>
      <c r="D1301" s="3">
        <v>0</v>
      </c>
      <c r="E1301" s="2">
        <f>C1301*D1301</f>
        <v>0</v>
      </c>
      <c r="F1301" t="str">
        <f t="shared" si="102"/>
        <v>cogs</v>
      </c>
      <c r="G1301" s="7" t="str">
        <f t="shared" si="103"/>
        <v>product 3</v>
      </c>
      <c r="H1301">
        <f t="shared" si="104"/>
        <v>2024</v>
      </c>
      <c r="I1301">
        <f t="shared" si="105"/>
        <v>6</v>
      </c>
      <c r="J1301">
        <f t="shared" si="101"/>
        <v>-84.949999999999989</v>
      </c>
    </row>
    <row r="1302" spans="1:10" ht="12.5" x14ac:dyDescent="0.25">
      <c r="A1302" s="1">
        <v>45472</v>
      </c>
      <c r="B1302" s="2" t="s">
        <v>10</v>
      </c>
      <c r="C1302" s="2" t="s">
        <v>6</v>
      </c>
      <c r="D1302" s="2" t="s">
        <v>6</v>
      </c>
      <c r="E1302" s="3">
        <v>100.04</v>
      </c>
      <c r="F1302" t="str">
        <f t="shared" si="102"/>
        <v>marketing</v>
      </c>
      <c r="G1302" s="7" t="s">
        <v>6</v>
      </c>
      <c r="H1302">
        <f t="shared" si="104"/>
        <v>2024</v>
      </c>
      <c r="I1302">
        <f t="shared" si="105"/>
        <v>6</v>
      </c>
      <c r="J1302">
        <f t="shared" si="101"/>
        <v>-373.56</v>
      </c>
    </row>
    <row r="1303" spans="1:10" ht="12.5" x14ac:dyDescent="0.25">
      <c r="A1303" s="1">
        <v>45472</v>
      </c>
      <c r="B1303" s="2" t="s">
        <v>11</v>
      </c>
      <c r="C1303" s="3">
        <v>9.99</v>
      </c>
      <c r="D1303" s="3">
        <v>35</v>
      </c>
      <c r="E1303" s="3">
        <v>349.65000000000003</v>
      </c>
      <c r="F1303" t="str">
        <f t="shared" si="102"/>
        <v>net sales</v>
      </c>
      <c r="G1303" s="7" t="str">
        <f t="shared" si="103"/>
        <v>product 1</v>
      </c>
      <c r="H1303">
        <f t="shared" si="104"/>
        <v>2024</v>
      </c>
      <c r="I1303">
        <f t="shared" si="105"/>
        <v>6</v>
      </c>
      <c r="J1303">
        <f t="shared" si="101"/>
        <v>-99.91</v>
      </c>
    </row>
    <row r="1304" spans="1:10" ht="12.5" x14ac:dyDescent="0.25">
      <c r="A1304" s="1">
        <v>45472</v>
      </c>
      <c r="B1304" s="2" t="s">
        <v>12</v>
      </c>
      <c r="C1304" s="3">
        <v>24.99</v>
      </c>
      <c r="D1304" s="3">
        <v>4</v>
      </c>
      <c r="E1304" s="3">
        <v>99.96</v>
      </c>
      <c r="F1304" t="str">
        <f t="shared" si="102"/>
        <v>net sales</v>
      </c>
      <c r="G1304" s="7" t="str">
        <f t="shared" si="103"/>
        <v>product 2</v>
      </c>
      <c r="H1304">
        <f t="shared" si="104"/>
        <v>2024</v>
      </c>
      <c r="I1304">
        <f t="shared" si="105"/>
        <v>6</v>
      </c>
      <c r="J1304">
        <f t="shared" si="101"/>
        <v>469.53000000000003</v>
      </c>
    </row>
    <row r="1305" spans="1:10" ht="12.5" x14ac:dyDescent="0.25">
      <c r="A1305" s="1">
        <v>45472</v>
      </c>
      <c r="B1305" s="2" t="s">
        <v>13</v>
      </c>
      <c r="C1305" s="3">
        <v>12.49</v>
      </c>
      <c r="D1305" s="3">
        <v>0</v>
      </c>
      <c r="E1305" s="2">
        <f>C1305*D1305</f>
        <v>0</v>
      </c>
      <c r="F1305" t="str">
        <f t="shared" si="102"/>
        <v>net sales</v>
      </c>
      <c r="G1305" s="7" t="str">
        <f t="shared" si="103"/>
        <v>product 3</v>
      </c>
      <c r="H1305">
        <f t="shared" si="104"/>
        <v>2024</v>
      </c>
      <c r="I1305">
        <f t="shared" si="105"/>
        <v>6</v>
      </c>
      <c r="J1305">
        <f t="shared" si="101"/>
        <v>124.94999999999999</v>
      </c>
    </row>
    <row r="1306" spans="1:10" ht="12.5" x14ac:dyDescent="0.25">
      <c r="A1306" s="1">
        <v>45473</v>
      </c>
      <c r="B1306" s="2" t="s">
        <v>7</v>
      </c>
      <c r="C1306" s="3">
        <v>5.99</v>
      </c>
      <c r="D1306" s="3">
        <v>91</v>
      </c>
      <c r="E1306" s="3">
        <v>545.09</v>
      </c>
      <c r="F1306" t="str">
        <f t="shared" si="102"/>
        <v>cogs</v>
      </c>
      <c r="G1306" s="7" t="str">
        <f t="shared" si="103"/>
        <v>product 1</v>
      </c>
      <c r="H1306">
        <f t="shared" si="104"/>
        <v>2024</v>
      </c>
      <c r="I1306">
        <f t="shared" si="105"/>
        <v>6</v>
      </c>
      <c r="J1306">
        <f t="shared" si="101"/>
        <v>549.56000000000006</v>
      </c>
    </row>
    <row r="1307" spans="1:10" ht="12.5" x14ac:dyDescent="0.25">
      <c r="A1307" s="1">
        <v>45473</v>
      </c>
      <c r="B1307" s="2" t="s">
        <v>8</v>
      </c>
      <c r="C1307" s="3">
        <v>16.989999999999998</v>
      </c>
      <c r="D1307" s="3">
        <v>8</v>
      </c>
      <c r="E1307" s="3">
        <v>135.91999999999999</v>
      </c>
      <c r="F1307" t="str">
        <f t="shared" si="102"/>
        <v>cogs</v>
      </c>
      <c r="G1307" s="7" t="str">
        <f t="shared" si="103"/>
        <v>product 2</v>
      </c>
      <c r="H1307">
        <f t="shared" si="104"/>
        <v>2024</v>
      </c>
      <c r="I1307">
        <f t="shared" si="105"/>
        <v>6</v>
      </c>
      <c r="J1307">
        <f t="shared" si="101"/>
        <v>-365.39</v>
      </c>
    </row>
    <row r="1308" spans="1:10" ht="12.5" x14ac:dyDescent="0.25">
      <c r="A1308" s="1">
        <v>45473</v>
      </c>
      <c r="B1308" s="2" t="s">
        <v>9</v>
      </c>
      <c r="C1308" s="3">
        <v>8.49</v>
      </c>
      <c r="D1308" s="3">
        <v>127</v>
      </c>
      <c r="E1308" s="3">
        <v>1078.23</v>
      </c>
      <c r="F1308" t="str">
        <f t="shared" si="102"/>
        <v>cogs</v>
      </c>
      <c r="G1308" s="7" t="str">
        <f t="shared" si="103"/>
        <v>product 3</v>
      </c>
      <c r="H1308">
        <f t="shared" si="104"/>
        <v>2024</v>
      </c>
      <c r="I1308">
        <f t="shared" si="105"/>
        <v>6</v>
      </c>
      <c r="J1308">
        <f t="shared" ref="J1308:J1371" si="106">IF(F1091="net sales",E1091,
IF(F1091="cogs",-E1091,
IF(OR(F1091="marketing",F1091="overhead",F1091="payroll",F1091="interest","amortization"),-E1091,0)))</f>
        <v>-16.989999999999998</v>
      </c>
    </row>
    <row r="1309" spans="1:10" ht="12.5" x14ac:dyDescent="0.25">
      <c r="A1309" s="1">
        <v>45473</v>
      </c>
      <c r="B1309" s="2" t="s">
        <v>10</v>
      </c>
      <c r="C1309" s="2" t="s">
        <v>6</v>
      </c>
      <c r="D1309" s="2" t="s">
        <v>6</v>
      </c>
      <c r="E1309" s="3">
        <v>100</v>
      </c>
      <c r="F1309" t="str">
        <f t="shared" si="102"/>
        <v>marketing</v>
      </c>
      <c r="G1309" s="7" t="s">
        <v>6</v>
      </c>
      <c r="H1309">
        <f t="shared" si="104"/>
        <v>2024</v>
      </c>
      <c r="I1309">
        <f t="shared" si="105"/>
        <v>6</v>
      </c>
      <c r="J1309">
        <f t="shared" si="106"/>
        <v>-127.35000000000001</v>
      </c>
    </row>
    <row r="1310" spans="1:10" ht="12.5" x14ac:dyDescent="0.25">
      <c r="A1310" s="1">
        <v>45473</v>
      </c>
      <c r="B1310" s="2" t="s">
        <v>11</v>
      </c>
      <c r="C1310" s="3">
        <v>9.99</v>
      </c>
      <c r="D1310" s="3">
        <v>91</v>
      </c>
      <c r="E1310" s="3">
        <v>909.09</v>
      </c>
      <c r="F1310" t="str">
        <f t="shared" si="102"/>
        <v>net sales</v>
      </c>
      <c r="G1310" s="7" t="str">
        <f t="shared" si="103"/>
        <v>product 1</v>
      </c>
      <c r="H1310">
        <f t="shared" si="104"/>
        <v>2024</v>
      </c>
      <c r="I1310">
        <f t="shared" si="105"/>
        <v>6</v>
      </c>
      <c r="J1310">
        <f t="shared" si="106"/>
        <v>-99.98</v>
      </c>
    </row>
    <row r="1311" spans="1:10" ht="12.5" x14ac:dyDescent="0.25">
      <c r="A1311" s="1">
        <v>45473</v>
      </c>
      <c r="B1311" s="2" t="s">
        <v>12</v>
      </c>
      <c r="C1311" s="3">
        <v>24.99</v>
      </c>
      <c r="D1311" s="3">
        <v>8</v>
      </c>
      <c r="E1311" s="3">
        <v>199.92</v>
      </c>
      <c r="F1311" t="str">
        <f t="shared" si="102"/>
        <v>net sales</v>
      </c>
      <c r="G1311" s="7" t="str">
        <f t="shared" si="103"/>
        <v>product 2</v>
      </c>
      <c r="H1311">
        <f t="shared" si="104"/>
        <v>2024</v>
      </c>
      <c r="I1311">
        <f t="shared" si="105"/>
        <v>6</v>
      </c>
      <c r="J1311">
        <f t="shared" si="106"/>
        <v>609.39</v>
      </c>
    </row>
    <row r="1312" spans="1:10" ht="12.5" x14ac:dyDescent="0.25">
      <c r="A1312" s="1">
        <v>45473</v>
      </c>
      <c r="B1312" s="2" t="s">
        <v>13</v>
      </c>
      <c r="C1312" s="3">
        <v>12.49</v>
      </c>
      <c r="D1312" s="3">
        <v>127</v>
      </c>
      <c r="E1312" s="3">
        <v>1586.23</v>
      </c>
      <c r="F1312" t="str">
        <f t="shared" si="102"/>
        <v>net sales</v>
      </c>
      <c r="G1312" s="7" t="str">
        <f t="shared" si="103"/>
        <v>product 3</v>
      </c>
      <c r="H1312">
        <f t="shared" si="104"/>
        <v>2024</v>
      </c>
      <c r="I1312">
        <f t="shared" si="105"/>
        <v>6</v>
      </c>
      <c r="J1312">
        <f t="shared" si="106"/>
        <v>24.99</v>
      </c>
    </row>
    <row r="1313" spans="1:10" ht="12.5" x14ac:dyDescent="0.25">
      <c r="A1313" s="1">
        <v>45474</v>
      </c>
      <c r="B1313" s="2" t="s">
        <v>5</v>
      </c>
      <c r="C1313" s="2" t="s">
        <v>6</v>
      </c>
      <c r="D1313" s="2" t="s">
        <v>6</v>
      </c>
      <c r="E1313" s="3">
        <v>50</v>
      </c>
      <c r="F1313" t="str">
        <f t="shared" si="102"/>
        <v>amortization</v>
      </c>
      <c r="G1313" s="7" t="s">
        <v>6</v>
      </c>
      <c r="H1313">
        <f t="shared" si="104"/>
        <v>2024</v>
      </c>
      <c r="I1313">
        <f t="shared" si="105"/>
        <v>7</v>
      </c>
      <c r="J1313">
        <f t="shared" si="106"/>
        <v>187.35</v>
      </c>
    </row>
    <row r="1314" spans="1:10" ht="12.5" x14ac:dyDescent="0.25">
      <c r="A1314" s="1">
        <v>45474</v>
      </c>
      <c r="B1314" s="2" t="s">
        <v>7</v>
      </c>
      <c r="C1314" s="3">
        <v>5.99</v>
      </c>
      <c r="D1314" s="3">
        <v>43</v>
      </c>
      <c r="E1314" s="3">
        <v>257.57</v>
      </c>
      <c r="F1314" t="str">
        <f t="shared" si="102"/>
        <v>cogs</v>
      </c>
      <c r="G1314" s="7" t="str">
        <f t="shared" si="103"/>
        <v>product 1</v>
      </c>
      <c r="H1314">
        <f t="shared" si="104"/>
        <v>2024</v>
      </c>
      <c r="I1314">
        <f t="shared" si="105"/>
        <v>7</v>
      </c>
      <c r="J1314">
        <f t="shared" si="106"/>
        <v>0</v>
      </c>
    </row>
    <row r="1315" spans="1:10" ht="12.5" x14ac:dyDescent="0.25">
      <c r="A1315" s="1">
        <v>45474</v>
      </c>
      <c r="B1315" s="2" t="s">
        <v>8</v>
      </c>
      <c r="C1315" s="3">
        <v>16.989999999999998</v>
      </c>
      <c r="D1315" s="3">
        <v>8</v>
      </c>
      <c r="E1315" s="3">
        <v>135.91999999999999</v>
      </c>
      <c r="F1315" t="str">
        <f t="shared" si="102"/>
        <v>cogs</v>
      </c>
      <c r="G1315" s="7" t="str">
        <f t="shared" si="103"/>
        <v>product 2</v>
      </c>
      <c r="H1315">
        <f t="shared" si="104"/>
        <v>2024</v>
      </c>
      <c r="I1315">
        <f t="shared" si="105"/>
        <v>7</v>
      </c>
      <c r="J1315">
        <f t="shared" si="106"/>
        <v>-17.97</v>
      </c>
    </row>
    <row r="1316" spans="1:10" ht="12.5" x14ac:dyDescent="0.25">
      <c r="A1316" s="1">
        <v>45474</v>
      </c>
      <c r="B1316" s="2" t="s">
        <v>9</v>
      </c>
      <c r="C1316" s="3">
        <v>8.49</v>
      </c>
      <c r="D1316" s="3">
        <v>19</v>
      </c>
      <c r="E1316" s="3">
        <v>161.31</v>
      </c>
      <c r="F1316" t="str">
        <f t="shared" si="102"/>
        <v>cogs</v>
      </c>
      <c r="G1316" s="7" t="str">
        <f t="shared" si="103"/>
        <v>product 3</v>
      </c>
      <c r="H1316">
        <f t="shared" si="104"/>
        <v>2024</v>
      </c>
      <c r="I1316">
        <f t="shared" si="105"/>
        <v>7</v>
      </c>
      <c r="J1316">
        <f t="shared" si="106"/>
        <v>0</v>
      </c>
    </row>
    <row r="1317" spans="1:10" ht="12.5" x14ac:dyDescent="0.25">
      <c r="A1317" s="1">
        <v>45474</v>
      </c>
      <c r="B1317" s="2" t="s">
        <v>10</v>
      </c>
      <c r="C1317" s="2" t="s">
        <v>6</v>
      </c>
      <c r="D1317" s="2" t="s">
        <v>6</v>
      </c>
      <c r="E1317" s="3">
        <v>100.01</v>
      </c>
      <c r="F1317" t="str">
        <f t="shared" si="102"/>
        <v>marketing</v>
      </c>
      <c r="G1317" s="7" t="s">
        <v>6</v>
      </c>
      <c r="H1317">
        <f t="shared" si="104"/>
        <v>2024</v>
      </c>
      <c r="I1317">
        <f t="shared" si="105"/>
        <v>7</v>
      </c>
      <c r="J1317">
        <f t="shared" si="106"/>
        <v>-534.87</v>
      </c>
    </row>
    <row r="1318" spans="1:10" ht="12.5" x14ac:dyDescent="0.25">
      <c r="A1318" s="1">
        <v>45474</v>
      </c>
      <c r="B1318" s="2" t="s">
        <v>11</v>
      </c>
      <c r="C1318" s="3">
        <v>9.99</v>
      </c>
      <c r="D1318" s="3">
        <v>43</v>
      </c>
      <c r="E1318" s="3">
        <v>429.57</v>
      </c>
      <c r="F1318" t="str">
        <f t="shared" si="102"/>
        <v>net sales</v>
      </c>
      <c r="G1318" s="7" t="str">
        <f t="shared" si="103"/>
        <v>product 1</v>
      </c>
      <c r="H1318">
        <f t="shared" si="104"/>
        <v>2024</v>
      </c>
      <c r="I1318">
        <f t="shared" si="105"/>
        <v>7</v>
      </c>
      <c r="J1318">
        <f t="shared" si="106"/>
        <v>-100.07000000000001</v>
      </c>
    </row>
    <row r="1319" spans="1:10" ht="12.5" x14ac:dyDescent="0.25">
      <c r="A1319" s="1">
        <v>45474</v>
      </c>
      <c r="B1319" s="2" t="s">
        <v>12</v>
      </c>
      <c r="C1319" s="3">
        <v>24.99</v>
      </c>
      <c r="D1319" s="3">
        <v>8</v>
      </c>
      <c r="E1319" s="3">
        <v>199.92</v>
      </c>
      <c r="F1319" t="str">
        <f t="shared" si="102"/>
        <v>net sales</v>
      </c>
      <c r="G1319" s="7" t="str">
        <f t="shared" si="103"/>
        <v>product 2</v>
      </c>
      <c r="H1319">
        <f t="shared" si="104"/>
        <v>2024</v>
      </c>
      <c r="I1319">
        <f t="shared" si="105"/>
        <v>7</v>
      </c>
      <c r="J1319">
        <f t="shared" si="106"/>
        <v>29.97</v>
      </c>
    </row>
    <row r="1320" spans="1:10" ht="12.5" x14ac:dyDescent="0.25">
      <c r="A1320" s="1">
        <v>45474</v>
      </c>
      <c r="B1320" s="2" t="s">
        <v>13</v>
      </c>
      <c r="C1320" s="3">
        <v>12.49</v>
      </c>
      <c r="D1320" s="3">
        <v>19</v>
      </c>
      <c r="E1320" s="3">
        <v>237.31</v>
      </c>
      <c r="F1320" t="str">
        <f t="shared" si="102"/>
        <v>net sales</v>
      </c>
      <c r="G1320" s="7" t="str">
        <f t="shared" si="103"/>
        <v>product 3</v>
      </c>
      <c r="H1320">
        <f t="shared" si="104"/>
        <v>2024</v>
      </c>
      <c r="I1320">
        <f t="shared" si="105"/>
        <v>7</v>
      </c>
      <c r="J1320">
        <f t="shared" si="106"/>
        <v>0</v>
      </c>
    </row>
    <row r="1321" spans="1:10" ht="12.5" x14ac:dyDescent="0.25">
      <c r="A1321" s="1">
        <v>45474</v>
      </c>
      <c r="B1321" s="2" t="s">
        <v>14</v>
      </c>
      <c r="C1321" s="2" t="s">
        <v>6</v>
      </c>
      <c r="D1321" s="2" t="s">
        <v>6</v>
      </c>
      <c r="E1321" s="3">
        <v>2000</v>
      </c>
      <c r="F1321" t="str">
        <f t="shared" si="102"/>
        <v>overhead</v>
      </c>
      <c r="G1321" s="7" t="s">
        <v>6</v>
      </c>
      <c r="H1321">
        <f t="shared" si="104"/>
        <v>2024</v>
      </c>
      <c r="I1321">
        <f t="shared" si="105"/>
        <v>7</v>
      </c>
      <c r="J1321">
        <f t="shared" si="106"/>
        <v>786.87</v>
      </c>
    </row>
    <row r="1322" spans="1:10" ht="12.5" x14ac:dyDescent="0.25">
      <c r="A1322" s="1">
        <v>45475</v>
      </c>
      <c r="B1322" s="2" t="s">
        <v>7</v>
      </c>
      <c r="C1322" s="3">
        <v>5.99</v>
      </c>
      <c r="D1322" s="3">
        <v>85</v>
      </c>
      <c r="E1322" s="3">
        <v>509.15000000000003</v>
      </c>
      <c r="F1322" t="str">
        <f t="shared" si="102"/>
        <v>cogs</v>
      </c>
      <c r="G1322" s="7" t="str">
        <f t="shared" si="103"/>
        <v>product 1</v>
      </c>
      <c r="H1322">
        <f t="shared" si="104"/>
        <v>2024</v>
      </c>
      <c r="I1322">
        <f t="shared" si="105"/>
        <v>7</v>
      </c>
      <c r="J1322">
        <f t="shared" si="106"/>
        <v>-2000</v>
      </c>
    </row>
    <row r="1323" spans="1:10" ht="12.5" x14ac:dyDescent="0.25">
      <c r="A1323" s="1">
        <v>45475</v>
      </c>
      <c r="B1323" s="2" t="s">
        <v>8</v>
      </c>
      <c r="C1323" s="3">
        <v>16.989999999999998</v>
      </c>
      <c r="D1323" s="3">
        <v>4</v>
      </c>
      <c r="E1323" s="3">
        <v>67.959999999999994</v>
      </c>
      <c r="F1323" t="str">
        <f t="shared" si="102"/>
        <v>cogs</v>
      </c>
      <c r="G1323" s="7" t="str">
        <f t="shared" si="103"/>
        <v>product 2</v>
      </c>
      <c r="H1323">
        <f t="shared" si="104"/>
        <v>2024</v>
      </c>
      <c r="I1323">
        <f t="shared" si="105"/>
        <v>7</v>
      </c>
      <c r="J1323">
        <f t="shared" si="106"/>
        <v>-527.12</v>
      </c>
    </row>
    <row r="1324" spans="1:10" ht="12.5" x14ac:dyDescent="0.25">
      <c r="A1324" s="1">
        <v>45475</v>
      </c>
      <c r="B1324" s="2" t="s">
        <v>9</v>
      </c>
      <c r="C1324" s="3">
        <v>8.49</v>
      </c>
      <c r="D1324" s="3">
        <v>161</v>
      </c>
      <c r="E1324" s="3">
        <v>1366.89</v>
      </c>
      <c r="F1324" t="str">
        <f t="shared" si="102"/>
        <v>cogs</v>
      </c>
      <c r="G1324" s="7" t="str">
        <f t="shared" si="103"/>
        <v>product 3</v>
      </c>
      <c r="H1324">
        <f t="shared" si="104"/>
        <v>2024</v>
      </c>
      <c r="I1324">
        <f t="shared" si="105"/>
        <v>7</v>
      </c>
      <c r="J1324">
        <f t="shared" si="106"/>
        <v>-50.97</v>
      </c>
    </row>
    <row r="1325" spans="1:10" ht="12.5" x14ac:dyDescent="0.25">
      <c r="A1325" s="1">
        <v>45475</v>
      </c>
      <c r="B1325" s="2" t="s">
        <v>10</v>
      </c>
      <c r="C1325" s="2" t="s">
        <v>6</v>
      </c>
      <c r="D1325" s="2" t="s">
        <v>6</v>
      </c>
      <c r="E1325" s="3">
        <v>99.93</v>
      </c>
      <c r="F1325" t="str">
        <f t="shared" si="102"/>
        <v>marketing</v>
      </c>
      <c r="G1325" s="7" t="s">
        <v>6</v>
      </c>
      <c r="H1325">
        <f t="shared" si="104"/>
        <v>2024</v>
      </c>
      <c r="I1325">
        <f t="shared" si="105"/>
        <v>7</v>
      </c>
      <c r="J1325">
        <f t="shared" si="106"/>
        <v>-1222.56</v>
      </c>
    </row>
    <row r="1326" spans="1:10" ht="12.5" x14ac:dyDescent="0.25">
      <c r="A1326" s="1">
        <v>45475</v>
      </c>
      <c r="B1326" s="2" t="s">
        <v>11</v>
      </c>
      <c r="C1326" s="3">
        <v>9.99</v>
      </c>
      <c r="D1326" s="3">
        <v>85</v>
      </c>
      <c r="E1326" s="3">
        <v>849.15</v>
      </c>
      <c r="F1326" t="str">
        <f t="shared" si="102"/>
        <v>net sales</v>
      </c>
      <c r="G1326" s="7" t="str">
        <f t="shared" si="103"/>
        <v>product 1</v>
      </c>
      <c r="H1326">
        <f t="shared" si="104"/>
        <v>2024</v>
      </c>
      <c r="I1326">
        <f t="shared" si="105"/>
        <v>7</v>
      </c>
      <c r="J1326">
        <f t="shared" si="106"/>
        <v>-100.04</v>
      </c>
    </row>
    <row r="1327" spans="1:10" ht="12.5" x14ac:dyDescent="0.25">
      <c r="A1327" s="1">
        <v>45475</v>
      </c>
      <c r="B1327" s="2" t="s">
        <v>12</v>
      </c>
      <c r="C1327" s="3">
        <v>24.99</v>
      </c>
      <c r="D1327" s="3">
        <v>4</v>
      </c>
      <c r="E1327" s="3">
        <v>99.96</v>
      </c>
      <c r="F1327" t="str">
        <f t="shared" si="102"/>
        <v>net sales</v>
      </c>
      <c r="G1327" s="7" t="str">
        <f t="shared" si="103"/>
        <v>product 2</v>
      </c>
      <c r="H1327">
        <f t="shared" si="104"/>
        <v>2024</v>
      </c>
      <c r="I1327">
        <f t="shared" si="105"/>
        <v>7</v>
      </c>
      <c r="J1327">
        <f t="shared" si="106"/>
        <v>879.12</v>
      </c>
    </row>
    <row r="1328" spans="1:10" ht="12.5" x14ac:dyDescent="0.25">
      <c r="A1328" s="1">
        <v>45475</v>
      </c>
      <c r="B1328" s="2" t="s">
        <v>13</v>
      </c>
      <c r="C1328" s="3">
        <v>12.49</v>
      </c>
      <c r="D1328" s="3">
        <v>161</v>
      </c>
      <c r="E1328" s="3">
        <v>2010.89</v>
      </c>
      <c r="F1328" t="str">
        <f t="shared" si="102"/>
        <v>net sales</v>
      </c>
      <c r="G1328" s="7" t="str">
        <f t="shared" si="103"/>
        <v>product 3</v>
      </c>
      <c r="H1328">
        <f t="shared" si="104"/>
        <v>2024</v>
      </c>
      <c r="I1328">
        <f t="shared" si="105"/>
        <v>7</v>
      </c>
      <c r="J1328">
        <f t="shared" si="106"/>
        <v>74.97</v>
      </c>
    </row>
    <row r="1329" spans="1:10" ht="12.5" x14ac:dyDescent="0.25">
      <c r="A1329" s="1">
        <v>45476</v>
      </c>
      <c r="B1329" s="2" t="s">
        <v>7</v>
      </c>
      <c r="C1329" s="3">
        <v>5.99</v>
      </c>
      <c r="D1329" s="3">
        <v>28</v>
      </c>
      <c r="E1329" s="3">
        <v>167.72</v>
      </c>
      <c r="F1329" t="str">
        <f t="shared" si="102"/>
        <v>cogs</v>
      </c>
      <c r="G1329" s="7" t="str">
        <f t="shared" si="103"/>
        <v>product 1</v>
      </c>
      <c r="H1329">
        <f t="shared" si="104"/>
        <v>2024</v>
      </c>
      <c r="I1329">
        <f t="shared" si="105"/>
        <v>7</v>
      </c>
      <c r="J1329">
        <f t="shared" si="106"/>
        <v>1798.56</v>
      </c>
    </row>
    <row r="1330" spans="1:10" ht="12.5" x14ac:dyDescent="0.25">
      <c r="A1330" s="1">
        <v>45476</v>
      </c>
      <c r="B1330" s="2" t="s">
        <v>8</v>
      </c>
      <c r="C1330" s="3">
        <v>16.989999999999998</v>
      </c>
      <c r="D1330" s="3">
        <v>0</v>
      </c>
      <c r="E1330" s="2">
        <f>C1330*D1330</f>
        <v>0</v>
      </c>
      <c r="F1330" t="str">
        <f t="shared" si="102"/>
        <v>cogs</v>
      </c>
      <c r="G1330" s="7" t="str">
        <f t="shared" si="103"/>
        <v>product 2</v>
      </c>
      <c r="H1330">
        <f t="shared" si="104"/>
        <v>2024</v>
      </c>
      <c r="I1330">
        <f t="shared" si="105"/>
        <v>7</v>
      </c>
      <c r="J1330">
        <f t="shared" si="106"/>
        <v>-71.88</v>
      </c>
    </row>
    <row r="1331" spans="1:10" ht="12.5" x14ac:dyDescent="0.25">
      <c r="A1331" s="1">
        <v>45476</v>
      </c>
      <c r="B1331" s="2" t="s">
        <v>9</v>
      </c>
      <c r="C1331" s="3">
        <v>8.49</v>
      </c>
      <c r="D1331" s="3">
        <v>181</v>
      </c>
      <c r="E1331" s="3">
        <v>1536.69</v>
      </c>
      <c r="F1331" t="str">
        <f t="shared" si="102"/>
        <v>cogs</v>
      </c>
      <c r="G1331" s="7" t="str">
        <f t="shared" si="103"/>
        <v>product 3</v>
      </c>
      <c r="H1331">
        <f t="shared" si="104"/>
        <v>2024</v>
      </c>
      <c r="I1331">
        <f t="shared" si="105"/>
        <v>7</v>
      </c>
      <c r="J1331">
        <f t="shared" si="106"/>
        <v>-135.91999999999999</v>
      </c>
    </row>
    <row r="1332" spans="1:10" ht="12.5" x14ac:dyDescent="0.25">
      <c r="A1332" s="1">
        <v>45476</v>
      </c>
      <c r="B1332" s="2" t="s">
        <v>10</v>
      </c>
      <c r="C1332" s="2" t="s">
        <v>6</v>
      </c>
      <c r="D1332" s="2" t="s">
        <v>6</v>
      </c>
      <c r="E1332" s="3">
        <v>99.94</v>
      </c>
      <c r="F1332" t="str">
        <f t="shared" si="102"/>
        <v>marketing</v>
      </c>
      <c r="G1332" s="7" t="s">
        <v>6</v>
      </c>
      <c r="H1332">
        <f t="shared" si="104"/>
        <v>2024</v>
      </c>
      <c r="I1332">
        <f t="shared" si="105"/>
        <v>7</v>
      </c>
      <c r="J1332">
        <f t="shared" si="106"/>
        <v>0</v>
      </c>
    </row>
    <row r="1333" spans="1:10" ht="12.5" x14ac:dyDescent="0.25">
      <c r="A1333" s="1">
        <v>45476</v>
      </c>
      <c r="B1333" s="2" t="s">
        <v>11</v>
      </c>
      <c r="C1333" s="3">
        <v>9.99</v>
      </c>
      <c r="D1333" s="3">
        <v>28</v>
      </c>
      <c r="E1333" s="3">
        <v>279.72000000000003</v>
      </c>
      <c r="F1333" t="str">
        <f t="shared" si="102"/>
        <v>net sales</v>
      </c>
      <c r="G1333" s="7" t="str">
        <f t="shared" si="103"/>
        <v>product 1</v>
      </c>
      <c r="H1333">
        <f t="shared" si="104"/>
        <v>2024</v>
      </c>
      <c r="I1333">
        <f t="shared" si="105"/>
        <v>7</v>
      </c>
      <c r="J1333">
        <f t="shared" si="106"/>
        <v>-100.03</v>
      </c>
    </row>
    <row r="1334" spans="1:10" ht="12.5" x14ac:dyDescent="0.25">
      <c r="A1334" s="1">
        <v>45476</v>
      </c>
      <c r="B1334" s="2" t="s">
        <v>12</v>
      </c>
      <c r="C1334" s="3">
        <v>24.99</v>
      </c>
      <c r="D1334" s="3">
        <v>0</v>
      </c>
      <c r="E1334" s="2">
        <f>C1334*D1334</f>
        <v>0</v>
      </c>
      <c r="F1334" t="str">
        <f t="shared" si="102"/>
        <v>net sales</v>
      </c>
      <c r="G1334" s="7" t="str">
        <f t="shared" si="103"/>
        <v>product 2</v>
      </c>
      <c r="H1334">
        <f t="shared" si="104"/>
        <v>2024</v>
      </c>
      <c r="I1334">
        <f t="shared" si="105"/>
        <v>7</v>
      </c>
      <c r="J1334">
        <f t="shared" si="106"/>
        <v>119.88</v>
      </c>
    </row>
    <row r="1335" spans="1:10" ht="12.5" x14ac:dyDescent="0.25">
      <c r="A1335" s="1">
        <v>45476</v>
      </c>
      <c r="B1335" s="2" t="s">
        <v>13</v>
      </c>
      <c r="C1335" s="3">
        <v>12.49</v>
      </c>
      <c r="D1335" s="3">
        <v>181</v>
      </c>
      <c r="E1335" s="3">
        <v>2260.69</v>
      </c>
      <c r="F1335" t="str">
        <f t="shared" si="102"/>
        <v>net sales</v>
      </c>
      <c r="G1335" s="7" t="str">
        <f t="shared" si="103"/>
        <v>product 3</v>
      </c>
      <c r="H1335">
        <f t="shared" si="104"/>
        <v>2024</v>
      </c>
      <c r="I1335">
        <f t="shared" si="105"/>
        <v>7</v>
      </c>
      <c r="J1335">
        <f t="shared" si="106"/>
        <v>199.92</v>
      </c>
    </row>
    <row r="1336" spans="1:10" ht="12.5" x14ac:dyDescent="0.25">
      <c r="A1336" s="1">
        <v>45477</v>
      </c>
      <c r="B1336" s="2" t="s">
        <v>7</v>
      </c>
      <c r="C1336" s="3">
        <v>5.99</v>
      </c>
      <c r="D1336" s="3">
        <v>0</v>
      </c>
      <c r="E1336" s="2">
        <f>C1336*D1336</f>
        <v>0</v>
      </c>
      <c r="F1336" t="str">
        <f t="shared" si="102"/>
        <v>cogs</v>
      </c>
      <c r="G1336" s="7" t="str">
        <f t="shared" si="103"/>
        <v>product 1</v>
      </c>
      <c r="H1336">
        <f t="shared" si="104"/>
        <v>2024</v>
      </c>
      <c r="I1336">
        <f t="shared" si="105"/>
        <v>7</v>
      </c>
      <c r="J1336">
        <f t="shared" si="106"/>
        <v>0</v>
      </c>
    </row>
    <row r="1337" spans="1:10" ht="12.5" x14ac:dyDescent="0.25">
      <c r="A1337" s="1">
        <v>45477</v>
      </c>
      <c r="B1337" s="2" t="s">
        <v>8</v>
      </c>
      <c r="C1337" s="3">
        <v>16.989999999999998</v>
      </c>
      <c r="D1337" s="3">
        <v>2</v>
      </c>
      <c r="E1337" s="3">
        <v>33.979999999999997</v>
      </c>
      <c r="F1337" t="str">
        <f t="shared" si="102"/>
        <v>cogs</v>
      </c>
      <c r="G1337" s="7" t="str">
        <f t="shared" si="103"/>
        <v>product 2</v>
      </c>
      <c r="H1337">
        <f t="shared" si="104"/>
        <v>2024</v>
      </c>
      <c r="I1337">
        <f t="shared" si="105"/>
        <v>7</v>
      </c>
      <c r="J1337">
        <f t="shared" si="106"/>
        <v>-17.97</v>
      </c>
    </row>
    <row r="1338" spans="1:10" ht="12.5" x14ac:dyDescent="0.25">
      <c r="A1338" s="1">
        <v>45477</v>
      </c>
      <c r="B1338" s="2" t="s">
        <v>9</v>
      </c>
      <c r="C1338" s="3">
        <v>8.49</v>
      </c>
      <c r="D1338" s="3">
        <v>120</v>
      </c>
      <c r="E1338" s="3">
        <v>1018.8000000000001</v>
      </c>
      <c r="F1338" t="str">
        <f t="shared" si="102"/>
        <v>cogs</v>
      </c>
      <c r="G1338" s="7" t="str">
        <f t="shared" si="103"/>
        <v>product 3</v>
      </c>
      <c r="H1338">
        <f t="shared" si="104"/>
        <v>2024</v>
      </c>
      <c r="I1338">
        <f t="shared" si="105"/>
        <v>7</v>
      </c>
      <c r="J1338">
        <f t="shared" si="106"/>
        <v>-118.92999999999999</v>
      </c>
    </row>
    <row r="1339" spans="1:10" ht="12.5" x14ac:dyDescent="0.25">
      <c r="A1339" s="1">
        <v>45477</v>
      </c>
      <c r="B1339" s="2" t="s">
        <v>10</v>
      </c>
      <c r="C1339" s="2" t="s">
        <v>6</v>
      </c>
      <c r="D1339" s="2" t="s">
        <v>6</v>
      </c>
      <c r="E1339" s="3">
        <v>99.94</v>
      </c>
      <c r="F1339" t="str">
        <f t="shared" si="102"/>
        <v>marketing</v>
      </c>
      <c r="G1339" s="7" t="s">
        <v>6</v>
      </c>
      <c r="H1339">
        <f t="shared" si="104"/>
        <v>2024</v>
      </c>
      <c r="I1339">
        <f t="shared" si="105"/>
        <v>7</v>
      </c>
      <c r="J1339">
        <f t="shared" si="106"/>
        <v>-101.88</v>
      </c>
    </row>
    <row r="1340" spans="1:10" ht="12.5" x14ac:dyDescent="0.25">
      <c r="A1340" s="1">
        <v>45477</v>
      </c>
      <c r="B1340" s="2" t="s">
        <v>11</v>
      </c>
      <c r="C1340" s="3">
        <v>9.99</v>
      </c>
      <c r="D1340" s="3">
        <v>0</v>
      </c>
      <c r="E1340" s="2">
        <f>C1340*D1340</f>
        <v>0</v>
      </c>
      <c r="F1340" t="str">
        <f t="shared" si="102"/>
        <v>net sales</v>
      </c>
      <c r="G1340" s="7" t="str">
        <f t="shared" si="103"/>
        <v>product 1</v>
      </c>
      <c r="H1340">
        <f t="shared" si="104"/>
        <v>2024</v>
      </c>
      <c r="I1340">
        <f t="shared" si="105"/>
        <v>7</v>
      </c>
      <c r="J1340">
        <f t="shared" si="106"/>
        <v>-100.02</v>
      </c>
    </row>
    <row r="1341" spans="1:10" ht="12.5" x14ac:dyDescent="0.25">
      <c r="A1341" s="1">
        <v>45477</v>
      </c>
      <c r="B1341" s="2" t="s">
        <v>12</v>
      </c>
      <c r="C1341" s="3">
        <v>24.99</v>
      </c>
      <c r="D1341" s="3">
        <v>2</v>
      </c>
      <c r="E1341" s="3">
        <v>49.98</v>
      </c>
      <c r="F1341" t="str">
        <f t="shared" si="102"/>
        <v>net sales</v>
      </c>
      <c r="G1341" s="7" t="str">
        <f t="shared" si="103"/>
        <v>product 2</v>
      </c>
      <c r="H1341">
        <f t="shared" si="104"/>
        <v>2024</v>
      </c>
      <c r="I1341">
        <f t="shared" si="105"/>
        <v>7</v>
      </c>
      <c r="J1341">
        <f t="shared" si="106"/>
        <v>29.97</v>
      </c>
    </row>
    <row r="1342" spans="1:10" ht="12.5" x14ac:dyDescent="0.25">
      <c r="A1342" s="1">
        <v>45477</v>
      </c>
      <c r="B1342" s="2" t="s">
        <v>13</v>
      </c>
      <c r="C1342" s="3">
        <v>12.49</v>
      </c>
      <c r="D1342" s="3">
        <v>120</v>
      </c>
      <c r="E1342" s="3">
        <v>1498.8</v>
      </c>
      <c r="F1342" t="str">
        <f t="shared" si="102"/>
        <v>net sales</v>
      </c>
      <c r="G1342" s="7" t="str">
        <f t="shared" si="103"/>
        <v>product 3</v>
      </c>
      <c r="H1342">
        <f t="shared" si="104"/>
        <v>2024</v>
      </c>
      <c r="I1342">
        <f t="shared" si="105"/>
        <v>7</v>
      </c>
      <c r="J1342">
        <f t="shared" si="106"/>
        <v>174.92999999999998</v>
      </c>
    </row>
    <row r="1343" spans="1:10" ht="12.5" x14ac:dyDescent="0.25">
      <c r="A1343" s="1">
        <v>45478</v>
      </c>
      <c r="B1343" s="2" t="s">
        <v>7</v>
      </c>
      <c r="C1343" s="3">
        <v>5.99</v>
      </c>
      <c r="D1343" s="3">
        <v>4</v>
      </c>
      <c r="E1343" s="3">
        <v>23.96</v>
      </c>
      <c r="F1343" t="str">
        <f t="shared" si="102"/>
        <v>cogs</v>
      </c>
      <c r="G1343" s="7" t="str">
        <f t="shared" si="103"/>
        <v>product 1</v>
      </c>
      <c r="H1343">
        <f t="shared" si="104"/>
        <v>2024</v>
      </c>
      <c r="I1343">
        <f t="shared" si="105"/>
        <v>7</v>
      </c>
      <c r="J1343">
        <f t="shared" si="106"/>
        <v>149.88</v>
      </c>
    </row>
    <row r="1344" spans="1:10" ht="12.5" x14ac:dyDescent="0.25">
      <c r="A1344" s="1">
        <v>45478</v>
      </c>
      <c r="B1344" s="2" t="s">
        <v>8</v>
      </c>
      <c r="C1344" s="3">
        <v>16.989999999999998</v>
      </c>
      <c r="D1344" s="3">
        <v>8</v>
      </c>
      <c r="E1344" s="3">
        <v>135.91999999999999</v>
      </c>
      <c r="F1344" t="str">
        <f t="shared" si="102"/>
        <v>cogs</v>
      </c>
      <c r="G1344" s="7" t="str">
        <f t="shared" si="103"/>
        <v>product 2</v>
      </c>
      <c r="H1344">
        <f t="shared" si="104"/>
        <v>2024</v>
      </c>
      <c r="I1344">
        <f t="shared" si="105"/>
        <v>7</v>
      </c>
      <c r="J1344">
        <f t="shared" si="106"/>
        <v>-359.40000000000003</v>
      </c>
    </row>
    <row r="1345" spans="1:10" ht="12.5" x14ac:dyDescent="0.25">
      <c r="A1345" s="1">
        <v>45478</v>
      </c>
      <c r="B1345" s="2" t="s">
        <v>9</v>
      </c>
      <c r="C1345" s="3">
        <v>8.49</v>
      </c>
      <c r="D1345" s="3">
        <v>5</v>
      </c>
      <c r="E1345" s="3">
        <v>42.45</v>
      </c>
      <c r="F1345" t="str">
        <f t="shared" si="102"/>
        <v>cogs</v>
      </c>
      <c r="G1345" s="7" t="str">
        <f t="shared" si="103"/>
        <v>product 3</v>
      </c>
      <c r="H1345">
        <f t="shared" si="104"/>
        <v>2024</v>
      </c>
      <c r="I1345">
        <f t="shared" si="105"/>
        <v>7</v>
      </c>
      <c r="J1345">
        <f t="shared" si="106"/>
        <v>-84.949999999999989</v>
      </c>
    </row>
    <row r="1346" spans="1:10" ht="12.5" x14ac:dyDescent="0.25">
      <c r="A1346" s="1">
        <v>45478</v>
      </c>
      <c r="B1346" s="2" t="s">
        <v>10</v>
      </c>
      <c r="C1346" s="2" t="s">
        <v>6</v>
      </c>
      <c r="D1346" s="2" t="s">
        <v>6</v>
      </c>
      <c r="E1346" s="3">
        <v>100.10000000000001</v>
      </c>
      <c r="F1346" t="str">
        <f t="shared" si="102"/>
        <v>marketing</v>
      </c>
      <c r="G1346" s="7" t="s">
        <v>6</v>
      </c>
      <c r="H1346">
        <f t="shared" si="104"/>
        <v>2024</v>
      </c>
      <c r="I1346">
        <f t="shared" si="105"/>
        <v>7</v>
      </c>
      <c r="J1346">
        <f t="shared" si="106"/>
        <v>-1434.81</v>
      </c>
    </row>
    <row r="1347" spans="1:10" ht="12.5" x14ac:dyDescent="0.25">
      <c r="A1347" s="1">
        <v>45478</v>
      </c>
      <c r="B1347" s="2" t="s">
        <v>11</v>
      </c>
      <c r="C1347" s="3">
        <v>9.99</v>
      </c>
      <c r="D1347" s="3">
        <v>4</v>
      </c>
      <c r="E1347" s="3">
        <v>39.96</v>
      </c>
      <c r="F1347" t="str">
        <f t="shared" ref="F1347:F1410" si="107">IFERROR(LEFT(B1347,FIND(":",B1347)-1),B1347)</f>
        <v>net sales</v>
      </c>
      <c r="G1347" s="7" t="str">
        <f t="shared" ref="G1347:G1409" si="108">IFERROR(RIGHT(B1347,LEN(B1347)-FIND(":",B1347)),"")</f>
        <v>product 1</v>
      </c>
      <c r="H1347">
        <f t="shared" ref="H1347:H1410" si="109">YEAR(A1347)</f>
        <v>2024</v>
      </c>
      <c r="I1347">
        <f t="shared" ref="I1347:I1410" si="110">MONTH(A1347)</f>
        <v>7</v>
      </c>
      <c r="J1347">
        <f t="shared" si="106"/>
        <v>-100.09</v>
      </c>
    </row>
    <row r="1348" spans="1:10" ht="12.5" x14ac:dyDescent="0.25">
      <c r="A1348" s="1">
        <v>45478</v>
      </c>
      <c r="B1348" s="2" t="s">
        <v>12</v>
      </c>
      <c r="C1348" s="3">
        <v>24.99</v>
      </c>
      <c r="D1348" s="3">
        <v>8</v>
      </c>
      <c r="E1348" s="3">
        <v>199.92</v>
      </c>
      <c r="F1348" t="str">
        <f t="shared" si="107"/>
        <v>net sales</v>
      </c>
      <c r="G1348" s="7" t="str">
        <f t="shared" si="108"/>
        <v>product 2</v>
      </c>
      <c r="H1348">
        <f t="shared" si="109"/>
        <v>2024</v>
      </c>
      <c r="I1348">
        <f t="shared" si="110"/>
        <v>7</v>
      </c>
      <c r="J1348">
        <f t="shared" si="106"/>
        <v>599.4</v>
      </c>
    </row>
    <row r="1349" spans="1:10" ht="12.5" x14ac:dyDescent="0.25">
      <c r="A1349" s="1">
        <v>45478</v>
      </c>
      <c r="B1349" s="2" t="s">
        <v>13</v>
      </c>
      <c r="C1349" s="3">
        <v>12.49</v>
      </c>
      <c r="D1349" s="3">
        <v>5</v>
      </c>
      <c r="E1349" s="3">
        <v>62.45</v>
      </c>
      <c r="F1349" t="str">
        <f t="shared" si="107"/>
        <v>net sales</v>
      </c>
      <c r="G1349" s="7" t="str">
        <f t="shared" si="108"/>
        <v>product 3</v>
      </c>
      <c r="H1349">
        <f t="shared" si="109"/>
        <v>2024</v>
      </c>
      <c r="I1349">
        <f t="shared" si="110"/>
        <v>7</v>
      </c>
      <c r="J1349">
        <f t="shared" si="106"/>
        <v>124.94999999999999</v>
      </c>
    </row>
    <row r="1350" spans="1:10" ht="12.5" x14ac:dyDescent="0.25">
      <c r="A1350" s="1">
        <v>45478</v>
      </c>
      <c r="B1350" s="2" t="s">
        <v>15</v>
      </c>
      <c r="C1350" s="2" t="s">
        <v>6</v>
      </c>
      <c r="D1350" s="2" t="s">
        <v>6</v>
      </c>
      <c r="E1350" s="3">
        <v>1200</v>
      </c>
      <c r="F1350" t="str">
        <f t="shared" si="107"/>
        <v>payroll</v>
      </c>
      <c r="G1350" s="7" t="s">
        <v>6</v>
      </c>
      <c r="H1350">
        <f t="shared" si="109"/>
        <v>2024</v>
      </c>
      <c r="I1350">
        <f t="shared" si="110"/>
        <v>7</v>
      </c>
      <c r="J1350">
        <f t="shared" si="106"/>
        <v>2110.81</v>
      </c>
    </row>
    <row r="1351" spans="1:10" ht="12.5" x14ac:dyDescent="0.25">
      <c r="A1351" s="1">
        <v>45479</v>
      </c>
      <c r="B1351" s="2" t="s">
        <v>7</v>
      </c>
      <c r="C1351" s="3">
        <v>5.99</v>
      </c>
      <c r="D1351" s="3">
        <v>48</v>
      </c>
      <c r="E1351" s="3">
        <v>287.52</v>
      </c>
      <c r="F1351" t="str">
        <f t="shared" si="107"/>
        <v>cogs</v>
      </c>
      <c r="G1351" s="7" t="str">
        <f t="shared" si="108"/>
        <v>product 1</v>
      </c>
      <c r="H1351">
        <f t="shared" si="109"/>
        <v>2024</v>
      </c>
      <c r="I1351">
        <f t="shared" si="110"/>
        <v>7</v>
      </c>
      <c r="J1351">
        <f t="shared" si="106"/>
        <v>-533.11</v>
      </c>
    </row>
    <row r="1352" spans="1:10" ht="12.5" x14ac:dyDescent="0.25">
      <c r="A1352" s="1">
        <v>45479</v>
      </c>
      <c r="B1352" s="2" t="s">
        <v>8</v>
      </c>
      <c r="C1352" s="3">
        <v>16.989999999999998</v>
      </c>
      <c r="D1352" s="3">
        <v>6</v>
      </c>
      <c r="E1352" s="3">
        <v>101.94</v>
      </c>
      <c r="F1352" t="str">
        <f t="shared" si="107"/>
        <v>cogs</v>
      </c>
      <c r="G1352" s="7" t="str">
        <f t="shared" si="108"/>
        <v>product 2</v>
      </c>
      <c r="H1352">
        <f t="shared" si="109"/>
        <v>2024</v>
      </c>
      <c r="I1352">
        <f t="shared" si="110"/>
        <v>7</v>
      </c>
      <c r="J1352">
        <f t="shared" si="106"/>
        <v>-67.959999999999994</v>
      </c>
    </row>
    <row r="1353" spans="1:10" ht="12.5" x14ac:dyDescent="0.25">
      <c r="A1353" s="1">
        <v>45479</v>
      </c>
      <c r="B1353" s="2" t="s">
        <v>9</v>
      </c>
      <c r="C1353" s="3">
        <v>8.49</v>
      </c>
      <c r="D1353" s="3">
        <v>228</v>
      </c>
      <c r="E1353" s="3">
        <v>1935.72</v>
      </c>
      <c r="F1353" t="str">
        <f t="shared" si="107"/>
        <v>cogs</v>
      </c>
      <c r="G1353" s="7" t="str">
        <f t="shared" si="108"/>
        <v>product 3</v>
      </c>
      <c r="H1353">
        <f t="shared" si="109"/>
        <v>2024</v>
      </c>
      <c r="I1353">
        <f t="shared" si="110"/>
        <v>7</v>
      </c>
      <c r="J1353">
        <f t="shared" si="106"/>
        <v>-1587.63</v>
      </c>
    </row>
    <row r="1354" spans="1:10" ht="12.5" x14ac:dyDescent="0.25">
      <c r="A1354" s="1">
        <v>45479</v>
      </c>
      <c r="B1354" s="2" t="s">
        <v>10</v>
      </c>
      <c r="C1354" s="2" t="s">
        <v>6</v>
      </c>
      <c r="D1354" s="2" t="s">
        <v>6</v>
      </c>
      <c r="E1354" s="3">
        <v>99.94</v>
      </c>
      <c r="F1354" t="str">
        <f t="shared" si="107"/>
        <v>marketing</v>
      </c>
      <c r="G1354" s="7" t="s">
        <v>6</v>
      </c>
      <c r="H1354">
        <f t="shared" si="109"/>
        <v>2024</v>
      </c>
      <c r="I1354">
        <f t="shared" si="110"/>
        <v>7</v>
      </c>
      <c r="J1354">
        <f t="shared" si="106"/>
        <v>-100.08</v>
      </c>
    </row>
    <row r="1355" spans="1:10" ht="12.5" x14ac:dyDescent="0.25">
      <c r="A1355" s="1">
        <v>45479</v>
      </c>
      <c r="B1355" s="2" t="s">
        <v>11</v>
      </c>
      <c r="C1355" s="3">
        <v>9.99</v>
      </c>
      <c r="D1355" s="3">
        <v>48</v>
      </c>
      <c r="E1355" s="3">
        <v>479.52</v>
      </c>
      <c r="F1355" t="str">
        <f t="shared" si="107"/>
        <v>net sales</v>
      </c>
      <c r="G1355" s="7" t="str">
        <f t="shared" si="108"/>
        <v>product 1</v>
      </c>
      <c r="H1355">
        <f t="shared" si="109"/>
        <v>2024</v>
      </c>
      <c r="I1355">
        <f t="shared" si="110"/>
        <v>7</v>
      </c>
      <c r="J1355">
        <f t="shared" si="106"/>
        <v>889.11</v>
      </c>
    </row>
    <row r="1356" spans="1:10" ht="12.5" x14ac:dyDescent="0.25">
      <c r="A1356" s="1">
        <v>45479</v>
      </c>
      <c r="B1356" s="2" t="s">
        <v>12</v>
      </c>
      <c r="C1356" s="3">
        <v>24.99</v>
      </c>
      <c r="D1356" s="3">
        <v>6</v>
      </c>
      <c r="E1356" s="3">
        <v>149.94</v>
      </c>
      <c r="F1356" t="str">
        <f t="shared" si="107"/>
        <v>net sales</v>
      </c>
      <c r="G1356" s="7" t="str">
        <f t="shared" si="108"/>
        <v>product 2</v>
      </c>
      <c r="H1356">
        <f t="shared" si="109"/>
        <v>2024</v>
      </c>
      <c r="I1356">
        <f t="shared" si="110"/>
        <v>7</v>
      </c>
      <c r="J1356">
        <f t="shared" si="106"/>
        <v>99.96</v>
      </c>
    </row>
    <row r="1357" spans="1:10" ht="12.5" x14ac:dyDescent="0.25">
      <c r="A1357" s="1">
        <v>45479</v>
      </c>
      <c r="B1357" s="2" t="s">
        <v>13</v>
      </c>
      <c r="C1357" s="3">
        <v>12.49</v>
      </c>
      <c r="D1357" s="3">
        <v>228</v>
      </c>
      <c r="E1357" s="3">
        <v>2847.7200000000003</v>
      </c>
      <c r="F1357" t="str">
        <f t="shared" si="107"/>
        <v>net sales</v>
      </c>
      <c r="G1357" s="7" t="str">
        <f t="shared" si="108"/>
        <v>product 3</v>
      </c>
      <c r="H1357">
        <f t="shared" si="109"/>
        <v>2024</v>
      </c>
      <c r="I1357">
        <f t="shared" si="110"/>
        <v>7</v>
      </c>
      <c r="J1357">
        <f t="shared" si="106"/>
        <v>2335.63</v>
      </c>
    </row>
    <row r="1358" spans="1:10" ht="12.5" x14ac:dyDescent="0.25">
      <c r="A1358" s="1">
        <v>45480</v>
      </c>
      <c r="B1358" s="2" t="s">
        <v>7</v>
      </c>
      <c r="C1358" s="3">
        <v>5.99</v>
      </c>
      <c r="D1358" s="3">
        <v>88</v>
      </c>
      <c r="E1358" s="3">
        <v>527.12</v>
      </c>
      <c r="F1358" t="str">
        <f t="shared" si="107"/>
        <v>cogs</v>
      </c>
      <c r="G1358" s="7" t="str">
        <f t="shared" si="108"/>
        <v>product 1</v>
      </c>
      <c r="H1358">
        <f t="shared" si="109"/>
        <v>2024</v>
      </c>
      <c r="I1358">
        <f t="shared" si="110"/>
        <v>7</v>
      </c>
      <c r="J1358">
        <f t="shared" si="106"/>
        <v>-167.72</v>
      </c>
    </row>
    <row r="1359" spans="1:10" ht="12.5" x14ac:dyDescent="0.25">
      <c r="A1359" s="1">
        <v>45480</v>
      </c>
      <c r="B1359" s="2" t="s">
        <v>8</v>
      </c>
      <c r="C1359" s="3">
        <v>16.989999999999998</v>
      </c>
      <c r="D1359" s="3">
        <v>4</v>
      </c>
      <c r="E1359" s="3">
        <v>67.959999999999994</v>
      </c>
      <c r="F1359" t="str">
        <f t="shared" si="107"/>
        <v>cogs</v>
      </c>
      <c r="G1359" s="7" t="str">
        <f t="shared" si="108"/>
        <v>product 2</v>
      </c>
      <c r="H1359">
        <f t="shared" si="109"/>
        <v>2024</v>
      </c>
      <c r="I1359">
        <f t="shared" si="110"/>
        <v>7</v>
      </c>
      <c r="J1359">
        <f t="shared" si="106"/>
        <v>-50.97</v>
      </c>
    </row>
    <row r="1360" spans="1:10" ht="12.5" x14ac:dyDescent="0.25">
      <c r="A1360" s="1">
        <v>45480</v>
      </c>
      <c r="B1360" s="2" t="s">
        <v>9</v>
      </c>
      <c r="C1360" s="3">
        <v>8.49</v>
      </c>
      <c r="D1360" s="3">
        <v>4</v>
      </c>
      <c r="E1360" s="3">
        <v>33.96</v>
      </c>
      <c r="F1360" t="str">
        <f t="shared" si="107"/>
        <v>cogs</v>
      </c>
      <c r="G1360" s="7" t="str">
        <f t="shared" si="108"/>
        <v>product 3</v>
      </c>
      <c r="H1360">
        <f t="shared" si="109"/>
        <v>2024</v>
      </c>
      <c r="I1360">
        <f t="shared" si="110"/>
        <v>7</v>
      </c>
      <c r="J1360">
        <f t="shared" si="106"/>
        <v>-1681.02</v>
      </c>
    </row>
    <row r="1361" spans="1:10" ht="12.5" x14ac:dyDescent="0.25">
      <c r="A1361" s="1">
        <v>45480</v>
      </c>
      <c r="B1361" s="2" t="s">
        <v>10</v>
      </c>
      <c r="C1361" s="2" t="s">
        <v>6</v>
      </c>
      <c r="D1361" s="2" t="s">
        <v>6</v>
      </c>
      <c r="E1361" s="3">
        <v>100.02</v>
      </c>
      <c r="F1361" t="str">
        <f t="shared" si="107"/>
        <v>marketing</v>
      </c>
      <c r="G1361" s="7" t="s">
        <v>6</v>
      </c>
      <c r="H1361">
        <f t="shared" si="109"/>
        <v>2024</v>
      </c>
      <c r="I1361">
        <f t="shared" si="110"/>
        <v>7</v>
      </c>
      <c r="J1361">
        <f t="shared" si="106"/>
        <v>-100.05</v>
      </c>
    </row>
    <row r="1362" spans="1:10" ht="12.5" x14ac:dyDescent="0.25">
      <c r="A1362" s="1">
        <v>45480</v>
      </c>
      <c r="B1362" s="2" t="s">
        <v>11</v>
      </c>
      <c r="C1362" s="3">
        <v>9.99</v>
      </c>
      <c r="D1362" s="3">
        <v>88</v>
      </c>
      <c r="E1362" s="3">
        <v>879.12</v>
      </c>
      <c r="F1362" t="str">
        <f t="shared" si="107"/>
        <v>net sales</v>
      </c>
      <c r="G1362" s="7" t="str">
        <f t="shared" si="108"/>
        <v>product 1</v>
      </c>
      <c r="H1362">
        <f t="shared" si="109"/>
        <v>2024</v>
      </c>
      <c r="I1362">
        <f t="shared" si="110"/>
        <v>7</v>
      </c>
      <c r="J1362">
        <f t="shared" si="106"/>
        <v>279.72000000000003</v>
      </c>
    </row>
    <row r="1363" spans="1:10" ht="12.5" x14ac:dyDescent="0.25">
      <c r="A1363" s="1">
        <v>45480</v>
      </c>
      <c r="B1363" s="2" t="s">
        <v>12</v>
      </c>
      <c r="C1363" s="3">
        <v>24.99</v>
      </c>
      <c r="D1363" s="3">
        <v>4</v>
      </c>
      <c r="E1363" s="3">
        <v>99.96</v>
      </c>
      <c r="F1363" t="str">
        <f t="shared" si="107"/>
        <v>net sales</v>
      </c>
      <c r="G1363" s="7" t="str">
        <f t="shared" si="108"/>
        <v>product 2</v>
      </c>
      <c r="H1363">
        <f t="shared" si="109"/>
        <v>2024</v>
      </c>
      <c r="I1363">
        <f t="shared" si="110"/>
        <v>7</v>
      </c>
      <c r="J1363">
        <f t="shared" si="106"/>
        <v>74.97</v>
      </c>
    </row>
    <row r="1364" spans="1:10" ht="12.5" x14ac:dyDescent="0.25">
      <c r="A1364" s="1">
        <v>45480</v>
      </c>
      <c r="B1364" s="2" t="s">
        <v>13</v>
      </c>
      <c r="C1364" s="3">
        <v>12.49</v>
      </c>
      <c r="D1364" s="3">
        <v>4</v>
      </c>
      <c r="E1364" s="3">
        <v>49.96</v>
      </c>
      <c r="F1364" t="str">
        <f t="shared" si="107"/>
        <v>net sales</v>
      </c>
      <c r="G1364" s="7" t="str">
        <f t="shared" si="108"/>
        <v>product 3</v>
      </c>
      <c r="H1364">
        <f t="shared" si="109"/>
        <v>2024</v>
      </c>
      <c r="I1364">
        <f t="shared" si="110"/>
        <v>7</v>
      </c>
      <c r="J1364">
        <f t="shared" si="106"/>
        <v>2473.02</v>
      </c>
    </row>
    <row r="1365" spans="1:10" ht="12.5" x14ac:dyDescent="0.25">
      <c r="A1365" s="1">
        <v>45481</v>
      </c>
      <c r="B1365" s="2" t="s">
        <v>7</v>
      </c>
      <c r="C1365" s="3">
        <v>5.99</v>
      </c>
      <c r="D1365" s="3">
        <v>86</v>
      </c>
      <c r="E1365" s="3">
        <v>515.14</v>
      </c>
      <c r="F1365" t="str">
        <f t="shared" si="107"/>
        <v>cogs</v>
      </c>
      <c r="G1365" s="7" t="str">
        <f t="shared" si="108"/>
        <v>product 1</v>
      </c>
      <c r="H1365">
        <f t="shared" si="109"/>
        <v>2024</v>
      </c>
      <c r="I1365">
        <f t="shared" si="110"/>
        <v>7</v>
      </c>
      <c r="J1365">
        <f t="shared" si="106"/>
        <v>-1200</v>
      </c>
    </row>
    <row r="1366" spans="1:10" ht="12.5" x14ac:dyDescent="0.25">
      <c r="A1366" s="1">
        <v>45481</v>
      </c>
      <c r="B1366" s="2" t="s">
        <v>8</v>
      </c>
      <c r="C1366" s="3">
        <v>16.989999999999998</v>
      </c>
      <c r="D1366" s="3">
        <v>0</v>
      </c>
      <c r="E1366" s="2">
        <f>C1366*D1366</f>
        <v>0</v>
      </c>
      <c r="F1366" t="str">
        <f t="shared" si="107"/>
        <v>cogs</v>
      </c>
      <c r="G1366" s="7" t="str">
        <f t="shared" si="108"/>
        <v>product 2</v>
      </c>
      <c r="H1366">
        <f t="shared" si="109"/>
        <v>2024</v>
      </c>
      <c r="I1366">
        <f t="shared" si="110"/>
        <v>7</v>
      </c>
      <c r="J1366">
        <f t="shared" si="106"/>
        <v>-485.19</v>
      </c>
    </row>
    <row r="1367" spans="1:10" ht="12.5" x14ac:dyDescent="0.25">
      <c r="A1367" s="1">
        <v>45481</v>
      </c>
      <c r="B1367" s="2" t="s">
        <v>9</v>
      </c>
      <c r="C1367" s="3">
        <v>8.49</v>
      </c>
      <c r="D1367" s="3">
        <v>72</v>
      </c>
      <c r="E1367" s="3">
        <v>611.28</v>
      </c>
      <c r="F1367" t="str">
        <f t="shared" si="107"/>
        <v>cogs</v>
      </c>
      <c r="G1367" s="7" t="str">
        <f t="shared" si="108"/>
        <v>product 3</v>
      </c>
      <c r="H1367">
        <f t="shared" si="109"/>
        <v>2024</v>
      </c>
      <c r="I1367">
        <f t="shared" si="110"/>
        <v>7</v>
      </c>
      <c r="J1367">
        <f t="shared" si="106"/>
        <v>-169.89999999999998</v>
      </c>
    </row>
    <row r="1368" spans="1:10" ht="12.5" x14ac:dyDescent="0.25">
      <c r="A1368" s="1">
        <v>45481</v>
      </c>
      <c r="B1368" s="2" t="s">
        <v>10</v>
      </c>
      <c r="C1368" s="2" t="s">
        <v>6</v>
      </c>
      <c r="D1368" s="2" t="s">
        <v>6</v>
      </c>
      <c r="E1368" s="3">
        <v>100.02</v>
      </c>
      <c r="F1368" t="str">
        <f t="shared" si="107"/>
        <v>marketing</v>
      </c>
      <c r="G1368" s="7" t="s">
        <v>6</v>
      </c>
      <c r="H1368">
        <f t="shared" si="109"/>
        <v>2024</v>
      </c>
      <c r="I1368">
        <f t="shared" si="110"/>
        <v>7</v>
      </c>
      <c r="J1368">
        <f t="shared" si="106"/>
        <v>-628.26</v>
      </c>
    </row>
    <row r="1369" spans="1:10" ht="12.5" x14ac:dyDescent="0.25">
      <c r="A1369" s="1">
        <v>45481</v>
      </c>
      <c r="B1369" s="2" t="s">
        <v>11</v>
      </c>
      <c r="C1369" s="3">
        <v>9.99</v>
      </c>
      <c r="D1369" s="3">
        <v>86</v>
      </c>
      <c r="E1369" s="3">
        <v>859.14</v>
      </c>
      <c r="F1369" t="str">
        <f t="shared" si="107"/>
        <v>net sales</v>
      </c>
      <c r="G1369" s="7" t="str">
        <f t="shared" si="108"/>
        <v>product 1</v>
      </c>
      <c r="H1369">
        <f t="shared" si="109"/>
        <v>2024</v>
      </c>
      <c r="I1369">
        <f t="shared" si="110"/>
        <v>7</v>
      </c>
      <c r="J1369">
        <f t="shared" si="106"/>
        <v>-100.02</v>
      </c>
    </row>
    <row r="1370" spans="1:10" ht="12.5" x14ac:dyDescent="0.25">
      <c r="A1370" s="1">
        <v>45481</v>
      </c>
      <c r="B1370" s="2" t="s">
        <v>12</v>
      </c>
      <c r="C1370" s="3">
        <v>24.99</v>
      </c>
      <c r="D1370" s="3">
        <v>0</v>
      </c>
      <c r="E1370" s="2">
        <f>C1370*D1370</f>
        <v>0</v>
      </c>
      <c r="F1370" t="str">
        <f t="shared" si="107"/>
        <v>net sales</v>
      </c>
      <c r="G1370" s="7" t="str">
        <f t="shared" si="108"/>
        <v>product 2</v>
      </c>
      <c r="H1370">
        <f t="shared" si="109"/>
        <v>2024</v>
      </c>
      <c r="I1370">
        <f t="shared" si="110"/>
        <v>7</v>
      </c>
      <c r="J1370">
        <f t="shared" si="106"/>
        <v>809.19</v>
      </c>
    </row>
    <row r="1371" spans="1:10" ht="12.5" x14ac:dyDescent="0.25">
      <c r="A1371" s="1">
        <v>45481</v>
      </c>
      <c r="B1371" s="2" t="s">
        <v>13</v>
      </c>
      <c r="C1371" s="3">
        <v>12.49</v>
      </c>
      <c r="D1371" s="3">
        <v>72</v>
      </c>
      <c r="E1371" s="3">
        <v>899.28</v>
      </c>
      <c r="F1371" t="str">
        <f t="shared" si="107"/>
        <v>net sales</v>
      </c>
      <c r="G1371" s="7" t="str">
        <f t="shared" si="108"/>
        <v>product 3</v>
      </c>
      <c r="H1371">
        <f t="shared" si="109"/>
        <v>2024</v>
      </c>
      <c r="I1371">
        <f t="shared" si="110"/>
        <v>7</v>
      </c>
      <c r="J1371">
        <f t="shared" si="106"/>
        <v>249.89999999999998</v>
      </c>
    </row>
    <row r="1372" spans="1:10" ht="12.5" x14ac:dyDescent="0.25">
      <c r="A1372" s="1">
        <v>45482</v>
      </c>
      <c r="B1372" s="2" t="s">
        <v>7</v>
      </c>
      <c r="C1372" s="3">
        <v>5.99</v>
      </c>
      <c r="D1372" s="3">
        <v>41</v>
      </c>
      <c r="E1372" s="3">
        <v>245.59</v>
      </c>
      <c r="F1372" t="str">
        <f t="shared" si="107"/>
        <v>cogs</v>
      </c>
      <c r="G1372" s="7" t="str">
        <f t="shared" si="108"/>
        <v>product 1</v>
      </c>
      <c r="H1372">
        <f t="shared" si="109"/>
        <v>2024</v>
      </c>
      <c r="I1372">
        <f t="shared" si="110"/>
        <v>7</v>
      </c>
      <c r="J1372">
        <f t="shared" ref="J1372:J1435" si="111">IF(F1155="net sales",E1155,
IF(F1155="cogs",-E1155,
IF(OR(F1155="marketing",F1155="overhead",F1155="payroll",F1155="interest","amortization"),-E1155,0)))</f>
        <v>924.26</v>
      </c>
    </row>
    <row r="1373" spans="1:10" ht="12.5" x14ac:dyDescent="0.25">
      <c r="A1373" s="1">
        <v>45482</v>
      </c>
      <c r="B1373" s="2" t="s">
        <v>8</v>
      </c>
      <c r="C1373" s="3">
        <v>16.989999999999998</v>
      </c>
      <c r="D1373" s="3">
        <v>0</v>
      </c>
      <c r="E1373" s="2">
        <f>C1373*D1373</f>
        <v>0</v>
      </c>
      <c r="F1373" t="str">
        <f t="shared" si="107"/>
        <v>cogs</v>
      </c>
      <c r="G1373" s="7" t="str">
        <f t="shared" si="108"/>
        <v>product 2</v>
      </c>
      <c r="H1373">
        <f t="shared" si="109"/>
        <v>2024</v>
      </c>
      <c r="I1373">
        <f t="shared" si="110"/>
        <v>7</v>
      </c>
      <c r="J1373">
        <f t="shared" si="111"/>
        <v>-413.31</v>
      </c>
    </row>
    <row r="1374" spans="1:10" ht="12.5" x14ac:dyDescent="0.25">
      <c r="A1374" s="1">
        <v>45482</v>
      </c>
      <c r="B1374" s="2" t="s">
        <v>9</v>
      </c>
      <c r="C1374" s="3">
        <v>8.49</v>
      </c>
      <c r="D1374" s="3">
        <v>21</v>
      </c>
      <c r="E1374" s="3">
        <v>178.29</v>
      </c>
      <c r="F1374" t="str">
        <f t="shared" si="107"/>
        <v>cogs</v>
      </c>
      <c r="G1374" s="7" t="str">
        <f t="shared" si="108"/>
        <v>product 3</v>
      </c>
      <c r="H1374">
        <f t="shared" si="109"/>
        <v>2024</v>
      </c>
      <c r="I1374">
        <f t="shared" si="110"/>
        <v>7</v>
      </c>
      <c r="J1374">
        <f t="shared" si="111"/>
        <v>-67.959999999999994</v>
      </c>
    </row>
    <row r="1375" spans="1:10" ht="12.5" x14ac:dyDescent="0.25">
      <c r="A1375" s="1">
        <v>45482</v>
      </c>
      <c r="B1375" s="2" t="s">
        <v>10</v>
      </c>
      <c r="C1375" s="2" t="s">
        <v>6</v>
      </c>
      <c r="D1375" s="2" t="s">
        <v>6</v>
      </c>
      <c r="E1375" s="3">
        <v>99.960000000000008</v>
      </c>
      <c r="F1375" t="str">
        <f t="shared" si="107"/>
        <v>marketing</v>
      </c>
      <c r="G1375" s="7" t="s">
        <v>6</v>
      </c>
      <c r="H1375">
        <f t="shared" si="109"/>
        <v>2024</v>
      </c>
      <c r="I1375">
        <f t="shared" si="110"/>
        <v>7</v>
      </c>
      <c r="J1375">
        <f t="shared" si="111"/>
        <v>-1290.48</v>
      </c>
    </row>
    <row r="1376" spans="1:10" ht="12.5" x14ac:dyDescent="0.25">
      <c r="A1376" s="1">
        <v>45482</v>
      </c>
      <c r="B1376" s="2" t="s">
        <v>11</v>
      </c>
      <c r="C1376" s="3">
        <v>9.99</v>
      </c>
      <c r="D1376" s="3">
        <v>41</v>
      </c>
      <c r="E1376" s="3">
        <v>409.59000000000003</v>
      </c>
      <c r="F1376" t="str">
        <f t="shared" si="107"/>
        <v>net sales</v>
      </c>
      <c r="G1376" s="7" t="str">
        <f t="shared" si="108"/>
        <v>product 1</v>
      </c>
      <c r="H1376">
        <f t="shared" si="109"/>
        <v>2024</v>
      </c>
      <c r="I1376">
        <f t="shared" si="110"/>
        <v>7</v>
      </c>
      <c r="J1376">
        <f t="shared" si="111"/>
        <v>-99.990000000000009</v>
      </c>
    </row>
    <row r="1377" spans="1:10" ht="12.5" x14ac:dyDescent="0.25">
      <c r="A1377" s="1">
        <v>45482</v>
      </c>
      <c r="B1377" s="2" t="s">
        <v>12</v>
      </c>
      <c r="C1377" s="3">
        <v>24.99</v>
      </c>
      <c r="D1377" s="3">
        <v>0</v>
      </c>
      <c r="E1377" s="2">
        <f>C1377*D1377</f>
        <v>0</v>
      </c>
      <c r="F1377" t="str">
        <f t="shared" si="107"/>
        <v>net sales</v>
      </c>
      <c r="G1377" s="7" t="str">
        <f t="shared" si="108"/>
        <v>product 2</v>
      </c>
      <c r="H1377">
        <f t="shared" si="109"/>
        <v>2024</v>
      </c>
      <c r="I1377">
        <f t="shared" si="110"/>
        <v>7</v>
      </c>
      <c r="J1377">
        <f t="shared" si="111"/>
        <v>689.31000000000006</v>
      </c>
    </row>
    <row r="1378" spans="1:10" ht="12.5" x14ac:dyDescent="0.25">
      <c r="A1378" s="1">
        <v>45482</v>
      </c>
      <c r="B1378" s="2" t="s">
        <v>13</v>
      </c>
      <c r="C1378" s="3">
        <v>12.49</v>
      </c>
      <c r="D1378" s="3">
        <v>21</v>
      </c>
      <c r="E1378" s="3">
        <v>262.29000000000002</v>
      </c>
      <c r="F1378" t="str">
        <f t="shared" si="107"/>
        <v>net sales</v>
      </c>
      <c r="G1378" s="7" t="str">
        <f t="shared" si="108"/>
        <v>product 3</v>
      </c>
      <c r="H1378">
        <f t="shared" si="109"/>
        <v>2024</v>
      </c>
      <c r="I1378">
        <f t="shared" si="110"/>
        <v>7</v>
      </c>
      <c r="J1378">
        <f t="shared" si="111"/>
        <v>99.96</v>
      </c>
    </row>
    <row r="1379" spans="1:10" ht="12.5" x14ac:dyDescent="0.25">
      <c r="A1379" s="1">
        <v>45483</v>
      </c>
      <c r="B1379" s="2" t="s">
        <v>7</v>
      </c>
      <c r="C1379" s="3">
        <v>5.99</v>
      </c>
      <c r="D1379" s="3">
        <v>55</v>
      </c>
      <c r="E1379" s="3">
        <v>329.45</v>
      </c>
      <c r="F1379" t="str">
        <f t="shared" si="107"/>
        <v>cogs</v>
      </c>
      <c r="G1379" s="7" t="str">
        <f t="shared" si="108"/>
        <v>product 1</v>
      </c>
      <c r="H1379">
        <f t="shared" si="109"/>
        <v>2024</v>
      </c>
      <c r="I1379">
        <f t="shared" si="110"/>
        <v>7</v>
      </c>
      <c r="J1379">
        <f t="shared" si="111"/>
        <v>1898.48</v>
      </c>
    </row>
    <row r="1380" spans="1:10" ht="12.5" x14ac:dyDescent="0.25">
      <c r="A1380" s="1">
        <v>45483</v>
      </c>
      <c r="B1380" s="2" t="s">
        <v>8</v>
      </c>
      <c r="C1380" s="3">
        <v>16.989999999999998</v>
      </c>
      <c r="D1380" s="3">
        <v>2</v>
      </c>
      <c r="E1380" s="3">
        <v>33.979999999999997</v>
      </c>
      <c r="F1380" t="str">
        <f t="shared" si="107"/>
        <v>cogs</v>
      </c>
      <c r="G1380" s="7" t="str">
        <f t="shared" si="108"/>
        <v>product 2</v>
      </c>
      <c r="H1380">
        <f t="shared" si="109"/>
        <v>2024</v>
      </c>
      <c r="I1380">
        <f t="shared" si="110"/>
        <v>7</v>
      </c>
      <c r="J1380">
        <f t="shared" si="111"/>
        <v>-143.76</v>
      </c>
    </row>
    <row r="1381" spans="1:10" ht="12.5" x14ac:dyDescent="0.25">
      <c r="A1381" s="1">
        <v>45483</v>
      </c>
      <c r="B1381" s="2" t="s">
        <v>9</v>
      </c>
      <c r="C1381" s="3">
        <v>8.49</v>
      </c>
      <c r="D1381" s="3">
        <v>192</v>
      </c>
      <c r="E1381" s="3">
        <v>1630.08</v>
      </c>
      <c r="F1381" t="str">
        <f t="shared" si="107"/>
        <v>cogs</v>
      </c>
      <c r="G1381" s="7" t="str">
        <f t="shared" si="108"/>
        <v>product 3</v>
      </c>
      <c r="H1381">
        <f t="shared" si="109"/>
        <v>2024</v>
      </c>
      <c r="I1381">
        <f t="shared" si="110"/>
        <v>7</v>
      </c>
      <c r="J1381">
        <f t="shared" si="111"/>
        <v>-118.92999999999999</v>
      </c>
    </row>
    <row r="1382" spans="1:10" ht="12.5" x14ac:dyDescent="0.25">
      <c r="A1382" s="1">
        <v>45483</v>
      </c>
      <c r="B1382" s="2" t="s">
        <v>10</v>
      </c>
      <c r="C1382" s="2" t="s">
        <v>6</v>
      </c>
      <c r="D1382" s="2" t="s">
        <v>6</v>
      </c>
      <c r="E1382" s="3">
        <v>99.990000000000009</v>
      </c>
      <c r="F1382" t="str">
        <f t="shared" si="107"/>
        <v>marketing</v>
      </c>
      <c r="G1382" s="7" t="s">
        <v>6</v>
      </c>
      <c r="H1382">
        <f t="shared" si="109"/>
        <v>2024</v>
      </c>
      <c r="I1382">
        <f t="shared" si="110"/>
        <v>7</v>
      </c>
      <c r="J1382">
        <f t="shared" si="111"/>
        <v>-169.8</v>
      </c>
    </row>
    <row r="1383" spans="1:10" ht="12.5" x14ac:dyDescent="0.25">
      <c r="A1383" s="1">
        <v>45483</v>
      </c>
      <c r="B1383" s="2" t="s">
        <v>11</v>
      </c>
      <c r="C1383" s="3">
        <v>9.99</v>
      </c>
      <c r="D1383" s="3">
        <v>55</v>
      </c>
      <c r="E1383" s="3">
        <v>549.45000000000005</v>
      </c>
      <c r="F1383" t="str">
        <f t="shared" si="107"/>
        <v>net sales</v>
      </c>
      <c r="G1383" s="7" t="str">
        <f t="shared" si="108"/>
        <v>product 1</v>
      </c>
      <c r="H1383">
        <f t="shared" si="109"/>
        <v>2024</v>
      </c>
      <c r="I1383">
        <f t="shared" si="110"/>
        <v>7</v>
      </c>
      <c r="J1383">
        <f t="shared" si="111"/>
        <v>-99.95</v>
      </c>
    </row>
    <row r="1384" spans="1:10" ht="12.5" x14ac:dyDescent="0.25">
      <c r="A1384" s="1">
        <v>45483</v>
      </c>
      <c r="B1384" s="2" t="s">
        <v>12</v>
      </c>
      <c r="C1384" s="3">
        <v>24.99</v>
      </c>
      <c r="D1384" s="3">
        <v>2</v>
      </c>
      <c r="E1384" s="3">
        <v>49.98</v>
      </c>
      <c r="F1384" t="str">
        <f t="shared" si="107"/>
        <v>net sales</v>
      </c>
      <c r="G1384" s="7" t="str">
        <f t="shared" si="108"/>
        <v>product 2</v>
      </c>
      <c r="H1384">
        <f t="shared" si="109"/>
        <v>2024</v>
      </c>
      <c r="I1384">
        <f t="shared" si="110"/>
        <v>7</v>
      </c>
      <c r="J1384">
        <f t="shared" si="111"/>
        <v>239.76</v>
      </c>
    </row>
    <row r="1385" spans="1:10" ht="12.5" x14ac:dyDescent="0.25">
      <c r="A1385" s="1">
        <v>45483</v>
      </c>
      <c r="B1385" s="2" t="s">
        <v>13</v>
      </c>
      <c r="C1385" s="3">
        <v>12.49</v>
      </c>
      <c r="D1385" s="3">
        <v>192</v>
      </c>
      <c r="E1385" s="3">
        <v>2398.08</v>
      </c>
      <c r="F1385" t="str">
        <f t="shared" si="107"/>
        <v>net sales</v>
      </c>
      <c r="G1385" s="7" t="str">
        <f t="shared" si="108"/>
        <v>product 3</v>
      </c>
      <c r="H1385">
        <f t="shared" si="109"/>
        <v>2024</v>
      </c>
      <c r="I1385">
        <f t="shared" si="110"/>
        <v>7</v>
      </c>
      <c r="J1385">
        <f t="shared" si="111"/>
        <v>174.92999999999998</v>
      </c>
    </row>
    <row r="1386" spans="1:10" ht="12.5" x14ac:dyDescent="0.25">
      <c r="A1386" s="1">
        <v>45484</v>
      </c>
      <c r="B1386" s="2" t="s">
        <v>7</v>
      </c>
      <c r="C1386" s="3">
        <v>5.99</v>
      </c>
      <c r="D1386" s="3">
        <v>66</v>
      </c>
      <c r="E1386" s="3">
        <v>395.34000000000003</v>
      </c>
      <c r="F1386" t="str">
        <f t="shared" si="107"/>
        <v>cogs</v>
      </c>
      <c r="G1386" s="7" t="str">
        <f t="shared" si="108"/>
        <v>product 1</v>
      </c>
      <c r="H1386">
        <f t="shared" si="109"/>
        <v>2024</v>
      </c>
      <c r="I1386">
        <f t="shared" si="110"/>
        <v>7</v>
      </c>
      <c r="J1386">
        <f t="shared" si="111"/>
        <v>249.8</v>
      </c>
    </row>
    <row r="1387" spans="1:10" ht="12.5" x14ac:dyDescent="0.25">
      <c r="A1387" s="1">
        <v>45484</v>
      </c>
      <c r="B1387" s="2" t="s">
        <v>8</v>
      </c>
      <c r="C1387" s="3">
        <v>16.989999999999998</v>
      </c>
      <c r="D1387" s="3">
        <v>3</v>
      </c>
      <c r="E1387" s="3">
        <v>50.97</v>
      </c>
      <c r="F1387" t="str">
        <f t="shared" si="107"/>
        <v>cogs</v>
      </c>
      <c r="G1387" s="7" t="str">
        <f t="shared" si="108"/>
        <v>product 2</v>
      </c>
      <c r="H1387">
        <f t="shared" si="109"/>
        <v>2024</v>
      </c>
      <c r="I1387">
        <f t="shared" si="110"/>
        <v>7</v>
      </c>
      <c r="J1387">
        <f t="shared" si="111"/>
        <v>-83.86</v>
      </c>
    </row>
    <row r="1388" spans="1:10" ht="12.5" x14ac:dyDescent="0.25">
      <c r="A1388" s="1">
        <v>45484</v>
      </c>
      <c r="B1388" s="2" t="s">
        <v>9</v>
      </c>
      <c r="C1388" s="3">
        <v>8.49</v>
      </c>
      <c r="D1388" s="3">
        <v>232</v>
      </c>
      <c r="E1388" s="3">
        <v>1969.68</v>
      </c>
      <c r="F1388" t="str">
        <f t="shared" si="107"/>
        <v>cogs</v>
      </c>
      <c r="G1388" s="7" t="str">
        <f t="shared" si="108"/>
        <v>product 3</v>
      </c>
      <c r="H1388">
        <f t="shared" si="109"/>
        <v>2024</v>
      </c>
      <c r="I1388">
        <f t="shared" si="110"/>
        <v>7</v>
      </c>
      <c r="J1388">
        <f t="shared" si="111"/>
        <v>-101.94</v>
      </c>
    </row>
    <row r="1389" spans="1:10" ht="12.5" x14ac:dyDescent="0.25">
      <c r="A1389" s="1">
        <v>45484</v>
      </c>
      <c r="B1389" s="2" t="s">
        <v>10</v>
      </c>
      <c r="C1389" s="2" t="s">
        <v>6</v>
      </c>
      <c r="D1389" s="2" t="s">
        <v>6</v>
      </c>
      <c r="E1389" s="3">
        <v>99.960000000000008</v>
      </c>
      <c r="F1389" t="str">
        <f t="shared" si="107"/>
        <v>marketing</v>
      </c>
      <c r="G1389" s="7" t="s">
        <v>6</v>
      </c>
      <c r="H1389">
        <f t="shared" si="109"/>
        <v>2024</v>
      </c>
      <c r="I1389">
        <f t="shared" si="110"/>
        <v>7</v>
      </c>
      <c r="J1389">
        <f t="shared" si="111"/>
        <v>0</v>
      </c>
    </row>
    <row r="1390" spans="1:10" ht="12.5" x14ac:dyDescent="0.25">
      <c r="A1390" s="1">
        <v>45484</v>
      </c>
      <c r="B1390" s="2" t="s">
        <v>11</v>
      </c>
      <c r="C1390" s="3">
        <v>9.99</v>
      </c>
      <c r="D1390" s="3">
        <v>66</v>
      </c>
      <c r="E1390" s="3">
        <v>659.34</v>
      </c>
      <c r="F1390" t="str">
        <f t="shared" si="107"/>
        <v>net sales</v>
      </c>
      <c r="G1390" s="7" t="str">
        <f t="shared" si="108"/>
        <v>product 1</v>
      </c>
      <c r="H1390">
        <f t="shared" si="109"/>
        <v>2024</v>
      </c>
      <c r="I1390">
        <f t="shared" si="110"/>
        <v>7</v>
      </c>
      <c r="J1390">
        <f t="shared" si="111"/>
        <v>-99.98</v>
      </c>
    </row>
    <row r="1391" spans="1:10" ht="12.5" x14ac:dyDescent="0.25">
      <c r="A1391" s="1">
        <v>45484</v>
      </c>
      <c r="B1391" s="2" t="s">
        <v>12</v>
      </c>
      <c r="C1391" s="3">
        <v>24.99</v>
      </c>
      <c r="D1391" s="3">
        <v>3</v>
      </c>
      <c r="E1391" s="3">
        <v>74.97</v>
      </c>
      <c r="F1391" t="str">
        <f t="shared" si="107"/>
        <v>net sales</v>
      </c>
      <c r="G1391" s="7" t="str">
        <f t="shared" si="108"/>
        <v>product 2</v>
      </c>
      <c r="H1391">
        <f t="shared" si="109"/>
        <v>2024</v>
      </c>
      <c r="I1391">
        <f t="shared" si="110"/>
        <v>7</v>
      </c>
      <c r="J1391">
        <f t="shared" si="111"/>
        <v>139.86000000000001</v>
      </c>
    </row>
    <row r="1392" spans="1:10" ht="12.5" x14ac:dyDescent="0.25">
      <c r="A1392" s="1">
        <v>45484</v>
      </c>
      <c r="B1392" s="2" t="s">
        <v>13</v>
      </c>
      <c r="C1392" s="3">
        <v>12.49</v>
      </c>
      <c r="D1392" s="3">
        <v>232</v>
      </c>
      <c r="E1392" s="3">
        <v>2897.68</v>
      </c>
      <c r="F1392" t="str">
        <f t="shared" si="107"/>
        <v>net sales</v>
      </c>
      <c r="G1392" s="7" t="str">
        <f t="shared" si="108"/>
        <v>product 3</v>
      </c>
      <c r="H1392">
        <f t="shared" si="109"/>
        <v>2024</v>
      </c>
      <c r="I1392">
        <f t="shared" si="110"/>
        <v>7</v>
      </c>
      <c r="J1392">
        <f t="shared" si="111"/>
        <v>149.94</v>
      </c>
    </row>
    <row r="1393" spans="1:10" ht="12.5" x14ac:dyDescent="0.25">
      <c r="A1393" s="1">
        <v>45485</v>
      </c>
      <c r="B1393" s="2" t="s">
        <v>7</v>
      </c>
      <c r="C1393" s="3">
        <v>5.99</v>
      </c>
      <c r="D1393" s="3">
        <v>72</v>
      </c>
      <c r="E1393" s="3">
        <v>431.28000000000003</v>
      </c>
      <c r="F1393" t="str">
        <f t="shared" si="107"/>
        <v>cogs</v>
      </c>
      <c r="G1393" s="7" t="str">
        <f t="shared" si="108"/>
        <v>product 1</v>
      </c>
      <c r="H1393">
        <f t="shared" si="109"/>
        <v>2024</v>
      </c>
      <c r="I1393">
        <f t="shared" si="110"/>
        <v>7</v>
      </c>
      <c r="J1393">
        <f t="shared" si="111"/>
        <v>0</v>
      </c>
    </row>
    <row r="1394" spans="1:10" ht="12.5" x14ac:dyDescent="0.25">
      <c r="A1394" s="1">
        <v>45485</v>
      </c>
      <c r="B1394" s="2" t="s">
        <v>8</v>
      </c>
      <c r="C1394" s="3">
        <v>16.989999999999998</v>
      </c>
      <c r="D1394" s="3">
        <v>8</v>
      </c>
      <c r="E1394" s="3">
        <v>135.91999999999999</v>
      </c>
      <c r="F1394" t="str">
        <f t="shared" si="107"/>
        <v>cogs</v>
      </c>
      <c r="G1394" s="7" t="str">
        <f t="shared" si="108"/>
        <v>product 2</v>
      </c>
      <c r="H1394">
        <f t="shared" si="109"/>
        <v>2024</v>
      </c>
      <c r="I1394">
        <f t="shared" si="110"/>
        <v>7</v>
      </c>
      <c r="J1394">
        <f t="shared" si="111"/>
        <v>0</v>
      </c>
    </row>
    <row r="1395" spans="1:10" ht="12.5" x14ac:dyDescent="0.25">
      <c r="A1395" s="1">
        <v>45485</v>
      </c>
      <c r="B1395" s="2" t="s">
        <v>9</v>
      </c>
      <c r="C1395" s="3">
        <v>8.49</v>
      </c>
      <c r="D1395" s="3">
        <v>48</v>
      </c>
      <c r="E1395" s="3">
        <v>407.52</v>
      </c>
      <c r="F1395" t="str">
        <f t="shared" si="107"/>
        <v>cogs</v>
      </c>
      <c r="G1395" s="7" t="str">
        <f t="shared" si="108"/>
        <v>product 3</v>
      </c>
      <c r="H1395">
        <f t="shared" si="109"/>
        <v>2024</v>
      </c>
      <c r="I1395">
        <f t="shared" si="110"/>
        <v>7</v>
      </c>
      <c r="J1395">
        <f t="shared" si="111"/>
        <v>-50.97</v>
      </c>
    </row>
    <row r="1396" spans="1:10" ht="12.5" x14ac:dyDescent="0.25">
      <c r="A1396" s="1">
        <v>45485</v>
      </c>
      <c r="B1396" s="2" t="s">
        <v>10</v>
      </c>
      <c r="C1396" s="2" t="s">
        <v>6</v>
      </c>
      <c r="D1396" s="2" t="s">
        <v>6</v>
      </c>
      <c r="E1396" s="3">
        <v>99.97</v>
      </c>
      <c r="F1396" t="str">
        <f t="shared" si="107"/>
        <v>marketing</v>
      </c>
      <c r="G1396" s="7" t="s">
        <v>6</v>
      </c>
      <c r="H1396">
        <f t="shared" si="109"/>
        <v>2024</v>
      </c>
      <c r="I1396">
        <f t="shared" si="110"/>
        <v>7</v>
      </c>
      <c r="J1396">
        <f t="shared" si="111"/>
        <v>-1698</v>
      </c>
    </row>
    <row r="1397" spans="1:10" ht="12.5" x14ac:dyDescent="0.25">
      <c r="A1397" s="1">
        <v>45485</v>
      </c>
      <c r="B1397" s="2" t="s">
        <v>11</v>
      </c>
      <c r="C1397" s="3">
        <v>9.99</v>
      </c>
      <c r="D1397" s="3">
        <v>72</v>
      </c>
      <c r="E1397" s="3">
        <v>719.28</v>
      </c>
      <c r="F1397" t="str">
        <f t="shared" si="107"/>
        <v>net sales</v>
      </c>
      <c r="G1397" s="7" t="str">
        <f t="shared" si="108"/>
        <v>product 1</v>
      </c>
      <c r="H1397">
        <f t="shared" si="109"/>
        <v>2024</v>
      </c>
      <c r="I1397">
        <f t="shared" si="110"/>
        <v>7</v>
      </c>
      <c r="J1397">
        <f t="shared" si="111"/>
        <v>-100.02</v>
      </c>
    </row>
    <row r="1398" spans="1:10" ht="12.5" x14ac:dyDescent="0.25">
      <c r="A1398" s="1">
        <v>45485</v>
      </c>
      <c r="B1398" s="2" t="s">
        <v>12</v>
      </c>
      <c r="C1398" s="3">
        <v>24.99</v>
      </c>
      <c r="D1398" s="3">
        <v>8</v>
      </c>
      <c r="E1398" s="3">
        <v>199.92</v>
      </c>
      <c r="F1398" t="str">
        <f t="shared" si="107"/>
        <v>net sales</v>
      </c>
      <c r="G1398" s="7" t="str">
        <f t="shared" si="108"/>
        <v>product 2</v>
      </c>
      <c r="H1398">
        <f t="shared" si="109"/>
        <v>2024</v>
      </c>
      <c r="I1398">
        <f t="shared" si="110"/>
        <v>7</v>
      </c>
      <c r="J1398">
        <f t="shared" si="111"/>
        <v>0</v>
      </c>
    </row>
    <row r="1399" spans="1:10" ht="12.5" x14ac:dyDescent="0.25">
      <c r="A1399" s="1">
        <v>45485</v>
      </c>
      <c r="B1399" s="2" t="s">
        <v>13</v>
      </c>
      <c r="C1399" s="3">
        <v>12.49</v>
      </c>
      <c r="D1399" s="3">
        <v>48</v>
      </c>
      <c r="E1399" s="3">
        <v>599.52</v>
      </c>
      <c r="F1399" t="str">
        <f t="shared" si="107"/>
        <v>net sales</v>
      </c>
      <c r="G1399" s="7" t="str">
        <f t="shared" si="108"/>
        <v>product 3</v>
      </c>
      <c r="H1399">
        <f t="shared" si="109"/>
        <v>2024</v>
      </c>
      <c r="I1399">
        <f t="shared" si="110"/>
        <v>7</v>
      </c>
      <c r="J1399">
        <f t="shared" si="111"/>
        <v>74.97</v>
      </c>
    </row>
    <row r="1400" spans="1:10" ht="12.5" x14ac:dyDescent="0.25">
      <c r="A1400" s="1">
        <v>45486</v>
      </c>
      <c r="B1400" s="2" t="s">
        <v>7</v>
      </c>
      <c r="C1400" s="3">
        <v>5.99</v>
      </c>
      <c r="D1400" s="3">
        <v>14</v>
      </c>
      <c r="E1400" s="3">
        <v>83.86</v>
      </c>
      <c r="F1400" t="str">
        <f t="shared" si="107"/>
        <v>cogs</v>
      </c>
      <c r="G1400" s="7" t="str">
        <f t="shared" si="108"/>
        <v>product 1</v>
      </c>
      <c r="H1400">
        <f t="shared" si="109"/>
        <v>2024</v>
      </c>
      <c r="I1400">
        <f t="shared" si="110"/>
        <v>7</v>
      </c>
      <c r="J1400">
        <f t="shared" si="111"/>
        <v>2498</v>
      </c>
    </row>
    <row r="1401" spans="1:10" ht="12.5" x14ac:dyDescent="0.25">
      <c r="A1401" s="1">
        <v>45486</v>
      </c>
      <c r="B1401" s="2" t="s">
        <v>8</v>
      </c>
      <c r="C1401" s="3">
        <v>16.989999999999998</v>
      </c>
      <c r="D1401" s="3">
        <v>9</v>
      </c>
      <c r="E1401" s="3">
        <v>152.91</v>
      </c>
      <c r="F1401" t="str">
        <f t="shared" si="107"/>
        <v>cogs</v>
      </c>
      <c r="G1401" s="7" t="str">
        <f t="shared" si="108"/>
        <v>product 2</v>
      </c>
      <c r="H1401">
        <f t="shared" si="109"/>
        <v>2024</v>
      </c>
      <c r="I1401">
        <f t="shared" si="110"/>
        <v>7</v>
      </c>
      <c r="J1401">
        <f t="shared" si="111"/>
        <v>-155.74</v>
      </c>
    </row>
    <row r="1402" spans="1:10" ht="12.5" x14ac:dyDescent="0.25">
      <c r="A1402" s="1">
        <v>45486</v>
      </c>
      <c r="B1402" s="2" t="s">
        <v>9</v>
      </c>
      <c r="C1402" s="3">
        <v>8.49</v>
      </c>
      <c r="D1402" s="3">
        <v>83</v>
      </c>
      <c r="E1402" s="3">
        <v>704.67000000000007</v>
      </c>
      <c r="F1402" t="str">
        <f t="shared" si="107"/>
        <v>cogs</v>
      </c>
      <c r="G1402" s="7" t="str">
        <f t="shared" si="108"/>
        <v>product 3</v>
      </c>
      <c r="H1402">
        <f t="shared" si="109"/>
        <v>2024</v>
      </c>
      <c r="I1402">
        <f t="shared" si="110"/>
        <v>7</v>
      </c>
      <c r="J1402">
        <f t="shared" si="111"/>
        <v>-101.94</v>
      </c>
    </row>
    <row r="1403" spans="1:10" ht="12.5" x14ac:dyDescent="0.25">
      <c r="A1403" s="1">
        <v>45486</v>
      </c>
      <c r="B1403" s="2" t="s">
        <v>10</v>
      </c>
      <c r="C1403" s="2" t="s">
        <v>6</v>
      </c>
      <c r="D1403" s="2" t="s">
        <v>6</v>
      </c>
      <c r="E1403" s="3">
        <v>100.05</v>
      </c>
      <c r="F1403" t="str">
        <f t="shared" si="107"/>
        <v>marketing</v>
      </c>
      <c r="G1403" s="7" t="s">
        <v>6</v>
      </c>
      <c r="H1403">
        <f t="shared" si="109"/>
        <v>2024</v>
      </c>
      <c r="I1403">
        <f t="shared" si="110"/>
        <v>7</v>
      </c>
      <c r="J1403">
        <f t="shared" si="111"/>
        <v>-424.5</v>
      </c>
    </row>
    <row r="1404" spans="1:10" ht="12.5" x14ac:dyDescent="0.25">
      <c r="A1404" s="1">
        <v>45486</v>
      </c>
      <c r="B1404" s="2" t="s">
        <v>11</v>
      </c>
      <c r="C1404" s="3">
        <v>9.99</v>
      </c>
      <c r="D1404" s="3">
        <v>14</v>
      </c>
      <c r="E1404" s="3">
        <v>139.86000000000001</v>
      </c>
      <c r="F1404" t="str">
        <f t="shared" si="107"/>
        <v>net sales</v>
      </c>
      <c r="G1404" s="7" t="str">
        <f t="shared" si="108"/>
        <v>product 1</v>
      </c>
      <c r="H1404">
        <f t="shared" si="109"/>
        <v>2024</v>
      </c>
      <c r="I1404">
        <f t="shared" si="110"/>
        <v>7</v>
      </c>
      <c r="J1404">
        <f t="shared" si="111"/>
        <v>-99.94</v>
      </c>
    </row>
    <row r="1405" spans="1:10" ht="12.5" x14ac:dyDescent="0.25">
      <c r="A1405" s="1">
        <v>45486</v>
      </c>
      <c r="B1405" s="2" t="s">
        <v>12</v>
      </c>
      <c r="C1405" s="3">
        <v>24.99</v>
      </c>
      <c r="D1405" s="3">
        <v>9</v>
      </c>
      <c r="E1405" s="3">
        <v>224.91</v>
      </c>
      <c r="F1405" t="str">
        <f t="shared" si="107"/>
        <v>net sales</v>
      </c>
      <c r="G1405" s="7" t="str">
        <f t="shared" si="108"/>
        <v>product 2</v>
      </c>
      <c r="H1405">
        <f t="shared" si="109"/>
        <v>2024</v>
      </c>
      <c r="I1405">
        <f t="shared" si="110"/>
        <v>7</v>
      </c>
      <c r="J1405">
        <f t="shared" si="111"/>
        <v>259.74</v>
      </c>
    </row>
    <row r="1406" spans="1:10" ht="12.5" x14ac:dyDescent="0.25">
      <c r="A1406" s="1">
        <v>45486</v>
      </c>
      <c r="B1406" s="2" t="s">
        <v>13</v>
      </c>
      <c r="C1406" s="3">
        <v>12.49</v>
      </c>
      <c r="D1406" s="3">
        <v>83</v>
      </c>
      <c r="E1406" s="3">
        <v>1036.67</v>
      </c>
      <c r="F1406" t="str">
        <f t="shared" si="107"/>
        <v>net sales</v>
      </c>
      <c r="G1406" s="7" t="str">
        <f t="shared" si="108"/>
        <v>product 3</v>
      </c>
      <c r="H1406">
        <f t="shared" si="109"/>
        <v>2024</v>
      </c>
      <c r="I1406">
        <f t="shared" si="110"/>
        <v>7</v>
      </c>
      <c r="J1406">
        <f t="shared" si="111"/>
        <v>149.94</v>
      </c>
    </row>
    <row r="1407" spans="1:10" ht="12.5" x14ac:dyDescent="0.25">
      <c r="A1407" s="1">
        <v>45487</v>
      </c>
      <c r="B1407" s="2" t="s">
        <v>7</v>
      </c>
      <c r="C1407" s="3">
        <v>5.99</v>
      </c>
      <c r="D1407" s="3">
        <v>14</v>
      </c>
      <c r="E1407" s="3">
        <v>83.86</v>
      </c>
      <c r="F1407" t="str">
        <f t="shared" si="107"/>
        <v>cogs</v>
      </c>
      <c r="G1407" s="7" t="str">
        <f t="shared" si="108"/>
        <v>product 1</v>
      </c>
      <c r="H1407">
        <f t="shared" si="109"/>
        <v>2024</v>
      </c>
      <c r="I1407">
        <f t="shared" si="110"/>
        <v>7</v>
      </c>
      <c r="J1407">
        <f t="shared" si="111"/>
        <v>624.5</v>
      </c>
    </row>
    <row r="1408" spans="1:10" ht="12.5" x14ac:dyDescent="0.25">
      <c r="A1408" s="1">
        <v>45487</v>
      </c>
      <c r="B1408" s="2" t="s">
        <v>8</v>
      </c>
      <c r="C1408" s="3">
        <v>16.989999999999998</v>
      </c>
      <c r="D1408" s="3">
        <v>2</v>
      </c>
      <c r="E1408" s="3">
        <v>33.979999999999997</v>
      </c>
      <c r="F1408" t="str">
        <f t="shared" si="107"/>
        <v>cogs</v>
      </c>
      <c r="G1408" s="7" t="str">
        <f t="shared" si="108"/>
        <v>product 2</v>
      </c>
      <c r="H1408">
        <f t="shared" si="109"/>
        <v>2024</v>
      </c>
      <c r="I1408">
        <f t="shared" si="110"/>
        <v>7</v>
      </c>
      <c r="J1408">
        <f t="shared" si="111"/>
        <v>-113.81</v>
      </c>
    </row>
    <row r="1409" spans="1:10" ht="12.5" x14ac:dyDescent="0.25">
      <c r="A1409" s="1">
        <v>45487</v>
      </c>
      <c r="B1409" s="2" t="s">
        <v>9</v>
      </c>
      <c r="C1409" s="3">
        <v>8.49</v>
      </c>
      <c r="D1409" s="3">
        <v>131</v>
      </c>
      <c r="E1409" s="3">
        <v>1112.19</v>
      </c>
      <c r="F1409" t="str">
        <f t="shared" si="107"/>
        <v>cogs</v>
      </c>
      <c r="G1409" s="7" t="str">
        <f t="shared" si="108"/>
        <v>product 3</v>
      </c>
      <c r="H1409">
        <f t="shared" si="109"/>
        <v>2024</v>
      </c>
      <c r="I1409">
        <f t="shared" si="110"/>
        <v>7</v>
      </c>
      <c r="J1409">
        <f t="shared" si="111"/>
        <v>-135.91999999999999</v>
      </c>
    </row>
    <row r="1410" spans="1:10" ht="12.5" x14ac:dyDescent="0.25">
      <c r="A1410" s="1">
        <v>45487</v>
      </c>
      <c r="B1410" s="2" t="s">
        <v>10</v>
      </c>
      <c r="C1410" s="2" t="s">
        <v>6</v>
      </c>
      <c r="D1410" s="2" t="s">
        <v>6</v>
      </c>
      <c r="E1410" s="3">
        <v>100.01</v>
      </c>
      <c r="F1410" t="str">
        <f t="shared" si="107"/>
        <v>marketing</v>
      </c>
      <c r="G1410" s="7" t="s">
        <v>6</v>
      </c>
      <c r="H1410">
        <f t="shared" si="109"/>
        <v>2024</v>
      </c>
      <c r="I1410">
        <f t="shared" si="110"/>
        <v>7</v>
      </c>
      <c r="J1410">
        <f t="shared" si="111"/>
        <v>-1714.98</v>
      </c>
    </row>
    <row r="1411" spans="1:10" ht="12.5" x14ac:dyDescent="0.25">
      <c r="A1411" s="1">
        <v>45487</v>
      </c>
      <c r="B1411" s="2" t="s">
        <v>11</v>
      </c>
      <c r="C1411" s="3">
        <v>9.99</v>
      </c>
      <c r="D1411" s="3">
        <v>14</v>
      </c>
      <c r="E1411" s="3">
        <v>139.86000000000001</v>
      </c>
      <c r="F1411" t="str">
        <f t="shared" ref="F1411:F1474" si="112">IFERROR(LEFT(B1411,FIND(":",B1411)-1),B1411)</f>
        <v>net sales</v>
      </c>
      <c r="G1411" s="7" t="str">
        <f t="shared" ref="G1411:G1474" si="113">IFERROR(RIGHT(B1411,LEN(B1411)-FIND(":",B1411)),"")</f>
        <v>product 1</v>
      </c>
      <c r="H1411">
        <f t="shared" ref="H1411:H1474" si="114">YEAR(A1411)</f>
        <v>2024</v>
      </c>
      <c r="I1411">
        <f t="shared" ref="I1411:I1474" si="115">MONTH(A1411)</f>
        <v>7</v>
      </c>
      <c r="J1411">
        <f t="shared" si="111"/>
        <v>-99.91</v>
      </c>
    </row>
    <row r="1412" spans="1:10" ht="12.5" x14ac:dyDescent="0.25">
      <c r="A1412" s="1">
        <v>45487</v>
      </c>
      <c r="B1412" s="2" t="s">
        <v>12</v>
      </c>
      <c r="C1412" s="3">
        <v>24.99</v>
      </c>
      <c r="D1412" s="3">
        <v>2</v>
      </c>
      <c r="E1412" s="3">
        <v>49.98</v>
      </c>
      <c r="F1412" t="str">
        <f t="shared" si="112"/>
        <v>net sales</v>
      </c>
      <c r="G1412" s="7" t="str">
        <f t="shared" si="113"/>
        <v>product 2</v>
      </c>
      <c r="H1412">
        <f t="shared" si="114"/>
        <v>2024</v>
      </c>
      <c r="I1412">
        <f t="shared" si="115"/>
        <v>7</v>
      </c>
      <c r="J1412">
        <f t="shared" si="111"/>
        <v>189.81</v>
      </c>
    </row>
    <row r="1413" spans="1:10" ht="12.5" x14ac:dyDescent="0.25">
      <c r="A1413" s="1">
        <v>45487</v>
      </c>
      <c r="B1413" s="2" t="s">
        <v>13</v>
      </c>
      <c r="C1413" s="3">
        <v>12.49</v>
      </c>
      <c r="D1413" s="3">
        <v>131</v>
      </c>
      <c r="E1413" s="3">
        <v>1636.19</v>
      </c>
      <c r="F1413" t="str">
        <f t="shared" si="112"/>
        <v>net sales</v>
      </c>
      <c r="G1413" s="7" t="str">
        <f t="shared" si="113"/>
        <v>product 3</v>
      </c>
      <c r="H1413">
        <f t="shared" si="114"/>
        <v>2024</v>
      </c>
      <c r="I1413">
        <f t="shared" si="115"/>
        <v>7</v>
      </c>
      <c r="J1413">
        <f t="shared" si="111"/>
        <v>199.92</v>
      </c>
    </row>
    <row r="1414" spans="1:10" ht="12.5" x14ac:dyDescent="0.25">
      <c r="A1414" s="1">
        <v>45488</v>
      </c>
      <c r="B1414" s="2" t="s">
        <v>7</v>
      </c>
      <c r="C1414" s="3">
        <v>5.99</v>
      </c>
      <c r="D1414" s="3">
        <v>29</v>
      </c>
      <c r="E1414" s="3">
        <v>173.71</v>
      </c>
      <c r="F1414" t="str">
        <f t="shared" si="112"/>
        <v>cogs</v>
      </c>
      <c r="G1414" s="7" t="str">
        <f t="shared" si="113"/>
        <v>product 1</v>
      </c>
      <c r="H1414">
        <f t="shared" si="114"/>
        <v>2024</v>
      </c>
      <c r="I1414">
        <f t="shared" si="115"/>
        <v>7</v>
      </c>
      <c r="J1414">
        <f t="shared" si="111"/>
        <v>2522.98</v>
      </c>
    </row>
    <row r="1415" spans="1:10" ht="12.5" x14ac:dyDescent="0.25">
      <c r="A1415" s="1">
        <v>45488</v>
      </c>
      <c r="B1415" s="2" t="s">
        <v>8</v>
      </c>
      <c r="C1415" s="3">
        <v>16.989999999999998</v>
      </c>
      <c r="D1415" s="3">
        <v>5</v>
      </c>
      <c r="E1415" s="3">
        <v>84.949999999999989</v>
      </c>
      <c r="F1415" t="str">
        <f t="shared" si="112"/>
        <v>cogs</v>
      </c>
      <c r="G1415" s="7" t="str">
        <f t="shared" si="113"/>
        <v>product 2</v>
      </c>
      <c r="H1415">
        <f t="shared" si="114"/>
        <v>2024</v>
      </c>
      <c r="I1415">
        <f t="shared" si="115"/>
        <v>7</v>
      </c>
      <c r="J1415">
        <f t="shared" si="111"/>
        <v>-245.59</v>
      </c>
    </row>
    <row r="1416" spans="1:10" ht="12.5" x14ac:dyDescent="0.25">
      <c r="A1416" s="1">
        <v>45488</v>
      </c>
      <c r="B1416" s="2" t="s">
        <v>9</v>
      </c>
      <c r="C1416" s="3">
        <v>8.49</v>
      </c>
      <c r="D1416" s="3">
        <v>58</v>
      </c>
      <c r="E1416" s="3">
        <v>492.42</v>
      </c>
      <c r="F1416" t="str">
        <f t="shared" si="112"/>
        <v>cogs</v>
      </c>
      <c r="G1416" s="7" t="str">
        <f t="shared" si="113"/>
        <v>product 3</v>
      </c>
      <c r="H1416">
        <f t="shared" si="114"/>
        <v>2024</v>
      </c>
      <c r="I1416">
        <f t="shared" si="115"/>
        <v>7</v>
      </c>
      <c r="J1416">
        <f t="shared" si="111"/>
        <v>-50.97</v>
      </c>
    </row>
    <row r="1417" spans="1:10" ht="12.5" x14ac:dyDescent="0.25">
      <c r="A1417" s="1">
        <v>45488</v>
      </c>
      <c r="B1417" s="2" t="s">
        <v>16</v>
      </c>
      <c r="C1417" s="2" t="s">
        <v>6</v>
      </c>
      <c r="D1417" s="2" t="s">
        <v>6</v>
      </c>
      <c r="E1417" s="3">
        <v>1258.28</v>
      </c>
      <c r="F1417" t="str">
        <f t="shared" si="112"/>
        <v>interest</v>
      </c>
      <c r="G1417" s="7" t="s">
        <v>6</v>
      </c>
      <c r="H1417">
        <f t="shared" si="114"/>
        <v>2024</v>
      </c>
      <c r="I1417">
        <f t="shared" si="115"/>
        <v>7</v>
      </c>
      <c r="J1417">
        <f t="shared" si="111"/>
        <v>-1613.1000000000001</v>
      </c>
    </row>
    <row r="1418" spans="1:10" ht="12.5" x14ac:dyDescent="0.25">
      <c r="A1418" s="1">
        <v>45488</v>
      </c>
      <c r="B1418" s="2" t="s">
        <v>10</v>
      </c>
      <c r="C1418" s="2" t="s">
        <v>6</v>
      </c>
      <c r="D1418" s="2" t="s">
        <v>6</v>
      </c>
      <c r="E1418" s="3">
        <v>99.97</v>
      </c>
      <c r="F1418" t="str">
        <f t="shared" si="112"/>
        <v>marketing</v>
      </c>
      <c r="G1418" s="7" t="s">
        <v>6</v>
      </c>
      <c r="H1418">
        <f t="shared" si="114"/>
        <v>2024</v>
      </c>
      <c r="I1418">
        <f t="shared" si="115"/>
        <v>7</v>
      </c>
      <c r="J1418">
        <f t="shared" si="111"/>
        <v>-1286.44</v>
      </c>
    </row>
    <row r="1419" spans="1:10" ht="12.5" x14ac:dyDescent="0.25">
      <c r="A1419" s="1">
        <v>45488</v>
      </c>
      <c r="B1419" s="2" t="s">
        <v>11</v>
      </c>
      <c r="C1419" s="3">
        <v>9.99</v>
      </c>
      <c r="D1419" s="3">
        <v>29</v>
      </c>
      <c r="E1419" s="3">
        <v>289.70999999999998</v>
      </c>
      <c r="F1419" t="str">
        <f t="shared" si="112"/>
        <v>net sales</v>
      </c>
      <c r="G1419" s="7" t="str">
        <f t="shared" si="113"/>
        <v>product 1</v>
      </c>
      <c r="H1419">
        <f t="shared" si="114"/>
        <v>2024</v>
      </c>
      <c r="I1419">
        <f t="shared" si="115"/>
        <v>7</v>
      </c>
      <c r="J1419">
        <f t="shared" si="111"/>
        <v>-99.92</v>
      </c>
    </row>
    <row r="1420" spans="1:10" ht="12.5" x14ac:dyDescent="0.25">
      <c r="A1420" s="1">
        <v>45488</v>
      </c>
      <c r="B1420" s="2" t="s">
        <v>12</v>
      </c>
      <c r="C1420" s="3">
        <v>24.99</v>
      </c>
      <c r="D1420" s="3">
        <v>5</v>
      </c>
      <c r="E1420" s="3">
        <v>124.94999999999999</v>
      </c>
      <c r="F1420" t="str">
        <f t="shared" si="112"/>
        <v>net sales</v>
      </c>
      <c r="G1420" s="7" t="str">
        <f t="shared" si="113"/>
        <v>product 2</v>
      </c>
      <c r="H1420">
        <f t="shared" si="114"/>
        <v>2024</v>
      </c>
      <c r="I1420">
        <f t="shared" si="115"/>
        <v>7</v>
      </c>
      <c r="J1420">
        <f t="shared" si="111"/>
        <v>409.59000000000003</v>
      </c>
    </row>
    <row r="1421" spans="1:10" ht="12.5" x14ac:dyDescent="0.25">
      <c r="A1421" s="1">
        <v>45488</v>
      </c>
      <c r="B1421" s="2" t="s">
        <v>13</v>
      </c>
      <c r="C1421" s="3">
        <v>12.49</v>
      </c>
      <c r="D1421" s="3">
        <v>58</v>
      </c>
      <c r="E1421" s="3">
        <v>724.42</v>
      </c>
      <c r="F1421" t="str">
        <f t="shared" si="112"/>
        <v>net sales</v>
      </c>
      <c r="G1421" s="7" t="str">
        <f t="shared" si="113"/>
        <v>product 3</v>
      </c>
      <c r="H1421">
        <f t="shared" si="114"/>
        <v>2024</v>
      </c>
      <c r="I1421">
        <f t="shared" si="115"/>
        <v>7</v>
      </c>
      <c r="J1421">
        <f t="shared" si="111"/>
        <v>74.97</v>
      </c>
    </row>
    <row r="1422" spans="1:10" ht="12.5" x14ac:dyDescent="0.25">
      <c r="A1422" s="1">
        <v>45488</v>
      </c>
      <c r="B1422" s="2" t="s">
        <v>14</v>
      </c>
      <c r="C1422" s="2" t="s">
        <v>6</v>
      </c>
      <c r="D1422" s="2" t="s">
        <v>6</v>
      </c>
      <c r="E1422" s="3">
        <v>314.57</v>
      </c>
      <c r="F1422" t="str">
        <f t="shared" si="112"/>
        <v>overhead</v>
      </c>
      <c r="G1422" s="7" t="s">
        <v>6</v>
      </c>
      <c r="H1422">
        <f t="shared" si="114"/>
        <v>2024</v>
      </c>
      <c r="I1422">
        <f t="shared" si="115"/>
        <v>7</v>
      </c>
      <c r="J1422">
        <f t="shared" si="111"/>
        <v>2373.1</v>
      </c>
    </row>
    <row r="1423" spans="1:10" ht="12.5" x14ac:dyDescent="0.25">
      <c r="A1423" s="1">
        <v>45489</v>
      </c>
      <c r="B1423" s="2" t="s">
        <v>7</v>
      </c>
      <c r="C1423" s="3">
        <v>5.99</v>
      </c>
      <c r="D1423" s="3">
        <v>33</v>
      </c>
      <c r="E1423" s="3">
        <v>197.67000000000002</v>
      </c>
      <c r="F1423" t="str">
        <f t="shared" si="112"/>
        <v>cogs</v>
      </c>
      <c r="G1423" s="7" t="str">
        <f t="shared" si="113"/>
        <v>product 1</v>
      </c>
      <c r="H1423">
        <f t="shared" si="114"/>
        <v>2024</v>
      </c>
      <c r="I1423">
        <f t="shared" si="115"/>
        <v>7</v>
      </c>
      <c r="J1423">
        <f t="shared" si="111"/>
        <v>-314.10000000000002</v>
      </c>
    </row>
    <row r="1424" spans="1:10" ht="12.5" x14ac:dyDescent="0.25">
      <c r="A1424" s="1">
        <v>45489</v>
      </c>
      <c r="B1424" s="2" t="s">
        <v>8</v>
      </c>
      <c r="C1424" s="3">
        <v>16.989999999999998</v>
      </c>
      <c r="D1424" s="3">
        <v>7</v>
      </c>
      <c r="E1424" s="3">
        <v>118.92999999999999</v>
      </c>
      <c r="F1424" t="str">
        <f t="shared" si="112"/>
        <v>cogs</v>
      </c>
      <c r="G1424" s="7" t="str">
        <f t="shared" si="113"/>
        <v>product 2</v>
      </c>
      <c r="H1424">
        <f t="shared" si="114"/>
        <v>2024</v>
      </c>
      <c r="I1424">
        <f t="shared" si="115"/>
        <v>7</v>
      </c>
      <c r="J1424">
        <f t="shared" si="111"/>
        <v>-41.93</v>
      </c>
    </row>
    <row r="1425" spans="1:10" ht="12.5" x14ac:dyDescent="0.25">
      <c r="A1425" s="1">
        <v>45489</v>
      </c>
      <c r="B1425" s="2" t="s">
        <v>9</v>
      </c>
      <c r="C1425" s="3">
        <v>8.49</v>
      </c>
      <c r="D1425" s="3">
        <v>24</v>
      </c>
      <c r="E1425" s="3">
        <v>203.76</v>
      </c>
      <c r="F1425" t="str">
        <f t="shared" si="112"/>
        <v>cogs</v>
      </c>
      <c r="G1425" s="7" t="str">
        <f t="shared" si="113"/>
        <v>product 3</v>
      </c>
      <c r="H1425">
        <f t="shared" si="114"/>
        <v>2024</v>
      </c>
      <c r="I1425">
        <f t="shared" si="115"/>
        <v>7</v>
      </c>
      <c r="J1425">
        <f t="shared" si="111"/>
        <v>-135.91999999999999</v>
      </c>
    </row>
    <row r="1426" spans="1:10" ht="12.5" x14ac:dyDescent="0.25">
      <c r="A1426" s="1">
        <v>45489</v>
      </c>
      <c r="B1426" s="2" t="s">
        <v>10</v>
      </c>
      <c r="C1426" s="2" t="s">
        <v>6</v>
      </c>
      <c r="D1426" s="2" t="s">
        <v>6</v>
      </c>
      <c r="E1426" s="3">
        <v>100.05</v>
      </c>
      <c r="F1426" t="str">
        <f t="shared" si="112"/>
        <v>marketing</v>
      </c>
      <c r="G1426" s="7" t="s">
        <v>6</v>
      </c>
      <c r="H1426">
        <f t="shared" si="114"/>
        <v>2024</v>
      </c>
      <c r="I1426">
        <f t="shared" si="115"/>
        <v>7</v>
      </c>
      <c r="J1426">
        <f t="shared" si="111"/>
        <v>-373.56</v>
      </c>
    </row>
    <row r="1427" spans="1:10" ht="12.5" x14ac:dyDescent="0.25">
      <c r="A1427" s="1">
        <v>45489</v>
      </c>
      <c r="B1427" s="2" t="s">
        <v>11</v>
      </c>
      <c r="C1427" s="3">
        <v>9.99</v>
      </c>
      <c r="D1427" s="3">
        <v>33</v>
      </c>
      <c r="E1427" s="3">
        <v>329.67</v>
      </c>
      <c r="F1427" t="str">
        <f t="shared" si="112"/>
        <v>net sales</v>
      </c>
      <c r="G1427" s="7" t="str">
        <f t="shared" si="113"/>
        <v>product 1</v>
      </c>
      <c r="H1427">
        <f t="shared" si="114"/>
        <v>2024</v>
      </c>
      <c r="I1427">
        <f t="shared" si="115"/>
        <v>7</v>
      </c>
      <c r="J1427">
        <f t="shared" si="111"/>
        <v>-100.06</v>
      </c>
    </row>
    <row r="1428" spans="1:10" ht="12.5" x14ac:dyDescent="0.25">
      <c r="A1428" s="1">
        <v>45489</v>
      </c>
      <c r="B1428" s="2" t="s">
        <v>12</v>
      </c>
      <c r="C1428" s="3">
        <v>24.99</v>
      </c>
      <c r="D1428" s="3">
        <v>7</v>
      </c>
      <c r="E1428" s="3">
        <v>174.92999999999998</v>
      </c>
      <c r="F1428" t="str">
        <f t="shared" si="112"/>
        <v>net sales</v>
      </c>
      <c r="G1428" s="7" t="str">
        <f t="shared" si="113"/>
        <v>product 2</v>
      </c>
      <c r="H1428">
        <f t="shared" si="114"/>
        <v>2024</v>
      </c>
      <c r="I1428">
        <f t="shared" si="115"/>
        <v>7</v>
      </c>
      <c r="J1428">
        <f t="shared" si="111"/>
        <v>69.930000000000007</v>
      </c>
    </row>
    <row r="1429" spans="1:10" ht="12.5" x14ac:dyDescent="0.25">
      <c r="A1429" s="1">
        <v>45489</v>
      </c>
      <c r="B1429" s="2" t="s">
        <v>13</v>
      </c>
      <c r="C1429" s="3">
        <v>12.49</v>
      </c>
      <c r="D1429" s="3">
        <v>24</v>
      </c>
      <c r="E1429" s="3">
        <v>299.76</v>
      </c>
      <c r="F1429" t="str">
        <f t="shared" si="112"/>
        <v>net sales</v>
      </c>
      <c r="G1429" s="7" t="str">
        <f t="shared" si="113"/>
        <v>product 3</v>
      </c>
      <c r="H1429">
        <f t="shared" si="114"/>
        <v>2024</v>
      </c>
      <c r="I1429">
        <f t="shared" si="115"/>
        <v>7</v>
      </c>
      <c r="J1429">
        <f t="shared" si="111"/>
        <v>199.92</v>
      </c>
    </row>
    <row r="1430" spans="1:10" ht="12.5" x14ac:dyDescent="0.25">
      <c r="A1430" s="1">
        <v>45490</v>
      </c>
      <c r="B1430" s="2" t="s">
        <v>7</v>
      </c>
      <c r="C1430" s="3">
        <v>5.99</v>
      </c>
      <c r="D1430" s="3">
        <v>24</v>
      </c>
      <c r="E1430" s="3">
        <v>143.76</v>
      </c>
      <c r="F1430" t="str">
        <f t="shared" si="112"/>
        <v>cogs</v>
      </c>
      <c r="G1430" s="7" t="str">
        <f t="shared" si="113"/>
        <v>product 1</v>
      </c>
      <c r="H1430">
        <f t="shared" si="114"/>
        <v>2024</v>
      </c>
      <c r="I1430">
        <f t="shared" si="115"/>
        <v>7</v>
      </c>
      <c r="J1430">
        <f t="shared" si="111"/>
        <v>549.56000000000006</v>
      </c>
    </row>
    <row r="1431" spans="1:10" ht="12.5" x14ac:dyDescent="0.25">
      <c r="A1431" s="1">
        <v>45490</v>
      </c>
      <c r="B1431" s="2" t="s">
        <v>8</v>
      </c>
      <c r="C1431" s="3">
        <v>16.989999999999998</v>
      </c>
      <c r="D1431" s="3">
        <v>1</v>
      </c>
      <c r="E1431" s="3">
        <v>16.989999999999998</v>
      </c>
      <c r="F1431" t="str">
        <f t="shared" si="112"/>
        <v>cogs</v>
      </c>
      <c r="G1431" s="7" t="str">
        <f t="shared" si="113"/>
        <v>product 2</v>
      </c>
      <c r="H1431">
        <f t="shared" si="114"/>
        <v>2024</v>
      </c>
      <c r="I1431">
        <f t="shared" si="115"/>
        <v>7</v>
      </c>
      <c r="J1431">
        <f t="shared" si="111"/>
        <v>-137.77000000000001</v>
      </c>
    </row>
    <row r="1432" spans="1:10" ht="12.5" x14ac:dyDescent="0.25">
      <c r="A1432" s="1">
        <v>45490</v>
      </c>
      <c r="B1432" s="2" t="s">
        <v>9</v>
      </c>
      <c r="C1432" s="3">
        <v>8.49</v>
      </c>
      <c r="D1432" s="3">
        <v>166</v>
      </c>
      <c r="E1432" s="3">
        <v>1409.3400000000001</v>
      </c>
      <c r="F1432" t="str">
        <f t="shared" si="112"/>
        <v>cogs</v>
      </c>
      <c r="G1432" s="7" t="str">
        <f t="shared" si="113"/>
        <v>product 3</v>
      </c>
      <c r="H1432">
        <f t="shared" si="114"/>
        <v>2024</v>
      </c>
      <c r="I1432">
        <f t="shared" si="115"/>
        <v>7</v>
      </c>
      <c r="J1432">
        <f t="shared" si="111"/>
        <v>-118.92999999999999</v>
      </c>
    </row>
    <row r="1433" spans="1:10" ht="12.5" x14ac:dyDescent="0.25">
      <c r="A1433" s="1">
        <v>45490</v>
      </c>
      <c r="B1433" s="2" t="s">
        <v>10</v>
      </c>
      <c r="C1433" s="2" t="s">
        <v>6</v>
      </c>
      <c r="D1433" s="2" t="s">
        <v>6</v>
      </c>
      <c r="E1433" s="3">
        <v>99.92</v>
      </c>
      <c r="F1433" t="str">
        <f t="shared" si="112"/>
        <v>marketing</v>
      </c>
      <c r="G1433" s="7" t="s">
        <v>6</v>
      </c>
      <c r="H1433">
        <f t="shared" si="114"/>
        <v>2024</v>
      </c>
      <c r="I1433">
        <f t="shared" si="115"/>
        <v>7</v>
      </c>
      <c r="J1433">
        <f t="shared" si="111"/>
        <v>-1765.92</v>
      </c>
    </row>
    <row r="1434" spans="1:10" ht="12.5" x14ac:dyDescent="0.25">
      <c r="A1434" s="1">
        <v>45490</v>
      </c>
      <c r="B1434" s="2" t="s">
        <v>11</v>
      </c>
      <c r="C1434" s="3">
        <v>9.99</v>
      </c>
      <c r="D1434" s="3">
        <v>24</v>
      </c>
      <c r="E1434" s="3">
        <v>239.76</v>
      </c>
      <c r="F1434" t="str">
        <f t="shared" si="112"/>
        <v>net sales</v>
      </c>
      <c r="G1434" s="7" t="str">
        <f t="shared" si="113"/>
        <v>product 1</v>
      </c>
      <c r="H1434">
        <f t="shared" si="114"/>
        <v>2024</v>
      </c>
      <c r="I1434">
        <f t="shared" si="115"/>
        <v>7</v>
      </c>
      <c r="J1434">
        <f t="shared" si="111"/>
        <v>-100.07000000000001</v>
      </c>
    </row>
    <row r="1435" spans="1:10" ht="12.5" x14ac:dyDescent="0.25">
      <c r="A1435" s="1">
        <v>45490</v>
      </c>
      <c r="B1435" s="2" t="s">
        <v>12</v>
      </c>
      <c r="C1435" s="3">
        <v>24.99</v>
      </c>
      <c r="D1435" s="3">
        <v>1</v>
      </c>
      <c r="E1435" s="3">
        <v>24.99</v>
      </c>
      <c r="F1435" t="str">
        <f t="shared" si="112"/>
        <v>net sales</v>
      </c>
      <c r="G1435" s="7" t="str">
        <f t="shared" si="113"/>
        <v>product 2</v>
      </c>
      <c r="H1435">
        <f t="shared" si="114"/>
        <v>2024</v>
      </c>
      <c r="I1435">
        <f t="shared" si="115"/>
        <v>7</v>
      </c>
      <c r="J1435">
        <f t="shared" si="111"/>
        <v>229.77</v>
      </c>
    </row>
    <row r="1436" spans="1:10" ht="12.5" x14ac:dyDescent="0.25">
      <c r="A1436" s="1">
        <v>45490</v>
      </c>
      <c r="B1436" s="2" t="s">
        <v>13</v>
      </c>
      <c r="C1436" s="3">
        <v>12.49</v>
      </c>
      <c r="D1436" s="3">
        <v>166</v>
      </c>
      <c r="E1436" s="3">
        <v>2073.34</v>
      </c>
      <c r="F1436" t="str">
        <f t="shared" si="112"/>
        <v>net sales</v>
      </c>
      <c r="G1436" s="7" t="str">
        <f t="shared" si="113"/>
        <v>product 3</v>
      </c>
      <c r="H1436">
        <f t="shared" si="114"/>
        <v>2024</v>
      </c>
      <c r="I1436">
        <f t="shared" si="115"/>
        <v>7</v>
      </c>
      <c r="J1436">
        <f t="shared" ref="J1436:J1499" si="116">IF(F1219="net sales",E1219,
IF(F1219="cogs",-E1219,
IF(OR(F1219="marketing",F1219="overhead",F1219="payroll",F1219="interest","amortization"),-E1219,0)))</f>
        <v>174.92999999999998</v>
      </c>
    </row>
    <row r="1437" spans="1:10" ht="12.5" x14ac:dyDescent="0.25">
      <c r="A1437" s="1">
        <v>45491</v>
      </c>
      <c r="B1437" s="2" t="s">
        <v>7</v>
      </c>
      <c r="C1437" s="3">
        <v>5.99</v>
      </c>
      <c r="D1437" s="3">
        <v>35</v>
      </c>
      <c r="E1437" s="3">
        <v>209.65</v>
      </c>
      <c r="F1437" t="str">
        <f t="shared" si="112"/>
        <v>cogs</v>
      </c>
      <c r="G1437" s="7" t="str">
        <f t="shared" si="113"/>
        <v>product 1</v>
      </c>
      <c r="H1437">
        <f t="shared" si="114"/>
        <v>2024</v>
      </c>
      <c r="I1437">
        <f t="shared" si="115"/>
        <v>7</v>
      </c>
      <c r="J1437">
        <f t="shared" si="116"/>
        <v>2597.92</v>
      </c>
    </row>
    <row r="1438" spans="1:10" ht="12.5" x14ac:dyDescent="0.25">
      <c r="A1438" s="1">
        <v>45491</v>
      </c>
      <c r="B1438" s="2" t="s">
        <v>8</v>
      </c>
      <c r="C1438" s="3">
        <v>16.989999999999998</v>
      </c>
      <c r="D1438" s="3">
        <v>9</v>
      </c>
      <c r="E1438" s="3">
        <v>152.91</v>
      </c>
      <c r="F1438" t="str">
        <f t="shared" si="112"/>
        <v>cogs</v>
      </c>
      <c r="G1438" s="7" t="str">
        <f t="shared" si="113"/>
        <v>product 2</v>
      </c>
      <c r="H1438">
        <f t="shared" si="114"/>
        <v>2024</v>
      </c>
      <c r="I1438">
        <f t="shared" si="115"/>
        <v>7</v>
      </c>
      <c r="J1438">
        <f t="shared" si="116"/>
        <v>-443.26</v>
      </c>
    </row>
    <row r="1439" spans="1:10" ht="12.5" x14ac:dyDescent="0.25">
      <c r="A1439" s="1">
        <v>45491</v>
      </c>
      <c r="B1439" s="2" t="s">
        <v>9</v>
      </c>
      <c r="C1439" s="3">
        <v>8.49</v>
      </c>
      <c r="D1439" s="3">
        <v>217</v>
      </c>
      <c r="E1439" s="3">
        <v>1842.3300000000002</v>
      </c>
      <c r="F1439" t="str">
        <f t="shared" si="112"/>
        <v>cogs</v>
      </c>
      <c r="G1439" s="7" t="str">
        <f t="shared" si="113"/>
        <v>product 3</v>
      </c>
      <c r="H1439">
        <f t="shared" si="114"/>
        <v>2024</v>
      </c>
      <c r="I1439">
        <f t="shared" si="115"/>
        <v>7</v>
      </c>
      <c r="J1439">
        <f t="shared" si="116"/>
        <v>-152.91</v>
      </c>
    </row>
    <row r="1440" spans="1:10" ht="12.5" x14ac:dyDescent="0.25">
      <c r="A1440" s="1">
        <v>45491</v>
      </c>
      <c r="B1440" s="2" t="s">
        <v>10</v>
      </c>
      <c r="C1440" s="2" t="s">
        <v>6</v>
      </c>
      <c r="D1440" s="2" t="s">
        <v>6</v>
      </c>
      <c r="E1440" s="3">
        <v>99.95</v>
      </c>
      <c r="F1440" t="str">
        <f t="shared" si="112"/>
        <v>marketing</v>
      </c>
      <c r="G1440" s="7" t="s">
        <v>6</v>
      </c>
      <c r="H1440">
        <f t="shared" si="114"/>
        <v>2024</v>
      </c>
      <c r="I1440">
        <f t="shared" si="115"/>
        <v>7</v>
      </c>
      <c r="J1440">
        <f t="shared" si="116"/>
        <v>-1647.06</v>
      </c>
    </row>
    <row r="1441" spans="1:10" ht="12.5" x14ac:dyDescent="0.25">
      <c r="A1441" s="1">
        <v>45491</v>
      </c>
      <c r="B1441" s="2" t="s">
        <v>11</v>
      </c>
      <c r="C1441" s="3">
        <v>9.99</v>
      </c>
      <c r="D1441" s="3">
        <v>35</v>
      </c>
      <c r="E1441" s="3">
        <v>349.65000000000003</v>
      </c>
      <c r="F1441" t="str">
        <f t="shared" si="112"/>
        <v>net sales</v>
      </c>
      <c r="G1441" s="7" t="str">
        <f t="shared" si="113"/>
        <v>product 1</v>
      </c>
      <c r="H1441">
        <f t="shared" si="114"/>
        <v>2024</v>
      </c>
      <c r="I1441">
        <f t="shared" si="115"/>
        <v>7</v>
      </c>
      <c r="J1441">
        <f t="shared" si="116"/>
        <v>-99.98</v>
      </c>
    </row>
    <row r="1442" spans="1:10" ht="12.5" x14ac:dyDescent="0.25">
      <c r="A1442" s="1">
        <v>45491</v>
      </c>
      <c r="B1442" s="2" t="s">
        <v>12</v>
      </c>
      <c r="C1442" s="3">
        <v>24.99</v>
      </c>
      <c r="D1442" s="3">
        <v>9</v>
      </c>
      <c r="E1442" s="3">
        <v>224.91</v>
      </c>
      <c r="F1442" t="str">
        <f t="shared" si="112"/>
        <v>net sales</v>
      </c>
      <c r="G1442" s="7" t="str">
        <f t="shared" si="113"/>
        <v>product 2</v>
      </c>
      <c r="H1442">
        <f t="shared" si="114"/>
        <v>2024</v>
      </c>
      <c r="I1442">
        <f t="shared" si="115"/>
        <v>7</v>
      </c>
      <c r="J1442">
        <f t="shared" si="116"/>
        <v>739.26</v>
      </c>
    </row>
    <row r="1443" spans="1:10" ht="12.5" x14ac:dyDescent="0.25">
      <c r="A1443" s="1">
        <v>45491</v>
      </c>
      <c r="B1443" s="2" t="s">
        <v>13</v>
      </c>
      <c r="C1443" s="3">
        <v>12.49</v>
      </c>
      <c r="D1443" s="3">
        <v>217</v>
      </c>
      <c r="E1443" s="3">
        <v>2710.33</v>
      </c>
      <c r="F1443" t="str">
        <f t="shared" si="112"/>
        <v>net sales</v>
      </c>
      <c r="G1443" s="7" t="str">
        <f t="shared" si="113"/>
        <v>product 3</v>
      </c>
      <c r="H1443">
        <f t="shared" si="114"/>
        <v>2024</v>
      </c>
      <c r="I1443">
        <f t="shared" si="115"/>
        <v>7</v>
      </c>
      <c r="J1443">
        <f t="shared" si="116"/>
        <v>224.91</v>
      </c>
    </row>
    <row r="1444" spans="1:10" ht="12.5" x14ac:dyDescent="0.25">
      <c r="A1444" s="1">
        <v>45492</v>
      </c>
      <c r="B1444" s="2" t="s">
        <v>7</v>
      </c>
      <c r="C1444" s="3">
        <v>5.99</v>
      </c>
      <c r="D1444" s="3">
        <v>6</v>
      </c>
      <c r="E1444" s="3">
        <v>35.94</v>
      </c>
      <c r="F1444" t="str">
        <f t="shared" si="112"/>
        <v>cogs</v>
      </c>
      <c r="G1444" s="7" t="str">
        <f t="shared" si="113"/>
        <v>product 1</v>
      </c>
      <c r="H1444">
        <f t="shared" si="114"/>
        <v>2024</v>
      </c>
      <c r="I1444">
        <f t="shared" si="115"/>
        <v>7</v>
      </c>
      <c r="J1444">
        <f t="shared" si="116"/>
        <v>2423.06</v>
      </c>
    </row>
    <row r="1445" spans="1:10" ht="12.5" x14ac:dyDescent="0.25">
      <c r="A1445" s="1">
        <v>45492</v>
      </c>
      <c r="B1445" s="2" t="s">
        <v>8</v>
      </c>
      <c r="C1445" s="3">
        <v>16.989999999999998</v>
      </c>
      <c r="D1445" s="3">
        <v>7</v>
      </c>
      <c r="E1445" s="3">
        <v>118.92999999999999</v>
      </c>
      <c r="F1445" t="str">
        <f t="shared" si="112"/>
        <v>cogs</v>
      </c>
      <c r="G1445" s="7" t="str">
        <f t="shared" si="113"/>
        <v>product 2</v>
      </c>
      <c r="H1445">
        <f t="shared" si="114"/>
        <v>2024</v>
      </c>
      <c r="I1445">
        <f t="shared" si="115"/>
        <v>7</v>
      </c>
      <c r="J1445">
        <f t="shared" si="116"/>
        <v>-245.59</v>
      </c>
    </row>
    <row r="1446" spans="1:10" ht="12.5" x14ac:dyDescent="0.25">
      <c r="A1446" s="1">
        <v>45492</v>
      </c>
      <c r="B1446" s="2" t="s">
        <v>9</v>
      </c>
      <c r="C1446" s="3">
        <v>8.49</v>
      </c>
      <c r="D1446" s="3">
        <v>113</v>
      </c>
      <c r="E1446" s="3">
        <v>959.37</v>
      </c>
      <c r="F1446" t="str">
        <f t="shared" si="112"/>
        <v>cogs</v>
      </c>
      <c r="G1446" s="7" t="str">
        <f t="shared" si="113"/>
        <v>product 3</v>
      </c>
      <c r="H1446">
        <f t="shared" si="114"/>
        <v>2024</v>
      </c>
      <c r="I1446">
        <f t="shared" si="115"/>
        <v>7</v>
      </c>
      <c r="J1446">
        <f t="shared" si="116"/>
        <v>-152.91</v>
      </c>
    </row>
    <row r="1447" spans="1:10" ht="12.5" x14ac:dyDescent="0.25">
      <c r="A1447" s="1">
        <v>45492</v>
      </c>
      <c r="B1447" s="2" t="s">
        <v>10</v>
      </c>
      <c r="C1447" s="2" t="s">
        <v>6</v>
      </c>
      <c r="D1447" s="2" t="s">
        <v>6</v>
      </c>
      <c r="E1447" s="3">
        <v>100.03</v>
      </c>
      <c r="F1447" t="str">
        <f t="shared" si="112"/>
        <v>marketing</v>
      </c>
      <c r="G1447" s="7" t="s">
        <v>6</v>
      </c>
      <c r="H1447">
        <f t="shared" si="114"/>
        <v>2024</v>
      </c>
      <c r="I1447">
        <f t="shared" si="115"/>
        <v>7</v>
      </c>
      <c r="J1447">
        <f t="shared" si="116"/>
        <v>-1103.7</v>
      </c>
    </row>
    <row r="1448" spans="1:10" ht="12.5" x14ac:dyDescent="0.25">
      <c r="A1448" s="1">
        <v>45492</v>
      </c>
      <c r="B1448" s="2" t="s">
        <v>11</v>
      </c>
      <c r="C1448" s="3">
        <v>9.99</v>
      </c>
      <c r="D1448" s="3">
        <v>6</v>
      </c>
      <c r="E1448" s="3">
        <v>59.94</v>
      </c>
      <c r="F1448" t="str">
        <f t="shared" si="112"/>
        <v>net sales</v>
      </c>
      <c r="G1448" s="7" t="str">
        <f t="shared" si="113"/>
        <v>product 1</v>
      </c>
      <c r="H1448">
        <f t="shared" si="114"/>
        <v>2024</v>
      </c>
      <c r="I1448">
        <f t="shared" si="115"/>
        <v>7</v>
      </c>
      <c r="J1448">
        <f t="shared" si="116"/>
        <v>-99.94</v>
      </c>
    </row>
    <row r="1449" spans="1:10" ht="12.5" x14ac:dyDescent="0.25">
      <c r="A1449" s="1">
        <v>45492</v>
      </c>
      <c r="B1449" s="2" t="s">
        <v>12</v>
      </c>
      <c r="C1449" s="3">
        <v>24.99</v>
      </c>
      <c r="D1449" s="3">
        <v>7</v>
      </c>
      <c r="E1449" s="3">
        <v>174.92999999999998</v>
      </c>
      <c r="F1449" t="str">
        <f t="shared" si="112"/>
        <v>net sales</v>
      </c>
      <c r="G1449" s="7" t="str">
        <f t="shared" si="113"/>
        <v>product 2</v>
      </c>
      <c r="H1449">
        <f t="shared" si="114"/>
        <v>2024</v>
      </c>
      <c r="I1449">
        <f t="shared" si="115"/>
        <v>7</v>
      </c>
      <c r="J1449">
        <f t="shared" si="116"/>
        <v>409.59000000000003</v>
      </c>
    </row>
    <row r="1450" spans="1:10" ht="12.5" x14ac:dyDescent="0.25">
      <c r="A1450" s="1">
        <v>45492</v>
      </c>
      <c r="B1450" s="2" t="s">
        <v>13</v>
      </c>
      <c r="C1450" s="3">
        <v>12.49</v>
      </c>
      <c r="D1450" s="3">
        <v>113</v>
      </c>
      <c r="E1450" s="3">
        <v>1411.3700000000001</v>
      </c>
      <c r="F1450" t="str">
        <f t="shared" si="112"/>
        <v>net sales</v>
      </c>
      <c r="G1450" s="7" t="str">
        <f t="shared" si="113"/>
        <v>product 3</v>
      </c>
      <c r="H1450">
        <f t="shared" si="114"/>
        <v>2024</v>
      </c>
      <c r="I1450">
        <f t="shared" si="115"/>
        <v>7</v>
      </c>
      <c r="J1450">
        <f t="shared" si="116"/>
        <v>224.91</v>
      </c>
    </row>
    <row r="1451" spans="1:10" ht="12.5" x14ac:dyDescent="0.25">
      <c r="A1451" s="1">
        <v>45492</v>
      </c>
      <c r="B1451" s="2" t="s">
        <v>15</v>
      </c>
      <c r="C1451" s="2" t="s">
        <v>6</v>
      </c>
      <c r="D1451" s="2" t="s">
        <v>6</v>
      </c>
      <c r="E1451" s="3">
        <v>1200</v>
      </c>
      <c r="F1451" t="str">
        <f t="shared" si="112"/>
        <v>payroll</v>
      </c>
      <c r="G1451" s="7" t="s">
        <v>6</v>
      </c>
      <c r="H1451">
        <f t="shared" si="114"/>
        <v>2024</v>
      </c>
      <c r="I1451">
        <f t="shared" si="115"/>
        <v>7</v>
      </c>
      <c r="J1451">
        <f t="shared" si="116"/>
        <v>1623.7</v>
      </c>
    </row>
    <row r="1452" spans="1:10" ht="12.5" x14ac:dyDescent="0.25">
      <c r="A1452" s="1">
        <v>45493</v>
      </c>
      <c r="B1452" s="2" t="s">
        <v>7</v>
      </c>
      <c r="C1452" s="3">
        <v>5.99</v>
      </c>
      <c r="D1452" s="3">
        <v>41</v>
      </c>
      <c r="E1452" s="3">
        <v>245.59</v>
      </c>
      <c r="F1452" t="str">
        <f t="shared" si="112"/>
        <v>cogs</v>
      </c>
      <c r="G1452" s="7" t="str">
        <f t="shared" si="113"/>
        <v>product 1</v>
      </c>
      <c r="H1452">
        <f t="shared" si="114"/>
        <v>2024</v>
      </c>
      <c r="I1452">
        <f t="shared" si="115"/>
        <v>7</v>
      </c>
      <c r="J1452">
        <f t="shared" si="116"/>
        <v>-551.08000000000004</v>
      </c>
    </row>
    <row r="1453" spans="1:10" ht="12.5" x14ac:dyDescent="0.25">
      <c r="A1453" s="1">
        <v>45493</v>
      </c>
      <c r="B1453" s="2" t="s">
        <v>8</v>
      </c>
      <c r="C1453" s="3">
        <v>16.989999999999998</v>
      </c>
      <c r="D1453" s="3">
        <v>8</v>
      </c>
      <c r="E1453" s="3">
        <v>135.91999999999999</v>
      </c>
      <c r="F1453" t="str">
        <f t="shared" si="112"/>
        <v>cogs</v>
      </c>
      <c r="G1453" s="7" t="str">
        <f t="shared" si="113"/>
        <v>product 2</v>
      </c>
      <c r="H1453">
        <f t="shared" si="114"/>
        <v>2024</v>
      </c>
      <c r="I1453">
        <f t="shared" si="115"/>
        <v>7</v>
      </c>
      <c r="J1453">
        <f t="shared" si="116"/>
        <v>-118.92999999999999</v>
      </c>
    </row>
    <row r="1454" spans="1:10" ht="12.5" x14ac:dyDescent="0.25">
      <c r="A1454" s="1">
        <v>45493</v>
      </c>
      <c r="B1454" s="2" t="s">
        <v>9</v>
      </c>
      <c r="C1454" s="3">
        <v>8.49</v>
      </c>
      <c r="D1454" s="3">
        <v>17</v>
      </c>
      <c r="E1454" s="3">
        <v>144.33000000000001</v>
      </c>
      <c r="F1454" t="str">
        <f t="shared" si="112"/>
        <v>cogs</v>
      </c>
      <c r="G1454" s="7" t="str">
        <f t="shared" si="113"/>
        <v>product 3</v>
      </c>
      <c r="H1454">
        <f t="shared" si="114"/>
        <v>2024</v>
      </c>
      <c r="I1454">
        <f t="shared" si="115"/>
        <v>7</v>
      </c>
      <c r="J1454">
        <f t="shared" si="116"/>
        <v>-1765.92</v>
      </c>
    </row>
    <row r="1455" spans="1:10" ht="12.5" x14ac:dyDescent="0.25">
      <c r="A1455" s="1">
        <v>45493</v>
      </c>
      <c r="B1455" s="2" t="s">
        <v>10</v>
      </c>
      <c r="C1455" s="2" t="s">
        <v>6</v>
      </c>
      <c r="D1455" s="2" t="s">
        <v>6</v>
      </c>
      <c r="E1455" s="3">
        <v>99.97</v>
      </c>
      <c r="F1455" t="str">
        <f t="shared" si="112"/>
        <v>marketing</v>
      </c>
      <c r="G1455" s="7" t="s">
        <v>6</v>
      </c>
      <c r="H1455">
        <f t="shared" si="114"/>
        <v>2024</v>
      </c>
      <c r="I1455">
        <f t="shared" si="115"/>
        <v>7</v>
      </c>
      <c r="J1455">
        <f t="shared" si="116"/>
        <v>-99.93</v>
      </c>
    </row>
    <row r="1456" spans="1:10" ht="12.5" x14ac:dyDescent="0.25">
      <c r="A1456" s="1">
        <v>45493</v>
      </c>
      <c r="B1456" s="2" t="s">
        <v>11</v>
      </c>
      <c r="C1456" s="3">
        <v>9.99</v>
      </c>
      <c r="D1456" s="3">
        <v>41</v>
      </c>
      <c r="E1456" s="3">
        <v>409.59000000000003</v>
      </c>
      <c r="F1456" t="str">
        <f t="shared" si="112"/>
        <v>net sales</v>
      </c>
      <c r="G1456" s="7" t="str">
        <f t="shared" si="113"/>
        <v>product 1</v>
      </c>
      <c r="H1456">
        <f t="shared" si="114"/>
        <v>2024</v>
      </c>
      <c r="I1456">
        <f t="shared" si="115"/>
        <v>7</v>
      </c>
      <c r="J1456">
        <f t="shared" si="116"/>
        <v>919.08</v>
      </c>
    </row>
    <row r="1457" spans="1:10" ht="12.5" x14ac:dyDescent="0.25">
      <c r="A1457" s="1">
        <v>45493</v>
      </c>
      <c r="B1457" s="2" t="s">
        <v>12</v>
      </c>
      <c r="C1457" s="3">
        <v>24.99</v>
      </c>
      <c r="D1457" s="3">
        <v>8</v>
      </c>
      <c r="E1457" s="3">
        <v>199.92</v>
      </c>
      <c r="F1457" t="str">
        <f t="shared" si="112"/>
        <v>net sales</v>
      </c>
      <c r="G1457" s="7" t="str">
        <f t="shared" si="113"/>
        <v>product 2</v>
      </c>
      <c r="H1457">
        <f t="shared" si="114"/>
        <v>2024</v>
      </c>
      <c r="I1457">
        <f t="shared" si="115"/>
        <v>7</v>
      </c>
      <c r="J1457">
        <f t="shared" si="116"/>
        <v>174.92999999999998</v>
      </c>
    </row>
    <row r="1458" spans="1:10" ht="12.5" x14ac:dyDescent="0.25">
      <c r="A1458" s="1">
        <v>45493</v>
      </c>
      <c r="B1458" s="2" t="s">
        <v>13</v>
      </c>
      <c r="C1458" s="3">
        <v>12.49</v>
      </c>
      <c r="D1458" s="3">
        <v>17</v>
      </c>
      <c r="E1458" s="3">
        <v>212.33</v>
      </c>
      <c r="F1458" t="str">
        <f t="shared" si="112"/>
        <v>net sales</v>
      </c>
      <c r="G1458" s="7" t="str">
        <f t="shared" si="113"/>
        <v>product 3</v>
      </c>
      <c r="H1458">
        <f t="shared" si="114"/>
        <v>2024</v>
      </c>
      <c r="I1458">
        <f t="shared" si="115"/>
        <v>7</v>
      </c>
      <c r="J1458">
        <f t="shared" si="116"/>
        <v>2597.92</v>
      </c>
    </row>
    <row r="1459" spans="1:10" ht="12.5" x14ac:dyDescent="0.25">
      <c r="A1459" s="1">
        <v>45494</v>
      </c>
      <c r="B1459" s="2" t="s">
        <v>7</v>
      </c>
      <c r="C1459" s="3">
        <v>5.99</v>
      </c>
      <c r="D1459" s="3">
        <v>40</v>
      </c>
      <c r="E1459" s="3">
        <v>239.60000000000002</v>
      </c>
      <c r="F1459" t="str">
        <f t="shared" si="112"/>
        <v>cogs</v>
      </c>
      <c r="G1459" s="7" t="str">
        <f t="shared" si="113"/>
        <v>product 1</v>
      </c>
      <c r="H1459">
        <f t="shared" si="114"/>
        <v>2024</v>
      </c>
      <c r="I1459">
        <f t="shared" si="115"/>
        <v>7</v>
      </c>
      <c r="J1459">
        <f t="shared" si="116"/>
        <v>-569.05000000000007</v>
      </c>
    </row>
    <row r="1460" spans="1:10" ht="12.5" x14ac:dyDescent="0.25">
      <c r="A1460" s="1">
        <v>45494</v>
      </c>
      <c r="B1460" s="2" t="s">
        <v>8</v>
      </c>
      <c r="C1460" s="3">
        <v>16.989999999999998</v>
      </c>
      <c r="D1460" s="3">
        <v>7</v>
      </c>
      <c r="E1460" s="3">
        <v>118.92999999999999</v>
      </c>
      <c r="F1460" t="str">
        <f t="shared" si="112"/>
        <v>cogs</v>
      </c>
      <c r="G1460" s="7" t="str">
        <f t="shared" si="113"/>
        <v>product 2</v>
      </c>
      <c r="H1460">
        <f t="shared" si="114"/>
        <v>2024</v>
      </c>
      <c r="I1460">
        <f t="shared" si="115"/>
        <v>7</v>
      </c>
      <c r="J1460">
        <f t="shared" si="116"/>
        <v>-84.949999999999989</v>
      </c>
    </row>
    <row r="1461" spans="1:10" ht="12.5" x14ac:dyDescent="0.25">
      <c r="A1461" s="1">
        <v>45494</v>
      </c>
      <c r="B1461" s="2" t="s">
        <v>9</v>
      </c>
      <c r="C1461" s="3">
        <v>8.49</v>
      </c>
      <c r="D1461" s="3">
        <v>238</v>
      </c>
      <c r="E1461" s="3">
        <v>2020.6200000000001</v>
      </c>
      <c r="F1461" t="str">
        <f t="shared" si="112"/>
        <v>cogs</v>
      </c>
      <c r="G1461" s="7" t="str">
        <f t="shared" si="113"/>
        <v>product 3</v>
      </c>
      <c r="H1461">
        <f t="shared" si="114"/>
        <v>2024</v>
      </c>
      <c r="I1461">
        <f t="shared" si="115"/>
        <v>7</v>
      </c>
      <c r="J1461">
        <f t="shared" si="116"/>
        <v>0</v>
      </c>
    </row>
    <row r="1462" spans="1:10" ht="12.5" x14ac:dyDescent="0.25">
      <c r="A1462" s="1">
        <v>45494</v>
      </c>
      <c r="B1462" s="2" t="s">
        <v>10</v>
      </c>
      <c r="C1462" s="2" t="s">
        <v>6</v>
      </c>
      <c r="D1462" s="2" t="s">
        <v>6</v>
      </c>
      <c r="E1462" s="3">
        <v>99.94</v>
      </c>
      <c r="F1462" t="str">
        <f t="shared" si="112"/>
        <v>marketing</v>
      </c>
      <c r="G1462" s="7" t="s">
        <v>6</v>
      </c>
      <c r="H1462">
        <f t="shared" si="114"/>
        <v>2024</v>
      </c>
      <c r="I1462">
        <f t="shared" si="115"/>
        <v>7</v>
      </c>
      <c r="J1462">
        <f t="shared" si="116"/>
        <v>-100.03</v>
      </c>
    </row>
    <row r="1463" spans="1:10" ht="12.5" x14ac:dyDescent="0.25">
      <c r="A1463" s="1">
        <v>45494</v>
      </c>
      <c r="B1463" s="2" t="s">
        <v>11</v>
      </c>
      <c r="C1463" s="3">
        <v>9.99</v>
      </c>
      <c r="D1463" s="3">
        <v>40</v>
      </c>
      <c r="E1463" s="3">
        <v>399.6</v>
      </c>
      <c r="F1463" t="str">
        <f t="shared" si="112"/>
        <v>net sales</v>
      </c>
      <c r="G1463" s="7" t="str">
        <f t="shared" si="113"/>
        <v>product 1</v>
      </c>
      <c r="H1463">
        <f t="shared" si="114"/>
        <v>2024</v>
      </c>
      <c r="I1463">
        <f t="shared" si="115"/>
        <v>7</v>
      </c>
      <c r="J1463">
        <f t="shared" si="116"/>
        <v>949.05000000000007</v>
      </c>
    </row>
    <row r="1464" spans="1:10" ht="12.5" x14ac:dyDescent="0.25">
      <c r="A1464" s="1">
        <v>45494</v>
      </c>
      <c r="B1464" s="2" t="s">
        <v>12</v>
      </c>
      <c r="C1464" s="3">
        <v>24.99</v>
      </c>
      <c r="D1464" s="3">
        <v>7</v>
      </c>
      <c r="E1464" s="3">
        <v>174.92999999999998</v>
      </c>
      <c r="F1464" t="str">
        <f t="shared" si="112"/>
        <v>net sales</v>
      </c>
      <c r="G1464" s="7" t="str">
        <f t="shared" si="113"/>
        <v>product 2</v>
      </c>
      <c r="H1464">
        <f t="shared" si="114"/>
        <v>2024</v>
      </c>
      <c r="I1464">
        <f t="shared" si="115"/>
        <v>7</v>
      </c>
      <c r="J1464">
        <f t="shared" si="116"/>
        <v>124.94999999999999</v>
      </c>
    </row>
    <row r="1465" spans="1:10" ht="12.5" x14ac:dyDescent="0.25">
      <c r="A1465" s="1">
        <v>45494</v>
      </c>
      <c r="B1465" s="2" t="s">
        <v>13</v>
      </c>
      <c r="C1465" s="3">
        <v>12.49</v>
      </c>
      <c r="D1465" s="3">
        <v>238</v>
      </c>
      <c r="E1465" s="3">
        <v>2972.62</v>
      </c>
      <c r="F1465" t="str">
        <f t="shared" si="112"/>
        <v>net sales</v>
      </c>
      <c r="G1465" s="7" t="str">
        <f t="shared" si="113"/>
        <v>product 3</v>
      </c>
      <c r="H1465">
        <f t="shared" si="114"/>
        <v>2024</v>
      </c>
      <c r="I1465">
        <f t="shared" si="115"/>
        <v>7</v>
      </c>
      <c r="J1465">
        <f t="shared" si="116"/>
        <v>0</v>
      </c>
    </row>
    <row r="1466" spans="1:10" ht="12.5" x14ac:dyDescent="0.25">
      <c r="A1466" s="1">
        <v>45495</v>
      </c>
      <c r="B1466" s="2" t="s">
        <v>7</v>
      </c>
      <c r="C1466" s="3">
        <v>5.99</v>
      </c>
      <c r="D1466" s="3">
        <v>58</v>
      </c>
      <c r="E1466" s="3">
        <v>347.42</v>
      </c>
      <c r="F1466" t="str">
        <f t="shared" si="112"/>
        <v>cogs</v>
      </c>
      <c r="G1466" s="7" t="str">
        <f t="shared" si="113"/>
        <v>product 1</v>
      </c>
      <c r="H1466">
        <f t="shared" si="114"/>
        <v>2024</v>
      </c>
      <c r="I1466">
        <f t="shared" si="115"/>
        <v>7</v>
      </c>
      <c r="J1466">
        <f t="shared" si="116"/>
        <v>-1200</v>
      </c>
    </row>
    <row r="1467" spans="1:10" ht="12.5" x14ac:dyDescent="0.25">
      <c r="A1467" s="1">
        <v>45495</v>
      </c>
      <c r="B1467" s="2" t="s">
        <v>8</v>
      </c>
      <c r="C1467" s="3">
        <v>16.989999999999998</v>
      </c>
      <c r="D1467" s="3">
        <v>5</v>
      </c>
      <c r="E1467" s="3">
        <v>84.949999999999989</v>
      </c>
      <c r="F1467" t="str">
        <f t="shared" si="112"/>
        <v>cogs</v>
      </c>
      <c r="G1467" s="7" t="str">
        <f t="shared" si="113"/>
        <v>product 2</v>
      </c>
      <c r="H1467">
        <f t="shared" si="114"/>
        <v>2024</v>
      </c>
      <c r="I1467">
        <f t="shared" si="115"/>
        <v>7</v>
      </c>
      <c r="J1467">
        <f t="shared" si="116"/>
        <v>-41.93</v>
      </c>
    </row>
    <row r="1468" spans="1:10" ht="12.5" x14ac:dyDescent="0.25">
      <c r="A1468" s="1">
        <v>45495</v>
      </c>
      <c r="B1468" s="2" t="s">
        <v>9</v>
      </c>
      <c r="C1468" s="3">
        <v>8.49</v>
      </c>
      <c r="D1468" s="3">
        <v>125</v>
      </c>
      <c r="E1468" s="3">
        <v>1061.25</v>
      </c>
      <c r="F1468" t="str">
        <f t="shared" si="112"/>
        <v>cogs</v>
      </c>
      <c r="G1468" s="7" t="str">
        <f t="shared" si="113"/>
        <v>product 3</v>
      </c>
      <c r="H1468">
        <f t="shared" si="114"/>
        <v>2024</v>
      </c>
      <c r="I1468">
        <f t="shared" si="115"/>
        <v>7</v>
      </c>
      <c r="J1468">
        <f t="shared" si="116"/>
        <v>-101.94</v>
      </c>
    </row>
    <row r="1469" spans="1:10" ht="12.5" x14ac:dyDescent="0.25">
      <c r="A1469" s="1">
        <v>45495</v>
      </c>
      <c r="B1469" s="2" t="s">
        <v>10</v>
      </c>
      <c r="C1469" s="2" t="s">
        <v>6</v>
      </c>
      <c r="D1469" s="2" t="s">
        <v>6</v>
      </c>
      <c r="E1469" s="3">
        <v>99.94</v>
      </c>
      <c r="F1469" t="str">
        <f t="shared" si="112"/>
        <v>marketing</v>
      </c>
      <c r="G1469" s="7" t="s">
        <v>6</v>
      </c>
      <c r="H1469">
        <f t="shared" si="114"/>
        <v>2024</v>
      </c>
      <c r="I1469">
        <f t="shared" si="115"/>
        <v>7</v>
      </c>
      <c r="J1469">
        <f t="shared" si="116"/>
        <v>-1171.6200000000001</v>
      </c>
    </row>
    <row r="1470" spans="1:10" ht="12.5" x14ac:dyDescent="0.25">
      <c r="A1470" s="1">
        <v>45495</v>
      </c>
      <c r="B1470" s="2" t="s">
        <v>11</v>
      </c>
      <c r="C1470" s="3">
        <v>9.99</v>
      </c>
      <c r="D1470" s="3">
        <v>58</v>
      </c>
      <c r="E1470" s="3">
        <v>579.41999999999996</v>
      </c>
      <c r="F1470" t="str">
        <f t="shared" si="112"/>
        <v>net sales</v>
      </c>
      <c r="G1470" s="7" t="str">
        <f t="shared" si="113"/>
        <v>product 1</v>
      </c>
      <c r="H1470">
        <f t="shared" si="114"/>
        <v>2024</v>
      </c>
      <c r="I1470">
        <f t="shared" si="115"/>
        <v>7</v>
      </c>
      <c r="J1470">
        <f t="shared" si="116"/>
        <v>-100.08</v>
      </c>
    </row>
    <row r="1471" spans="1:10" ht="12.5" x14ac:dyDescent="0.25">
      <c r="A1471" s="1">
        <v>45495</v>
      </c>
      <c r="B1471" s="2" t="s">
        <v>12</v>
      </c>
      <c r="C1471" s="3">
        <v>24.99</v>
      </c>
      <c r="D1471" s="3">
        <v>5</v>
      </c>
      <c r="E1471" s="3">
        <v>124.94999999999999</v>
      </c>
      <c r="F1471" t="str">
        <f t="shared" si="112"/>
        <v>net sales</v>
      </c>
      <c r="G1471" s="7" t="str">
        <f t="shared" si="113"/>
        <v>product 2</v>
      </c>
      <c r="H1471">
        <f t="shared" si="114"/>
        <v>2024</v>
      </c>
      <c r="I1471">
        <f t="shared" si="115"/>
        <v>7</v>
      </c>
      <c r="J1471">
        <f t="shared" si="116"/>
        <v>69.930000000000007</v>
      </c>
    </row>
    <row r="1472" spans="1:10" ht="12.5" x14ac:dyDescent="0.25">
      <c r="A1472" s="1">
        <v>45495</v>
      </c>
      <c r="B1472" s="2" t="s">
        <v>13</v>
      </c>
      <c r="C1472" s="3">
        <v>12.49</v>
      </c>
      <c r="D1472" s="3">
        <v>125</v>
      </c>
      <c r="E1472" s="3">
        <v>1561.25</v>
      </c>
      <c r="F1472" t="str">
        <f t="shared" si="112"/>
        <v>net sales</v>
      </c>
      <c r="G1472" s="7" t="str">
        <f t="shared" si="113"/>
        <v>product 3</v>
      </c>
      <c r="H1472">
        <f t="shared" si="114"/>
        <v>2024</v>
      </c>
      <c r="I1472">
        <f t="shared" si="115"/>
        <v>7</v>
      </c>
      <c r="J1472">
        <f t="shared" si="116"/>
        <v>149.94</v>
      </c>
    </row>
    <row r="1473" spans="1:10" ht="12.5" x14ac:dyDescent="0.25">
      <c r="A1473" s="1">
        <v>45496</v>
      </c>
      <c r="B1473" s="2" t="s">
        <v>7</v>
      </c>
      <c r="C1473" s="3">
        <v>5.99</v>
      </c>
      <c r="D1473" s="3">
        <v>45</v>
      </c>
      <c r="E1473" s="3">
        <v>269.55</v>
      </c>
      <c r="F1473" t="str">
        <f t="shared" si="112"/>
        <v>cogs</v>
      </c>
      <c r="G1473" s="7" t="str">
        <f t="shared" si="113"/>
        <v>product 1</v>
      </c>
      <c r="H1473">
        <f t="shared" si="114"/>
        <v>2024</v>
      </c>
      <c r="I1473">
        <f t="shared" si="115"/>
        <v>7</v>
      </c>
      <c r="J1473">
        <f t="shared" si="116"/>
        <v>1723.6200000000001</v>
      </c>
    </row>
    <row r="1474" spans="1:10" ht="12.5" x14ac:dyDescent="0.25">
      <c r="A1474" s="1">
        <v>45496</v>
      </c>
      <c r="B1474" s="2" t="s">
        <v>8</v>
      </c>
      <c r="C1474" s="3">
        <v>16.989999999999998</v>
      </c>
      <c r="D1474" s="3">
        <v>9</v>
      </c>
      <c r="E1474" s="3">
        <v>152.91</v>
      </c>
      <c r="F1474" t="str">
        <f t="shared" si="112"/>
        <v>cogs</v>
      </c>
      <c r="G1474" s="7" t="str">
        <f t="shared" si="113"/>
        <v>product 2</v>
      </c>
      <c r="H1474">
        <f t="shared" si="114"/>
        <v>2024</v>
      </c>
      <c r="I1474">
        <f t="shared" si="115"/>
        <v>7</v>
      </c>
      <c r="J1474">
        <f t="shared" si="116"/>
        <v>-551.08000000000004</v>
      </c>
    </row>
    <row r="1475" spans="1:10" ht="12.5" x14ac:dyDescent="0.25">
      <c r="A1475" s="1">
        <v>45496</v>
      </c>
      <c r="B1475" s="2" t="s">
        <v>9</v>
      </c>
      <c r="C1475" s="3">
        <v>8.49</v>
      </c>
      <c r="D1475" s="3">
        <v>108</v>
      </c>
      <c r="E1475" s="3">
        <v>916.92000000000007</v>
      </c>
      <c r="F1475" t="str">
        <f t="shared" ref="F1475:F1538" si="117">IFERROR(LEFT(B1475,FIND(":",B1475)-1),B1475)</f>
        <v>cogs</v>
      </c>
      <c r="G1475" s="7" t="str">
        <f t="shared" ref="G1475:G1538" si="118">IFERROR(RIGHT(B1475,LEN(B1475)-FIND(":",B1475)),"")</f>
        <v>product 3</v>
      </c>
      <c r="H1475">
        <f t="shared" ref="H1475:H1538" si="119">YEAR(A1475)</f>
        <v>2024</v>
      </c>
      <c r="I1475">
        <f t="shared" ref="I1475:I1538" si="120">MONTH(A1475)</f>
        <v>7</v>
      </c>
      <c r="J1475">
        <f t="shared" si="116"/>
        <v>-33.979999999999997</v>
      </c>
    </row>
    <row r="1476" spans="1:10" ht="12.5" x14ac:dyDescent="0.25">
      <c r="A1476" s="1">
        <v>45496</v>
      </c>
      <c r="B1476" s="2" t="s">
        <v>10</v>
      </c>
      <c r="C1476" s="2" t="s">
        <v>6</v>
      </c>
      <c r="D1476" s="2" t="s">
        <v>6</v>
      </c>
      <c r="E1476" s="3">
        <v>99.990000000000009</v>
      </c>
      <c r="F1476" t="str">
        <f t="shared" si="117"/>
        <v>marketing</v>
      </c>
      <c r="G1476" s="7" t="s">
        <v>6</v>
      </c>
      <c r="H1476">
        <f t="shared" si="119"/>
        <v>2024</v>
      </c>
      <c r="I1476">
        <f t="shared" si="120"/>
        <v>7</v>
      </c>
      <c r="J1476">
        <f t="shared" si="116"/>
        <v>-399.03000000000003</v>
      </c>
    </row>
    <row r="1477" spans="1:10" ht="12.5" x14ac:dyDescent="0.25">
      <c r="A1477" s="1">
        <v>45496</v>
      </c>
      <c r="B1477" s="2" t="s">
        <v>11</v>
      </c>
      <c r="C1477" s="3">
        <v>9.99</v>
      </c>
      <c r="D1477" s="3">
        <v>45</v>
      </c>
      <c r="E1477" s="3">
        <v>449.55</v>
      </c>
      <c r="F1477" t="str">
        <f t="shared" si="117"/>
        <v>net sales</v>
      </c>
      <c r="G1477" s="7" t="str">
        <f t="shared" si="118"/>
        <v>product 1</v>
      </c>
      <c r="H1477">
        <f t="shared" si="119"/>
        <v>2024</v>
      </c>
      <c r="I1477">
        <f t="shared" si="120"/>
        <v>7</v>
      </c>
      <c r="J1477">
        <f t="shared" si="116"/>
        <v>-100</v>
      </c>
    </row>
    <row r="1478" spans="1:10" ht="12.5" x14ac:dyDescent="0.25">
      <c r="A1478" s="1">
        <v>45496</v>
      </c>
      <c r="B1478" s="2" t="s">
        <v>12</v>
      </c>
      <c r="C1478" s="3">
        <v>24.99</v>
      </c>
      <c r="D1478" s="3">
        <v>9</v>
      </c>
      <c r="E1478" s="3">
        <v>224.91</v>
      </c>
      <c r="F1478" t="str">
        <f t="shared" si="117"/>
        <v>net sales</v>
      </c>
      <c r="G1478" s="7" t="str">
        <f t="shared" si="118"/>
        <v>product 2</v>
      </c>
      <c r="H1478">
        <f t="shared" si="119"/>
        <v>2024</v>
      </c>
      <c r="I1478">
        <f t="shared" si="120"/>
        <v>7</v>
      </c>
      <c r="J1478">
        <f t="shared" si="116"/>
        <v>919.08</v>
      </c>
    </row>
    <row r="1479" spans="1:10" ht="12.5" x14ac:dyDescent="0.25">
      <c r="A1479" s="1">
        <v>45496</v>
      </c>
      <c r="B1479" s="2" t="s">
        <v>13</v>
      </c>
      <c r="C1479" s="3">
        <v>12.49</v>
      </c>
      <c r="D1479" s="3">
        <v>108</v>
      </c>
      <c r="E1479" s="3">
        <v>1348.92</v>
      </c>
      <c r="F1479" t="str">
        <f t="shared" si="117"/>
        <v>net sales</v>
      </c>
      <c r="G1479" s="7" t="str">
        <f t="shared" si="118"/>
        <v>product 3</v>
      </c>
      <c r="H1479">
        <f t="shared" si="119"/>
        <v>2024</v>
      </c>
      <c r="I1479">
        <f t="shared" si="120"/>
        <v>7</v>
      </c>
      <c r="J1479">
        <f t="shared" si="116"/>
        <v>49.98</v>
      </c>
    </row>
    <row r="1480" spans="1:10" ht="12.5" x14ac:dyDescent="0.25">
      <c r="A1480" s="1">
        <v>45497</v>
      </c>
      <c r="B1480" s="2" t="s">
        <v>7</v>
      </c>
      <c r="C1480" s="3">
        <v>5.99</v>
      </c>
      <c r="D1480" s="3">
        <v>34</v>
      </c>
      <c r="E1480" s="3">
        <v>203.66</v>
      </c>
      <c r="F1480" t="str">
        <f t="shared" si="117"/>
        <v>cogs</v>
      </c>
      <c r="G1480" s="7" t="str">
        <f t="shared" si="118"/>
        <v>product 1</v>
      </c>
      <c r="H1480">
        <f t="shared" si="119"/>
        <v>2024</v>
      </c>
      <c r="I1480">
        <f t="shared" si="120"/>
        <v>7</v>
      </c>
      <c r="J1480">
        <f t="shared" si="116"/>
        <v>587.03</v>
      </c>
    </row>
    <row r="1481" spans="1:10" ht="12.5" x14ac:dyDescent="0.25">
      <c r="A1481" s="1">
        <v>45497</v>
      </c>
      <c r="B1481" s="2" t="s">
        <v>8</v>
      </c>
      <c r="C1481" s="3">
        <v>16.989999999999998</v>
      </c>
      <c r="D1481" s="3">
        <v>3</v>
      </c>
      <c r="E1481" s="3">
        <v>50.97</v>
      </c>
      <c r="F1481" t="str">
        <f t="shared" si="117"/>
        <v>cogs</v>
      </c>
      <c r="G1481" s="7" t="str">
        <f t="shared" si="118"/>
        <v>product 2</v>
      </c>
      <c r="H1481">
        <f t="shared" si="119"/>
        <v>2024</v>
      </c>
      <c r="I1481">
        <f t="shared" si="120"/>
        <v>7</v>
      </c>
      <c r="J1481">
        <f t="shared" si="116"/>
        <v>-167.72</v>
      </c>
    </row>
    <row r="1482" spans="1:10" ht="12.5" x14ac:dyDescent="0.25">
      <c r="A1482" s="1">
        <v>45497</v>
      </c>
      <c r="B1482" s="2" t="s">
        <v>9</v>
      </c>
      <c r="C1482" s="3">
        <v>8.49</v>
      </c>
      <c r="D1482" s="3">
        <v>0</v>
      </c>
      <c r="E1482" s="2">
        <f>C1482*D1482</f>
        <v>0</v>
      </c>
      <c r="F1482" t="str">
        <f t="shared" si="117"/>
        <v>cogs</v>
      </c>
      <c r="G1482" s="7" t="str">
        <f t="shared" si="118"/>
        <v>product 3</v>
      </c>
      <c r="H1482">
        <f t="shared" si="119"/>
        <v>2024</v>
      </c>
      <c r="I1482">
        <f t="shared" si="120"/>
        <v>7</v>
      </c>
      <c r="J1482">
        <f t="shared" si="116"/>
        <v>-135.91999999999999</v>
      </c>
    </row>
    <row r="1483" spans="1:10" ht="12.5" x14ac:dyDescent="0.25">
      <c r="A1483" s="1">
        <v>45497</v>
      </c>
      <c r="B1483" s="2" t="s">
        <v>10</v>
      </c>
      <c r="C1483" s="2" t="s">
        <v>6</v>
      </c>
      <c r="D1483" s="2" t="s">
        <v>6</v>
      </c>
      <c r="E1483" s="3">
        <v>99.93</v>
      </c>
      <c r="F1483" t="str">
        <f t="shared" si="117"/>
        <v>marketing</v>
      </c>
      <c r="G1483" s="7" t="s">
        <v>6</v>
      </c>
      <c r="H1483">
        <f t="shared" si="119"/>
        <v>2024</v>
      </c>
      <c r="I1483">
        <f t="shared" si="120"/>
        <v>7</v>
      </c>
      <c r="J1483">
        <f t="shared" si="116"/>
        <v>-1027.29</v>
      </c>
    </row>
    <row r="1484" spans="1:10" ht="12.5" x14ac:dyDescent="0.25">
      <c r="A1484" s="1">
        <v>45497</v>
      </c>
      <c r="B1484" s="2" t="s">
        <v>11</v>
      </c>
      <c r="C1484" s="3">
        <v>9.99</v>
      </c>
      <c r="D1484" s="3">
        <v>34</v>
      </c>
      <c r="E1484" s="3">
        <v>339.66</v>
      </c>
      <c r="F1484" t="str">
        <f t="shared" si="117"/>
        <v>net sales</v>
      </c>
      <c r="G1484" s="7" t="str">
        <f t="shared" si="118"/>
        <v>product 1</v>
      </c>
      <c r="H1484">
        <f t="shared" si="119"/>
        <v>2024</v>
      </c>
      <c r="I1484">
        <f t="shared" si="120"/>
        <v>7</v>
      </c>
      <c r="J1484">
        <f t="shared" si="116"/>
        <v>-100.03</v>
      </c>
    </row>
    <row r="1485" spans="1:10" ht="12.5" x14ac:dyDescent="0.25">
      <c r="A1485" s="1">
        <v>45497</v>
      </c>
      <c r="B1485" s="2" t="s">
        <v>12</v>
      </c>
      <c r="C1485" s="3">
        <v>24.99</v>
      </c>
      <c r="D1485" s="3">
        <v>3</v>
      </c>
      <c r="E1485" s="3">
        <v>74.97</v>
      </c>
      <c r="F1485" t="str">
        <f t="shared" si="117"/>
        <v>net sales</v>
      </c>
      <c r="G1485" s="7" t="str">
        <f t="shared" si="118"/>
        <v>product 2</v>
      </c>
      <c r="H1485">
        <f t="shared" si="119"/>
        <v>2024</v>
      </c>
      <c r="I1485">
        <f t="shared" si="120"/>
        <v>7</v>
      </c>
      <c r="J1485">
        <f t="shared" si="116"/>
        <v>279.72000000000003</v>
      </c>
    </row>
    <row r="1486" spans="1:10" ht="12.5" x14ac:dyDescent="0.25">
      <c r="A1486" s="1">
        <v>45497</v>
      </c>
      <c r="B1486" s="2" t="s">
        <v>13</v>
      </c>
      <c r="C1486" s="3">
        <v>12.49</v>
      </c>
      <c r="D1486" s="3">
        <v>0</v>
      </c>
      <c r="E1486" s="2">
        <f>C1486*D1486</f>
        <v>0</v>
      </c>
      <c r="F1486" t="str">
        <f t="shared" si="117"/>
        <v>net sales</v>
      </c>
      <c r="G1486" s="7" t="str">
        <f t="shared" si="118"/>
        <v>product 3</v>
      </c>
      <c r="H1486">
        <f t="shared" si="119"/>
        <v>2024</v>
      </c>
      <c r="I1486">
        <f t="shared" si="120"/>
        <v>7</v>
      </c>
      <c r="J1486">
        <f t="shared" si="116"/>
        <v>199.92</v>
      </c>
    </row>
    <row r="1487" spans="1:10" ht="12.5" x14ac:dyDescent="0.25">
      <c r="A1487" s="1">
        <v>45498</v>
      </c>
      <c r="B1487" s="2" t="s">
        <v>7</v>
      </c>
      <c r="C1487" s="3">
        <v>5.99</v>
      </c>
      <c r="D1487" s="3">
        <v>99</v>
      </c>
      <c r="E1487" s="3">
        <v>593.01</v>
      </c>
      <c r="F1487" t="str">
        <f t="shared" si="117"/>
        <v>cogs</v>
      </c>
      <c r="G1487" s="7" t="str">
        <f t="shared" si="118"/>
        <v>product 1</v>
      </c>
      <c r="H1487">
        <f t="shared" si="119"/>
        <v>2024</v>
      </c>
      <c r="I1487">
        <f t="shared" si="120"/>
        <v>7</v>
      </c>
      <c r="J1487">
        <f t="shared" si="116"/>
        <v>1511.29</v>
      </c>
    </row>
    <row r="1488" spans="1:10" ht="12.5" x14ac:dyDescent="0.25">
      <c r="A1488" s="1">
        <v>45498</v>
      </c>
      <c r="B1488" s="2" t="s">
        <v>8</v>
      </c>
      <c r="C1488" s="3">
        <v>16.989999999999998</v>
      </c>
      <c r="D1488" s="3">
        <v>4</v>
      </c>
      <c r="E1488" s="3">
        <v>67.959999999999994</v>
      </c>
      <c r="F1488" t="str">
        <f t="shared" si="117"/>
        <v>cogs</v>
      </c>
      <c r="G1488" s="7" t="str">
        <f t="shared" si="118"/>
        <v>product 2</v>
      </c>
      <c r="H1488">
        <f t="shared" si="119"/>
        <v>2024</v>
      </c>
      <c r="I1488">
        <f t="shared" si="120"/>
        <v>7</v>
      </c>
      <c r="J1488">
        <f t="shared" si="116"/>
        <v>-329.45</v>
      </c>
    </row>
    <row r="1489" spans="1:10" ht="12.5" x14ac:dyDescent="0.25">
      <c r="A1489" s="1">
        <v>45498</v>
      </c>
      <c r="B1489" s="2" t="s">
        <v>9</v>
      </c>
      <c r="C1489" s="3">
        <v>8.49</v>
      </c>
      <c r="D1489" s="3">
        <v>2</v>
      </c>
      <c r="E1489" s="3">
        <v>16.98</v>
      </c>
      <c r="F1489" t="str">
        <f t="shared" si="117"/>
        <v>cogs</v>
      </c>
      <c r="G1489" s="7" t="str">
        <f t="shared" si="118"/>
        <v>product 3</v>
      </c>
      <c r="H1489">
        <f t="shared" si="119"/>
        <v>2024</v>
      </c>
      <c r="I1489">
        <f t="shared" si="120"/>
        <v>7</v>
      </c>
      <c r="J1489">
        <f t="shared" si="116"/>
        <v>-101.94</v>
      </c>
    </row>
    <row r="1490" spans="1:10" ht="12.5" x14ac:dyDescent="0.25">
      <c r="A1490" s="1">
        <v>45498</v>
      </c>
      <c r="B1490" s="2" t="s">
        <v>10</v>
      </c>
      <c r="C1490" s="2" t="s">
        <v>6</v>
      </c>
      <c r="D1490" s="2" t="s">
        <v>6</v>
      </c>
      <c r="E1490" s="3">
        <v>100.01</v>
      </c>
      <c r="F1490" t="str">
        <f t="shared" si="117"/>
        <v>marketing</v>
      </c>
      <c r="G1490" s="7" t="s">
        <v>6</v>
      </c>
      <c r="H1490">
        <f t="shared" si="119"/>
        <v>2024</v>
      </c>
      <c r="I1490">
        <f t="shared" si="120"/>
        <v>7</v>
      </c>
      <c r="J1490">
        <f t="shared" si="116"/>
        <v>-1044.27</v>
      </c>
    </row>
    <row r="1491" spans="1:10" ht="12.5" x14ac:dyDescent="0.25">
      <c r="A1491" s="1">
        <v>45498</v>
      </c>
      <c r="B1491" s="2" t="s">
        <v>11</v>
      </c>
      <c r="C1491" s="3">
        <v>9.99</v>
      </c>
      <c r="D1491" s="3">
        <v>99</v>
      </c>
      <c r="E1491" s="3">
        <v>989.01</v>
      </c>
      <c r="F1491" t="str">
        <f t="shared" si="117"/>
        <v>net sales</v>
      </c>
      <c r="G1491" s="7" t="str">
        <f t="shared" si="118"/>
        <v>product 1</v>
      </c>
      <c r="H1491">
        <f t="shared" si="119"/>
        <v>2024</v>
      </c>
      <c r="I1491">
        <f t="shared" si="120"/>
        <v>7</v>
      </c>
      <c r="J1491">
        <f t="shared" si="116"/>
        <v>-99.98</v>
      </c>
    </row>
    <row r="1492" spans="1:10" ht="12.5" x14ac:dyDescent="0.25">
      <c r="A1492" s="1">
        <v>45498</v>
      </c>
      <c r="B1492" s="2" t="s">
        <v>12</v>
      </c>
      <c r="C1492" s="3">
        <v>24.99</v>
      </c>
      <c r="D1492" s="3">
        <v>4</v>
      </c>
      <c r="E1492" s="3">
        <v>99.96</v>
      </c>
      <c r="F1492" t="str">
        <f t="shared" si="117"/>
        <v>net sales</v>
      </c>
      <c r="G1492" s="7" t="str">
        <f t="shared" si="118"/>
        <v>product 2</v>
      </c>
      <c r="H1492">
        <f t="shared" si="119"/>
        <v>2024</v>
      </c>
      <c r="I1492">
        <f t="shared" si="120"/>
        <v>7</v>
      </c>
      <c r="J1492">
        <f t="shared" si="116"/>
        <v>549.45000000000005</v>
      </c>
    </row>
    <row r="1493" spans="1:10" ht="12.5" x14ac:dyDescent="0.25">
      <c r="A1493" s="1">
        <v>45498</v>
      </c>
      <c r="B1493" s="2" t="s">
        <v>13</v>
      </c>
      <c r="C1493" s="3">
        <v>12.49</v>
      </c>
      <c r="D1493" s="3">
        <v>2</v>
      </c>
      <c r="E1493" s="3">
        <v>24.98</v>
      </c>
      <c r="F1493" t="str">
        <f t="shared" si="117"/>
        <v>net sales</v>
      </c>
      <c r="G1493" s="7" t="str">
        <f t="shared" si="118"/>
        <v>product 3</v>
      </c>
      <c r="H1493">
        <f t="shared" si="119"/>
        <v>2024</v>
      </c>
      <c r="I1493">
        <f t="shared" si="120"/>
        <v>7</v>
      </c>
      <c r="J1493">
        <f t="shared" si="116"/>
        <v>149.94</v>
      </c>
    </row>
    <row r="1494" spans="1:10" ht="12.5" x14ac:dyDescent="0.25">
      <c r="A1494" s="1">
        <v>45499</v>
      </c>
      <c r="B1494" s="2" t="s">
        <v>7</v>
      </c>
      <c r="C1494" s="3">
        <v>5.99</v>
      </c>
      <c r="D1494" s="3">
        <v>87</v>
      </c>
      <c r="E1494" s="3">
        <v>521.13</v>
      </c>
      <c r="F1494" t="str">
        <f t="shared" si="117"/>
        <v>cogs</v>
      </c>
      <c r="G1494" s="7" t="str">
        <f t="shared" si="118"/>
        <v>product 1</v>
      </c>
      <c r="H1494">
        <f t="shared" si="119"/>
        <v>2024</v>
      </c>
      <c r="I1494">
        <f t="shared" si="120"/>
        <v>7</v>
      </c>
      <c r="J1494">
        <f t="shared" si="116"/>
        <v>1536.27</v>
      </c>
    </row>
    <row r="1495" spans="1:10" ht="12.5" x14ac:dyDescent="0.25">
      <c r="A1495" s="1">
        <v>45499</v>
      </c>
      <c r="B1495" s="2" t="s">
        <v>8</v>
      </c>
      <c r="C1495" s="3">
        <v>16.989999999999998</v>
      </c>
      <c r="D1495" s="3">
        <v>5</v>
      </c>
      <c r="E1495" s="3">
        <v>84.949999999999989</v>
      </c>
      <c r="F1495" t="str">
        <f t="shared" si="117"/>
        <v>cogs</v>
      </c>
      <c r="G1495" s="7" t="str">
        <f t="shared" si="118"/>
        <v>product 2</v>
      </c>
      <c r="H1495">
        <f t="shared" si="119"/>
        <v>2024</v>
      </c>
      <c r="I1495">
        <f t="shared" si="120"/>
        <v>7</v>
      </c>
      <c r="J1495">
        <f t="shared" si="116"/>
        <v>-575.04</v>
      </c>
    </row>
    <row r="1496" spans="1:10" ht="12.5" x14ac:dyDescent="0.25">
      <c r="A1496" s="1">
        <v>45499</v>
      </c>
      <c r="B1496" s="2" t="s">
        <v>9</v>
      </c>
      <c r="C1496" s="3">
        <v>8.49</v>
      </c>
      <c r="D1496" s="3">
        <v>50</v>
      </c>
      <c r="E1496" s="3">
        <v>424.5</v>
      </c>
      <c r="F1496" t="str">
        <f t="shared" si="117"/>
        <v>cogs</v>
      </c>
      <c r="G1496" s="7" t="str">
        <f t="shared" si="118"/>
        <v>product 3</v>
      </c>
      <c r="H1496">
        <f t="shared" si="119"/>
        <v>2024</v>
      </c>
      <c r="I1496">
        <f t="shared" si="120"/>
        <v>7</v>
      </c>
      <c r="J1496">
        <f t="shared" si="116"/>
        <v>-16.989999999999998</v>
      </c>
    </row>
    <row r="1497" spans="1:10" ht="12.5" x14ac:dyDescent="0.25">
      <c r="A1497" s="1">
        <v>45499</v>
      </c>
      <c r="B1497" s="2" t="s">
        <v>10</v>
      </c>
      <c r="C1497" s="2" t="s">
        <v>6</v>
      </c>
      <c r="D1497" s="2" t="s">
        <v>6</v>
      </c>
      <c r="E1497" s="3">
        <v>100.10000000000001</v>
      </c>
      <c r="F1497" t="str">
        <f t="shared" si="117"/>
        <v>marketing</v>
      </c>
      <c r="G1497" s="7" t="s">
        <v>6</v>
      </c>
      <c r="H1497">
        <f t="shared" si="119"/>
        <v>2024</v>
      </c>
      <c r="I1497">
        <f t="shared" si="120"/>
        <v>7</v>
      </c>
      <c r="J1497">
        <f t="shared" si="116"/>
        <v>-1451.79</v>
      </c>
    </row>
    <row r="1498" spans="1:10" ht="12.5" x14ac:dyDescent="0.25">
      <c r="A1498" s="1">
        <v>45499</v>
      </c>
      <c r="B1498" s="2" t="s">
        <v>11</v>
      </c>
      <c r="C1498" s="3">
        <v>9.99</v>
      </c>
      <c r="D1498" s="3">
        <v>87</v>
      </c>
      <c r="E1498" s="3">
        <v>869.13</v>
      </c>
      <c r="F1498" t="str">
        <f t="shared" si="117"/>
        <v>net sales</v>
      </c>
      <c r="G1498" s="7" t="str">
        <f t="shared" si="118"/>
        <v>product 1</v>
      </c>
      <c r="H1498">
        <f t="shared" si="119"/>
        <v>2024</v>
      </c>
      <c r="I1498">
        <f t="shared" si="120"/>
        <v>7</v>
      </c>
      <c r="J1498">
        <f t="shared" si="116"/>
        <v>-100.06</v>
      </c>
    </row>
    <row r="1499" spans="1:10" ht="12.5" x14ac:dyDescent="0.25">
      <c r="A1499" s="1">
        <v>45499</v>
      </c>
      <c r="B1499" s="2" t="s">
        <v>12</v>
      </c>
      <c r="C1499" s="3">
        <v>24.99</v>
      </c>
      <c r="D1499" s="3">
        <v>5</v>
      </c>
      <c r="E1499" s="3">
        <v>124.94999999999999</v>
      </c>
      <c r="F1499" t="str">
        <f t="shared" si="117"/>
        <v>net sales</v>
      </c>
      <c r="G1499" s="7" t="str">
        <f t="shared" si="118"/>
        <v>product 2</v>
      </c>
      <c r="H1499">
        <f t="shared" si="119"/>
        <v>2024</v>
      </c>
      <c r="I1499">
        <f t="shared" si="120"/>
        <v>7</v>
      </c>
      <c r="J1499">
        <f t="shared" si="116"/>
        <v>959.04</v>
      </c>
    </row>
    <row r="1500" spans="1:10" ht="12.5" x14ac:dyDescent="0.25">
      <c r="A1500" s="1">
        <v>45499</v>
      </c>
      <c r="B1500" s="2" t="s">
        <v>13</v>
      </c>
      <c r="C1500" s="3">
        <v>12.49</v>
      </c>
      <c r="D1500" s="3">
        <v>50</v>
      </c>
      <c r="E1500" s="3">
        <v>624.5</v>
      </c>
      <c r="F1500" t="str">
        <f t="shared" si="117"/>
        <v>net sales</v>
      </c>
      <c r="G1500" s="7" t="str">
        <f t="shared" si="118"/>
        <v>product 3</v>
      </c>
      <c r="H1500">
        <f t="shared" si="119"/>
        <v>2024</v>
      </c>
      <c r="I1500">
        <f t="shared" si="120"/>
        <v>7</v>
      </c>
      <c r="J1500">
        <f t="shared" ref="J1500:J1563" si="121">IF(F1283="net sales",E1283,
IF(F1283="cogs",-E1283,
IF(OR(F1283="marketing",F1283="overhead",F1283="payroll",F1283="interest","amortization"),-E1283,0)))</f>
        <v>24.99</v>
      </c>
    </row>
    <row r="1501" spans="1:10" ht="12.5" x14ac:dyDescent="0.25">
      <c r="A1501" s="1">
        <v>45500</v>
      </c>
      <c r="B1501" s="2" t="s">
        <v>7</v>
      </c>
      <c r="C1501" s="3">
        <v>5.99</v>
      </c>
      <c r="D1501" s="3">
        <v>63</v>
      </c>
      <c r="E1501" s="3">
        <v>377.37</v>
      </c>
      <c r="F1501" t="str">
        <f t="shared" si="117"/>
        <v>cogs</v>
      </c>
      <c r="G1501" s="7" t="str">
        <f t="shared" si="118"/>
        <v>product 1</v>
      </c>
      <c r="H1501">
        <f t="shared" si="119"/>
        <v>2024</v>
      </c>
      <c r="I1501">
        <f t="shared" si="120"/>
        <v>7</v>
      </c>
      <c r="J1501">
        <f t="shared" si="121"/>
        <v>2135.79</v>
      </c>
    </row>
    <row r="1502" spans="1:10" ht="12.5" x14ac:dyDescent="0.25">
      <c r="A1502" s="1">
        <v>45500</v>
      </c>
      <c r="B1502" s="2" t="s">
        <v>8</v>
      </c>
      <c r="C1502" s="3">
        <v>16.989999999999998</v>
      </c>
      <c r="D1502" s="3">
        <v>10</v>
      </c>
      <c r="E1502" s="3">
        <v>169.89999999999998</v>
      </c>
      <c r="F1502" t="str">
        <f t="shared" si="117"/>
        <v>cogs</v>
      </c>
      <c r="G1502" s="7" t="str">
        <f t="shared" si="118"/>
        <v>product 2</v>
      </c>
      <c r="H1502">
        <f t="shared" si="119"/>
        <v>2024</v>
      </c>
      <c r="I1502">
        <f t="shared" si="120"/>
        <v>7</v>
      </c>
      <c r="J1502">
        <f t="shared" si="121"/>
        <v>-389.35</v>
      </c>
    </row>
    <row r="1503" spans="1:10" ht="12.5" x14ac:dyDescent="0.25">
      <c r="A1503" s="1">
        <v>45500</v>
      </c>
      <c r="B1503" s="2" t="s">
        <v>9</v>
      </c>
      <c r="C1503" s="3">
        <v>8.49</v>
      </c>
      <c r="D1503" s="3">
        <v>200</v>
      </c>
      <c r="E1503" s="3">
        <v>1698</v>
      </c>
      <c r="F1503" t="str">
        <f t="shared" si="117"/>
        <v>cogs</v>
      </c>
      <c r="G1503" s="7" t="str">
        <f t="shared" si="118"/>
        <v>product 3</v>
      </c>
      <c r="H1503">
        <f t="shared" si="119"/>
        <v>2024</v>
      </c>
      <c r="I1503">
        <f t="shared" si="120"/>
        <v>7</v>
      </c>
      <c r="J1503">
        <f t="shared" si="121"/>
        <v>-152.91</v>
      </c>
    </row>
    <row r="1504" spans="1:10" ht="12.5" x14ac:dyDescent="0.25">
      <c r="A1504" s="1">
        <v>45500</v>
      </c>
      <c r="B1504" s="2" t="s">
        <v>10</v>
      </c>
      <c r="C1504" s="2" t="s">
        <v>6</v>
      </c>
      <c r="D1504" s="2" t="s">
        <v>6</v>
      </c>
      <c r="E1504" s="3">
        <v>99.94</v>
      </c>
      <c r="F1504" t="str">
        <f t="shared" si="117"/>
        <v>marketing</v>
      </c>
      <c r="G1504" s="7" t="s">
        <v>6</v>
      </c>
      <c r="H1504">
        <f t="shared" si="119"/>
        <v>2024</v>
      </c>
      <c r="I1504">
        <f t="shared" si="120"/>
        <v>7</v>
      </c>
      <c r="J1504">
        <f t="shared" si="121"/>
        <v>-1332.93</v>
      </c>
    </row>
    <row r="1505" spans="1:10" ht="12.5" x14ac:dyDescent="0.25">
      <c r="A1505" s="1">
        <v>45500</v>
      </c>
      <c r="B1505" s="2" t="s">
        <v>11</v>
      </c>
      <c r="C1505" s="3">
        <v>9.99</v>
      </c>
      <c r="D1505" s="3">
        <v>63</v>
      </c>
      <c r="E1505" s="3">
        <v>629.37</v>
      </c>
      <c r="F1505" t="str">
        <f t="shared" si="117"/>
        <v>net sales</v>
      </c>
      <c r="G1505" s="7" t="str">
        <f t="shared" si="118"/>
        <v>product 1</v>
      </c>
      <c r="H1505">
        <f t="shared" si="119"/>
        <v>2024</v>
      </c>
      <c r="I1505">
        <f t="shared" si="120"/>
        <v>7</v>
      </c>
      <c r="J1505">
        <f t="shared" si="121"/>
        <v>-100.01</v>
      </c>
    </row>
    <row r="1506" spans="1:10" ht="12.5" x14ac:dyDescent="0.25">
      <c r="A1506" s="1">
        <v>45500</v>
      </c>
      <c r="B1506" s="2" t="s">
        <v>12</v>
      </c>
      <c r="C1506" s="3">
        <v>24.99</v>
      </c>
      <c r="D1506" s="3">
        <v>10</v>
      </c>
      <c r="E1506" s="3">
        <v>249.89999999999998</v>
      </c>
      <c r="F1506" t="str">
        <f t="shared" si="117"/>
        <v>net sales</v>
      </c>
      <c r="G1506" s="7" t="str">
        <f t="shared" si="118"/>
        <v>product 2</v>
      </c>
      <c r="H1506">
        <f t="shared" si="119"/>
        <v>2024</v>
      </c>
      <c r="I1506">
        <f t="shared" si="120"/>
        <v>7</v>
      </c>
      <c r="J1506">
        <f t="shared" si="121"/>
        <v>649.35</v>
      </c>
    </row>
    <row r="1507" spans="1:10" ht="12.5" x14ac:dyDescent="0.25">
      <c r="A1507" s="1">
        <v>45500</v>
      </c>
      <c r="B1507" s="2" t="s">
        <v>13</v>
      </c>
      <c r="C1507" s="3">
        <v>12.49</v>
      </c>
      <c r="D1507" s="3">
        <v>200</v>
      </c>
      <c r="E1507" s="3">
        <v>2498</v>
      </c>
      <c r="F1507" t="str">
        <f t="shared" si="117"/>
        <v>net sales</v>
      </c>
      <c r="G1507" s="7" t="str">
        <f t="shared" si="118"/>
        <v>product 3</v>
      </c>
      <c r="H1507">
        <f t="shared" si="119"/>
        <v>2024</v>
      </c>
      <c r="I1507">
        <f t="shared" si="120"/>
        <v>7</v>
      </c>
      <c r="J1507">
        <f t="shared" si="121"/>
        <v>224.91</v>
      </c>
    </row>
    <row r="1508" spans="1:10" ht="12.5" x14ac:dyDescent="0.25">
      <c r="A1508" s="1">
        <v>45501</v>
      </c>
      <c r="B1508" s="2" t="s">
        <v>7</v>
      </c>
      <c r="C1508" s="3">
        <v>5.99</v>
      </c>
      <c r="D1508" s="3">
        <v>90</v>
      </c>
      <c r="E1508" s="3">
        <v>539.1</v>
      </c>
      <c r="F1508" t="str">
        <f t="shared" si="117"/>
        <v>cogs</v>
      </c>
      <c r="G1508" s="7" t="str">
        <f t="shared" si="118"/>
        <v>product 1</v>
      </c>
      <c r="H1508">
        <f t="shared" si="119"/>
        <v>2024</v>
      </c>
      <c r="I1508">
        <f t="shared" si="120"/>
        <v>7</v>
      </c>
      <c r="J1508">
        <f t="shared" si="121"/>
        <v>1960.93</v>
      </c>
    </row>
    <row r="1509" spans="1:10" ht="12.5" x14ac:dyDescent="0.25">
      <c r="A1509" s="1">
        <v>45501</v>
      </c>
      <c r="B1509" s="2" t="s">
        <v>8</v>
      </c>
      <c r="C1509" s="3">
        <v>16.989999999999998</v>
      </c>
      <c r="D1509" s="3">
        <v>4</v>
      </c>
      <c r="E1509" s="3">
        <v>67.959999999999994</v>
      </c>
      <c r="F1509" t="str">
        <f t="shared" si="117"/>
        <v>cogs</v>
      </c>
      <c r="G1509" s="7" t="str">
        <f t="shared" si="118"/>
        <v>product 2</v>
      </c>
      <c r="H1509">
        <f t="shared" si="119"/>
        <v>2024</v>
      </c>
      <c r="I1509">
        <f t="shared" si="120"/>
        <v>7</v>
      </c>
      <c r="J1509">
        <f t="shared" si="121"/>
        <v>-191.68</v>
      </c>
    </row>
    <row r="1510" spans="1:10" ht="12.5" x14ac:dyDescent="0.25">
      <c r="A1510" s="1">
        <v>45501</v>
      </c>
      <c r="B1510" s="2" t="s">
        <v>9</v>
      </c>
      <c r="C1510" s="3">
        <v>8.49</v>
      </c>
      <c r="D1510" s="3">
        <v>76</v>
      </c>
      <c r="E1510" s="3">
        <v>645.24</v>
      </c>
      <c r="F1510" t="str">
        <f t="shared" si="117"/>
        <v>cogs</v>
      </c>
      <c r="G1510" s="7" t="str">
        <f t="shared" si="118"/>
        <v>product 3</v>
      </c>
      <c r="H1510">
        <f t="shared" si="119"/>
        <v>2024</v>
      </c>
      <c r="I1510">
        <f t="shared" si="120"/>
        <v>7</v>
      </c>
      <c r="J1510">
        <f t="shared" si="121"/>
        <v>-84.949999999999989</v>
      </c>
    </row>
    <row r="1511" spans="1:10" ht="12.5" x14ac:dyDescent="0.25">
      <c r="A1511" s="1">
        <v>45501</v>
      </c>
      <c r="B1511" s="2" t="s">
        <v>10</v>
      </c>
      <c r="C1511" s="2" t="s">
        <v>6</v>
      </c>
      <c r="D1511" s="2" t="s">
        <v>6</v>
      </c>
      <c r="E1511" s="3">
        <v>99.9</v>
      </c>
      <c r="F1511" t="str">
        <f t="shared" si="117"/>
        <v>marketing</v>
      </c>
      <c r="G1511" s="7" t="s">
        <v>6</v>
      </c>
      <c r="H1511">
        <f t="shared" si="119"/>
        <v>2024</v>
      </c>
      <c r="I1511">
        <f t="shared" si="120"/>
        <v>7</v>
      </c>
      <c r="J1511">
        <f t="shared" si="121"/>
        <v>-33.96</v>
      </c>
    </row>
    <row r="1512" spans="1:10" ht="12.5" x14ac:dyDescent="0.25">
      <c r="A1512" s="1">
        <v>45501</v>
      </c>
      <c r="B1512" s="2" t="s">
        <v>11</v>
      </c>
      <c r="C1512" s="3">
        <v>9.99</v>
      </c>
      <c r="D1512" s="3">
        <v>90</v>
      </c>
      <c r="E1512" s="3">
        <v>899.1</v>
      </c>
      <c r="F1512" t="str">
        <f t="shared" si="117"/>
        <v>net sales</v>
      </c>
      <c r="G1512" s="7" t="str">
        <f t="shared" si="118"/>
        <v>product 1</v>
      </c>
      <c r="H1512">
        <f t="shared" si="119"/>
        <v>2024</v>
      </c>
      <c r="I1512">
        <f t="shared" si="120"/>
        <v>7</v>
      </c>
      <c r="J1512">
        <f t="shared" si="121"/>
        <v>-100.04</v>
      </c>
    </row>
    <row r="1513" spans="1:10" ht="12.5" x14ac:dyDescent="0.25">
      <c r="A1513" s="1">
        <v>45501</v>
      </c>
      <c r="B1513" s="2" t="s">
        <v>12</v>
      </c>
      <c r="C1513" s="3">
        <v>24.99</v>
      </c>
      <c r="D1513" s="3">
        <v>4</v>
      </c>
      <c r="E1513" s="3">
        <v>99.96</v>
      </c>
      <c r="F1513" t="str">
        <f t="shared" si="117"/>
        <v>net sales</v>
      </c>
      <c r="G1513" s="7" t="str">
        <f t="shared" si="118"/>
        <v>product 2</v>
      </c>
      <c r="H1513">
        <f t="shared" si="119"/>
        <v>2024</v>
      </c>
      <c r="I1513">
        <f t="shared" si="120"/>
        <v>7</v>
      </c>
      <c r="J1513">
        <f t="shared" si="121"/>
        <v>319.68</v>
      </c>
    </row>
    <row r="1514" spans="1:10" ht="12.5" x14ac:dyDescent="0.25">
      <c r="A1514" s="1">
        <v>45501</v>
      </c>
      <c r="B1514" s="2" t="s">
        <v>13</v>
      </c>
      <c r="C1514" s="3">
        <v>12.49</v>
      </c>
      <c r="D1514" s="3">
        <v>76</v>
      </c>
      <c r="E1514" s="3">
        <v>949.24</v>
      </c>
      <c r="F1514" t="str">
        <f t="shared" si="117"/>
        <v>net sales</v>
      </c>
      <c r="G1514" s="7" t="str">
        <f t="shared" si="118"/>
        <v>product 3</v>
      </c>
      <c r="H1514">
        <f t="shared" si="119"/>
        <v>2024</v>
      </c>
      <c r="I1514">
        <f t="shared" si="120"/>
        <v>7</v>
      </c>
      <c r="J1514">
        <f t="shared" si="121"/>
        <v>124.94999999999999</v>
      </c>
    </row>
    <row r="1515" spans="1:10" ht="12.5" x14ac:dyDescent="0.25">
      <c r="A1515" s="1">
        <v>45502</v>
      </c>
      <c r="B1515" s="2" t="s">
        <v>7</v>
      </c>
      <c r="C1515" s="3">
        <v>5.99</v>
      </c>
      <c r="D1515" s="3">
        <v>71</v>
      </c>
      <c r="E1515" s="3">
        <v>425.29</v>
      </c>
      <c r="F1515" t="str">
        <f t="shared" si="117"/>
        <v>cogs</v>
      </c>
      <c r="G1515" s="7" t="str">
        <f t="shared" si="118"/>
        <v>product 1</v>
      </c>
      <c r="H1515">
        <f t="shared" si="119"/>
        <v>2024</v>
      </c>
      <c r="I1515">
        <f t="shared" si="120"/>
        <v>7</v>
      </c>
      <c r="J1515">
        <f t="shared" si="121"/>
        <v>49.96</v>
      </c>
    </row>
    <row r="1516" spans="1:10" ht="12.5" x14ac:dyDescent="0.25">
      <c r="A1516" s="1">
        <v>45502</v>
      </c>
      <c r="B1516" s="2" t="s">
        <v>8</v>
      </c>
      <c r="C1516" s="3">
        <v>16.989999999999998</v>
      </c>
      <c r="D1516" s="3">
        <v>0</v>
      </c>
      <c r="E1516" s="2">
        <f>C1516*D1516</f>
        <v>0</v>
      </c>
      <c r="F1516" t="str">
        <f t="shared" si="117"/>
        <v>cogs</v>
      </c>
      <c r="G1516" s="7" t="str">
        <f t="shared" si="118"/>
        <v>product 2</v>
      </c>
      <c r="H1516">
        <f t="shared" si="119"/>
        <v>2024</v>
      </c>
      <c r="I1516">
        <f t="shared" si="120"/>
        <v>7</v>
      </c>
      <c r="J1516">
        <f t="shared" si="121"/>
        <v>-209.65</v>
      </c>
    </row>
    <row r="1517" spans="1:10" ht="12.5" x14ac:dyDescent="0.25">
      <c r="A1517" s="1">
        <v>45502</v>
      </c>
      <c r="B1517" s="2" t="s">
        <v>9</v>
      </c>
      <c r="C1517" s="3">
        <v>8.49</v>
      </c>
      <c r="D1517" s="3">
        <v>205</v>
      </c>
      <c r="E1517" s="3">
        <v>1740.45</v>
      </c>
      <c r="F1517" t="str">
        <f t="shared" si="117"/>
        <v>cogs</v>
      </c>
      <c r="G1517" s="7" t="str">
        <f t="shared" si="118"/>
        <v>product 3</v>
      </c>
      <c r="H1517">
        <f t="shared" si="119"/>
        <v>2024</v>
      </c>
      <c r="I1517">
        <f t="shared" si="120"/>
        <v>7</v>
      </c>
      <c r="J1517">
        <f t="shared" si="121"/>
        <v>-67.959999999999994</v>
      </c>
    </row>
    <row r="1518" spans="1:10" ht="12.5" x14ac:dyDescent="0.25">
      <c r="A1518" s="1">
        <v>45502</v>
      </c>
      <c r="B1518" s="2" t="s">
        <v>10</v>
      </c>
      <c r="C1518" s="2" t="s">
        <v>6</v>
      </c>
      <c r="D1518" s="2" t="s">
        <v>6</v>
      </c>
      <c r="E1518" s="3">
        <v>99.93</v>
      </c>
      <c r="F1518" t="str">
        <f t="shared" si="117"/>
        <v>marketing</v>
      </c>
      <c r="G1518" s="7" t="s">
        <v>6</v>
      </c>
      <c r="H1518">
        <f t="shared" si="119"/>
        <v>2024</v>
      </c>
      <c r="I1518">
        <f t="shared" si="120"/>
        <v>7</v>
      </c>
      <c r="J1518">
        <f t="shared" si="121"/>
        <v>0</v>
      </c>
    </row>
    <row r="1519" spans="1:10" ht="12.5" x14ac:dyDescent="0.25">
      <c r="A1519" s="1">
        <v>45502</v>
      </c>
      <c r="B1519" s="2" t="s">
        <v>11</v>
      </c>
      <c r="C1519" s="3">
        <v>9.99</v>
      </c>
      <c r="D1519" s="3">
        <v>71</v>
      </c>
      <c r="E1519" s="3">
        <v>709.29</v>
      </c>
      <c r="F1519" t="str">
        <f t="shared" si="117"/>
        <v>net sales</v>
      </c>
      <c r="G1519" s="7" t="str">
        <f t="shared" si="118"/>
        <v>product 1</v>
      </c>
      <c r="H1519">
        <f t="shared" si="119"/>
        <v>2024</v>
      </c>
      <c r="I1519">
        <f t="shared" si="120"/>
        <v>7</v>
      </c>
      <c r="J1519">
        <f t="shared" si="121"/>
        <v>-100.04</v>
      </c>
    </row>
    <row r="1520" spans="1:10" ht="12.5" x14ac:dyDescent="0.25">
      <c r="A1520" s="1">
        <v>45502</v>
      </c>
      <c r="B1520" s="2" t="s">
        <v>12</v>
      </c>
      <c r="C1520" s="3">
        <v>24.99</v>
      </c>
      <c r="D1520" s="3">
        <v>0</v>
      </c>
      <c r="E1520" s="2">
        <f>C1520*D1520</f>
        <v>0</v>
      </c>
      <c r="F1520" t="str">
        <f t="shared" si="117"/>
        <v>net sales</v>
      </c>
      <c r="G1520" s="7" t="str">
        <f t="shared" si="118"/>
        <v>product 2</v>
      </c>
      <c r="H1520">
        <f t="shared" si="119"/>
        <v>2024</v>
      </c>
      <c r="I1520">
        <f t="shared" si="120"/>
        <v>7</v>
      </c>
      <c r="J1520">
        <f t="shared" si="121"/>
        <v>349.65000000000003</v>
      </c>
    </row>
    <row r="1521" spans="1:10" ht="12.5" x14ac:dyDescent="0.25">
      <c r="A1521" s="1">
        <v>45502</v>
      </c>
      <c r="B1521" s="2" t="s">
        <v>13</v>
      </c>
      <c r="C1521" s="3">
        <v>12.49</v>
      </c>
      <c r="D1521" s="3">
        <v>205</v>
      </c>
      <c r="E1521" s="3">
        <v>2560.4499999999998</v>
      </c>
      <c r="F1521" t="str">
        <f t="shared" si="117"/>
        <v>net sales</v>
      </c>
      <c r="G1521" s="7" t="str">
        <f t="shared" si="118"/>
        <v>product 3</v>
      </c>
      <c r="H1521">
        <f t="shared" si="119"/>
        <v>2024</v>
      </c>
      <c r="I1521">
        <f t="shared" si="120"/>
        <v>7</v>
      </c>
      <c r="J1521">
        <f t="shared" si="121"/>
        <v>99.96</v>
      </c>
    </row>
    <row r="1522" spans="1:10" ht="12.5" x14ac:dyDescent="0.25">
      <c r="A1522" s="1">
        <v>45503</v>
      </c>
      <c r="B1522" s="2" t="s">
        <v>7</v>
      </c>
      <c r="C1522" s="3">
        <v>5.99</v>
      </c>
      <c r="D1522" s="3">
        <v>36</v>
      </c>
      <c r="E1522" s="3">
        <v>215.64000000000001</v>
      </c>
      <c r="F1522" t="str">
        <f t="shared" si="117"/>
        <v>cogs</v>
      </c>
      <c r="G1522" s="7" t="str">
        <f t="shared" si="118"/>
        <v>product 1</v>
      </c>
      <c r="H1522">
        <f t="shared" si="119"/>
        <v>2024</v>
      </c>
      <c r="I1522">
        <f t="shared" si="120"/>
        <v>7</v>
      </c>
      <c r="J1522">
        <f t="shared" si="121"/>
        <v>0</v>
      </c>
    </row>
    <row r="1523" spans="1:10" ht="12.5" x14ac:dyDescent="0.25">
      <c r="A1523" s="1">
        <v>45503</v>
      </c>
      <c r="B1523" s="2" t="s">
        <v>8</v>
      </c>
      <c r="C1523" s="3">
        <v>16.989999999999998</v>
      </c>
      <c r="D1523" s="3">
        <v>1</v>
      </c>
      <c r="E1523" s="3">
        <v>16.989999999999998</v>
      </c>
      <c r="F1523" t="str">
        <f t="shared" si="117"/>
        <v>cogs</v>
      </c>
      <c r="G1523" s="7" t="str">
        <f t="shared" si="118"/>
        <v>product 2</v>
      </c>
      <c r="H1523">
        <f t="shared" si="119"/>
        <v>2024</v>
      </c>
      <c r="I1523">
        <f t="shared" si="120"/>
        <v>7</v>
      </c>
      <c r="J1523">
        <f t="shared" si="121"/>
        <v>-545.09</v>
      </c>
    </row>
    <row r="1524" spans="1:10" ht="12.5" x14ac:dyDescent="0.25">
      <c r="A1524" s="1">
        <v>45503</v>
      </c>
      <c r="B1524" s="2" t="s">
        <v>9</v>
      </c>
      <c r="C1524" s="3">
        <v>8.49</v>
      </c>
      <c r="D1524" s="3">
        <v>80</v>
      </c>
      <c r="E1524" s="3">
        <v>679.2</v>
      </c>
      <c r="F1524" t="str">
        <f t="shared" si="117"/>
        <v>cogs</v>
      </c>
      <c r="G1524" s="7" t="str">
        <f t="shared" si="118"/>
        <v>product 3</v>
      </c>
      <c r="H1524">
        <f t="shared" si="119"/>
        <v>2024</v>
      </c>
      <c r="I1524">
        <f t="shared" si="120"/>
        <v>7</v>
      </c>
      <c r="J1524">
        <f t="shared" si="121"/>
        <v>-135.91999999999999</v>
      </c>
    </row>
    <row r="1525" spans="1:10" ht="12.5" x14ac:dyDescent="0.25">
      <c r="A1525" s="1">
        <v>45503</v>
      </c>
      <c r="B1525" s="2" t="s">
        <v>10</v>
      </c>
      <c r="C1525" s="2" t="s">
        <v>6</v>
      </c>
      <c r="D1525" s="2" t="s">
        <v>6</v>
      </c>
      <c r="E1525" s="3">
        <v>100.03</v>
      </c>
      <c r="F1525" t="str">
        <f t="shared" si="117"/>
        <v>marketing</v>
      </c>
      <c r="G1525" s="7" t="s">
        <v>6</v>
      </c>
      <c r="H1525">
        <f t="shared" si="119"/>
        <v>2024</v>
      </c>
      <c r="I1525">
        <f t="shared" si="120"/>
        <v>7</v>
      </c>
      <c r="J1525">
        <f t="shared" si="121"/>
        <v>-1078.23</v>
      </c>
    </row>
    <row r="1526" spans="1:10" ht="12.5" x14ac:dyDescent="0.25">
      <c r="A1526" s="1">
        <v>45503</v>
      </c>
      <c r="B1526" s="2" t="s">
        <v>11</v>
      </c>
      <c r="C1526" s="3">
        <v>9.99</v>
      </c>
      <c r="D1526" s="3">
        <v>36</v>
      </c>
      <c r="E1526" s="3">
        <v>359.64</v>
      </c>
      <c r="F1526" t="str">
        <f t="shared" si="117"/>
        <v>net sales</v>
      </c>
      <c r="G1526" s="7" t="str">
        <f t="shared" si="118"/>
        <v>product 1</v>
      </c>
      <c r="H1526">
        <f t="shared" si="119"/>
        <v>2024</v>
      </c>
      <c r="I1526">
        <f t="shared" si="120"/>
        <v>7</v>
      </c>
      <c r="J1526">
        <f t="shared" si="121"/>
        <v>-100</v>
      </c>
    </row>
    <row r="1527" spans="1:10" ht="12.5" x14ac:dyDescent="0.25">
      <c r="A1527" s="1">
        <v>45503</v>
      </c>
      <c r="B1527" s="2" t="s">
        <v>12</v>
      </c>
      <c r="C1527" s="3">
        <v>24.99</v>
      </c>
      <c r="D1527" s="3">
        <v>1</v>
      </c>
      <c r="E1527" s="3">
        <v>24.99</v>
      </c>
      <c r="F1527" t="str">
        <f t="shared" si="117"/>
        <v>net sales</v>
      </c>
      <c r="G1527" s="7" t="str">
        <f t="shared" si="118"/>
        <v>product 2</v>
      </c>
      <c r="H1527">
        <f t="shared" si="119"/>
        <v>2024</v>
      </c>
      <c r="I1527">
        <f t="shared" si="120"/>
        <v>7</v>
      </c>
      <c r="J1527">
        <f t="shared" si="121"/>
        <v>909.09</v>
      </c>
    </row>
    <row r="1528" spans="1:10" ht="12.5" x14ac:dyDescent="0.25">
      <c r="A1528" s="1">
        <v>45503</v>
      </c>
      <c r="B1528" s="2" t="s">
        <v>13</v>
      </c>
      <c r="C1528" s="3">
        <v>12.49</v>
      </c>
      <c r="D1528" s="3">
        <v>80</v>
      </c>
      <c r="E1528" s="3">
        <v>999.2</v>
      </c>
      <c r="F1528" t="str">
        <f t="shared" si="117"/>
        <v>net sales</v>
      </c>
      <c r="G1528" s="7" t="str">
        <f t="shared" si="118"/>
        <v>product 3</v>
      </c>
      <c r="H1528">
        <f t="shared" si="119"/>
        <v>2024</v>
      </c>
      <c r="I1528">
        <f t="shared" si="120"/>
        <v>7</v>
      </c>
      <c r="J1528">
        <f t="shared" si="121"/>
        <v>199.92</v>
      </c>
    </row>
    <row r="1529" spans="1:10" ht="12.5" x14ac:dyDescent="0.25">
      <c r="A1529" s="1">
        <v>45504</v>
      </c>
      <c r="B1529" s="2" t="s">
        <v>7</v>
      </c>
      <c r="C1529" s="3">
        <v>5.99</v>
      </c>
      <c r="D1529" s="3">
        <v>66</v>
      </c>
      <c r="E1529" s="3">
        <v>395.34000000000003</v>
      </c>
      <c r="F1529" t="str">
        <f t="shared" si="117"/>
        <v>cogs</v>
      </c>
      <c r="G1529" s="7" t="str">
        <f t="shared" si="118"/>
        <v>product 1</v>
      </c>
      <c r="H1529">
        <f t="shared" si="119"/>
        <v>2024</v>
      </c>
      <c r="I1529">
        <f t="shared" si="120"/>
        <v>7</v>
      </c>
      <c r="J1529">
        <f t="shared" si="121"/>
        <v>1586.23</v>
      </c>
    </row>
    <row r="1530" spans="1:10" ht="12.5" x14ac:dyDescent="0.25">
      <c r="A1530" s="1">
        <v>45504</v>
      </c>
      <c r="B1530" s="2" t="s">
        <v>8</v>
      </c>
      <c r="C1530" s="3">
        <v>16.989999999999998</v>
      </c>
      <c r="D1530" s="3">
        <v>6</v>
      </c>
      <c r="E1530" s="3">
        <v>101.94</v>
      </c>
      <c r="F1530" t="str">
        <f t="shared" si="117"/>
        <v>cogs</v>
      </c>
      <c r="G1530" s="7" t="str">
        <f t="shared" si="118"/>
        <v>product 2</v>
      </c>
      <c r="H1530">
        <f t="shared" si="119"/>
        <v>2024</v>
      </c>
      <c r="I1530">
        <f t="shared" si="120"/>
        <v>7</v>
      </c>
      <c r="J1530">
        <f t="shared" si="121"/>
        <v>0</v>
      </c>
    </row>
    <row r="1531" spans="1:10" ht="12.5" x14ac:dyDescent="0.25">
      <c r="A1531" s="1">
        <v>45504</v>
      </c>
      <c r="B1531" s="2" t="s">
        <v>9</v>
      </c>
      <c r="C1531" s="3">
        <v>8.49</v>
      </c>
      <c r="D1531" s="3">
        <v>1</v>
      </c>
      <c r="E1531" s="3">
        <v>8.49</v>
      </c>
      <c r="F1531" t="str">
        <f t="shared" si="117"/>
        <v>cogs</v>
      </c>
      <c r="G1531" s="7" t="str">
        <f t="shared" si="118"/>
        <v>product 3</v>
      </c>
      <c r="H1531">
        <f t="shared" si="119"/>
        <v>2024</v>
      </c>
      <c r="I1531">
        <f t="shared" si="120"/>
        <v>7</v>
      </c>
      <c r="J1531">
        <f t="shared" si="121"/>
        <v>-257.57</v>
      </c>
    </row>
    <row r="1532" spans="1:10" ht="12.5" x14ac:dyDescent="0.25">
      <c r="A1532" s="1">
        <v>45504</v>
      </c>
      <c r="B1532" s="2" t="s">
        <v>10</v>
      </c>
      <c r="C1532" s="2" t="s">
        <v>6</v>
      </c>
      <c r="D1532" s="2" t="s">
        <v>6</v>
      </c>
      <c r="E1532" s="3">
        <v>99.95</v>
      </c>
      <c r="F1532" t="str">
        <f t="shared" si="117"/>
        <v>marketing</v>
      </c>
      <c r="G1532" s="7" t="s">
        <v>6</v>
      </c>
      <c r="H1532">
        <f t="shared" si="119"/>
        <v>2024</v>
      </c>
      <c r="I1532">
        <f t="shared" si="120"/>
        <v>7</v>
      </c>
      <c r="J1532">
        <f t="shared" si="121"/>
        <v>-135.91999999999999</v>
      </c>
    </row>
    <row r="1533" spans="1:10" ht="12.5" x14ac:dyDescent="0.25">
      <c r="A1533" s="1">
        <v>45504</v>
      </c>
      <c r="B1533" s="2" t="s">
        <v>11</v>
      </c>
      <c r="C1533" s="3">
        <v>9.99</v>
      </c>
      <c r="D1533" s="3">
        <v>66</v>
      </c>
      <c r="E1533" s="3">
        <v>659.34</v>
      </c>
      <c r="F1533" t="str">
        <f t="shared" si="117"/>
        <v>net sales</v>
      </c>
      <c r="G1533" s="7" t="str">
        <f t="shared" si="118"/>
        <v>product 1</v>
      </c>
      <c r="H1533">
        <f t="shared" si="119"/>
        <v>2024</v>
      </c>
      <c r="I1533">
        <f t="shared" si="120"/>
        <v>7</v>
      </c>
      <c r="J1533">
        <f t="shared" si="121"/>
        <v>-161.31</v>
      </c>
    </row>
    <row r="1534" spans="1:10" ht="12.5" x14ac:dyDescent="0.25">
      <c r="A1534" s="1">
        <v>45504</v>
      </c>
      <c r="B1534" s="2" t="s">
        <v>12</v>
      </c>
      <c r="C1534" s="3">
        <v>24.99</v>
      </c>
      <c r="D1534" s="3">
        <v>6</v>
      </c>
      <c r="E1534" s="3">
        <v>149.94</v>
      </c>
      <c r="F1534" t="str">
        <f t="shared" si="117"/>
        <v>net sales</v>
      </c>
      <c r="G1534" s="7" t="str">
        <f t="shared" si="118"/>
        <v>product 2</v>
      </c>
      <c r="H1534">
        <f t="shared" si="119"/>
        <v>2024</v>
      </c>
      <c r="I1534">
        <f t="shared" si="120"/>
        <v>7</v>
      </c>
      <c r="J1534">
        <f t="shared" si="121"/>
        <v>-100.01</v>
      </c>
    </row>
    <row r="1535" spans="1:10" ht="12.5" x14ac:dyDescent="0.25">
      <c r="A1535" s="1">
        <v>45504</v>
      </c>
      <c r="B1535" s="2" t="s">
        <v>13</v>
      </c>
      <c r="C1535" s="3">
        <v>12.49</v>
      </c>
      <c r="D1535" s="3">
        <v>1</v>
      </c>
      <c r="E1535" s="3">
        <v>12.49</v>
      </c>
      <c r="F1535" t="str">
        <f t="shared" si="117"/>
        <v>net sales</v>
      </c>
      <c r="G1535" s="7" t="str">
        <f t="shared" si="118"/>
        <v>product 3</v>
      </c>
      <c r="H1535">
        <f t="shared" si="119"/>
        <v>2024</v>
      </c>
      <c r="I1535">
        <f t="shared" si="120"/>
        <v>7</v>
      </c>
      <c r="J1535">
        <f t="shared" si="121"/>
        <v>429.57</v>
      </c>
    </row>
    <row r="1536" spans="1:10" ht="12.5" x14ac:dyDescent="0.25">
      <c r="A1536" s="1">
        <v>45505</v>
      </c>
      <c r="B1536" s="2" t="s">
        <v>5</v>
      </c>
      <c r="C1536" s="2" t="s">
        <v>6</v>
      </c>
      <c r="D1536" s="2" t="s">
        <v>6</v>
      </c>
      <c r="E1536" s="3">
        <v>50</v>
      </c>
      <c r="F1536" t="str">
        <f t="shared" si="117"/>
        <v>amortization</v>
      </c>
      <c r="G1536" s="7" t="s">
        <v>6</v>
      </c>
      <c r="H1536">
        <f t="shared" si="119"/>
        <v>2024</v>
      </c>
      <c r="I1536">
        <f t="shared" si="120"/>
        <v>8</v>
      </c>
      <c r="J1536">
        <f t="shared" si="121"/>
        <v>199.92</v>
      </c>
    </row>
    <row r="1537" spans="1:10" ht="12.5" x14ac:dyDescent="0.25">
      <c r="A1537" s="1">
        <v>45505</v>
      </c>
      <c r="B1537" s="2" t="s">
        <v>7</v>
      </c>
      <c r="C1537" s="3">
        <v>5.99</v>
      </c>
      <c r="D1537" s="3">
        <v>59</v>
      </c>
      <c r="E1537" s="3">
        <v>353.41</v>
      </c>
      <c r="F1537" t="str">
        <f t="shared" si="117"/>
        <v>cogs</v>
      </c>
      <c r="G1537" s="7" t="str">
        <f t="shared" si="118"/>
        <v>product 1</v>
      </c>
      <c r="H1537">
        <f t="shared" si="119"/>
        <v>2024</v>
      </c>
      <c r="I1537">
        <f t="shared" si="120"/>
        <v>8</v>
      </c>
      <c r="J1537">
        <f t="shared" si="121"/>
        <v>237.31</v>
      </c>
    </row>
    <row r="1538" spans="1:10" ht="12.5" x14ac:dyDescent="0.25">
      <c r="A1538" s="1">
        <v>45505</v>
      </c>
      <c r="B1538" s="2" t="s">
        <v>8</v>
      </c>
      <c r="C1538" s="3">
        <v>16.989999999999998</v>
      </c>
      <c r="D1538" s="3">
        <v>4</v>
      </c>
      <c r="E1538" s="3">
        <v>67.959999999999994</v>
      </c>
      <c r="F1538" t="str">
        <f t="shared" si="117"/>
        <v>cogs</v>
      </c>
      <c r="G1538" s="7" t="str">
        <f t="shared" si="118"/>
        <v>product 2</v>
      </c>
      <c r="H1538">
        <f t="shared" si="119"/>
        <v>2024</v>
      </c>
      <c r="I1538">
        <f t="shared" si="120"/>
        <v>8</v>
      </c>
      <c r="J1538">
        <f t="shared" si="121"/>
        <v>-2000</v>
      </c>
    </row>
    <row r="1539" spans="1:10" ht="12.5" x14ac:dyDescent="0.25">
      <c r="A1539" s="1">
        <v>45505</v>
      </c>
      <c r="B1539" s="2" t="s">
        <v>9</v>
      </c>
      <c r="C1539" s="3">
        <v>8.49</v>
      </c>
      <c r="D1539" s="3">
        <v>138</v>
      </c>
      <c r="E1539" s="3">
        <v>1171.6200000000001</v>
      </c>
      <c r="F1539" t="str">
        <f t="shared" ref="F1539:F1602" si="122">IFERROR(LEFT(B1539,FIND(":",B1539)-1),B1539)</f>
        <v>cogs</v>
      </c>
      <c r="G1539" s="7" t="str">
        <f t="shared" ref="G1539:G1602" si="123">IFERROR(RIGHT(B1539,LEN(B1539)-FIND(":",B1539)),"")</f>
        <v>product 3</v>
      </c>
      <c r="H1539">
        <f t="shared" ref="H1539:H1602" si="124">YEAR(A1539)</f>
        <v>2024</v>
      </c>
      <c r="I1539">
        <f t="shared" ref="I1539:I1602" si="125">MONTH(A1539)</f>
        <v>8</v>
      </c>
      <c r="J1539">
        <f t="shared" si="121"/>
        <v>-509.15000000000003</v>
      </c>
    </row>
    <row r="1540" spans="1:10" ht="12.5" x14ac:dyDescent="0.25">
      <c r="A1540" s="1">
        <v>45505</v>
      </c>
      <c r="B1540" s="2" t="s">
        <v>10</v>
      </c>
      <c r="C1540" s="2" t="s">
        <v>6</v>
      </c>
      <c r="D1540" s="2" t="s">
        <v>6</v>
      </c>
      <c r="E1540" s="3">
        <v>100.07000000000001</v>
      </c>
      <c r="F1540" t="str">
        <f t="shared" si="122"/>
        <v>marketing</v>
      </c>
      <c r="G1540" s="7" t="s">
        <v>6</v>
      </c>
      <c r="H1540">
        <f t="shared" si="124"/>
        <v>2024</v>
      </c>
      <c r="I1540">
        <f t="shared" si="125"/>
        <v>8</v>
      </c>
      <c r="J1540">
        <f t="shared" si="121"/>
        <v>-67.959999999999994</v>
      </c>
    </row>
    <row r="1541" spans="1:10" ht="12.5" x14ac:dyDescent="0.25">
      <c r="A1541" s="1">
        <v>45505</v>
      </c>
      <c r="B1541" s="2" t="s">
        <v>11</v>
      </c>
      <c r="C1541" s="3">
        <v>9.99</v>
      </c>
      <c r="D1541" s="3">
        <v>59</v>
      </c>
      <c r="E1541" s="3">
        <v>589.41</v>
      </c>
      <c r="F1541" t="str">
        <f t="shared" si="122"/>
        <v>net sales</v>
      </c>
      <c r="G1541" s="7" t="str">
        <f t="shared" si="123"/>
        <v>product 1</v>
      </c>
      <c r="H1541">
        <f t="shared" si="124"/>
        <v>2024</v>
      </c>
      <c r="I1541">
        <f t="shared" si="125"/>
        <v>8</v>
      </c>
      <c r="J1541">
        <f t="shared" si="121"/>
        <v>-1366.89</v>
      </c>
    </row>
    <row r="1542" spans="1:10" ht="12.5" x14ac:dyDescent="0.25">
      <c r="A1542" s="1">
        <v>45505</v>
      </c>
      <c r="B1542" s="2" t="s">
        <v>12</v>
      </c>
      <c r="C1542" s="3">
        <v>24.99</v>
      </c>
      <c r="D1542" s="3">
        <v>4</v>
      </c>
      <c r="E1542" s="3">
        <v>99.96</v>
      </c>
      <c r="F1542" t="str">
        <f t="shared" si="122"/>
        <v>net sales</v>
      </c>
      <c r="G1542" s="7" t="str">
        <f t="shared" si="123"/>
        <v>product 2</v>
      </c>
      <c r="H1542">
        <f t="shared" si="124"/>
        <v>2024</v>
      </c>
      <c r="I1542">
        <f t="shared" si="125"/>
        <v>8</v>
      </c>
      <c r="J1542">
        <f t="shared" si="121"/>
        <v>-99.93</v>
      </c>
    </row>
    <row r="1543" spans="1:10" ht="12.5" x14ac:dyDescent="0.25">
      <c r="A1543" s="1">
        <v>45505</v>
      </c>
      <c r="B1543" s="2" t="s">
        <v>13</v>
      </c>
      <c r="C1543" s="3">
        <v>12.49</v>
      </c>
      <c r="D1543" s="3">
        <v>138</v>
      </c>
      <c r="E1543" s="3">
        <v>1723.6200000000001</v>
      </c>
      <c r="F1543" t="str">
        <f t="shared" si="122"/>
        <v>net sales</v>
      </c>
      <c r="G1543" s="7" t="str">
        <f t="shared" si="123"/>
        <v>product 3</v>
      </c>
      <c r="H1543">
        <f t="shared" si="124"/>
        <v>2024</v>
      </c>
      <c r="I1543">
        <f t="shared" si="125"/>
        <v>8</v>
      </c>
      <c r="J1543">
        <f t="shared" si="121"/>
        <v>849.15</v>
      </c>
    </row>
    <row r="1544" spans="1:10" ht="12.5" x14ac:dyDescent="0.25">
      <c r="A1544" s="1">
        <v>45505</v>
      </c>
      <c r="B1544" s="2" t="s">
        <v>14</v>
      </c>
      <c r="C1544" s="2" t="s">
        <v>6</v>
      </c>
      <c r="D1544" s="2" t="s">
        <v>6</v>
      </c>
      <c r="E1544" s="3">
        <v>2000</v>
      </c>
      <c r="F1544" t="str">
        <f t="shared" si="122"/>
        <v>overhead</v>
      </c>
      <c r="G1544" s="7" t="s">
        <v>6</v>
      </c>
      <c r="H1544">
        <f t="shared" si="124"/>
        <v>2024</v>
      </c>
      <c r="I1544">
        <f t="shared" si="125"/>
        <v>8</v>
      </c>
      <c r="J1544">
        <f t="shared" si="121"/>
        <v>99.96</v>
      </c>
    </row>
    <row r="1545" spans="1:10" ht="12.5" x14ac:dyDescent="0.25">
      <c r="A1545" s="1">
        <v>45506</v>
      </c>
      <c r="B1545" s="2" t="s">
        <v>7</v>
      </c>
      <c r="C1545" s="3">
        <v>5.99</v>
      </c>
      <c r="D1545" s="3">
        <v>2</v>
      </c>
      <c r="E1545" s="3">
        <v>11.98</v>
      </c>
      <c r="F1545" t="str">
        <f t="shared" si="122"/>
        <v>cogs</v>
      </c>
      <c r="G1545" s="7" t="str">
        <f t="shared" si="123"/>
        <v>product 1</v>
      </c>
      <c r="H1545">
        <f t="shared" si="124"/>
        <v>2024</v>
      </c>
      <c r="I1545">
        <f t="shared" si="125"/>
        <v>8</v>
      </c>
      <c r="J1545">
        <f t="shared" si="121"/>
        <v>2010.89</v>
      </c>
    </row>
    <row r="1546" spans="1:10" ht="12.5" x14ac:dyDescent="0.25">
      <c r="A1546" s="1">
        <v>45506</v>
      </c>
      <c r="B1546" s="2" t="s">
        <v>8</v>
      </c>
      <c r="C1546" s="3">
        <v>16.989999999999998</v>
      </c>
      <c r="D1546" s="3">
        <v>6</v>
      </c>
      <c r="E1546" s="3">
        <v>101.94</v>
      </c>
      <c r="F1546" t="str">
        <f t="shared" si="122"/>
        <v>cogs</v>
      </c>
      <c r="G1546" s="7" t="str">
        <f t="shared" si="123"/>
        <v>product 2</v>
      </c>
      <c r="H1546">
        <f t="shared" si="124"/>
        <v>2024</v>
      </c>
      <c r="I1546">
        <f t="shared" si="125"/>
        <v>8</v>
      </c>
      <c r="J1546">
        <f t="shared" si="121"/>
        <v>-167.72</v>
      </c>
    </row>
    <row r="1547" spans="1:10" ht="12.5" x14ac:dyDescent="0.25">
      <c r="A1547" s="1">
        <v>45506</v>
      </c>
      <c r="B1547" s="2" t="s">
        <v>9</v>
      </c>
      <c r="C1547" s="3">
        <v>8.49</v>
      </c>
      <c r="D1547" s="3">
        <v>66</v>
      </c>
      <c r="E1547" s="3">
        <v>560.34</v>
      </c>
      <c r="F1547" t="str">
        <f t="shared" si="122"/>
        <v>cogs</v>
      </c>
      <c r="G1547" s="7" t="str">
        <f t="shared" si="123"/>
        <v>product 3</v>
      </c>
      <c r="H1547">
        <f t="shared" si="124"/>
        <v>2024</v>
      </c>
      <c r="I1547">
        <f t="shared" si="125"/>
        <v>8</v>
      </c>
      <c r="J1547">
        <f t="shared" si="121"/>
        <v>0</v>
      </c>
    </row>
    <row r="1548" spans="1:10" ht="12.5" x14ac:dyDescent="0.25">
      <c r="A1548" s="1">
        <v>45506</v>
      </c>
      <c r="B1548" s="2" t="s">
        <v>10</v>
      </c>
      <c r="C1548" s="2" t="s">
        <v>6</v>
      </c>
      <c r="D1548" s="2" t="s">
        <v>6</v>
      </c>
      <c r="E1548" s="3">
        <v>100.04</v>
      </c>
      <c r="F1548" t="str">
        <f t="shared" si="122"/>
        <v>marketing</v>
      </c>
      <c r="G1548" s="7" t="s">
        <v>6</v>
      </c>
      <c r="H1548">
        <f t="shared" si="124"/>
        <v>2024</v>
      </c>
      <c r="I1548">
        <f t="shared" si="125"/>
        <v>8</v>
      </c>
      <c r="J1548">
        <f t="shared" si="121"/>
        <v>-1536.69</v>
      </c>
    </row>
    <row r="1549" spans="1:10" ht="12.5" x14ac:dyDescent="0.25">
      <c r="A1549" s="1">
        <v>45506</v>
      </c>
      <c r="B1549" s="2" t="s">
        <v>11</v>
      </c>
      <c r="C1549" s="3">
        <v>9.99</v>
      </c>
      <c r="D1549" s="3">
        <v>2</v>
      </c>
      <c r="E1549" s="3">
        <v>19.98</v>
      </c>
      <c r="F1549" t="str">
        <f t="shared" si="122"/>
        <v>net sales</v>
      </c>
      <c r="G1549" s="7" t="str">
        <f t="shared" si="123"/>
        <v>product 1</v>
      </c>
      <c r="H1549">
        <f t="shared" si="124"/>
        <v>2024</v>
      </c>
      <c r="I1549">
        <f t="shared" si="125"/>
        <v>8</v>
      </c>
      <c r="J1549">
        <f t="shared" si="121"/>
        <v>-99.94</v>
      </c>
    </row>
    <row r="1550" spans="1:10" ht="12.5" x14ac:dyDescent="0.25">
      <c r="A1550" s="1">
        <v>45506</v>
      </c>
      <c r="B1550" s="2" t="s">
        <v>12</v>
      </c>
      <c r="C1550" s="3">
        <v>24.99</v>
      </c>
      <c r="D1550" s="3">
        <v>6</v>
      </c>
      <c r="E1550" s="3">
        <v>149.94</v>
      </c>
      <c r="F1550" t="str">
        <f t="shared" si="122"/>
        <v>net sales</v>
      </c>
      <c r="G1550" s="7" t="str">
        <f t="shared" si="123"/>
        <v>product 2</v>
      </c>
      <c r="H1550">
        <f t="shared" si="124"/>
        <v>2024</v>
      </c>
      <c r="I1550">
        <f t="shared" si="125"/>
        <v>8</v>
      </c>
      <c r="J1550">
        <f t="shared" si="121"/>
        <v>279.72000000000003</v>
      </c>
    </row>
    <row r="1551" spans="1:10" ht="12.5" x14ac:dyDescent="0.25">
      <c r="A1551" s="1">
        <v>45506</v>
      </c>
      <c r="B1551" s="2" t="s">
        <v>13</v>
      </c>
      <c r="C1551" s="3">
        <v>12.49</v>
      </c>
      <c r="D1551" s="3">
        <v>66</v>
      </c>
      <c r="E1551" s="3">
        <v>824.34</v>
      </c>
      <c r="F1551" t="str">
        <f t="shared" si="122"/>
        <v>net sales</v>
      </c>
      <c r="G1551" s="7" t="str">
        <f t="shared" si="123"/>
        <v>product 3</v>
      </c>
      <c r="H1551">
        <f t="shared" si="124"/>
        <v>2024</v>
      </c>
      <c r="I1551">
        <f t="shared" si="125"/>
        <v>8</v>
      </c>
      <c r="J1551">
        <f t="shared" si="121"/>
        <v>0</v>
      </c>
    </row>
    <row r="1552" spans="1:10" ht="12.5" x14ac:dyDescent="0.25">
      <c r="A1552" s="1">
        <v>45506</v>
      </c>
      <c r="B1552" s="2" t="s">
        <v>15</v>
      </c>
      <c r="C1552" s="2" t="s">
        <v>6</v>
      </c>
      <c r="D1552" s="2" t="s">
        <v>6</v>
      </c>
      <c r="E1552" s="3">
        <v>1200</v>
      </c>
      <c r="F1552" t="str">
        <f t="shared" si="122"/>
        <v>payroll</v>
      </c>
      <c r="G1552" s="7" t="s">
        <v>6</v>
      </c>
      <c r="H1552">
        <f t="shared" si="124"/>
        <v>2024</v>
      </c>
      <c r="I1552">
        <f t="shared" si="125"/>
        <v>8</v>
      </c>
      <c r="J1552">
        <f t="shared" si="121"/>
        <v>2260.69</v>
      </c>
    </row>
    <row r="1553" spans="1:10" ht="12.5" x14ac:dyDescent="0.25">
      <c r="A1553" s="1">
        <v>45507</v>
      </c>
      <c r="B1553" s="2" t="s">
        <v>7</v>
      </c>
      <c r="C1553" s="3">
        <v>5.99</v>
      </c>
      <c r="D1553" s="3">
        <v>22</v>
      </c>
      <c r="E1553" s="3">
        <v>131.78</v>
      </c>
      <c r="F1553" t="str">
        <f t="shared" si="122"/>
        <v>cogs</v>
      </c>
      <c r="G1553" s="7" t="str">
        <f t="shared" si="123"/>
        <v>product 1</v>
      </c>
      <c r="H1553">
        <f t="shared" si="124"/>
        <v>2024</v>
      </c>
      <c r="I1553">
        <f t="shared" si="125"/>
        <v>8</v>
      </c>
      <c r="J1553">
        <f t="shared" si="121"/>
        <v>0</v>
      </c>
    </row>
    <row r="1554" spans="1:10" ht="12.5" x14ac:dyDescent="0.25">
      <c r="A1554" s="1">
        <v>45507</v>
      </c>
      <c r="B1554" s="2" t="s">
        <v>8</v>
      </c>
      <c r="C1554" s="3">
        <v>16.989999999999998</v>
      </c>
      <c r="D1554" s="3">
        <v>3</v>
      </c>
      <c r="E1554" s="3">
        <v>50.97</v>
      </c>
      <c r="F1554" t="str">
        <f t="shared" si="122"/>
        <v>cogs</v>
      </c>
      <c r="G1554" s="7" t="str">
        <f t="shared" si="123"/>
        <v>product 2</v>
      </c>
      <c r="H1554">
        <f t="shared" si="124"/>
        <v>2024</v>
      </c>
      <c r="I1554">
        <f t="shared" si="125"/>
        <v>8</v>
      </c>
      <c r="J1554">
        <f t="shared" si="121"/>
        <v>-33.979999999999997</v>
      </c>
    </row>
    <row r="1555" spans="1:10" ht="12.5" x14ac:dyDescent="0.25">
      <c r="A1555" s="1">
        <v>45507</v>
      </c>
      <c r="B1555" s="2" t="s">
        <v>9</v>
      </c>
      <c r="C1555" s="3">
        <v>8.49</v>
      </c>
      <c r="D1555" s="3">
        <v>181</v>
      </c>
      <c r="E1555" s="3">
        <v>1536.69</v>
      </c>
      <c r="F1555" t="str">
        <f t="shared" si="122"/>
        <v>cogs</v>
      </c>
      <c r="G1555" s="7" t="str">
        <f t="shared" si="123"/>
        <v>product 3</v>
      </c>
      <c r="H1555">
        <f t="shared" si="124"/>
        <v>2024</v>
      </c>
      <c r="I1555">
        <f t="shared" si="125"/>
        <v>8</v>
      </c>
      <c r="J1555">
        <f t="shared" si="121"/>
        <v>-1018.8000000000001</v>
      </c>
    </row>
    <row r="1556" spans="1:10" ht="12.5" x14ac:dyDescent="0.25">
      <c r="A1556" s="1">
        <v>45507</v>
      </c>
      <c r="B1556" s="2" t="s">
        <v>10</v>
      </c>
      <c r="C1556" s="2" t="s">
        <v>6</v>
      </c>
      <c r="D1556" s="2" t="s">
        <v>6</v>
      </c>
      <c r="E1556" s="3">
        <v>99.95</v>
      </c>
      <c r="F1556" t="str">
        <f t="shared" si="122"/>
        <v>marketing</v>
      </c>
      <c r="G1556" s="7" t="s">
        <v>6</v>
      </c>
      <c r="H1556">
        <f t="shared" si="124"/>
        <v>2024</v>
      </c>
      <c r="I1556">
        <f t="shared" si="125"/>
        <v>8</v>
      </c>
      <c r="J1556">
        <f t="shared" si="121"/>
        <v>-99.94</v>
      </c>
    </row>
    <row r="1557" spans="1:10" ht="12.5" x14ac:dyDescent="0.25">
      <c r="A1557" s="1">
        <v>45507</v>
      </c>
      <c r="B1557" s="2" t="s">
        <v>11</v>
      </c>
      <c r="C1557" s="3">
        <v>9.99</v>
      </c>
      <c r="D1557" s="3">
        <v>22</v>
      </c>
      <c r="E1557" s="3">
        <v>219.78</v>
      </c>
      <c r="F1557" t="str">
        <f t="shared" si="122"/>
        <v>net sales</v>
      </c>
      <c r="G1557" s="7" t="str">
        <f t="shared" si="123"/>
        <v>product 1</v>
      </c>
      <c r="H1557">
        <f t="shared" si="124"/>
        <v>2024</v>
      </c>
      <c r="I1557">
        <f t="shared" si="125"/>
        <v>8</v>
      </c>
      <c r="J1557">
        <f t="shared" si="121"/>
        <v>0</v>
      </c>
    </row>
    <row r="1558" spans="1:10" ht="12.5" x14ac:dyDescent="0.25">
      <c r="A1558" s="1">
        <v>45507</v>
      </c>
      <c r="B1558" s="2" t="s">
        <v>12</v>
      </c>
      <c r="C1558" s="3">
        <v>24.99</v>
      </c>
      <c r="D1558" s="3">
        <v>3</v>
      </c>
      <c r="E1558" s="3">
        <v>74.97</v>
      </c>
      <c r="F1558" t="str">
        <f t="shared" si="122"/>
        <v>net sales</v>
      </c>
      <c r="G1558" s="7" t="str">
        <f t="shared" si="123"/>
        <v>product 2</v>
      </c>
      <c r="H1558">
        <f t="shared" si="124"/>
        <v>2024</v>
      </c>
      <c r="I1558">
        <f t="shared" si="125"/>
        <v>8</v>
      </c>
      <c r="J1558">
        <f t="shared" si="121"/>
        <v>49.98</v>
      </c>
    </row>
    <row r="1559" spans="1:10" ht="12.5" x14ac:dyDescent="0.25">
      <c r="A1559" s="1">
        <v>45507</v>
      </c>
      <c r="B1559" s="2" t="s">
        <v>13</v>
      </c>
      <c r="C1559" s="3">
        <v>12.49</v>
      </c>
      <c r="D1559" s="3">
        <v>181</v>
      </c>
      <c r="E1559" s="3">
        <v>2260.69</v>
      </c>
      <c r="F1559" t="str">
        <f t="shared" si="122"/>
        <v>net sales</v>
      </c>
      <c r="G1559" s="7" t="str">
        <f t="shared" si="123"/>
        <v>product 3</v>
      </c>
      <c r="H1559">
        <f t="shared" si="124"/>
        <v>2024</v>
      </c>
      <c r="I1559">
        <f t="shared" si="125"/>
        <v>8</v>
      </c>
      <c r="J1559">
        <f t="shared" si="121"/>
        <v>1498.8</v>
      </c>
    </row>
    <row r="1560" spans="1:10" ht="12.5" x14ac:dyDescent="0.25">
      <c r="A1560" s="1">
        <v>45508</v>
      </c>
      <c r="B1560" s="2" t="s">
        <v>7</v>
      </c>
      <c r="C1560" s="3">
        <v>5.99</v>
      </c>
      <c r="D1560" s="3">
        <v>17</v>
      </c>
      <c r="E1560" s="3">
        <v>101.83</v>
      </c>
      <c r="F1560" t="str">
        <f t="shared" si="122"/>
        <v>cogs</v>
      </c>
      <c r="G1560" s="7" t="str">
        <f t="shared" si="123"/>
        <v>product 1</v>
      </c>
      <c r="H1560">
        <f t="shared" si="124"/>
        <v>2024</v>
      </c>
      <c r="I1560">
        <f t="shared" si="125"/>
        <v>8</v>
      </c>
      <c r="J1560">
        <f t="shared" si="121"/>
        <v>-23.96</v>
      </c>
    </row>
    <row r="1561" spans="1:10" ht="12.5" x14ac:dyDescent="0.25">
      <c r="A1561" s="1">
        <v>45508</v>
      </c>
      <c r="B1561" s="2" t="s">
        <v>8</v>
      </c>
      <c r="C1561" s="3">
        <v>16.989999999999998</v>
      </c>
      <c r="D1561" s="3">
        <v>0</v>
      </c>
      <c r="E1561" s="2">
        <f>C1561*D1561</f>
        <v>0</v>
      </c>
      <c r="F1561" t="str">
        <f t="shared" si="122"/>
        <v>cogs</v>
      </c>
      <c r="G1561" s="7" t="str">
        <f t="shared" si="123"/>
        <v>product 2</v>
      </c>
      <c r="H1561">
        <f t="shared" si="124"/>
        <v>2024</v>
      </c>
      <c r="I1561">
        <f t="shared" si="125"/>
        <v>8</v>
      </c>
      <c r="J1561">
        <f t="shared" si="121"/>
        <v>-135.91999999999999</v>
      </c>
    </row>
    <row r="1562" spans="1:10" ht="12.5" x14ac:dyDescent="0.25">
      <c r="A1562" s="1">
        <v>45508</v>
      </c>
      <c r="B1562" s="2" t="s">
        <v>9</v>
      </c>
      <c r="C1562" s="3">
        <v>8.49</v>
      </c>
      <c r="D1562" s="3">
        <v>103</v>
      </c>
      <c r="E1562" s="3">
        <v>874.47</v>
      </c>
      <c r="F1562" t="str">
        <f t="shared" si="122"/>
        <v>cogs</v>
      </c>
      <c r="G1562" s="7" t="str">
        <f t="shared" si="123"/>
        <v>product 3</v>
      </c>
      <c r="H1562">
        <f t="shared" si="124"/>
        <v>2024</v>
      </c>
      <c r="I1562">
        <f t="shared" si="125"/>
        <v>8</v>
      </c>
      <c r="J1562">
        <f t="shared" si="121"/>
        <v>-42.45</v>
      </c>
    </row>
    <row r="1563" spans="1:10" ht="12.5" x14ac:dyDescent="0.25">
      <c r="A1563" s="1">
        <v>45508</v>
      </c>
      <c r="B1563" s="2" t="s">
        <v>10</v>
      </c>
      <c r="C1563" s="2" t="s">
        <v>6</v>
      </c>
      <c r="D1563" s="2" t="s">
        <v>6</v>
      </c>
      <c r="E1563" s="3">
        <v>100.08</v>
      </c>
      <c r="F1563" t="str">
        <f t="shared" si="122"/>
        <v>marketing</v>
      </c>
      <c r="G1563" s="7" t="s">
        <v>6</v>
      </c>
      <c r="H1563">
        <f t="shared" si="124"/>
        <v>2024</v>
      </c>
      <c r="I1563">
        <f t="shared" si="125"/>
        <v>8</v>
      </c>
      <c r="J1563">
        <f t="shared" si="121"/>
        <v>-100.10000000000001</v>
      </c>
    </row>
    <row r="1564" spans="1:10" ht="12.5" x14ac:dyDescent="0.25">
      <c r="A1564" s="1">
        <v>45508</v>
      </c>
      <c r="B1564" s="2" t="s">
        <v>11</v>
      </c>
      <c r="C1564" s="3">
        <v>9.99</v>
      </c>
      <c r="D1564" s="3">
        <v>17</v>
      </c>
      <c r="E1564" s="3">
        <v>169.83</v>
      </c>
      <c r="F1564" t="str">
        <f t="shared" si="122"/>
        <v>net sales</v>
      </c>
      <c r="G1564" s="7" t="str">
        <f t="shared" si="123"/>
        <v>product 1</v>
      </c>
      <c r="H1564">
        <f t="shared" si="124"/>
        <v>2024</v>
      </c>
      <c r="I1564">
        <f t="shared" si="125"/>
        <v>8</v>
      </c>
      <c r="J1564">
        <f t="shared" ref="J1564:J1627" si="126">IF(F1347="net sales",E1347,
IF(F1347="cogs",-E1347,
IF(OR(F1347="marketing",F1347="overhead",F1347="payroll",F1347="interest","amortization"),-E1347,0)))</f>
        <v>39.96</v>
      </c>
    </row>
    <row r="1565" spans="1:10" ht="12.5" x14ac:dyDescent="0.25">
      <c r="A1565" s="1">
        <v>45508</v>
      </c>
      <c r="B1565" s="2" t="s">
        <v>12</v>
      </c>
      <c r="C1565" s="3">
        <v>24.99</v>
      </c>
      <c r="D1565" s="3">
        <v>0</v>
      </c>
      <c r="E1565" s="2">
        <f>C1565*D1565</f>
        <v>0</v>
      </c>
      <c r="F1565" t="str">
        <f t="shared" si="122"/>
        <v>net sales</v>
      </c>
      <c r="G1565" s="7" t="str">
        <f t="shared" si="123"/>
        <v>product 2</v>
      </c>
      <c r="H1565">
        <f t="shared" si="124"/>
        <v>2024</v>
      </c>
      <c r="I1565">
        <f t="shared" si="125"/>
        <v>8</v>
      </c>
      <c r="J1565">
        <f t="shared" si="126"/>
        <v>199.92</v>
      </c>
    </row>
    <row r="1566" spans="1:10" ht="12.5" x14ac:dyDescent="0.25">
      <c r="A1566" s="1">
        <v>45508</v>
      </c>
      <c r="B1566" s="2" t="s">
        <v>13</v>
      </c>
      <c r="C1566" s="3">
        <v>12.49</v>
      </c>
      <c r="D1566" s="3">
        <v>103</v>
      </c>
      <c r="E1566" s="3">
        <v>1286.47</v>
      </c>
      <c r="F1566" t="str">
        <f t="shared" si="122"/>
        <v>net sales</v>
      </c>
      <c r="G1566" s="7" t="str">
        <f t="shared" si="123"/>
        <v>product 3</v>
      </c>
      <c r="H1566">
        <f t="shared" si="124"/>
        <v>2024</v>
      </c>
      <c r="I1566">
        <f t="shared" si="125"/>
        <v>8</v>
      </c>
      <c r="J1566">
        <f t="shared" si="126"/>
        <v>62.45</v>
      </c>
    </row>
    <row r="1567" spans="1:10" ht="12.5" x14ac:dyDescent="0.25">
      <c r="A1567" s="1">
        <v>45509</v>
      </c>
      <c r="B1567" s="2" t="s">
        <v>7</v>
      </c>
      <c r="C1567" s="3">
        <v>5.99</v>
      </c>
      <c r="D1567" s="3">
        <v>13</v>
      </c>
      <c r="E1567" s="3">
        <v>77.87</v>
      </c>
      <c r="F1567" t="str">
        <f t="shared" si="122"/>
        <v>cogs</v>
      </c>
      <c r="G1567" s="7" t="str">
        <f t="shared" si="123"/>
        <v>product 1</v>
      </c>
      <c r="H1567">
        <f t="shared" si="124"/>
        <v>2024</v>
      </c>
      <c r="I1567">
        <f t="shared" si="125"/>
        <v>8</v>
      </c>
      <c r="J1567">
        <f t="shared" si="126"/>
        <v>-1200</v>
      </c>
    </row>
    <row r="1568" spans="1:10" ht="12.5" x14ac:dyDescent="0.25">
      <c r="A1568" s="1">
        <v>45509</v>
      </c>
      <c r="B1568" s="2" t="s">
        <v>8</v>
      </c>
      <c r="C1568" s="3">
        <v>16.989999999999998</v>
      </c>
      <c r="D1568" s="3">
        <v>7</v>
      </c>
      <c r="E1568" s="3">
        <v>118.92999999999999</v>
      </c>
      <c r="F1568" t="str">
        <f t="shared" si="122"/>
        <v>cogs</v>
      </c>
      <c r="G1568" s="7" t="str">
        <f t="shared" si="123"/>
        <v>product 2</v>
      </c>
      <c r="H1568">
        <f t="shared" si="124"/>
        <v>2024</v>
      </c>
      <c r="I1568">
        <f t="shared" si="125"/>
        <v>8</v>
      </c>
      <c r="J1568">
        <f t="shared" si="126"/>
        <v>-287.52</v>
      </c>
    </row>
    <row r="1569" spans="1:10" ht="12.5" x14ac:dyDescent="0.25">
      <c r="A1569" s="1">
        <v>45509</v>
      </c>
      <c r="B1569" s="2" t="s">
        <v>9</v>
      </c>
      <c r="C1569" s="3">
        <v>8.49</v>
      </c>
      <c r="D1569" s="3">
        <v>138</v>
      </c>
      <c r="E1569" s="3">
        <v>1171.6200000000001</v>
      </c>
      <c r="F1569" t="str">
        <f t="shared" si="122"/>
        <v>cogs</v>
      </c>
      <c r="G1569" s="7" t="str">
        <f t="shared" si="123"/>
        <v>product 3</v>
      </c>
      <c r="H1569">
        <f t="shared" si="124"/>
        <v>2024</v>
      </c>
      <c r="I1569">
        <f t="shared" si="125"/>
        <v>8</v>
      </c>
      <c r="J1569">
        <f t="shared" si="126"/>
        <v>-101.94</v>
      </c>
    </row>
    <row r="1570" spans="1:10" ht="12.5" x14ac:dyDescent="0.25">
      <c r="A1570" s="1">
        <v>45509</v>
      </c>
      <c r="B1570" s="2" t="s">
        <v>10</v>
      </c>
      <c r="C1570" s="2" t="s">
        <v>6</v>
      </c>
      <c r="D1570" s="2" t="s">
        <v>6</v>
      </c>
      <c r="E1570" s="3">
        <v>100.02</v>
      </c>
      <c r="F1570" t="str">
        <f t="shared" si="122"/>
        <v>marketing</v>
      </c>
      <c r="G1570" s="7" t="s">
        <v>6</v>
      </c>
      <c r="H1570">
        <f t="shared" si="124"/>
        <v>2024</v>
      </c>
      <c r="I1570">
        <f t="shared" si="125"/>
        <v>8</v>
      </c>
      <c r="J1570">
        <f t="shared" si="126"/>
        <v>-1935.72</v>
      </c>
    </row>
    <row r="1571" spans="1:10" ht="12.5" x14ac:dyDescent="0.25">
      <c r="A1571" s="1">
        <v>45509</v>
      </c>
      <c r="B1571" s="2" t="s">
        <v>11</v>
      </c>
      <c r="C1571" s="3">
        <v>9.99</v>
      </c>
      <c r="D1571" s="3">
        <v>13</v>
      </c>
      <c r="E1571" s="3">
        <v>129.87</v>
      </c>
      <c r="F1571" t="str">
        <f t="shared" si="122"/>
        <v>net sales</v>
      </c>
      <c r="G1571" s="7" t="str">
        <f t="shared" si="123"/>
        <v>product 1</v>
      </c>
      <c r="H1571">
        <f t="shared" si="124"/>
        <v>2024</v>
      </c>
      <c r="I1571">
        <f t="shared" si="125"/>
        <v>8</v>
      </c>
      <c r="J1571">
        <f t="shared" si="126"/>
        <v>-99.94</v>
      </c>
    </row>
    <row r="1572" spans="1:10" ht="12.5" x14ac:dyDescent="0.25">
      <c r="A1572" s="1">
        <v>45509</v>
      </c>
      <c r="B1572" s="2" t="s">
        <v>12</v>
      </c>
      <c r="C1572" s="3">
        <v>24.99</v>
      </c>
      <c r="D1572" s="3">
        <v>7</v>
      </c>
      <c r="E1572" s="3">
        <v>174.92999999999998</v>
      </c>
      <c r="F1572" t="str">
        <f t="shared" si="122"/>
        <v>net sales</v>
      </c>
      <c r="G1572" s="7" t="str">
        <f t="shared" si="123"/>
        <v>product 2</v>
      </c>
      <c r="H1572">
        <f t="shared" si="124"/>
        <v>2024</v>
      </c>
      <c r="I1572">
        <f t="shared" si="125"/>
        <v>8</v>
      </c>
      <c r="J1572">
        <f t="shared" si="126"/>
        <v>479.52</v>
      </c>
    </row>
    <row r="1573" spans="1:10" ht="12.5" x14ac:dyDescent="0.25">
      <c r="A1573" s="1">
        <v>45509</v>
      </c>
      <c r="B1573" s="2" t="s">
        <v>13</v>
      </c>
      <c r="C1573" s="3">
        <v>12.49</v>
      </c>
      <c r="D1573" s="3">
        <v>138</v>
      </c>
      <c r="E1573" s="3">
        <v>1723.6200000000001</v>
      </c>
      <c r="F1573" t="str">
        <f t="shared" si="122"/>
        <v>net sales</v>
      </c>
      <c r="G1573" s="7" t="str">
        <f t="shared" si="123"/>
        <v>product 3</v>
      </c>
      <c r="H1573">
        <f t="shared" si="124"/>
        <v>2024</v>
      </c>
      <c r="I1573">
        <f t="shared" si="125"/>
        <v>8</v>
      </c>
      <c r="J1573">
        <f t="shared" si="126"/>
        <v>149.94</v>
      </c>
    </row>
    <row r="1574" spans="1:10" ht="12.5" x14ac:dyDescent="0.25">
      <c r="A1574" s="1">
        <v>45510</v>
      </c>
      <c r="B1574" s="2" t="s">
        <v>7</v>
      </c>
      <c r="C1574" s="3">
        <v>5.99</v>
      </c>
      <c r="D1574" s="3">
        <v>81</v>
      </c>
      <c r="E1574" s="3">
        <v>485.19</v>
      </c>
      <c r="F1574" t="str">
        <f t="shared" si="122"/>
        <v>cogs</v>
      </c>
      <c r="G1574" s="7" t="str">
        <f t="shared" si="123"/>
        <v>product 1</v>
      </c>
      <c r="H1574">
        <f t="shared" si="124"/>
        <v>2024</v>
      </c>
      <c r="I1574">
        <f t="shared" si="125"/>
        <v>8</v>
      </c>
      <c r="J1574">
        <f t="shared" si="126"/>
        <v>2847.7200000000003</v>
      </c>
    </row>
    <row r="1575" spans="1:10" ht="12.5" x14ac:dyDescent="0.25">
      <c r="A1575" s="1">
        <v>45510</v>
      </c>
      <c r="B1575" s="2" t="s">
        <v>8</v>
      </c>
      <c r="C1575" s="3">
        <v>16.989999999999998</v>
      </c>
      <c r="D1575" s="3">
        <v>4</v>
      </c>
      <c r="E1575" s="3">
        <v>67.959999999999994</v>
      </c>
      <c r="F1575" t="str">
        <f t="shared" si="122"/>
        <v>cogs</v>
      </c>
      <c r="G1575" s="7" t="str">
        <f t="shared" si="123"/>
        <v>product 2</v>
      </c>
      <c r="H1575">
        <f t="shared" si="124"/>
        <v>2024</v>
      </c>
      <c r="I1575">
        <f t="shared" si="125"/>
        <v>8</v>
      </c>
      <c r="J1575">
        <f t="shared" si="126"/>
        <v>-527.12</v>
      </c>
    </row>
    <row r="1576" spans="1:10" ht="12.5" x14ac:dyDescent="0.25">
      <c r="A1576" s="1">
        <v>45510</v>
      </c>
      <c r="B1576" s="2" t="s">
        <v>9</v>
      </c>
      <c r="C1576" s="3">
        <v>8.49</v>
      </c>
      <c r="D1576" s="3">
        <v>18</v>
      </c>
      <c r="E1576" s="3">
        <v>152.82</v>
      </c>
      <c r="F1576" t="str">
        <f t="shared" si="122"/>
        <v>cogs</v>
      </c>
      <c r="G1576" s="7" t="str">
        <f t="shared" si="123"/>
        <v>product 3</v>
      </c>
      <c r="H1576">
        <f t="shared" si="124"/>
        <v>2024</v>
      </c>
      <c r="I1576">
        <f t="shared" si="125"/>
        <v>8</v>
      </c>
      <c r="J1576">
        <f t="shared" si="126"/>
        <v>-67.959999999999994</v>
      </c>
    </row>
    <row r="1577" spans="1:10" ht="12.5" x14ac:dyDescent="0.25">
      <c r="A1577" s="1">
        <v>45510</v>
      </c>
      <c r="B1577" s="2" t="s">
        <v>10</v>
      </c>
      <c r="C1577" s="2" t="s">
        <v>6</v>
      </c>
      <c r="D1577" s="2" t="s">
        <v>6</v>
      </c>
      <c r="E1577" s="3">
        <v>99.97</v>
      </c>
      <c r="F1577" t="str">
        <f t="shared" si="122"/>
        <v>marketing</v>
      </c>
      <c r="G1577" s="7" t="s">
        <v>6</v>
      </c>
      <c r="H1577">
        <f t="shared" si="124"/>
        <v>2024</v>
      </c>
      <c r="I1577">
        <f t="shared" si="125"/>
        <v>8</v>
      </c>
      <c r="J1577">
        <f t="shared" si="126"/>
        <v>-33.96</v>
      </c>
    </row>
    <row r="1578" spans="1:10" ht="12.5" x14ac:dyDescent="0.25">
      <c r="A1578" s="1">
        <v>45510</v>
      </c>
      <c r="B1578" s="2" t="s">
        <v>11</v>
      </c>
      <c r="C1578" s="3">
        <v>9.99</v>
      </c>
      <c r="D1578" s="3">
        <v>81</v>
      </c>
      <c r="E1578" s="3">
        <v>809.19</v>
      </c>
      <c r="F1578" t="str">
        <f t="shared" si="122"/>
        <v>net sales</v>
      </c>
      <c r="G1578" s="7" t="str">
        <f t="shared" si="123"/>
        <v>product 1</v>
      </c>
      <c r="H1578">
        <f t="shared" si="124"/>
        <v>2024</v>
      </c>
      <c r="I1578">
        <f t="shared" si="125"/>
        <v>8</v>
      </c>
      <c r="J1578">
        <f t="shared" si="126"/>
        <v>-100.02</v>
      </c>
    </row>
    <row r="1579" spans="1:10" ht="12.5" x14ac:dyDescent="0.25">
      <c r="A1579" s="1">
        <v>45510</v>
      </c>
      <c r="B1579" s="2" t="s">
        <v>12</v>
      </c>
      <c r="C1579" s="3">
        <v>24.99</v>
      </c>
      <c r="D1579" s="3">
        <v>4</v>
      </c>
      <c r="E1579" s="3">
        <v>99.96</v>
      </c>
      <c r="F1579" t="str">
        <f t="shared" si="122"/>
        <v>net sales</v>
      </c>
      <c r="G1579" s="7" t="str">
        <f t="shared" si="123"/>
        <v>product 2</v>
      </c>
      <c r="H1579">
        <f t="shared" si="124"/>
        <v>2024</v>
      </c>
      <c r="I1579">
        <f t="shared" si="125"/>
        <v>8</v>
      </c>
      <c r="J1579">
        <f t="shared" si="126"/>
        <v>879.12</v>
      </c>
    </row>
    <row r="1580" spans="1:10" ht="12.5" x14ac:dyDescent="0.25">
      <c r="A1580" s="1">
        <v>45510</v>
      </c>
      <c r="B1580" s="2" t="s">
        <v>13</v>
      </c>
      <c r="C1580" s="3">
        <v>12.49</v>
      </c>
      <c r="D1580" s="3">
        <v>18</v>
      </c>
      <c r="E1580" s="3">
        <v>224.82</v>
      </c>
      <c r="F1580" t="str">
        <f t="shared" si="122"/>
        <v>net sales</v>
      </c>
      <c r="G1580" s="7" t="str">
        <f t="shared" si="123"/>
        <v>product 3</v>
      </c>
      <c r="H1580">
        <f t="shared" si="124"/>
        <v>2024</v>
      </c>
      <c r="I1580">
        <f t="shared" si="125"/>
        <v>8</v>
      </c>
      <c r="J1580">
        <f t="shared" si="126"/>
        <v>99.96</v>
      </c>
    </row>
    <row r="1581" spans="1:10" ht="12.5" x14ac:dyDescent="0.25">
      <c r="A1581" s="1">
        <v>45511</v>
      </c>
      <c r="B1581" s="2" t="s">
        <v>7</v>
      </c>
      <c r="C1581" s="3">
        <v>5.99</v>
      </c>
      <c r="D1581" s="3">
        <v>10</v>
      </c>
      <c r="E1581" s="3">
        <v>59.900000000000006</v>
      </c>
      <c r="F1581" t="str">
        <f t="shared" si="122"/>
        <v>cogs</v>
      </c>
      <c r="G1581" s="7" t="str">
        <f t="shared" si="123"/>
        <v>product 1</v>
      </c>
      <c r="H1581">
        <f t="shared" si="124"/>
        <v>2024</v>
      </c>
      <c r="I1581">
        <f t="shared" si="125"/>
        <v>8</v>
      </c>
      <c r="J1581">
        <f t="shared" si="126"/>
        <v>49.96</v>
      </c>
    </row>
    <row r="1582" spans="1:10" ht="12.5" x14ac:dyDescent="0.25">
      <c r="A1582" s="1">
        <v>45511</v>
      </c>
      <c r="B1582" s="2" t="s">
        <v>8</v>
      </c>
      <c r="C1582" s="3">
        <v>16.989999999999998</v>
      </c>
      <c r="D1582" s="3">
        <v>7</v>
      </c>
      <c r="E1582" s="3">
        <v>118.92999999999999</v>
      </c>
      <c r="F1582" t="str">
        <f t="shared" si="122"/>
        <v>cogs</v>
      </c>
      <c r="G1582" s="7" t="str">
        <f t="shared" si="123"/>
        <v>product 2</v>
      </c>
      <c r="H1582">
        <f t="shared" si="124"/>
        <v>2024</v>
      </c>
      <c r="I1582">
        <f t="shared" si="125"/>
        <v>8</v>
      </c>
      <c r="J1582">
        <f t="shared" si="126"/>
        <v>-515.14</v>
      </c>
    </row>
    <row r="1583" spans="1:10" ht="12.5" x14ac:dyDescent="0.25">
      <c r="A1583" s="1">
        <v>45511</v>
      </c>
      <c r="B1583" s="2" t="s">
        <v>9</v>
      </c>
      <c r="C1583" s="3">
        <v>8.49</v>
      </c>
      <c r="D1583" s="3">
        <v>47</v>
      </c>
      <c r="E1583" s="3">
        <v>399.03000000000003</v>
      </c>
      <c r="F1583" t="str">
        <f t="shared" si="122"/>
        <v>cogs</v>
      </c>
      <c r="G1583" s="7" t="str">
        <f t="shared" si="123"/>
        <v>product 3</v>
      </c>
      <c r="H1583">
        <f t="shared" si="124"/>
        <v>2024</v>
      </c>
      <c r="I1583">
        <f t="shared" si="125"/>
        <v>8</v>
      </c>
      <c r="J1583">
        <f t="shared" si="126"/>
        <v>0</v>
      </c>
    </row>
    <row r="1584" spans="1:10" ht="12.5" x14ac:dyDescent="0.25">
      <c r="A1584" s="1">
        <v>45511</v>
      </c>
      <c r="B1584" s="2" t="s">
        <v>10</v>
      </c>
      <c r="C1584" s="2" t="s">
        <v>6</v>
      </c>
      <c r="D1584" s="2" t="s">
        <v>6</v>
      </c>
      <c r="E1584" s="3">
        <v>100</v>
      </c>
      <c r="F1584" t="str">
        <f t="shared" si="122"/>
        <v>marketing</v>
      </c>
      <c r="G1584" s="7" t="s">
        <v>6</v>
      </c>
      <c r="H1584">
        <f t="shared" si="124"/>
        <v>2024</v>
      </c>
      <c r="I1584">
        <f t="shared" si="125"/>
        <v>8</v>
      </c>
      <c r="J1584">
        <f t="shared" si="126"/>
        <v>-611.28</v>
      </c>
    </row>
    <row r="1585" spans="1:10" ht="12.5" x14ac:dyDescent="0.25">
      <c r="A1585" s="1">
        <v>45511</v>
      </c>
      <c r="B1585" s="2" t="s">
        <v>11</v>
      </c>
      <c r="C1585" s="3">
        <v>9.99</v>
      </c>
      <c r="D1585" s="3">
        <v>10</v>
      </c>
      <c r="E1585" s="3">
        <v>99.9</v>
      </c>
      <c r="F1585" t="str">
        <f t="shared" si="122"/>
        <v>net sales</v>
      </c>
      <c r="G1585" s="7" t="str">
        <f t="shared" si="123"/>
        <v>product 1</v>
      </c>
      <c r="H1585">
        <f t="shared" si="124"/>
        <v>2024</v>
      </c>
      <c r="I1585">
        <f t="shared" si="125"/>
        <v>8</v>
      </c>
      <c r="J1585">
        <f t="shared" si="126"/>
        <v>-100.02</v>
      </c>
    </row>
    <row r="1586" spans="1:10" ht="12.5" x14ac:dyDescent="0.25">
      <c r="A1586" s="1">
        <v>45511</v>
      </c>
      <c r="B1586" s="2" t="s">
        <v>12</v>
      </c>
      <c r="C1586" s="3">
        <v>24.99</v>
      </c>
      <c r="D1586" s="3">
        <v>7</v>
      </c>
      <c r="E1586" s="3">
        <v>174.92999999999998</v>
      </c>
      <c r="F1586" t="str">
        <f t="shared" si="122"/>
        <v>net sales</v>
      </c>
      <c r="G1586" s="7" t="str">
        <f t="shared" si="123"/>
        <v>product 2</v>
      </c>
      <c r="H1586">
        <f t="shared" si="124"/>
        <v>2024</v>
      </c>
      <c r="I1586">
        <f t="shared" si="125"/>
        <v>8</v>
      </c>
      <c r="J1586">
        <f t="shared" si="126"/>
        <v>859.14</v>
      </c>
    </row>
    <row r="1587" spans="1:10" ht="12.5" x14ac:dyDescent="0.25">
      <c r="A1587" s="1">
        <v>45511</v>
      </c>
      <c r="B1587" s="2" t="s">
        <v>13</v>
      </c>
      <c r="C1587" s="3">
        <v>12.49</v>
      </c>
      <c r="D1587" s="3">
        <v>47</v>
      </c>
      <c r="E1587" s="3">
        <v>587.03</v>
      </c>
      <c r="F1587" t="str">
        <f t="shared" si="122"/>
        <v>net sales</v>
      </c>
      <c r="G1587" s="7" t="str">
        <f t="shared" si="123"/>
        <v>product 3</v>
      </c>
      <c r="H1587">
        <f t="shared" si="124"/>
        <v>2024</v>
      </c>
      <c r="I1587">
        <f t="shared" si="125"/>
        <v>8</v>
      </c>
      <c r="J1587">
        <f t="shared" si="126"/>
        <v>0</v>
      </c>
    </row>
    <row r="1588" spans="1:10" ht="12.5" x14ac:dyDescent="0.25">
      <c r="A1588" s="1">
        <v>45512</v>
      </c>
      <c r="B1588" s="2" t="s">
        <v>7</v>
      </c>
      <c r="C1588" s="3">
        <v>5.99</v>
      </c>
      <c r="D1588" s="3">
        <v>3</v>
      </c>
      <c r="E1588" s="3">
        <v>17.97</v>
      </c>
      <c r="F1588" t="str">
        <f t="shared" si="122"/>
        <v>cogs</v>
      </c>
      <c r="G1588" s="7" t="str">
        <f t="shared" si="123"/>
        <v>product 1</v>
      </c>
      <c r="H1588">
        <f t="shared" si="124"/>
        <v>2024</v>
      </c>
      <c r="I1588">
        <f t="shared" si="125"/>
        <v>8</v>
      </c>
      <c r="J1588">
        <f t="shared" si="126"/>
        <v>899.28</v>
      </c>
    </row>
    <row r="1589" spans="1:10" ht="12.5" x14ac:dyDescent="0.25">
      <c r="A1589" s="1">
        <v>45512</v>
      </c>
      <c r="B1589" s="2" t="s">
        <v>8</v>
      </c>
      <c r="C1589" s="3">
        <v>16.989999999999998</v>
      </c>
      <c r="D1589" s="3">
        <v>9</v>
      </c>
      <c r="E1589" s="3">
        <v>152.91</v>
      </c>
      <c r="F1589" t="str">
        <f t="shared" si="122"/>
        <v>cogs</v>
      </c>
      <c r="G1589" s="7" t="str">
        <f t="shared" si="123"/>
        <v>product 2</v>
      </c>
      <c r="H1589">
        <f t="shared" si="124"/>
        <v>2024</v>
      </c>
      <c r="I1589">
        <f t="shared" si="125"/>
        <v>8</v>
      </c>
      <c r="J1589">
        <f t="shared" si="126"/>
        <v>-245.59</v>
      </c>
    </row>
    <row r="1590" spans="1:10" ht="12.5" x14ac:dyDescent="0.25">
      <c r="A1590" s="1">
        <v>45512</v>
      </c>
      <c r="B1590" s="2" t="s">
        <v>9</v>
      </c>
      <c r="C1590" s="3">
        <v>8.49</v>
      </c>
      <c r="D1590" s="3">
        <v>118</v>
      </c>
      <c r="E1590" s="3">
        <v>1001.82</v>
      </c>
      <c r="F1590" t="str">
        <f t="shared" si="122"/>
        <v>cogs</v>
      </c>
      <c r="G1590" s="7" t="str">
        <f t="shared" si="123"/>
        <v>product 3</v>
      </c>
      <c r="H1590">
        <f t="shared" si="124"/>
        <v>2024</v>
      </c>
      <c r="I1590">
        <f t="shared" si="125"/>
        <v>8</v>
      </c>
      <c r="J1590">
        <f t="shared" si="126"/>
        <v>0</v>
      </c>
    </row>
    <row r="1591" spans="1:10" ht="12.5" x14ac:dyDescent="0.25">
      <c r="A1591" s="1">
        <v>45512</v>
      </c>
      <c r="B1591" s="2" t="s">
        <v>10</v>
      </c>
      <c r="C1591" s="2" t="s">
        <v>6</v>
      </c>
      <c r="D1591" s="2" t="s">
        <v>6</v>
      </c>
      <c r="E1591" s="3">
        <v>100.02</v>
      </c>
      <c r="F1591" t="str">
        <f t="shared" si="122"/>
        <v>marketing</v>
      </c>
      <c r="G1591" s="7" t="s">
        <v>6</v>
      </c>
      <c r="H1591">
        <f t="shared" si="124"/>
        <v>2024</v>
      </c>
      <c r="I1591">
        <f t="shared" si="125"/>
        <v>8</v>
      </c>
      <c r="J1591">
        <f t="shared" si="126"/>
        <v>-178.29</v>
      </c>
    </row>
    <row r="1592" spans="1:10" ht="12.5" x14ac:dyDescent="0.25">
      <c r="A1592" s="1">
        <v>45512</v>
      </c>
      <c r="B1592" s="2" t="s">
        <v>11</v>
      </c>
      <c r="C1592" s="3">
        <v>9.99</v>
      </c>
      <c r="D1592" s="3">
        <v>3</v>
      </c>
      <c r="E1592" s="3">
        <v>29.97</v>
      </c>
      <c r="F1592" t="str">
        <f t="shared" si="122"/>
        <v>net sales</v>
      </c>
      <c r="G1592" s="7" t="str">
        <f t="shared" si="123"/>
        <v>product 1</v>
      </c>
      <c r="H1592">
        <f t="shared" si="124"/>
        <v>2024</v>
      </c>
      <c r="I1592">
        <f t="shared" si="125"/>
        <v>8</v>
      </c>
      <c r="J1592">
        <f t="shared" si="126"/>
        <v>-99.960000000000008</v>
      </c>
    </row>
    <row r="1593" spans="1:10" ht="12.5" x14ac:dyDescent="0.25">
      <c r="A1593" s="1">
        <v>45512</v>
      </c>
      <c r="B1593" s="2" t="s">
        <v>12</v>
      </c>
      <c r="C1593" s="3">
        <v>24.99</v>
      </c>
      <c r="D1593" s="3">
        <v>9</v>
      </c>
      <c r="E1593" s="3">
        <v>224.91</v>
      </c>
      <c r="F1593" t="str">
        <f t="shared" si="122"/>
        <v>net sales</v>
      </c>
      <c r="G1593" s="7" t="str">
        <f t="shared" si="123"/>
        <v>product 2</v>
      </c>
      <c r="H1593">
        <f t="shared" si="124"/>
        <v>2024</v>
      </c>
      <c r="I1593">
        <f t="shared" si="125"/>
        <v>8</v>
      </c>
      <c r="J1593">
        <f t="shared" si="126"/>
        <v>409.59000000000003</v>
      </c>
    </row>
    <row r="1594" spans="1:10" ht="12.5" x14ac:dyDescent="0.25">
      <c r="A1594" s="1">
        <v>45512</v>
      </c>
      <c r="B1594" s="2" t="s">
        <v>13</v>
      </c>
      <c r="C1594" s="3">
        <v>12.49</v>
      </c>
      <c r="D1594" s="3">
        <v>118</v>
      </c>
      <c r="E1594" s="3">
        <v>1473.82</v>
      </c>
      <c r="F1594" t="str">
        <f t="shared" si="122"/>
        <v>net sales</v>
      </c>
      <c r="G1594" s="7" t="str">
        <f t="shared" si="123"/>
        <v>product 3</v>
      </c>
      <c r="H1594">
        <f t="shared" si="124"/>
        <v>2024</v>
      </c>
      <c r="I1594">
        <f t="shared" si="125"/>
        <v>8</v>
      </c>
      <c r="J1594">
        <f t="shared" si="126"/>
        <v>0</v>
      </c>
    </row>
    <row r="1595" spans="1:10" ht="12.5" x14ac:dyDescent="0.25">
      <c r="A1595" s="1">
        <v>45513</v>
      </c>
      <c r="B1595" s="2" t="s">
        <v>7</v>
      </c>
      <c r="C1595" s="3">
        <v>5.99</v>
      </c>
      <c r="D1595" s="3">
        <v>80</v>
      </c>
      <c r="E1595" s="3">
        <v>479.20000000000005</v>
      </c>
      <c r="F1595" t="str">
        <f t="shared" si="122"/>
        <v>cogs</v>
      </c>
      <c r="G1595" s="7" t="str">
        <f t="shared" si="123"/>
        <v>product 1</v>
      </c>
      <c r="H1595">
        <f t="shared" si="124"/>
        <v>2024</v>
      </c>
      <c r="I1595">
        <f t="shared" si="125"/>
        <v>8</v>
      </c>
      <c r="J1595">
        <f t="shared" si="126"/>
        <v>262.29000000000002</v>
      </c>
    </row>
    <row r="1596" spans="1:10" ht="12.5" x14ac:dyDescent="0.25">
      <c r="A1596" s="1">
        <v>45513</v>
      </c>
      <c r="B1596" s="2" t="s">
        <v>8</v>
      </c>
      <c r="C1596" s="3">
        <v>16.989999999999998</v>
      </c>
      <c r="D1596" s="3">
        <v>6</v>
      </c>
      <c r="E1596" s="3">
        <v>101.94</v>
      </c>
      <c r="F1596" t="str">
        <f t="shared" si="122"/>
        <v>cogs</v>
      </c>
      <c r="G1596" s="7" t="str">
        <f t="shared" si="123"/>
        <v>product 2</v>
      </c>
      <c r="H1596">
        <f t="shared" si="124"/>
        <v>2024</v>
      </c>
      <c r="I1596">
        <f t="shared" si="125"/>
        <v>8</v>
      </c>
      <c r="J1596">
        <f t="shared" si="126"/>
        <v>-329.45</v>
      </c>
    </row>
    <row r="1597" spans="1:10" ht="12.5" x14ac:dyDescent="0.25">
      <c r="A1597" s="1">
        <v>45513</v>
      </c>
      <c r="B1597" s="2" t="s">
        <v>9</v>
      </c>
      <c r="C1597" s="3">
        <v>8.49</v>
      </c>
      <c r="D1597" s="3">
        <v>0</v>
      </c>
      <c r="E1597" s="2">
        <f>C1597*D1597</f>
        <v>0</v>
      </c>
      <c r="F1597" t="str">
        <f t="shared" si="122"/>
        <v>cogs</v>
      </c>
      <c r="G1597" s="7" t="str">
        <f t="shared" si="123"/>
        <v>product 3</v>
      </c>
      <c r="H1597">
        <f t="shared" si="124"/>
        <v>2024</v>
      </c>
      <c r="I1597">
        <f t="shared" si="125"/>
        <v>8</v>
      </c>
      <c r="J1597">
        <f t="shared" si="126"/>
        <v>-33.979999999999997</v>
      </c>
    </row>
    <row r="1598" spans="1:10" ht="12.5" x14ac:dyDescent="0.25">
      <c r="A1598" s="1">
        <v>45513</v>
      </c>
      <c r="B1598" s="2" t="s">
        <v>10</v>
      </c>
      <c r="C1598" s="2" t="s">
        <v>6</v>
      </c>
      <c r="D1598" s="2" t="s">
        <v>6</v>
      </c>
      <c r="E1598" s="3">
        <v>100</v>
      </c>
      <c r="F1598" t="str">
        <f t="shared" si="122"/>
        <v>marketing</v>
      </c>
      <c r="G1598" s="7" t="s">
        <v>6</v>
      </c>
      <c r="H1598">
        <f t="shared" si="124"/>
        <v>2024</v>
      </c>
      <c r="I1598">
        <f t="shared" si="125"/>
        <v>8</v>
      </c>
      <c r="J1598">
        <f t="shared" si="126"/>
        <v>-1630.08</v>
      </c>
    </row>
    <row r="1599" spans="1:10" ht="12.5" x14ac:dyDescent="0.25">
      <c r="A1599" s="1">
        <v>45513</v>
      </c>
      <c r="B1599" s="2" t="s">
        <v>11</v>
      </c>
      <c r="C1599" s="3">
        <v>9.99</v>
      </c>
      <c r="D1599" s="3">
        <v>80</v>
      </c>
      <c r="E1599" s="3">
        <v>799.2</v>
      </c>
      <c r="F1599" t="str">
        <f t="shared" si="122"/>
        <v>net sales</v>
      </c>
      <c r="G1599" s="7" t="str">
        <f t="shared" si="123"/>
        <v>product 1</v>
      </c>
      <c r="H1599">
        <f t="shared" si="124"/>
        <v>2024</v>
      </c>
      <c r="I1599">
        <f t="shared" si="125"/>
        <v>8</v>
      </c>
      <c r="J1599">
        <f t="shared" si="126"/>
        <v>-99.990000000000009</v>
      </c>
    </row>
    <row r="1600" spans="1:10" ht="12.5" x14ac:dyDescent="0.25">
      <c r="A1600" s="1">
        <v>45513</v>
      </c>
      <c r="B1600" s="2" t="s">
        <v>12</v>
      </c>
      <c r="C1600" s="3">
        <v>24.99</v>
      </c>
      <c r="D1600" s="3">
        <v>6</v>
      </c>
      <c r="E1600" s="3">
        <v>149.94</v>
      </c>
      <c r="F1600" t="str">
        <f t="shared" si="122"/>
        <v>net sales</v>
      </c>
      <c r="G1600" s="7" t="str">
        <f t="shared" si="123"/>
        <v>product 2</v>
      </c>
      <c r="H1600">
        <f t="shared" si="124"/>
        <v>2024</v>
      </c>
      <c r="I1600">
        <f t="shared" si="125"/>
        <v>8</v>
      </c>
      <c r="J1600">
        <f t="shared" si="126"/>
        <v>549.45000000000005</v>
      </c>
    </row>
    <row r="1601" spans="1:10" ht="12.5" x14ac:dyDescent="0.25">
      <c r="A1601" s="1">
        <v>45513</v>
      </c>
      <c r="B1601" s="2" t="s">
        <v>13</v>
      </c>
      <c r="C1601" s="3">
        <v>12.49</v>
      </c>
      <c r="D1601" s="3">
        <v>0</v>
      </c>
      <c r="E1601" s="2">
        <f>C1601*D1601</f>
        <v>0</v>
      </c>
      <c r="F1601" t="str">
        <f t="shared" si="122"/>
        <v>net sales</v>
      </c>
      <c r="G1601" s="7" t="str">
        <f t="shared" si="123"/>
        <v>product 3</v>
      </c>
      <c r="H1601">
        <f t="shared" si="124"/>
        <v>2024</v>
      </c>
      <c r="I1601">
        <f t="shared" si="125"/>
        <v>8</v>
      </c>
      <c r="J1601">
        <f t="shared" si="126"/>
        <v>49.98</v>
      </c>
    </row>
    <row r="1602" spans="1:10" ht="12.5" x14ac:dyDescent="0.25">
      <c r="A1602" s="1">
        <v>45514</v>
      </c>
      <c r="B1602" s="2" t="s">
        <v>7</v>
      </c>
      <c r="C1602" s="3">
        <v>5.99</v>
      </c>
      <c r="D1602" s="3">
        <v>66</v>
      </c>
      <c r="E1602" s="3">
        <v>395.34000000000003</v>
      </c>
      <c r="F1602" t="str">
        <f t="shared" si="122"/>
        <v>cogs</v>
      </c>
      <c r="G1602" s="7" t="str">
        <f t="shared" si="123"/>
        <v>product 1</v>
      </c>
      <c r="H1602">
        <f t="shared" si="124"/>
        <v>2024</v>
      </c>
      <c r="I1602">
        <f t="shared" si="125"/>
        <v>8</v>
      </c>
      <c r="J1602">
        <f t="shared" si="126"/>
        <v>2398.08</v>
      </c>
    </row>
    <row r="1603" spans="1:10" ht="12.5" x14ac:dyDescent="0.25">
      <c r="A1603" s="1">
        <v>45514</v>
      </c>
      <c r="B1603" s="2" t="s">
        <v>8</v>
      </c>
      <c r="C1603" s="3">
        <v>16.989999999999998</v>
      </c>
      <c r="D1603" s="3">
        <v>3</v>
      </c>
      <c r="E1603" s="3">
        <v>50.97</v>
      </c>
      <c r="F1603" t="str">
        <f t="shared" ref="F1603:F1666" si="127">IFERROR(LEFT(B1603,FIND(":",B1603)-1),B1603)</f>
        <v>cogs</v>
      </c>
      <c r="G1603" s="7" t="str">
        <f t="shared" ref="G1603:G1666" si="128">IFERROR(RIGHT(B1603,LEN(B1603)-FIND(":",B1603)),"")</f>
        <v>product 2</v>
      </c>
      <c r="H1603">
        <f t="shared" ref="H1603:H1666" si="129">YEAR(A1603)</f>
        <v>2024</v>
      </c>
      <c r="I1603">
        <f t="shared" ref="I1603:I1666" si="130">MONTH(A1603)</f>
        <v>8</v>
      </c>
      <c r="J1603">
        <f t="shared" si="126"/>
        <v>-395.34000000000003</v>
      </c>
    </row>
    <row r="1604" spans="1:10" ht="12.5" x14ac:dyDescent="0.25">
      <c r="A1604" s="1">
        <v>45514</v>
      </c>
      <c r="B1604" s="2" t="s">
        <v>9</v>
      </c>
      <c r="C1604" s="3">
        <v>8.49</v>
      </c>
      <c r="D1604" s="3">
        <v>249</v>
      </c>
      <c r="E1604" s="3">
        <v>2114.0100000000002</v>
      </c>
      <c r="F1604" t="str">
        <f t="shared" si="127"/>
        <v>cogs</v>
      </c>
      <c r="G1604" s="7" t="str">
        <f t="shared" si="128"/>
        <v>product 3</v>
      </c>
      <c r="H1604">
        <f t="shared" si="129"/>
        <v>2024</v>
      </c>
      <c r="I1604">
        <f t="shared" si="130"/>
        <v>8</v>
      </c>
      <c r="J1604">
        <f t="shared" si="126"/>
        <v>-50.97</v>
      </c>
    </row>
    <row r="1605" spans="1:10" ht="12.5" x14ac:dyDescent="0.25">
      <c r="A1605" s="1">
        <v>45514</v>
      </c>
      <c r="B1605" s="2" t="s">
        <v>10</v>
      </c>
      <c r="C1605" s="2" t="s">
        <v>6</v>
      </c>
      <c r="D1605" s="2" t="s">
        <v>6</v>
      </c>
      <c r="E1605" s="3">
        <v>100.08</v>
      </c>
      <c r="F1605" t="str">
        <f t="shared" si="127"/>
        <v>marketing</v>
      </c>
      <c r="G1605" s="7" t="s">
        <v>6</v>
      </c>
      <c r="H1605">
        <f t="shared" si="129"/>
        <v>2024</v>
      </c>
      <c r="I1605">
        <f t="shared" si="130"/>
        <v>8</v>
      </c>
      <c r="J1605">
        <f t="shared" si="126"/>
        <v>-1969.68</v>
      </c>
    </row>
    <row r="1606" spans="1:10" ht="12.5" x14ac:dyDescent="0.25">
      <c r="A1606" s="1">
        <v>45514</v>
      </c>
      <c r="B1606" s="2" t="s">
        <v>11</v>
      </c>
      <c r="C1606" s="3">
        <v>9.99</v>
      </c>
      <c r="D1606" s="3">
        <v>66</v>
      </c>
      <c r="E1606" s="3">
        <v>659.34</v>
      </c>
      <c r="F1606" t="str">
        <f t="shared" si="127"/>
        <v>net sales</v>
      </c>
      <c r="G1606" s="7" t="str">
        <f t="shared" si="128"/>
        <v>product 1</v>
      </c>
      <c r="H1606">
        <f t="shared" si="129"/>
        <v>2024</v>
      </c>
      <c r="I1606">
        <f t="shared" si="130"/>
        <v>8</v>
      </c>
      <c r="J1606">
        <f t="shared" si="126"/>
        <v>-99.960000000000008</v>
      </c>
    </row>
    <row r="1607" spans="1:10" ht="12.5" x14ac:dyDescent="0.25">
      <c r="A1607" s="1">
        <v>45514</v>
      </c>
      <c r="B1607" s="2" t="s">
        <v>12</v>
      </c>
      <c r="C1607" s="3">
        <v>24.99</v>
      </c>
      <c r="D1607" s="3">
        <v>3</v>
      </c>
      <c r="E1607" s="3">
        <v>74.97</v>
      </c>
      <c r="F1607" t="str">
        <f t="shared" si="127"/>
        <v>net sales</v>
      </c>
      <c r="G1607" s="7" t="str">
        <f t="shared" si="128"/>
        <v>product 2</v>
      </c>
      <c r="H1607">
        <f t="shared" si="129"/>
        <v>2024</v>
      </c>
      <c r="I1607">
        <f t="shared" si="130"/>
        <v>8</v>
      </c>
      <c r="J1607">
        <f t="shared" si="126"/>
        <v>659.34</v>
      </c>
    </row>
    <row r="1608" spans="1:10" ht="12.5" x14ac:dyDescent="0.25">
      <c r="A1608" s="1">
        <v>45514</v>
      </c>
      <c r="B1608" s="2" t="s">
        <v>13</v>
      </c>
      <c r="C1608" s="3">
        <v>12.49</v>
      </c>
      <c r="D1608" s="3">
        <v>249</v>
      </c>
      <c r="E1608" s="3">
        <v>3110.01</v>
      </c>
      <c r="F1608" t="str">
        <f t="shared" si="127"/>
        <v>net sales</v>
      </c>
      <c r="G1608" s="7" t="str">
        <f t="shared" si="128"/>
        <v>product 3</v>
      </c>
      <c r="H1608">
        <f t="shared" si="129"/>
        <v>2024</v>
      </c>
      <c r="I1608">
        <f t="shared" si="130"/>
        <v>8</v>
      </c>
      <c r="J1608">
        <f t="shared" si="126"/>
        <v>74.97</v>
      </c>
    </row>
    <row r="1609" spans="1:10" ht="12.5" x14ac:dyDescent="0.25">
      <c r="A1609" s="1">
        <v>45515</v>
      </c>
      <c r="B1609" s="2" t="s">
        <v>7</v>
      </c>
      <c r="C1609" s="3">
        <v>5.99</v>
      </c>
      <c r="D1609" s="3">
        <v>47</v>
      </c>
      <c r="E1609" s="3">
        <v>281.53000000000003</v>
      </c>
      <c r="F1609" t="str">
        <f t="shared" si="127"/>
        <v>cogs</v>
      </c>
      <c r="G1609" s="7" t="str">
        <f t="shared" si="128"/>
        <v>product 1</v>
      </c>
      <c r="H1609">
        <f t="shared" si="129"/>
        <v>2024</v>
      </c>
      <c r="I1609">
        <f t="shared" si="130"/>
        <v>8</v>
      </c>
      <c r="J1609">
        <f t="shared" si="126"/>
        <v>2897.68</v>
      </c>
    </row>
    <row r="1610" spans="1:10" ht="12.5" x14ac:dyDescent="0.25">
      <c r="A1610" s="1">
        <v>45515</v>
      </c>
      <c r="B1610" s="2" t="s">
        <v>8</v>
      </c>
      <c r="C1610" s="3">
        <v>16.989999999999998</v>
      </c>
      <c r="D1610" s="3">
        <v>7</v>
      </c>
      <c r="E1610" s="3">
        <v>118.92999999999999</v>
      </c>
      <c r="F1610" t="str">
        <f t="shared" si="127"/>
        <v>cogs</v>
      </c>
      <c r="G1610" s="7" t="str">
        <f t="shared" si="128"/>
        <v>product 2</v>
      </c>
      <c r="H1610">
        <f t="shared" si="129"/>
        <v>2024</v>
      </c>
      <c r="I1610">
        <f t="shared" si="130"/>
        <v>8</v>
      </c>
      <c r="J1610">
        <f t="shared" si="126"/>
        <v>-431.28000000000003</v>
      </c>
    </row>
    <row r="1611" spans="1:10" ht="12.5" x14ac:dyDescent="0.25">
      <c r="A1611" s="1">
        <v>45515</v>
      </c>
      <c r="B1611" s="2" t="s">
        <v>9</v>
      </c>
      <c r="C1611" s="3">
        <v>8.49</v>
      </c>
      <c r="D1611" s="3">
        <v>41</v>
      </c>
      <c r="E1611" s="3">
        <v>348.09000000000003</v>
      </c>
      <c r="F1611" t="str">
        <f t="shared" si="127"/>
        <v>cogs</v>
      </c>
      <c r="G1611" s="7" t="str">
        <f t="shared" si="128"/>
        <v>product 3</v>
      </c>
      <c r="H1611">
        <f t="shared" si="129"/>
        <v>2024</v>
      </c>
      <c r="I1611">
        <f t="shared" si="130"/>
        <v>8</v>
      </c>
      <c r="J1611">
        <f t="shared" si="126"/>
        <v>-135.91999999999999</v>
      </c>
    </row>
    <row r="1612" spans="1:10" ht="12.5" x14ac:dyDescent="0.25">
      <c r="A1612" s="1">
        <v>45515</v>
      </c>
      <c r="B1612" s="2" t="s">
        <v>10</v>
      </c>
      <c r="C1612" s="2" t="s">
        <v>6</v>
      </c>
      <c r="D1612" s="2" t="s">
        <v>6</v>
      </c>
      <c r="E1612" s="3">
        <v>99.990000000000009</v>
      </c>
      <c r="F1612" t="str">
        <f t="shared" si="127"/>
        <v>marketing</v>
      </c>
      <c r="G1612" s="7" t="s">
        <v>6</v>
      </c>
      <c r="H1612">
        <f t="shared" si="129"/>
        <v>2024</v>
      </c>
      <c r="I1612">
        <f t="shared" si="130"/>
        <v>8</v>
      </c>
      <c r="J1612">
        <f t="shared" si="126"/>
        <v>-407.52</v>
      </c>
    </row>
    <row r="1613" spans="1:10" ht="12.5" x14ac:dyDescent="0.25">
      <c r="A1613" s="1">
        <v>45515</v>
      </c>
      <c r="B1613" s="2" t="s">
        <v>11</v>
      </c>
      <c r="C1613" s="3">
        <v>9.99</v>
      </c>
      <c r="D1613" s="3">
        <v>47</v>
      </c>
      <c r="E1613" s="3">
        <v>469.53000000000003</v>
      </c>
      <c r="F1613" t="str">
        <f t="shared" si="127"/>
        <v>net sales</v>
      </c>
      <c r="G1613" s="7" t="str">
        <f t="shared" si="128"/>
        <v>product 1</v>
      </c>
      <c r="H1613">
        <f t="shared" si="129"/>
        <v>2024</v>
      </c>
      <c r="I1613">
        <f t="shared" si="130"/>
        <v>8</v>
      </c>
      <c r="J1613">
        <f t="shared" si="126"/>
        <v>-99.97</v>
      </c>
    </row>
    <row r="1614" spans="1:10" ht="12.5" x14ac:dyDescent="0.25">
      <c r="A1614" s="1">
        <v>45515</v>
      </c>
      <c r="B1614" s="2" t="s">
        <v>12</v>
      </c>
      <c r="C1614" s="3">
        <v>24.99</v>
      </c>
      <c r="D1614" s="3">
        <v>7</v>
      </c>
      <c r="E1614" s="3">
        <v>174.92999999999998</v>
      </c>
      <c r="F1614" t="str">
        <f t="shared" si="127"/>
        <v>net sales</v>
      </c>
      <c r="G1614" s="7" t="str">
        <f t="shared" si="128"/>
        <v>product 2</v>
      </c>
      <c r="H1614">
        <f t="shared" si="129"/>
        <v>2024</v>
      </c>
      <c r="I1614">
        <f t="shared" si="130"/>
        <v>8</v>
      </c>
      <c r="J1614">
        <f t="shared" si="126"/>
        <v>719.28</v>
      </c>
    </row>
    <row r="1615" spans="1:10" ht="12.5" x14ac:dyDescent="0.25">
      <c r="A1615" s="1">
        <v>45515</v>
      </c>
      <c r="B1615" s="2" t="s">
        <v>13</v>
      </c>
      <c r="C1615" s="3">
        <v>12.49</v>
      </c>
      <c r="D1615" s="3">
        <v>41</v>
      </c>
      <c r="E1615" s="3">
        <v>512.09</v>
      </c>
      <c r="F1615" t="str">
        <f t="shared" si="127"/>
        <v>net sales</v>
      </c>
      <c r="G1615" s="7" t="str">
        <f t="shared" si="128"/>
        <v>product 3</v>
      </c>
      <c r="H1615">
        <f t="shared" si="129"/>
        <v>2024</v>
      </c>
      <c r="I1615">
        <f t="shared" si="130"/>
        <v>8</v>
      </c>
      <c r="J1615">
        <f t="shared" si="126"/>
        <v>199.92</v>
      </c>
    </row>
    <row r="1616" spans="1:10" ht="12.5" x14ac:dyDescent="0.25">
      <c r="A1616" s="1">
        <v>45516</v>
      </c>
      <c r="B1616" s="2" t="s">
        <v>7</v>
      </c>
      <c r="C1616" s="3">
        <v>5.99</v>
      </c>
      <c r="D1616" s="3">
        <v>21</v>
      </c>
      <c r="E1616" s="3">
        <v>125.79</v>
      </c>
      <c r="F1616" t="str">
        <f t="shared" si="127"/>
        <v>cogs</v>
      </c>
      <c r="G1616" s="7" t="str">
        <f t="shared" si="128"/>
        <v>product 1</v>
      </c>
      <c r="H1616">
        <f t="shared" si="129"/>
        <v>2024</v>
      </c>
      <c r="I1616">
        <f t="shared" si="130"/>
        <v>8</v>
      </c>
      <c r="J1616">
        <f t="shared" si="126"/>
        <v>599.52</v>
      </c>
    </row>
    <row r="1617" spans="1:10" ht="12.5" x14ac:dyDescent="0.25">
      <c r="A1617" s="1">
        <v>45516</v>
      </c>
      <c r="B1617" s="2" t="s">
        <v>8</v>
      </c>
      <c r="C1617" s="3">
        <v>16.989999999999998</v>
      </c>
      <c r="D1617" s="3">
        <v>0</v>
      </c>
      <c r="E1617" s="2">
        <f>C1617*D1617</f>
        <v>0</v>
      </c>
      <c r="F1617" t="str">
        <f t="shared" si="127"/>
        <v>cogs</v>
      </c>
      <c r="G1617" s="7" t="str">
        <f t="shared" si="128"/>
        <v>product 2</v>
      </c>
      <c r="H1617">
        <f t="shared" si="129"/>
        <v>2024</v>
      </c>
      <c r="I1617">
        <f t="shared" si="130"/>
        <v>8</v>
      </c>
      <c r="J1617">
        <f t="shared" si="126"/>
        <v>-83.86</v>
      </c>
    </row>
    <row r="1618" spans="1:10" ht="12.5" x14ac:dyDescent="0.25">
      <c r="A1618" s="1">
        <v>45516</v>
      </c>
      <c r="B1618" s="2" t="s">
        <v>9</v>
      </c>
      <c r="C1618" s="3">
        <v>8.49</v>
      </c>
      <c r="D1618" s="3">
        <v>248</v>
      </c>
      <c r="E1618" s="3">
        <v>2105.52</v>
      </c>
      <c r="F1618" t="str">
        <f t="shared" si="127"/>
        <v>cogs</v>
      </c>
      <c r="G1618" s="7" t="str">
        <f t="shared" si="128"/>
        <v>product 3</v>
      </c>
      <c r="H1618">
        <f t="shared" si="129"/>
        <v>2024</v>
      </c>
      <c r="I1618">
        <f t="shared" si="130"/>
        <v>8</v>
      </c>
      <c r="J1618">
        <f t="shared" si="126"/>
        <v>-152.91</v>
      </c>
    </row>
    <row r="1619" spans="1:10" ht="12.5" x14ac:dyDescent="0.25">
      <c r="A1619" s="1">
        <v>45516</v>
      </c>
      <c r="B1619" s="2" t="s">
        <v>10</v>
      </c>
      <c r="C1619" s="2" t="s">
        <v>6</v>
      </c>
      <c r="D1619" s="2" t="s">
        <v>6</v>
      </c>
      <c r="E1619" s="3">
        <v>100</v>
      </c>
      <c r="F1619" t="str">
        <f t="shared" si="127"/>
        <v>marketing</v>
      </c>
      <c r="G1619" s="7" t="s">
        <v>6</v>
      </c>
      <c r="H1619">
        <f t="shared" si="129"/>
        <v>2024</v>
      </c>
      <c r="I1619">
        <f t="shared" si="130"/>
        <v>8</v>
      </c>
      <c r="J1619">
        <f t="shared" si="126"/>
        <v>-704.67000000000007</v>
      </c>
    </row>
    <row r="1620" spans="1:10" ht="12.5" x14ac:dyDescent="0.25">
      <c r="A1620" s="1">
        <v>45516</v>
      </c>
      <c r="B1620" s="2" t="s">
        <v>11</v>
      </c>
      <c r="C1620" s="3">
        <v>9.99</v>
      </c>
      <c r="D1620" s="3">
        <v>21</v>
      </c>
      <c r="E1620" s="3">
        <v>209.79</v>
      </c>
      <c r="F1620" t="str">
        <f t="shared" si="127"/>
        <v>net sales</v>
      </c>
      <c r="G1620" s="7" t="str">
        <f t="shared" si="128"/>
        <v>product 1</v>
      </c>
      <c r="H1620">
        <f t="shared" si="129"/>
        <v>2024</v>
      </c>
      <c r="I1620">
        <f t="shared" si="130"/>
        <v>8</v>
      </c>
      <c r="J1620">
        <f t="shared" si="126"/>
        <v>-100.05</v>
      </c>
    </row>
    <row r="1621" spans="1:10" ht="12.5" x14ac:dyDescent="0.25">
      <c r="A1621" s="1">
        <v>45516</v>
      </c>
      <c r="B1621" s="2" t="s">
        <v>12</v>
      </c>
      <c r="C1621" s="3">
        <v>24.99</v>
      </c>
      <c r="D1621" s="3">
        <v>0</v>
      </c>
      <c r="E1621" s="2">
        <f>C1621*D1621</f>
        <v>0</v>
      </c>
      <c r="F1621" t="str">
        <f t="shared" si="127"/>
        <v>net sales</v>
      </c>
      <c r="G1621" s="7" t="str">
        <f t="shared" si="128"/>
        <v>product 2</v>
      </c>
      <c r="H1621">
        <f t="shared" si="129"/>
        <v>2024</v>
      </c>
      <c r="I1621">
        <f t="shared" si="130"/>
        <v>8</v>
      </c>
      <c r="J1621">
        <f t="shared" si="126"/>
        <v>139.86000000000001</v>
      </c>
    </row>
    <row r="1622" spans="1:10" ht="12.5" x14ac:dyDescent="0.25">
      <c r="A1622" s="1">
        <v>45516</v>
      </c>
      <c r="B1622" s="2" t="s">
        <v>13</v>
      </c>
      <c r="C1622" s="3">
        <v>12.49</v>
      </c>
      <c r="D1622" s="3">
        <v>248</v>
      </c>
      <c r="E1622" s="3">
        <v>3097.52</v>
      </c>
      <c r="F1622" t="str">
        <f t="shared" si="127"/>
        <v>net sales</v>
      </c>
      <c r="G1622" s="7" t="str">
        <f t="shared" si="128"/>
        <v>product 3</v>
      </c>
      <c r="H1622">
        <f t="shared" si="129"/>
        <v>2024</v>
      </c>
      <c r="I1622">
        <f t="shared" si="130"/>
        <v>8</v>
      </c>
      <c r="J1622">
        <f t="shared" si="126"/>
        <v>224.91</v>
      </c>
    </row>
    <row r="1623" spans="1:10" ht="12.5" x14ac:dyDescent="0.25">
      <c r="A1623" s="1">
        <v>45517</v>
      </c>
      <c r="B1623" s="2" t="s">
        <v>7</v>
      </c>
      <c r="C1623" s="3">
        <v>5.99</v>
      </c>
      <c r="D1623" s="3">
        <v>87</v>
      </c>
      <c r="E1623" s="3">
        <v>521.13</v>
      </c>
      <c r="F1623" t="str">
        <f t="shared" si="127"/>
        <v>cogs</v>
      </c>
      <c r="G1623" s="7" t="str">
        <f t="shared" si="128"/>
        <v>product 1</v>
      </c>
      <c r="H1623">
        <f t="shared" si="129"/>
        <v>2024</v>
      </c>
      <c r="I1623">
        <f t="shared" si="130"/>
        <v>8</v>
      </c>
      <c r="J1623">
        <f t="shared" si="126"/>
        <v>1036.67</v>
      </c>
    </row>
    <row r="1624" spans="1:10" ht="12.5" x14ac:dyDescent="0.25">
      <c r="A1624" s="1">
        <v>45517</v>
      </c>
      <c r="B1624" s="2" t="s">
        <v>8</v>
      </c>
      <c r="C1624" s="3">
        <v>16.989999999999998</v>
      </c>
      <c r="D1624" s="3">
        <v>6</v>
      </c>
      <c r="E1624" s="3">
        <v>101.94</v>
      </c>
      <c r="F1624" t="str">
        <f t="shared" si="127"/>
        <v>cogs</v>
      </c>
      <c r="G1624" s="7" t="str">
        <f t="shared" si="128"/>
        <v>product 2</v>
      </c>
      <c r="H1624">
        <f t="shared" si="129"/>
        <v>2024</v>
      </c>
      <c r="I1624">
        <f t="shared" si="130"/>
        <v>8</v>
      </c>
      <c r="J1624">
        <f t="shared" si="126"/>
        <v>-83.86</v>
      </c>
    </row>
    <row r="1625" spans="1:10" ht="12.5" x14ac:dyDescent="0.25">
      <c r="A1625" s="1">
        <v>45517</v>
      </c>
      <c r="B1625" s="2" t="s">
        <v>9</v>
      </c>
      <c r="C1625" s="3">
        <v>8.49</v>
      </c>
      <c r="D1625" s="3">
        <v>94</v>
      </c>
      <c r="E1625" s="3">
        <v>798.06000000000006</v>
      </c>
      <c r="F1625" t="str">
        <f t="shared" si="127"/>
        <v>cogs</v>
      </c>
      <c r="G1625" s="7" t="str">
        <f t="shared" si="128"/>
        <v>product 3</v>
      </c>
      <c r="H1625">
        <f t="shared" si="129"/>
        <v>2024</v>
      </c>
      <c r="I1625">
        <f t="shared" si="130"/>
        <v>8</v>
      </c>
      <c r="J1625">
        <f t="shared" si="126"/>
        <v>-33.979999999999997</v>
      </c>
    </row>
    <row r="1626" spans="1:10" ht="12.5" x14ac:dyDescent="0.25">
      <c r="A1626" s="1">
        <v>45517</v>
      </c>
      <c r="B1626" s="2" t="s">
        <v>10</v>
      </c>
      <c r="C1626" s="2" t="s">
        <v>6</v>
      </c>
      <c r="D1626" s="2" t="s">
        <v>6</v>
      </c>
      <c r="E1626" s="3">
        <v>99.990000000000009</v>
      </c>
      <c r="F1626" t="str">
        <f t="shared" si="127"/>
        <v>marketing</v>
      </c>
      <c r="G1626" s="7" t="s">
        <v>6</v>
      </c>
      <c r="H1626">
        <f t="shared" si="129"/>
        <v>2024</v>
      </c>
      <c r="I1626">
        <f t="shared" si="130"/>
        <v>8</v>
      </c>
      <c r="J1626">
        <f t="shared" si="126"/>
        <v>-1112.19</v>
      </c>
    </row>
    <row r="1627" spans="1:10" ht="12.5" x14ac:dyDescent="0.25">
      <c r="A1627" s="1">
        <v>45517</v>
      </c>
      <c r="B1627" s="2" t="s">
        <v>11</v>
      </c>
      <c r="C1627" s="3">
        <v>9.99</v>
      </c>
      <c r="D1627" s="3">
        <v>87</v>
      </c>
      <c r="E1627" s="3">
        <v>869.13</v>
      </c>
      <c r="F1627" t="str">
        <f t="shared" si="127"/>
        <v>net sales</v>
      </c>
      <c r="G1627" s="7" t="str">
        <f t="shared" si="128"/>
        <v>product 1</v>
      </c>
      <c r="H1627">
        <f t="shared" si="129"/>
        <v>2024</v>
      </c>
      <c r="I1627">
        <f t="shared" si="130"/>
        <v>8</v>
      </c>
      <c r="J1627">
        <f t="shared" si="126"/>
        <v>-100.01</v>
      </c>
    </row>
    <row r="1628" spans="1:10" ht="12.5" x14ac:dyDescent="0.25">
      <c r="A1628" s="1">
        <v>45517</v>
      </c>
      <c r="B1628" s="2" t="s">
        <v>12</v>
      </c>
      <c r="C1628" s="3">
        <v>24.99</v>
      </c>
      <c r="D1628" s="3">
        <v>6</v>
      </c>
      <c r="E1628" s="3">
        <v>149.94</v>
      </c>
      <c r="F1628" t="str">
        <f t="shared" si="127"/>
        <v>net sales</v>
      </c>
      <c r="G1628" s="7" t="str">
        <f t="shared" si="128"/>
        <v>product 2</v>
      </c>
      <c r="H1628">
        <f t="shared" si="129"/>
        <v>2024</v>
      </c>
      <c r="I1628">
        <f t="shared" si="130"/>
        <v>8</v>
      </c>
      <c r="J1628">
        <f t="shared" ref="J1628:J1691" si="131">IF(F1411="net sales",E1411,
IF(F1411="cogs",-E1411,
IF(OR(F1411="marketing",F1411="overhead",F1411="payroll",F1411="interest","amortization"),-E1411,0)))</f>
        <v>139.86000000000001</v>
      </c>
    </row>
    <row r="1629" spans="1:10" ht="12.5" x14ac:dyDescent="0.25">
      <c r="A1629" s="1">
        <v>45517</v>
      </c>
      <c r="B1629" s="2" t="s">
        <v>13</v>
      </c>
      <c r="C1629" s="3">
        <v>12.49</v>
      </c>
      <c r="D1629" s="3">
        <v>94</v>
      </c>
      <c r="E1629" s="3">
        <v>1174.06</v>
      </c>
      <c r="F1629" t="str">
        <f t="shared" si="127"/>
        <v>net sales</v>
      </c>
      <c r="G1629" s="7" t="str">
        <f t="shared" si="128"/>
        <v>product 3</v>
      </c>
      <c r="H1629">
        <f t="shared" si="129"/>
        <v>2024</v>
      </c>
      <c r="I1629">
        <f t="shared" si="130"/>
        <v>8</v>
      </c>
      <c r="J1629">
        <f t="shared" si="131"/>
        <v>49.98</v>
      </c>
    </row>
    <row r="1630" spans="1:10" ht="12.5" x14ac:dyDescent="0.25">
      <c r="A1630" s="1">
        <v>45518</v>
      </c>
      <c r="B1630" s="2" t="s">
        <v>7</v>
      </c>
      <c r="C1630" s="3">
        <v>5.99</v>
      </c>
      <c r="D1630" s="3">
        <v>48</v>
      </c>
      <c r="E1630" s="3">
        <v>287.52</v>
      </c>
      <c r="F1630" t="str">
        <f t="shared" si="127"/>
        <v>cogs</v>
      </c>
      <c r="G1630" s="7" t="str">
        <f t="shared" si="128"/>
        <v>product 1</v>
      </c>
      <c r="H1630">
        <f t="shared" si="129"/>
        <v>2024</v>
      </c>
      <c r="I1630">
        <f t="shared" si="130"/>
        <v>8</v>
      </c>
      <c r="J1630">
        <f t="shared" si="131"/>
        <v>1636.19</v>
      </c>
    </row>
    <row r="1631" spans="1:10" ht="12.5" x14ac:dyDescent="0.25">
      <c r="A1631" s="1">
        <v>45518</v>
      </c>
      <c r="B1631" s="2" t="s">
        <v>8</v>
      </c>
      <c r="C1631" s="3">
        <v>16.989999999999998</v>
      </c>
      <c r="D1631" s="3">
        <v>4</v>
      </c>
      <c r="E1631" s="3">
        <v>67.959999999999994</v>
      </c>
      <c r="F1631" t="str">
        <f t="shared" si="127"/>
        <v>cogs</v>
      </c>
      <c r="G1631" s="7" t="str">
        <f t="shared" si="128"/>
        <v>product 2</v>
      </c>
      <c r="H1631">
        <f t="shared" si="129"/>
        <v>2024</v>
      </c>
      <c r="I1631">
        <f t="shared" si="130"/>
        <v>8</v>
      </c>
      <c r="J1631">
        <f t="shared" si="131"/>
        <v>-173.71</v>
      </c>
    </row>
    <row r="1632" spans="1:10" ht="12.5" x14ac:dyDescent="0.25">
      <c r="A1632" s="1">
        <v>45518</v>
      </c>
      <c r="B1632" s="2" t="s">
        <v>9</v>
      </c>
      <c r="C1632" s="3">
        <v>8.49</v>
      </c>
      <c r="D1632" s="3">
        <v>4</v>
      </c>
      <c r="E1632" s="3">
        <v>33.96</v>
      </c>
      <c r="F1632" t="str">
        <f t="shared" si="127"/>
        <v>cogs</v>
      </c>
      <c r="G1632" s="7" t="str">
        <f t="shared" si="128"/>
        <v>product 3</v>
      </c>
      <c r="H1632">
        <f t="shared" si="129"/>
        <v>2024</v>
      </c>
      <c r="I1632">
        <f t="shared" si="130"/>
        <v>8</v>
      </c>
      <c r="J1632">
        <f t="shared" si="131"/>
        <v>-84.949999999999989</v>
      </c>
    </row>
    <row r="1633" spans="1:10" ht="12.5" x14ac:dyDescent="0.25">
      <c r="A1633" s="1">
        <v>45518</v>
      </c>
      <c r="B1633" s="2" t="s">
        <v>10</v>
      </c>
      <c r="C1633" s="2" t="s">
        <v>6</v>
      </c>
      <c r="D1633" s="2" t="s">
        <v>6</v>
      </c>
      <c r="E1633" s="3">
        <v>99.990000000000009</v>
      </c>
      <c r="F1633" t="str">
        <f t="shared" si="127"/>
        <v>marketing</v>
      </c>
      <c r="G1633" s="7" t="s">
        <v>6</v>
      </c>
      <c r="H1633">
        <f t="shared" si="129"/>
        <v>2024</v>
      </c>
      <c r="I1633">
        <f t="shared" si="130"/>
        <v>8</v>
      </c>
      <c r="J1633">
        <f t="shared" si="131"/>
        <v>-492.42</v>
      </c>
    </row>
    <row r="1634" spans="1:10" ht="12.5" x14ac:dyDescent="0.25">
      <c r="A1634" s="1">
        <v>45518</v>
      </c>
      <c r="B1634" s="2" t="s">
        <v>11</v>
      </c>
      <c r="C1634" s="3">
        <v>9.99</v>
      </c>
      <c r="D1634" s="3">
        <v>48</v>
      </c>
      <c r="E1634" s="3">
        <v>479.52</v>
      </c>
      <c r="F1634" t="str">
        <f t="shared" si="127"/>
        <v>net sales</v>
      </c>
      <c r="G1634" s="7" t="str">
        <f t="shared" si="128"/>
        <v>product 1</v>
      </c>
      <c r="H1634">
        <f t="shared" si="129"/>
        <v>2024</v>
      </c>
      <c r="I1634">
        <f t="shared" si="130"/>
        <v>8</v>
      </c>
      <c r="J1634">
        <f t="shared" si="131"/>
        <v>-1258.28</v>
      </c>
    </row>
    <row r="1635" spans="1:10" ht="12.5" x14ac:dyDescent="0.25">
      <c r="A1635" s="1">
        <v>45518</v>
      </c>
      <c r="B1635" s="2" t="s">
        <v>12</v>
      </c>
      <c r="C1635" s="3">
        <v>24.99</v>
      </c>
      <c r="D1635" s="3">
        <v>4</v>
      </c>
      <c r="E1635" s="3">
        <v>99.96</v>
      </c>
      <c r="F1635" t="str">
        <f t="shared" si="127"/>
        <v>net sales</v>
      </c>
      <c r="G1635" s="7" t="str">
        <f t="shared" si="128"/>
        <v>product 2</v>
      </c>
      <c r="H1635">
        <f t="shared" si="129"/>
        <v>2024</v>
      </c>
      <c r="I1635">
        <f t="shared" si="130"/>
        <v>8</v>
      </c>
      <c r="J1635">
        <f t="shared" si="131"/>
        <v>-99.97</v>
      </c>
    </row>
    <row r="1636" spans="1:10" ht="12.5" x14ac:dyDescent="0.25">
      <c r="A1636" s="1">
        <v>45518</v>
      </c>
      <c r="B1636" s="2" t="s">
        <v>13</v>
      </c>
      <c r="C1636" s="3">
        <v>12.49</v>
      </c>
      <c r="D1636" s="3">
        <v>4</v>
      </c>
      <c r="E1636" s="3">
        <v>49.96</v>
      </c>
      <c r="F1636" t="str">
        <f t="shared" si="127"/>
        <v>net sales</v>
      </c>
      <c r="G1636" s="7" t="str">
        <f t="shared" si="128"/>
        <v>product 3</v>
      </c>
      <c r="H1636">
        <f t="shared" si="129"/>
        <v>2024</v>
      </c>
      <c r="I1636">
        <f t="shared" si="130"/>
        <v>8</v>
      </c>
      <c r="J1636">
        <f t="shared" si="131"/>
        <v>289.70999999999998</v>
      </c>
    </row>
    <row r="1637" spans="1:10" ht="12.5" x14ac:dyDescent="0.25">
      <c r="A1637" s="1">
        <v>45519</v>
      </c>
      <c r="B1637" s="2" t="s">
        <v>7</v>
      </c>
      <c r="C1637" s="3">
        <v>5.99</v>
      </c>
      <c r="D1637" s="3">
        <v>30</v>
      </c>
      <c r="E1637" s="3">
        <v>179.70000000000002</v>
      </c>
      <c r="F1637" t="str">
        <f t="shared" si="127"/>
        <v>cogs</v>
      </c>
      <c r="G1637" s="7" t="str">
        <f t="shared" si="128"/>
        <v>product 1</v>
      </c>
      <c r="H1637">
        <f t="shared" si="129"/>
        <v>2024</v>
      </c>
      <c r="I1637">
        <f t="shared" si="130"/>
        <v>8</v>
      </c>
      <c r="J1637">
        <f t="shared" si="131"/>
        <v>124.94999999999999</v>
      </c>
    </row>
    <row r="1638" spans="1:10" ht="12.5" x14ac:dyDescent="0.25">
      <c r="A1638" s="1">
        <v>45519</v>
      </c>
      <c r="B1638" s="2" t="s">
        <v>8</v>
      </c>
      <c r="C1638" s="3">
        <v>16.989999999999998</v>
      </c>
      <c r="D1638" s="3">
        <v>2</v>
      </c>
      <c r="E1638" s="3">
        <v>33.979999999999997</v>
      </c>
      <c r="F1638" t="str">
        <f t="shared" si="127"/>
        <v>cogs</v>
      </c>
      <c r="G1638" s="7" t="str">
        <f t="shared" si="128"/>
        <v>product 2</v>
      </c>
      <c r="H1638">
        <f t="shared" si="129"/>
        <v>2024</v>
      </c>
      <c r="I1638">
        <f t="shared" si="130"/>
        <v>8</v>
      </c>
      <c r="J1638">
        <f t="shared" si="131"/>
        <v>724.42</v>
      </c>
    </row>
    <row r="1639" spans="1:10" ht="12.5" x14ac:dyDescent="0.25">
      <c r="A1639" s="1">
        <v>45519</v>
      </c>
      <c r="B1639" s="2" t="s">
        <v>9</v>
      </c>
      <c r="C1639" s="3">
        <v>8.49</v>
      </c>
      <c r="D1639" s="3">
        <v>152</v>
      </c>
      <c r="E1639" s="3">
        <v>1290.48</v>
      </c>
      <c r="F1639" t="str">
        <f t="shared" si="127"/>
        <v>cogs</v>
      </c>
      <c r="G1639" s="7" t="str">
        <f t="shared" si="128"/>
        <v>product 3</v>
      </c>
      <c r="H1639">
        <f t="shared" si="129"/>
        <v>2024</v>
      </c>
      <c r="I1639">
        <f t="shared" si="130"/>
        <v>8</v>
      </c>
      <c r="J1639">
        <f t="shared" si="131"/>
        <v>-314.57</v>
      </c>
    </row>
    <row r="1640" spans="1:10" ht="12.5" x14ac:dyDescent="0.25">
      <c r="A1640" s="1">
        <v>45519</v>
      </c>
      <c r="B1640" s="2" t="s">
        <v>16</v>
      </c>
      <c r="C1640" s="2" t="s">
        <v>6</v>
      </c>
      <c r="D1640" s="2" t="s">
        <v>6</v>
      </c>
      <c r="E1640" s="3">
        <v>1282.24</v>
      </c>
      <c r="F1640" t="str">
        <f t="shared" si="127"/>
        <v>interest</v>
      </c>
      <c r="G1640" s="7" t="s">
        <v>6</v>
      </c>
      <c r="H1640">
        <f t="shared" si="129"/>
        <v>2024</v>
      </c>
      <c r="I1640">
        <f t="shared" si="130"/>
        <v>8</v>
      </c>
      <c r="J1640">
        <f t="shared" si="131"/>
        <v>-197.67000000000002</v>
      </c>
    </row>
    <row r="1641" spans="1:10" ht="12.5" x14ac:dyDescent="0.25">
      <c r="A1641" s="1">
        <v>45519</v>
      </c>
      <c r="B1641" s="2" t="s">
        <v>10</v>
      </c>
      <c r="C1641" s="2" t="s">
        <v>6</v>
      </c>
      <c r="D1641" s="2" t="s">
        <v>6</v>
      </c>
      <c r="E1641" s="3">
        <v>99.98</v>
      </c>
      <c r="F1641" t="str">
        <f t="shared" si="127"/>
        <v>marketing</v>
      </c>
      <c r="G1641" s="7" t="s">
        <v>6</v>
      </c>
      <c r="H1641">
        <f t="shared" si="129"/>
        <v>2024</v>
      </c>
      <c r="I1641">
        <f t="shared" si="130"/>
        <v>8</v>
      </c>
      <c r="J1641">
        <f t="shared" si="131"/>
        <v>-118.92999999999999</v>
      </c>
    </row>
    <row r="1642" spans="1:10" ht="12.5" x14ac:dyDescent="0.25">
      <c r="A1642" s="1">
        <v>45519</v>
      </c>
      <c r="B1642" s="2" t="s">
        <v>11</v>
      </c>
      <c r="C1642" s="3">
        <v>9.99</v>
      </c>
      <c r="D1642" s="3">
        <v>30</v>
      </c>
      <c r="E1642" s="3">
        <v>299.7</v>
      </c>
      <c r="F1642" t="str">
        <f t="shared" si="127"/>
        <v>net sales</v>
      </c>
      <c r="G1642" s="7" t="str">
        <f t="shared" si="128"/>
        <v>product 1</v>
      </c>
      <c r="H1642">
        <f t="shared" si="129"/>
        <v>2024</v>
      </c>
      <c r="I1642">
        <f t="shared" si="130"/>
        <v>8</v>
      </c>
      <c r="J1642">
        <f t="shared" si="131"/>
        <v>-203.76</v>
      </c>
    </row>
    <row r="1643" spans="1:10" ht="12.5" x14ac:dyDescent="0.25">
      <c r="A1643" s="1">
        <v>45519</v>
      </c>
      <c r="B1643" s="2" t="s">
        <v>12</v>
      </c>
      <c r="C1643" s="3">
        <v>24.99</v>
      </c>
      <c r="D1643" s="3">
        <v>2</v>
      </c>
      <c r="E1643" s="3">
        <v>49.98</v>
      </c>
      <c r="F1643" t="str">
        <f t="shared" si="127"/>
        <v>net sales</v>
      </c>
      <c r="G1643" s="7" t="str">
        <f t="shared" si="128"/>
        <v>product 2</v>
      </c>
      <c r="H1643">
        <f t="shared" si="129"/>
        <v>2024</v>
      </c>
      <c r="I1643">
        <f t="shared" si="130"/>
        <v>8</v>
      </c>
      <c r="J1643">
        <f t="shared" si="131"/>
        <v>-100.05</v>
      </c>
    </row>
    <row r="1644" spans="1:10" ht="12.5" x14ac:dyDescent="0.25">
      <c r="A1644" s="1">
        <v>45519</v>
      </c>
      <c r="B1644" s="2" t="s">
        <v>13</v>
      </c>
      <c r="C1644" s="3">
        <v>12.49</v>
      </c>
      <c r="D1644" s="3">
        <v>152</v>
      </c>
      <c r="E1644" s="3">
        <v>1898.48</v>
      </c>
      <c r="F1644" t="str">
        <f t="shared" si="127"/>
        <v>net sales</v>
      </c>
      <c r="G1644" s="7" t="str">
        <f t="shared" si="128"/>
        <v>product 3</v>
      </c>
      <c r="H1644">
        <f t="shared" si="129"/>
        <v>2024</v>
      </c>
      <c r="I1644">
        <f t="shared" si="130"/>
        <v>8</v>
      </c>
      <c r="J1644">
        <f t="shared" si="131"/>
        <v>329.67</v>
      </c>
    </row>
    <row r="1645" spans="1:10" ht="12.5" x14ac:dyDescent="0.25">
      <c r="A1645" s="1">
        <v>45519</v>
      </c>
      <c r="B1645" s="2" t="s">
        <v>14</v>
      </c>
      <c r="C1645" s="2" t="s">
        <v>6</v>
      </c>
      <c r="D1645" s="2" t="s">
        <v>6</v>
      </c>
      <c r="E1645" s="3">
        <v>315.2</v>
      </c>
      <c r="F1645" t="str">
        <f t="shared" si="127"/>
        <v>overhead</v>
      </c>
      <c r="G1645" s="7" t="s">
        <v>6</v>
      </c>
      <c r="H1645">
        <f t="shared" si="129"/>
        <v>2024</v>
      </c>
      <c r="I1645">
        <f t="shared" si="130"/>
        <v>8</v>
      </c>
      <c r="J1645">
        <f t="shared" si="131"/>
        <v>174.92999999999998</v>
      </c>
    </row>
    <row r="1646" spans="1:10" ht="12.5" x14ac:dyDescent="0.25">
      <c r="A1646" s="1">
        <v>45520</v>
      </c>
      <c r="B1646" s="2" t="s">
        <v>7</v>
      </c>
      <c r="C1646" s="3">
        <v>5.99</v>
      </c>
      <c r="D1646" s="3">
        <v>73</v>
      </c>
      <c r="E1646" s="3">
        <v>437.27000000000004</v>
      </c>
      <c r="F1646" t="str">
        <f t="shared" si="127"/>
        <v>cogs</v>
      </c>
      <c r="G1646" s="7" t="str">
        <f t="shared" si="128"/>
        <v>product 1</v>
      </c>
      <c r="H1646">
        <f t="shared" si="129"/>
        <v>2024</v>
      </c>
      <c r="I1646">
        <f t="shared" si="130"/>
        <v>8</v>
      </c>
      <c r="J1646">
        <f t="shared" si="131"/>
        <v>299.76</v>
      </c>
    </row>
    <row r="1647" spans="1:10" ht="12.5" x14ac:dyDescent="0.25">
      <c r="A1647" s="1">
        <v>45520</v>
      </c>
      <c r="B1647" s="2" t="s">
        <v>8</v>
      </c>
      <c r="C1647" s="3">
        <v>16.989999999999998</v>
      </c>
      <c r="D1647" s="3">
        <v>3</v>
      </c>
      <c r="E1647" s="3">
        <v>50.97</v>
      </c>
      <c r="F1647" t="str">
        <f t="shared" si="127"/>
        <v>cogs</v>
      </c>
      <c r="G1647" s="7" t="str">
        <f t="shared" si="128"/>
        <v>product 2</v>
      </c>
      <c r="H1647">
        <f t="shared" si="129"/>
        <v>2024</v>
      </c>
      <c r="I1647">
        <f t="shared" si="130"/>
        <v>8</v>
      </c>
      <c r="J1647">
        <f t="shared" si="131"/>
        <v>-143.76</v>
      </c>
    </row>
    <row r="1648" spans="1:10" ht="12.5" x14ac:dyDescent="0.25">
      <c r="A1648" s="1">
        <v>45520</v>
      </c>
      <c r="B1648" s="2" t="s">
        <v>9</v>
      </c>
      <c r="C1648" s="3">
        <v>8.49</v>
      </c>
      <c r="D1648" s="3">
        <v>124</v>
      </c>
      <c r="E1648" s="3">
        <v>1052.76</v>
      </c>
      <c r="F1648" t="str">
        <f t="shared" si="127"/>
        <v>cogs</v>
      </c>
      <c r="G1648" s="7" t="str">
        <f t="shared" si="128"/>
        <v>product 3</v>
      </c>
      <c r="H1648">
        <f t="shared" si="129"/>
        <v>2024</v>
      </c>
      <c r="I1648">
        <f t="shared" si="130"/>
        <v>8</v>
      </c>
      <c r="J1648">
        <f t="shared" si="131"/>
        <v>-16.989999999999998</v>
      </c>
    </row>
    <row r="1649" spans="1:10" ht="12.5" x14ac:dyDescent="0.25">
      <c r="A1649" s="1">
        <v>45520</v>
      </c>
      <c r="B1649" s="2" t="s">
        <v>10</v>
      </c>
      <c r="C1649" s="2" t="s">
        <v>6</v>
      </c>
      <c r="D1649" s="2" t="s">
        <v>6</v>
      </c>
      <c r="E1649" s="3">
        <v>100.03</v>
      </c>
      <c r="F1649" t="str">
        <f t="shared" si="127"/>
        <v>marketing</v>
      </c>
      <c r="G1649" s="7" t="s">
        <v>6</v>
      </c>
      <c r="H1649">
        <f t="shared" si="129"/>
        <v>2024</v>
      </c>
      <c r="I1649">
        <f t="shared" si="130"/>
        <v>8</v>
      </c>
      <c r="J1649">
        <f t="shared" si="131"/>
        <v>-1409.3400000000001</v>
      </c>
    </row>
    <row r="1650" spans="1:10" ht="12.5" x14ac:dyDescent="0.25">
      <c r="A1650" s="1">
        <v>45520</v>
      </c>
      <c r="B1650" s="2" t="s">
        <v>11</v>
      </c>
      <c r="C1650" s="3">
        <v>9.99</v>
      </c>
      <c r="D1650" s="3">
        <v>73</v>
      </c>
      <c r="E1650" s="3">
        <v>729.27</v>
      </c>
      <c r="F1650" t="str">
        <f t="shared" si="127"/>
        <v>net sales</v>
      </c>
      <c r="G1650" s="7" t="str">
        <f t="shared" si="128"/>
        <v>product 1</v>
      </c>
      <c r="H1650">
        <f t="shared" si="129"/>
        <v>2024</v>
      </c>
      <c r="I1650">
        <f t="shared" si="130"/>
        <v>8</v>
      </c>
      <c r="J1650">
        <f t="shared" si="131"/>
        <v>-99.92</v>
      </c>
    </row>
    <row r="1651" spans="1:10" ht="12.5" x14ac:dyDescent="0.25">
      <c r="A1651" s="1">
        <v>45520</v>
      </c>
      <c r="B1651" s="2" t="s">
        <v>12</v>
      </c>
      <c r="C1651" s="3">
        <v>24.99</v>
      </c>
      <c r="D1651" s="3">
        <v>3</v>
      </c>
      <c r="E1651" s="3">
        <v>74.97</v>
      </c>
      <c r="F1651" t="str">
        <f t="shared" si="127"/>
        <v>net sales</v>
      </c>
      <c r="G1651" s="7" t="str">
        <f t="shared" si="128"/>
        <v>product 2</v>
      </c>
      <c r="H1651">
        <f t="shared" si="129"/>
        <v>2024</v>
      </c>
      <c r="I1651">
        <f t="shared" si="130"/>
        <v>8</v>
      </c>
      <c r="J1651">
        <f t="shared" si="131"/>
        <v>239.76</v>
      </c>
    </row>
    <row r="1652" spans="1:10" ht="12.5" x14ac:dyDescent="0.25">
      <c r="A1652" s="1">
        <v>45520</v>
      </c>
      <c r="B1652" s="2" t="s">
        <v>13</v>
      </c>
      <c r="C1652" s="3">
        <v>12.49</v>
      </c>
      <c r="D1652" s="3">
        <v>124</v>
      </c>
      <c r="E1652" s="3">
        <v>1548.76</v>
      </c>
      <c r="F1652" t="str">
        <f t="shared" si="127"/>
        <v>net sales</v>
      </c>
      <c r="G1652" s="7" t="str">
        <f t="shared" si="128"/>
        <v>product 3</v>
      </c>
      <c r="H1652">
        <f t="shared" si="129"/>
        <v>2024</v>
      </c>
      <c r="I1652">
        <f t="shared" si="130"/>
        <v>8</v>
      </c>
      <c r="J1652">
        <f t="shared" si="131"/>
        <v>24.99</v>
      </c>
    </row>
    <row r="1653" spans="1:10" ht="12.5" x14ac:dyDescent="0.25">
      <c r="A1653" s="1">
        <v>45520</v>
      </c>
      <c r="B1653" s="2" t="s">
        <v>15</v>
      </c>
      <c r="C1653" s="2" t="s">
        <v>6</v>
      </c>
      <c r="D1653" s="2" t="s">
        <v>6</v>
      </c>
      <c r="E1653" s="3">
        <v>1200</v>
      </c>
      <c r="F1653" t="str">
        <f t="shared" si="127"/>
        <v>payroll</v>
      </c>
      <c r="G1653" s="7" t="s">
        <v>6</v>
      </c>
      <c r="H1653">
        <f t="shared" si="129"/>
        <v>2024</v>
      </c>
      <c r="I1653">
        <f t="shared" si="130"/>
        <v>8</v>
      </c>
      <c r="J1653">
        <f t="shared" si="131"/>
        <v>2073.34</v>
      </c>
    </row>
    <row r="1654" spans="1:10" ht="12.5" x14ac:dyDescent="0.25">
      <c r="A1654" s="1">
        <v>45521</v>
      </c>
      <c r="B1654" s="2" t="s">
        <v>7</v>
      </c>
      <c r="C1654" s="3">
        <v>5.99</v>
      </c>
      <c r="D1654" s="3">
        <v>60</v>
      </c>
      <c r="E1654" s="3">
        <v>359.40000000000003</v>
      </c>
      <c r="F1654" t="str">
        <f t="shared" si="127"/>
        <v>cogs</v>
      </c>
      <c r="G1654" s="7" t="str">
        <f t="shared" si="128"/>
        <v>product 1</v>
      </c>
      <c r="H1654">
        <f t="shared" si="129"/>
        <v>2024</v>
      </c>
      <c r="I1654">
        <f t="shared" si="130"/>
        <v>8</v>
      </c>
      <c r="J1654">
        <f t="shared" si="131"/>
        <v>-209.65</v>
      </c>
    </row>
    <row r="1655" spans="1:10" ht="12.5" x14ac:dyDescent="0.25">
      <c r="A1655" s="1">
        <v>45521</v>
      </c>
      <c r="B1655" s="2" t="s">
        <v>8</v>
      </c>
      <c r="C1655" s="3">
        <v>16.989999999999998</v>
      </c>
      <c r="D1655" s="3">
        <v>8</v>
      </c>
      <c r="E1655" s="3">
        <v>135.91999999999999</v>
      </c>
      <c r="F1655" t="str">
        <f t="shared" si="127"/>
        <v>cogs</v>
      </c>
      <c r="G1655" s="7" t="str">
        <f t="shared" si="128"/>
        <v>product 2</v>
      </c>
      <c r="H1655">
        <f t="shared" si="129"/>
        <v>2024</v>
      </c>
      <c r="I1655">
        <f t="shared" si="130"/>
        <v>8</v>
      </c>
      <c r="J1655">
        <f t="shared" si="131"/>
        <v>-152.91</v>
      </c>
    </row>
    <row r="1656" spans="1:10" ht="12.5" x14ac:dyDescent="0.25">
      <c r="A1656" s="1">
        <v>45521</v>
      </c>
      <c r="B1656" s="2" t="s">
        <v>9</v>
      </c>
      <c r="C1656" s="3">
        <v>8.49</v>
      </c>
      <c r="D1656" s="3">
        <v>56</v>
      </c>
      <c r="E1656" s="3">
        <v>475.44</v>
      </c>
      <c r="F1656" t="str">
        <f t="shared" si="127"/>
        <v>cogs</v>
      </c>
      <c r="G1656" s="7" t="str">
        <f t="shared" si="128"/>
        <v>product 3</v>
      </c>
      <c r="H1656">
        <f t="shared" si="129"/>
        <v>2024</v>
      </c>
      <c r="I1656">
        <f t="shared" si="130"/>
        <v>8</v>
      </c>
      <c r="J1656">
        <f t="shared" si="131"/>
        <v>-1842.3300000000002</v>
      </c>
    </row>
    <row r="1657" spans="1:10" ht="12.5" x14ac:dyDescent="0.25">
      <c r="A1657" s="1">
        <v>45521</v>
      </c>
      <c r="B1657" s="2" t="s">
        <v>10</v>
      </c>
      <c r="C1657" s="2" t="s">
        <v>6</v>
      </c>
      <c r="D1657" s="2" t="s">
        <v>6</v>
      </c>
      <c r="E1657" s="3">
        <v>100.08</v>
      </c>
      <c r="F1657" t="str">
        <f t="shared" si="127"/>
        <v>marketing</v>
      </c>
      <c r="G1657" s="7" t="s">
        <v>6</v>
      </c>
      <c r="H1657">
        <f t="shared" si="129"/>
        <v>2024</v>
      </c>
      <c r="I1657">
        <f t="shared" si="130"/>
        <v>8</v>
      </c>
      <c r="J1657">
        <f t="shared" si="131"/>
        <v>-99.95</v>
      </c>
    </row>
    <row r="1658" spans="1:10" ht="12.5" x14ac:dyDescent="0.25">
      <c r="A1658" s="1">
        <v>45521</v>
      </c>
      <c r="B1658" s="2" t="s">
        <v>11</v>
      </c>
      <c r="C1658" s="3">
        <v>9.99</v>
      </c>
      <c r="D1658" s="3">
        <v>60</v>
      </c>
      <c r="E1658" s="3">
        <v>599.4</v>
      </c>
      <c r="F1658" t="str">
        <f t="shared" si="127"/>
        <v>net sales</v>
      </c>
      <c r="G1658" s="7" t="str">
        <f t="shared" si="128"/>
        <v>product 1</v>
      </c>
      <c r="H1658">
        <f t="shared" si="129"/>
        <v>2024</v>
      </c>
      <c r="I1658">
        <f t="shared" si="130"/>
        <v>8</v>
      </c>
      <c r="J1658">
        <f t="shared" si="131"/>
        <v>349.65000000000003</v>
      </c>
    </row>
    <row r="1659" spans="1:10" ht="12.5" x14ac:dyDescent="0.25">
      <c r="A1659" s="1">
        <v>45521</v>
      </c>
      <c r="B1659" s="2" t="s">
        <v>12</v>
      </c>
      <c r="C1659" s="3">
        <v>24.99</v>
      </c>
      <c r="D1659" s="3">
        <v>8</v>
      </c>
      <c r="E1659" s="3">
        <v>199.92</v>
      </c>
      <c r="F1659" t="str">
        <f t="shared" si="127"/>
        <v>net sales</v>
      </c>
      <c r="G1659" s="7" t="str">
        <f t="shared" si="128"/>
        <v>product 2</v>
      </c>
      <c r="H1659">
        <f t="shared" si="129"/>
        <v>2024</v>
      </c>
      <c r="I1659">
        <f t="shared" si="130"/>
        <v>8</v>
      </c>
      <c r="J1659">
        <f t="shared" si="131"/>
        <v>224.91</v>
      </c>
    </row>
    <row r="1660" spans="1:10" ht="12.5" x14ac:dyDescent="0.25">
      <c r="A1660" s="1">
        <v>45521</v>
      </c>
      <c r="B1660" s="2" t="s">
        <v>13</v>
      </c>
      <c r="C1660" s="3">
        <v>12.49</v>
      </c>
      <c r="D1660" s="3">
        <v>56</v>
      </c>
      <c r="E1660" s="3">
        <v>699.44</v>
      </c>
      <c r="F1660" t="str">
        <f t="shared" si="127"/>
        <v>net sales</v>
      </c>
      <c r="G1660" s="7" t="str">
        <f t="shared" si="128"/>
        <v>product 3</v>
      </c>
      <c r="H1660">
        <f t="shared" si="129"/>
        <v>2024</v>
      </c>
      <c r="I1660">
        <f t="shared" si="130"/>
        <v>8</v>
      </c>
      <c r="J1660">
        <f t="shared" si="131"/>
        <v>2710.33</v>
      </c>
    </row>
    <row r="1661" spans="1:10" ht="12.5" x14ac:dyDescent="0.25">
      <c r="A1661" s="1">
        <v>45522</v>
      </c>
      <c r="B1661" s="2" t="s">
        <v>7</v>
      </c>
      <c r="C1661" s="3">
        <v>5.99</v>
      </c>
      <c r="D1661" s="3">
        <v>73</v>
      </c>
      <c r="E1661" s="3">
        <v>437.27000000000004</v>
      </c>
      <c r="F1661" t="str">
        <f t="shared" si="127"/>
        <v>cogs</v>
      </c>
      <c r="G1661" s="7" t="str">
        <f t="shared" si="128"/>
        <v>product 1</v>
      </c>
      <c r="H1661">
        <f t="shared" si="129"/>
        <v>2024</v>
      </c>
      <c r="I1661">
        <f t="shared" si="130"/>
        <v>8</v>
      </c>
      <c r="J1661">
        <f t="shared" si="131"/>
        <v>-35.94</v>
      </c>
    </row>
    <row r="1662" spans="1:10" ht="12.5" x14ac:dyDescent="0.25">
      <c r="A1662" s="1">
        <v>45522</v>
      </c>
      <c r="B1662" s="2" t="s">
        <v>8</v>
      </c>
      <c r="C1662" s="3">
        <v>16.989999999999998</v>
      </c>
      <c r="D1662" s="3">
        <v>9</v>
      </c>
      <c r="E1662" s="3">
        <v>152.91</v>
      </c>
      <c r="F1662" t="str">
        <f t="shared" si="127"/>
        <v>cogs</v>
      </c>
      <c r="G1662" s="7" t="str">
        <f t="shared" si="128"/>
        <v>product 2</v>
      </c>
      <c r="H1662">
        <f t="shared" si="129"/>
        <v>2024</v>
      </c>
      <c r="I1662">
        <f t="shared" si="130"/>
        <v>8</v>
      </c>
      <c r="J1662">
        <f t="shared" si="131"/>
        <v>-118.92999999999999</v>
      </c>
    </row>
    <row r="1663" spans="1:10" ht="12.5" x14ac:dyDescent="0.25">
      <c r="A1663" s="1">
        <v>45522</v>
      </c>
      <c r="B1663" s="2" t="s">
        <v>9</v>
      </c>
      <c r="C1663" s="3">
        <v>8.49</v>
      </c>
      <c r="D1663" s="3">
        <v>205</v>
      </c>
      <c r="E1663" s="3">
        <v>1740.45</v>
      </c>
      <c r="F1663" t="str">
        <f t="shared" si="127"/>
        <v>cogs</v>
      </c>
      <c r="G1663" s="7" t="str">
        <f t="shared" si="128"/>
        <v>product 3</v>
      </c>
      <c r="H1663">
        <f t="shared" si="129"/>
        <v>2024</v>
      </c>
      <c r="I1663">
        <f t="shared" si="130"/>
        <v>8</v>
      </c>
      <c r="J1663">
        <f t="shared" si="131"/>
        <v>-959.37</v>
      </c>
    </row>
    <row r="1664" spans="1:10" ht="12.5" x14ac:dyDescent="0.25">
      <c r="A1664" s="1">
        <v>45522</v>
      </c>
      <c r="B1664" s="2" t="s">
        <v>10</v>
      </c>
      <c r="C1664" s="2" t="s">
        <v>6</v>
      </c>
      <c r="D1664" s="2" t="s">
        <v>6</v>
      </c>
      <c r="E1664" s="3">
        <v>99.92</v>
      </c>
      <c r="F1664" t="str">
        <f t="shared" si="127"/>
        <v>marketing</v>
      </c>
      <c r="G1664" s="7" t="s">
        <v>6</v>
      </c>
      <c r="H1664">
        <f t="shared" si="129"/>
        <v>2024</v>
      </c>
      <c r="I1664">
        <f t="shared" si="130"/>
        <v>8</v>
      </c>
      <c r="J1664">
        <f t="shared" si="131"/>
        <v>-100.03</v>
      </c>
    </row>
    <row r="1665" spans="1:10" ht="12.5" x14ac:dyDescent="0.25">
      <c r="A1665" s="1">
        <v>45522</v>
      </c>
      <c r="B1665" s="2" t="s">
        <v>11</v>
      </c>
      <c r="C1665" s="3">
        <v>9.99</v>
      </c>
      <c r="D1665" s="3">
        <v>73</v>
      </c>
      <c r="E1665" s="3">
        <v>729.27</v>
      </c>
      <c r="F1665" t="str">
        <f t="shared" si="127"/>
        <v>net sales</v>
      </c>
      <c r="G1665" s="7" t="str">
        <f t="shared" si="128"/>
        <v>product 1</v>
      </c>
      <c r="H1665">
        <f t="shared" si="129"/>
        <v>2024</v>
      </c>
      <c r="I1665">
        <f t="shared" si="130"/>
        <v>8</v>
      </c>
      <c r="J1665">
        <f t="shared" si="131"/>
        <v>59.94</v>
      </c>
    </row>
    <row r="1666" spans="1:10" ht="12.5" x14ac:dyDescent="0.25">
      <c r="A1666" s="1">
        <v>45522</v>
      </c>
      <c r="B1666" s="2" t="s">
        <v>12</v>
      </c>
      <c r="C1666" s="3">
        <v>24.99</v>
      </c>
      <c r="D1666" s="3">
        <v>9</v>
      </c>
      <c r="E1666" s="3">
        <v>224.91</v>
      </c>
      <c r="F1666" t="str">
        <f t="shared" si="127"/>
        <v>net sales</v>
      </c>
      <c r="G1666" s="7" t="str">
        <f t="shared" si="128"/>
        <v>product 2</v>
      </c>
      <c r="H1666">
        <f t="shared" si="129"/>
        <v>2024</v>
      </c>
      <c r="I1666">
        <f t="shared" si="130"/>
        <v>8</v>
      </c>
      <c r="J1666">
        <f t="shared" si="131"/>
        <v>174.92999999999998</v>
      </c>
    </row>
    <row r="1667" spans="1:10" ht="12.5" x14ac:dyDescent="0.25">
      <c r="A1667" s="1">
        <v>45522</v>
      </c>
      <c r="B1667" s="2" t="s">
        <v>13</v>
      </c>
      <c r="C1667" s="3">
        <v>12.49</v>
      </c>
      <c r="D1667" s="3">
        <v>205</v>
      </c>
      <c r="E1667" s="3">
        <v>2560.4499999999998</v>
      </c>
      <c r="F1667" t="str">
        <f t="shared" ref="F1667:F1730" si="132">IFERROR(LEFT(B1667,FIND(":",B1667)-1),B1667)</f>
        <v>net sales</v>
      </c>
      <c r="G1667" s="7" t="str">
        <f t="shared" ref="G1667:G1730" si="133">IFERROR(RIGHT(B1667,LEN(B1667)-FIND(":",B1667)),"")</f>
        <v>product 3</v>
      </c>
      <c r="H1667">
        <f t="shared" ref="H1667:H1730" si="134">YEAR(A1667)</f>
        <v>2024</v>
      </c>
      <c r="I1667">
        <f t="shared" ref="I1667:I1730" si="135">MONTH(A1667)</f>
        <v>8</v>
      </c>
      <c r="J1667">
        <f t="shared" si="131"/>
        <v>1411.3700000000001</v>
      </c>
    </row>
    <row r="1668" spans="1:10" ht="12.5" x14ac:dyDescent="0.25">
      <c r="A1668" s="1">
        <v>45523</v>
      </c>
      <c r="B1668" s="2" t="s">
        <v>7</v>
      </c>
      <c r="C1668" s="3">
        <v>5.99</v>
      </c>
      <c r="D1668" s="3">
        <v>25</v>
      </c>
      <c r="E1668" s="3">
        <v>149.75</v>
      </c>
      <c r="F1668" t="str">
        <f t="shared" si="132"/>
        <v>cogs</v>
      </c>
      <c r="G1668" s="7" t="str">
        <f t="shared" si="133"/>
        <v>product 1</v>
      </c>
      <c r="H1668">
        <f t="shared" si="134"/>
        <v>2024</v>
      </c>
      <c r="I1668">
        <f t="shared" si="135"/>
        <v>8</v>
      </c>
      <c r="J1668">
        <f t="shared" si="131"/>
        <v>-1200</v>
      </c>
    </row>
    <row r="1669" spans="1:10" ht="12.5" x14ac:dyDescent="0.25">
      <c r="A1669" s="1">
        <v>45523</v>
      </c>
      <c r="B1669" s="2" t="s">
        <v>8</v>
      </c>
      <c r="C1669" s="3">
        <v>16.989999999999998</v>
      </c>
      <c r="D1669" s="3">
        <v>2</v>
      </c>
      <c r="E1669" s="3">
        <v>33.979999999999997</v>
      </c>
      <c r="F1669" t="str">
        <f t="shared" si="132"/>
        <v>cogs</v>
      </c>
      <c r="G1669" s="7" t="str">
        <f t="shared" si="133"/>
        <v>product 2</v>
      </c>
      <c r="H1669">
        <f t="shared" si="134"/>
        <v>2024</v>
      </c>
      <c r="I1669">
        <f t="shared" si="135"/>
        <v>8</v>
      </c>
      <c r="J1669">
        <f t="shared" si="131"/>
        <v>-245.59</v>
      </c>
    </row>
    <row r="1670" spans="1:10" ht="12.5" x14ac:dyDescent="0.25">
      <c r="A1670" s="1">
        <v>45523</v>
      </c>
      <c r="B1670" s="2" t="s">
        <v>9</v>
      </c>
      <c r="C1670" s="3">
        <v>8.49</v>
      </c>
      <c r="D1670" s="3">
        <v>48</v>
      </c>
      <c r="E1670" s="3">
        <v>407.52</v>
      </c>
      <c r="F1670" t="str">
        <f t="shared" si="132"/>
        <v>cogs</v>
      </c>
      <c r="G1670" s="7" t="str">
        <f t="shared" si="133"/>
        <v>product 3</v>
      </c>
      <c r="H1670">
        <f t="shared" si="134"/>
        <v>2024</v>
      </c>
      <c r="I1670">
        <f t="shared" si="135"/>
        <v>8</v>
      </c>
      <c r="J1670">
        <f t="shared" si="131"/>
        <v>-135.91999999999999</v>
      </c>
    </row>
    <row r="1671" spans="1:10" ht="12.5" x14ac:dyDescent="0.25">
      <c r="A1671" s="1">
        <v>45523</v>
      </c>
      <c r="B1671" s="2" t="s">
        <v>10</v>
      </c>
      <c r="C1671" s="2" t="s">
        <v>6</v>
      </c>
      <c r="D1671" s="2" t="s">
        <v>6</v>
      </c>
      <c r="E1671" s="3">
        <v>99.97</v>
      </c>
      <c r="F1671" t="str">
        <f t="shared" si="132"/>
        <v>marketing</v>
      </c>
      <c r="G1671" s="7" t="s">
        <v>6</v>
      </c>
      <c r="H1671">
        <f t="shared" si="134"/>
        <v>2024</v>
      </c>
      <c r="I1671">
        <f t="shared" si="135"/>
        <v>8</v>
      </c>
      <c r="J1671">
        <f t="shared" si="131"/>
        <v>-144.33000000000001</v>
      </c>
    </row>
    <row r="1672" spans="1:10" ht="12.5" x14ac:dyDescent="0.25">
      <c r="A1672" s="1">
        <v>45523</v>
      </c>
      <c r="B1672" s="2" t="s">
        <v>11</v>
      </c>
      <c r="C1672" s="3">
        <v>9.99</v>
      </c>
      <c r="D1672" s="3">
        <v>25</v>
      </c>
      <c r="E1672" s="3">
        <v>249.75</v>
      </c>
      <c r="F1672" t="str">
        <f t="shared" si="132"/>
        <v>net sales</v>
      </c>
      <c r="G1672" s="7" t="str">
        <f t="shared" si="133"/>
        <v>product 1</v>
      </c>
      <c r="H1672">
        <f t="shared" si="134"/>
        <v>2024</v>
      </c>
      <c r="I1672">
        <f t="shared" si="135"/>
        <v>8</v>
      </c>
      <c r="J1672">
        <f t="shared" si="131"/>
        <v>-99.97</v>
      </c>
    </row>
    <row r="1673" spans="1:10" ht="12.5" x14ac:dyDescent="0.25">
      <c r="A1673" s="1">
        <v>45523</v>
      </c>
      <c r="B1673" s="2" t="s">
        <v>12</v>
      </c>
      <c r="C1673" s="3">
        <v>24.99</v>
      </c>
      <c r="D1673" s="3">
        <v>2</v>
      </c>
      <c r="E1673" s="3">
        <v>49.98</v>
      </c>
      <c r="F1673" t="str">
        <f t="shared" si="132"/>
        <v>net sales</v>
      </c>
      <c r="G1673" s="7" t="str">
        <f t="shared" si="133"/>
        <v>product 2</v>
      </c>
      <c r="H1673">
        <f t="shared" si="134"/>
        <v>2024</v>
      </c>
      <c r="I1673">
        <f t="shared" si="135"/>
        <v>8</v>
      </c>
      <c r="J1673">
        <f t="shared" si="131"/>
        <v>409.59000000000003</v>
      </c>
    </row>
    <row r="1674" spans="1:10" ht="12.5" x14ac:dyDescent="0.25">
      <c r="A1674" s="1">
        <v>45523</v>
      </c>
      <c r="B1674" s="2" t="s">
        <v>13</v>
      </c>
      <c r="C1674" s="3">
        <v>12.49</v>
      </c>
      <c r="D1674" s="3">
        <v>48</v>
      </c>
      <c r="E1674" s="3">
        <v>599.52</v>
      </c>
      <c r="F1674" t="str">
        <f t="shared" si="132"/>
        <v>net sales</v>
      </c>
      <c r="G1674" s="7" t="str">
        <f t="shared" si="133"/>
        <v>product 3</v>
      </c>
      <c r="H1674">
        <f t="shared" si="134"/>
        <v>2024</v>
      </c>
      <c r="I1674">
        <f t="shared" si="135"/>
        <v>8</v>
      </c>
      <c r="J1674">
        <f t="shared" si="131"/>
        <v>199.92</v>
      </c>
    </row>
    <row r="1675" spans="1:10" ht="12.5" x14ac:dyDescent="0.25">
      <c r="A1675" s="1">
        <v>45524</v>
      </c>
      <c r="B1675" s="2" t="s">
        <v>7</v>
      </c>
      <c r="C1675" s="3">
        <v>5.99</v>
      </c>
      <c r="D1675" s="3">
        <v>96</v>
      </c>
      <c r="E1675" s="3">
        <v>575.04</v>
      </c>
      <c r="F1675" t="str">
        <f t="shared" si="132"/>
        <v>cogs</v>
      </c>
      <c r="G1675" s="7" t="str">
        <f t="shared" si="133"/>
        <v>product 1</v>
      </c>
      <c r="H1675">
        <f t="shared" si="134"/>
        <v>2024</v>
      </c>
      <c r="I1675">
        <f t="shared" si="135"/>
        <v>8</v>
      </c>
      <c r="J1675">
        <f t="shared" si="131"/>
        <v>212.33</v>
      </c>
    </row>
    <row r="1676" spans="1:10" ht="12.5" x14ac:dyDescent="0.25">
      <c r="A1676" s="1">
        <v>45524</v>
      </c>
      <c r="B1676" s="2" t="s">
        <v>8</v>
      </c>
      <c r="C1676" s="3">
        <v>16.989999999999998</v>
      </c>
      <c r="D1676" s="3">
        <v>9</v>
      </c>
      <c r="E1676" s="3">
        <v>152.91</v>
      </c>
      <c r="F1676" t="str">
        <f t="shared" si="132"/>
        <v>cogs</v>
      </c>
      <c r="G1676" s="7" t="str">
        <f t="shared" si="133"/>
        <v>product 2</v>
      </c>
      <c r="H1676">
        <f t="shared" si="134"/>
        <v>2024</v>
      </c>
      <c r="I1676">
        <f t="shared" si="135"/>
        <v>8</v>
      </c>
      <c r="J1676">
        <f t="shared" si="131"/>
        <v>-239.60000000000002</v>
      </c>
    </row>
    <row r="1677" spans="1:10" ht="12.5" x14ac:dyDescent="0.25">
      <c r="A1677" s="1">
        <v>45524</v>
      </c>
      <c r="B1677" s="2" t="s">
        <v>9</v>
      </c>
      <c r="C1677" s="3">
        <v>8.49</v>
      </c>
      <c r="D1677" s="3">
        <v>0</v>
      </c>
      <c r="E1677" s="2">
        <f>C1677*D1677</f>
        <v>0</v>
      </c>
      <c r="F1677" t="str">
        <f t="shared" si="132"/>
        <v>cogs</v>
      </c>
      <c r="G1677" s="7" t="str">
        <f t="shared" si="133"/>
        <v>product 3</v>
      </c>
      <c r="H1677">
        <f t="shared" si="134"/>
        <v>2024</v>
      </c>
      <c r="I1677">
        <f t="shared" si="135"/>
        <v>8</v>
      </c>
      <c r="J1677">
        <f t="shared" si="131"/>
        <v>-118.92999999999999</v>
      </c>
    </row>
    <row r="1678" spans="1:10" ht="12.5" x14ac:dyDescent="0.25">
      <c r="A1678" s="1">
        <v>45524</v>
      </c>
      <c r="B1678" s="2" t="s">
        <v>10</v>
      </c>
      <c r="C1678" s="2" t="s">
        <v>6</v>
      </c>
      <c r="D1678" s="2" t="s">
        <v>6</v>
      </c>
      <c r="E1678" s="3">
        <v>100.01</v>
      </c>
      <c r="F1678" t="str">
        <f t="shared" si="132"/>
        <v>marketing</v>
      </c>
      <c r="G1678" s="7" t="s">
        <v>6</v>
      </c>
      <c r="H1678">
        <f t="shared" si="134"/>
        <v>2024</v>
      </c>
      <c r="I1678">
        <f t="shared" si="135"/>
        <v>8</v>
      </c>
      <c r="J1678">
        <f t="shared" si="131"/>
        <v>-2020.6200000000001</v>
      </c>
    </row>
    <row r="1679" spans="1:10" ht="12.5" x14ac:dyDescent="0.25">
      <c r="A1679" s="1">
        <v>45524</v>
      </c>
      <c r="B1679" s="2" t="s">
        <v>11</v>
      </c>
      <c r="C1679" s="3">
        <v>9.99</v>
      </c>
      <c r="D1679" s="3">
        <v>96</v>
      </c>
      <c r="E1679" s="3">
        <v>959.04</v>
      </c>
      <c r="F1679" t="str">
        <f t="shared" si="132"/>
        <v>net sales</v>
      </c>
      <c r="G1679" s="7" t="str">
        <f t="shared" si="133"/>
        <v>product 1</v>
      </c>
      <c r="H1679">
        <f t="shared" si="134"/>
        <v>2024</v>
      </c>
      <c r="I1679">
        <f t="shared" si="135"/>
        <v>8</v>
      </c>
      <c r="J1679">
        <f t="shared" si="131"/>
        <v>-99.94</v>
      </c>
    </row>
    <row r="1680" spans="1:10" ht="12.5" x14ac:dyDescent="0.25">
      <c r="A1680" s="1">
        <v>45524</v>
      </c>
      <c r="B1680" s="2" t="s">
        <v>12</v>
      </c>
      <c r="C1680" s="3">
        <v>24.99</v>
      </c>
      <c r="D1680" s="3">
        <v>9</v>
      </c>
      <c r="E1680" s="3">
        <v>224.91</v>
      </c>
      <c r="F1680" t="str">
        <f t="shared" si="132"/>
        <v>net sales</v>
      </c>
      <c r="G1680" s="7" t="str">
        <f t="shared" si="133"/>
        <v>product 2</v>
      </c>
      <c r="H1680">
        <f t="shared" si="134"/>
        <v>2024</v>
      </c>
      <c r="I1680">
        <f t="shared" si="135"/>
        <v>8</v>
      </c>
      <c r="J1680">
        <f t="shared" si="131"/>
        <v>399.6</v>
      </c>
    </row>
    <row r="1681" spans="1:10" ht="12.5" x14ac:dyDescent="0.25">
      <c r="A1681" s="1">
        <v>45524</v>
      </c>
      <c r="B1681" s="2" t="s">
        <v>13</v>
      </c>
      <c r="C1681" s="3">
        <v>12.49</v>
      </c>
      <c r="D1681" s="3">
        <v>0</v>
      </c>
      <c r="E1681" s="2">
        <f>C1681*D1681</f>
        <v>0</v>
      </c>
      <c r="F1681" t="str">
        <f t="shared" si="132"/>
        <v>net sales</v>
      </c>
      <c r="G1681" s="7" t="str">
        <f t="shared" si="133"/>
        <v>product 3</v>
      </c>
      <c r="H1681">
        <f t="shared" si="134"/>
        <v>2024</v>
      </c>
      <c r="I1681">
        <f t="shared" si="135"/>
        <v>8</v>
      </c>
      <c r="J1681">
        <f t="shared" si="131"/>
        <v>174.92999999999998</v>
      </c>
    </row>
    <row r="1682" spans="1:10" ht="12.5" x14ac:dyDescent="0.25">
      <c r="A1682" s="1">
        <v>45525</v>
      </c>
      <c r="B1682" s="2" t="s">
        <v>7</v>
      </c>
      <c r="C1682" s="3">
        <v>5.99</v>
      </c>
      <c r="D1682" s="3">
        <v>12</v>
      </c>
      <c r="E1682" s="3">
        <v>71.88</v>
      </c>
      <c r="F1682" t="str">
        <f t="shared" si="132"/>
        <v>cogs</v>
      </c>
      <c r="G1682" s="7" t="str">
        <f t="shared" si="133"/>
        <v>product 1</v>
      </c>
      <c r="H1682">
        <f t="shared" si="134"/>
        <v>2024</v>
      </c>
      <c r="I1682">
        <f t="shared" si="135"/>
        <v>8</v>
      </c>
      <c r="J1682">
        <f t="shared" si="131"/>
        <v>2972.62</v>
      </c>
    </row>
    <row r="1683" spans="1:10" ht="12.5" x14ac:dyDescent="0.25">
      <c r="A1683" s="1">
        <v>45525</v>
      </c>
      <c r="B1683" s="2" t="s">
        <v>8</v>
      </c>
      <c r="C1683" s="3">
        <v>16.989999999999998</v>
      </c>
      <c r="D1683" s="3">
        <v>6</v>
      </c>
      <c r="E1683" s="3">
        <v>101.94</v>
      </c>
      <c r="F1683" t="str">
        <f t="shared" si="132"/>
        <v>cogs</v>
      </c>
      <c r="G1683" s="7" t="str">
        <f t="shared" si="133"/>
        <v>product 2</v>
      </c>
      <c r="H1683">
        <f t="shared" si="134"/>
        <v>2024</v>
      </c>
      <c r="I1683">
        <f t="shared" si="135"/>
        <v>8</v>
      </c>
      <c r="J1683">
        <f t="shared" si="131"/>
        <v>-347.42</v>
      </c>
    </row>
    <row r="1684" spans="1:10" ht="12.5" x14ac:dyDescent="0.25">
      <c r="A1684" s="1">
        <v>45525</v>
      </c>
      <c r="B1684" s="2" t="s">
        <v>9</v>
      </c>
      <c r="C1684" s="3">
        <v>8.49</v>
      </c>
      <c r="D1684" s="3">
        <v>26</v>
      </c>
      <c r="E1684" s="3">
        <v>220.74</v>
      </c>
      <c r="F1684" t="str">
        <f t="shared" si="132"/>
        <v>cogs</v>
      </c>
      <c r="G1684" s="7" t="str">
        <f t="shared" si="133"/>
        <v>product 3</v>
      </c>
      <c r="H1684">
        <f t="shared" si="134"/>
        <v>2024</v>
      </c>
      <c r="I1684">
        <f t="shared" si="135"/>
        <v>8</v>
      </c>
      <c r="J1684">
        <f t="shared" si="131"/>
        <v>-84.949999999999989</v>
      </c>
    </row>
    <row r="1685" spans="1:10" ht="12.5" x14ac:dyDescent="0.25">
      <c r="A1685" s="1">
        <v>45525</v>
      </c>
      <c r="B1685" s="2" t="s">
        <v>10</v>
      </c>
      <c r="C1685" s="2" t="s">
        <v>6</v>
      </c>
      <c r="D1685" s="2" t="s">
        <v>6</v>
      </c>
      <c r="E1685" s="3">
        <v>99.95</v>
      </c>
      <c r="F1685" t="str">
        <f t="shared" si="132"/>
        <v>marketing</v>
      </c>
      <c r="G1685" s="7" t="s">
        <v>6</v>
      </c>
      <c r="H1685">
        <f t="shared" si="134"/>
        <v>2024</v>
      </c>
      <c r="I1685">
        <f t="shared" si="135"/>
        <v>8</v>
      </c>
      <c r="J1685">
        <f t="shared" si="131"/>
        <v>-1061.25</v>
      </c>
    </row>
    <row r="1686" spans="1:10" ht="12.5" x14ac:dyDescent="0.25">
      <c r="A1686" s="1">
        <v>45525</v>
      </c>
      <c r="B1686" s="2" t="s">
        <v>11</v>
      </c>
      <c r="C1686" s="3">
        <v>9.99</v>
      </c>
      <c r="D1686" s="3">
        <v>12</v>
      </c>
      <c r="E1686" s="3">
        <v>119.88</v>
      </c>
      <c r="F1686" t="str">
        <f t="shared" si="132"/>
        <v>net sales</v>
      </c>
      <c r="G1686" s="7" t="str">
        <f t="shared" si="133"/>
        <v>product 1</v>
      </c>
      <c r="H1686">
        <f t="shared" si="134"/>
        <v>2024</v>
      </c>
      <c r="I1686">
        <f t="shared" si="135"/>
        <v>8</v>
      </c>
      <c r="J1686">
        <f t="shared" si="131"/>
        <v>-99.94</v>
      </c>
    </row>
    <row r="1687" spans="1:10" ht="12.5" x14ac:dyDescent="0.25">
      <c r="A1687" s="1">
        <v>45525</v>
      </c>
      <c r="B1687" s="2" t="s">
        <v>12</v>
      </c>
      <c r="C1687" s="3">
        <v>24.99</v>
      </c>
      <c r="D1687" s="3">
        <v>6</v>
      </c>
      <c r="E1687" s="3">
        <v>149.94</v>
      </c>
      <c r="F1687" t="str">
        <f t="shared" si="132"/>
        <v>net sales</v>
      </c>
      <c r="G1687" s="7" t="str">
        <f t="shared" si="133"/>
        <v>product 2</v>
      </c>
      <c r="H1687">
        <f t="shared" si="134"/>
        <v>2024</v>
      </c>
      <c r="I1687">
        <f t="shared" si="135"/>
        <v>8</v>
      </c>
      <c r="J1687">
        <f t="shared" si="131"/>
        <v>579.41999999999996</v>
      </c>
    </row>
    <row r="1688" spans="1:10" ht="12.5" x14ac:dyDescent="0.25">
      <c r="A1688" s="1">
        <v>45525</v>
      </c>
      <c r="B1688" s="2" t="s">
        <v>13</v>
      </c>
      <c r="C1688" s="3">
        <v>12.49</v>
      </c>
      <c r="D1688" s="3">
        <v>26</v>
      </c>
      <c r="E1688" s="3">
        <v>324.74</v>
      </c>
      <c r="F1688" t="str">
        <f t="shared" si="132"/>
        <v>net sales</v>
      </c>
      <c r="G1688" s="7" t="str">
        <f t="shared" si="133"/>
        <v>product 3</v>
      </c>
      <c r="H1688">
        <f t="shared" si="134"/>
        <v>2024</v>
      </c>
      <c r="I1688">
        <f t="shared" si="135"/>
        <v>8</v>
      </c>
      <c r="J1688">
        <f t="shared" si="131"/>
        <v>124.94999999999999</v>
      </c>
    </row>
    <row r="1689" spans="1:10" ht="12.5" x14ac:dyDescent="0.25">
      <c r="A1689" s="1">
        <v>45526</v>
      </c>
      <c r="B1689" s="2" t="s">
        <v>7</v>
      </c>
      <c r="C1689" s="3">
        <v>5.99</v>
      </c>
      <c r="D1689" s="3">
        <v>82</v>
      </c>
      <c r="E1689" s="3">
        <v>491.18</v>
      </c>
      <c r="F1689" t="str">
        <f t="shared" si="132"/>
        <v>cogs</v>
      </c>
      <c r="G1689" s="7" t="str">
        <f t="shared" si="133"/>
        <v>product 1</v>
      </c>
      <c r="H1689">
        <f t="shared" si="134"/>
        <v>2024</v>
      </c>
      <c r="I1689">
        <f t="shared" si="135"/>
        <v>8</v>
      </c>
      <c r="J1689">
        <f t="shared" si="131"/>
        <v>1561.25</v>
      </c>
    </row>
    <row r="1690" spans="1:10" ht="12.5" x14ac:dyDescent="0.25">
      <c r="A1690" s="1">
        <v>45526</v>
      </c>
      <c r="B1690" s="2" t="s">
        <v>8</v>
      </c>
      <c r="C1690" s="3">
        <v>16.989999999999998</v>
      </c>
      <c r="D1690" s="3">
        <v>8</v>
      </c>
      <c r="E1690" s="3">
        <v>135.91999999999999</v>
      </c>
      <c r="F1690" t="str">
        <f t="shared" si="132"/>
        <v>cogs</v>
      </c>
      <c r="G1690" s="7" t="str">
        <f t="shared" si="133"/>
        <v>product 2</v>
      </c>
      <c r="H1690">
        <f t="shared" si="134"/>
        <v>2024</v>
      </c>
      <c r="I1690">
        <f t="shared" si="135"/>
        <v>8</v>
      </c>
      <c r="J1690">
        <f t="shared" si="131"/>
        <v>-269.55</v>
      </c>
    </row>
    <row r="1691" spans="1:10" ht="12.5" x14ac:dyDescent="0.25">
      <c r="A1691" s="1">
        <v>45526</v>
      </c>
      <c r="B1691" s="2" t="s">
        <v>9</v>
      </c>
      <c r="C1691" s="3">
        <v>8.49</v>
      </c>
      <c r="D1691" s="3">
        <v>17</v>
      </c>
      <c r="E1691" s="3">
        <v>144.33000000000001</v>
      </c>
      <c r="F1691" t="str">
        <f t="shared" si="132"/>
        <v>cogs</v>
      </c>
      <c r="G1691" s="7" t="str">
        <f t="shared" si="133"/>
        <v>product 3</v>
      </c>
      <c r="H1691">
        <f t="shared" si="134"/>
        <v>2024</v>
      </c>
      <c r="I1691">
        <f t="shared" si="135"/>
        <v>8</v>
      </c>
      <c r="J1691">
        <f t="shared" si="131"/>
        <v>-152.91</v>
      </c>
    </row>
    <row r="1692" spans="1:10" ht="12.5" x14ac:dyDescent="0.25">
      <c r="A1692" s="1">
        <v>45526</v>
      </c>
      <c r="B1692" s="2" t="s">
        <v>10</v>
      </c>
      <c r="C1692" s="2" t="s">
        <v>6</v>
      </c>
      <c r="D1692" s="2" t="s">
        <v>6</v>
      </c>
      <c r="E1692" s="3">
        <v>100.08</v>
      </c>
      <c r="F1692" t="str">
        <f t="shared" si="132"/>
        <v>marketing</v>
      </c>
      <c r="G1692" s="7" t="s">
        <v>6</v>
      </c>
      <c r="H1692">
        <f t="shared" si="134"/>
        <v>2024</v>
      </c>
      <c r="I1692">
        <f t="shared" si="135"/>
        <v>8</v>
      </c>
      <c r="J1692">
        <f t="shared" ref="J1692:J1755" si="136">IF(F1475="net sales",E1475,
IF(F1475="cogs",-E1475,
IF(OR(F1475="marketing",F1475="overhead",F1475="payroll",F1475="interest","amortization"),-E1475,0)))</f>
        <v>-916.92000000000007</v>
      </c>
    </row>
    <row r="1693" spans="1:10" ht="12.5" x14ac:dyDescent="0.25">
      <c r="A1693" s="1">
        <v>45526</v>
      </c>
      <c r="B1693" s="2" t="s">
        <v>11</v>
      </c>
      <c r="C1693" s="3">
        <v>9.99</v>
      </c>
      <c r="D1693" s="3">
        <v>82</v>
      </c>
      <c r="E1693" s="3">
        <v>819.18000000000006</v>
      </c>
      <c r="F1693" t="str">
        <f t="shared" si="132"/>
        <v>net sales</v>
      </c>
      <c r="G1693" s="7" t="str">
        <f t="shared" si="133"/>
        <v>product 1</v>
      </c>
      <c r="H1693">
        <f t="shared" si="134"/>
        <v>2024</v>
      </c>
      <c r="I1693">
        <f t="shared" si="135"/>
        <v>8</v>
      </c>
      <c r="J1693">
        <f t="shared" si="136"/>
        <v>-99.990000000000009</v>
      </c>
    </row>
    <row r="1694" spans="1:10" ht="12.5" x14ac:dyDescent="0.25">
      <c r="A1694" s="1">
        <v>45526</v>
      </c>
      <c r="B1694" s="2" t="s">
        <v>12</v>
      </c>
      <c r="C1694" s="3">
        <v>24.99</v>
      </c>
      <c r="D1694" s="3">
        <v>8</v>
      </c>
      <c r="E1694" s="3">
        <v>199.92</v>
      </c>
      <c r="F1694" t="str">
        <f t="shared" si="132"/>
        <v>net sales</v>
      </c>
      <c r="G1694" s="7" t="str">
        <f t="shared" si="133"/>
        <v>product 2</v>
      </c>
      <c r="H1694">
        <f t="shared" si="134"/>
        <v>2024</v>
      </c>
      <c r="I1694">
        <f t="shared" si="135"/>
        <v>8</v>
      </c>
      <c r="J1694">
        <f t="shared" si="136"/>
        <v>449.55</v>
      </c>
    </row>
    <row r="1695" spans="1:10" ht="12.5" x14ac:dyDescent="0.25">
      <c r="A1695" s="1">
        <v>45526</v>
      </c>
      <c r="B1695" s="2" t="s">
        <v>13</v>
      </c>
      <c r="C1695" s="3">
        <v>12.49</v>
      </c>
      <c r="D1695" s="3">
        <v>17</v>
      </c>
      <c r="E1695" s="3">
        <v>212.33</v>
      </c>
      <c r="F1695" t="str">
        <f t="shared" si="132"/>
        <v>net sales</v>
      </c>
      <c r="G1695" s="7" t="str">
        <f t="shared" si="133"/>
        <v>product 3</v>
      </c>
      <c r="H1695">
        <f t="shared" si="134"/>
        <v>2024</v>
      </c>
      <c r="I1695">
        <f t="shared" si="135"/>
        <v>8</v>
      </c>
      <c r="J1695">
        <f t="shared" si="136"/>
        <v>224.91</v>
      </c>
    </row>
    <row r="1696" spans="1:10" ht="12.5" x14ac:dyDescent="0.25">
      <c r="A1696" s="1">
        <v>45527</v>
      </c>
      <c r="B1696" s="2" t="s">
        <v>7</v>
      </c>
      <c r="C1696" s="3">
        <v>5.99</v>
      </c>
      <c r="D1696" s="3">
        <v>96</v>
      </c>
      <c r="E1696" s="3">
        <v>575.04</v>
      </c>
      <c r="F1696" t="str">
        <f t="shared" si="132"/>
        <v>cogs</v>
      </c>
      <c r="G1696" s="7" t="str">
        <f t="shared" si="133"/>
        <v>product 1</v>
      </c>
      <c r="H1696">
        <f t="shared" si="134"/>
        <v>2024</v>
      </c>
      <c r="I1696">
        <f t="shared" si="135"/>
        <v>8</v>
      </c>
      <c r="J1696">
        <f t="shared" si="136"/>
        <v>1348.92</v>
      </c>
    </row>
    <row r="1697" spans="1:10" ht="12.5" x14ac:dyDescent="0.25">
      <c r="A1697" s="1">
        <v>45527</v>
      </c>
      <c r="B1697" s="2" t="s">
        <v>8</v>
      </c>
      <c r="C1697" s="3">
        <v>16.989999999999998</v>
      </c>
      <c r="D1697" s="3">
        <v>5</v>
      </c>
      <c r="E1697" s="3">
        <v>84.949999999999989</v>
      </c>
      <c r="F1697" t="str">
        <f t="shared" si="132"/>
        <v>cogs</v>
      </c>
      <c r="G1697" s="7" t="str">
        <f t="shared" si="133"/>
        <v>product 2</v>
      </c>
      <c r="H1697">
        <f t="shared" si="134"/>
        <v>2024</v>
      </c>
      <c r="I1697">
        <f t="shared" si="135"/>
        <v>8</v>
      </c>
      <c r="J1697">
        <f t="shared" si="136"/>
        <v>-203.66</v>
      </c>
    </row>
    <row r="1698" spans="1:10" ht="12.5" x14ac:dyDescent="0.25">
      <c r="A1698" s="1">
        <v>45527</v>
      </c>
      <c r="B1698" s="2" t="s">
        <v>9</v>
      </c>
      <c r="C1698" s="3">
        <v>8.49</v>
      </c>
      <c r="D1698" s="3">
        <v>232</v>
      </c>
      <c r="E1698" s="3">
        <v>1969.68</v>
      </c>
      <c r="F1698" t="str">
        <f t="shared" si="132"/>
        <v>cogs</v>
      </c>
      <c r="G1698" s="7" t="str">
        <f t="shared" si="133"/>
        <v>product 3</v>
      </c>
      <c r="H1698">
        <f t="shared" si="134"/>
        <v>2024</v>
      </c>
      <c r="I1698">
        <f t="shared" si="135"/>
        <v>8</v>
      </c>
      <c r="J1698">
        <f t="shared" si="136"/>
        <v>-50.97</v>
      </c>
    </row>
    <row r="1699" spans="1:10" ht="12.5" x14ac:dyDescent="0.25">
      <c r="A1699" s="1">
        <v>45527</v>
      </c>
      <c r="B1699" s="2" t="s">
        <v>10</v>
      </c>
      <c r="C1699" s="2" t="s">
        <v>6</v>
      </c>
      <c r="D1699" s="2" t="s">
        <v>6</v>
      </c>
      <c r="E1699" s="3">
        <v>100.07000000000001</v>
      </c>
      <c r="F1699" t="str">
        <f t="shared" si="132"/>
        <v>marketing</v>
      </c>
      <c r="G1699" s="7" t="s">
        <v>6</v>
      </c>
      <c r="H1699">
        <f t="shared" si="134"/>
        <v>2024</v>
      </c>
      <c r="I1699">
        <f t="shared" si="135"/>
        <v>8</v>
      </c>
      <c r="J1699">
        <f t="shared" si="136"/>
        <v>0</v>
      </c>
    </row>
    <row r="1700" spans="1:10" ht="12.5" x14ac:dyDescent="0.25">
      <c r="A1700" s="1">
        <v>45527</v>
      </c>
      <c r="B1700" s="2" t="s">
        <v>11</v>
      </c>
      <c r="C1700" s="3">
        <v>9.99</v>
      </c>
      <c r="D1700" s="3">
        <v>96</v>
      </c>
      <c r="E1700" s="3">
        <v>959.04</v>
      </c>
      <c r="F1700" t="str">
        <f t="shared" si="132"/>
        <v>net sales</v>
      </c>
      <c r="G1700" s="7" t="str">
        <f t="shared" si="133"/>
        <v>product 1</v>
      </c>
      <c r="H1700">
        <f t="shared" si="134"/>
        <v>2024</v>
      </c>
      <c r="I1700">
        <f t="shared" si="135"/>
        <v>8</v>
      </c>
      <c r="J1700">
        <f t="shared" si="136"/>
        <v>-99.93</v>
      </c>
    </row>
    <row r="1701" spans="1:10" ht="12.5" x14ac:dyDescent="0.25">
      <c r="A1701" s="1">
        <v>45527</v>
      </c>
      <c r="B1701" s="2" t="s">
        <v>12</v>
      </c>
      <c r="C1701" s="3">
        <v>24.99</v>
      </c>
      <c r="D1701" s="3">
        <v>5</v>
      </c>
      <c r="E1701" s="3">
        <v>124.94999999999999</v>
      </c>
      <c r="F1701" t="str">
        <f t="shared" si="132"/>
        <v>net sales</v>
      </c>
      <c r="G1701" s="7" t="str">
        <f t="shared" si="133"/>
        <v>product 2</v>
      </c>
      <c r="H1701">
        <f t="shared" si="134"/>
        <v>2024</v>
      </c>
      <c r="I1701">
        <f t="shared" si="135"/>
        <v>8</v>
      </c>
      <c r="J1701">
        <f t="shared" si="136"/>
        <v>339.66</v>
      </c>
    </row>
    <row r="1702" spans="1:10" ht="12.5" x14ac:dyDescent="0.25">
      <c r="A1702" s="1">
        <v>45527</v>
      </c>
      <c r="B1702" s="2" t="s">
        <v>13</v>
      </c>
      <c r="C1702" s="3">
        <v>12.49</v>
      </c>
      <c r="D1702" s="3">
        <v>232</v>
      </c>
      <c r="E1702" s="3">
        <v>2897.68</v>
      </c>
      <c r="F1702" t="str">
        <f t="shared" si="132"/>
        <v>net sales</v>
      </c>
      <c r="G1702" s="7" t="str">
        <f t="shared" si="133"/>
        <v>product 3</v>
      </c>
      <c r="H1702">
        <f t="shared" si="134"/>
        <v>2024</v>
      </c>
      <c r="I1702">
        <f t="shared" si="135"/>
        <v>8</v>
      </c>
      <c r="J1702">
        <f t="shared" si="136"/>
        <v>74.97</v>
      </c>
    </row>
    <row r="1703" spans="1:10" ht="12.5" x14ac:dyDescent="0.25">
      <c r="A1703" s="1">
        <v>45528</v>
      </c>
      <c r="B1703" s="2" t="s">
        <v>7</v>
      </c>
      <c r="C1703" s="3">
        <v>5.99</v>
      </c>
      <c r="D1703" s="3">
        <v>20</v>
      </c>
      <c r="E1703" s="3">
        <v>119.80000000000001</v>
      </c>
      <c r="F1703" t="str">
        <f t="shared" si="132"/>
        <v>cogs</v>
      </c>
      <c r="G1703" s="7" t="str">
        <f t="shared" si="133"/>
        <v>product 1</v>
      </c>
      <c r="H1703">
        <f t="shared" si="134"/>
        <v>2024</v>
      </c>
      <c r="I1703">
        <f t="shared" si="135"/>
        <v>8</v>
      </c>
      <c r="J1703">
        <f t="shared" si="136"/>
        <v>0</v>
      </c>
    </row>
    <row r="1704" spans="1:10" ht="12.5" x14ac:dyDescent="0.25">
      <c r="A1704" s="1">
        <v>45528</v>
      </c>
      <c r="B1704" s="2" t="s">
        <v>8</v>
      </c>
      <c r="C1704" s="3">
        <v>16.989999999999998</v>
      </c>
      <c r="D1704" s="3">
        <v>6</v>
      </c>
      <c r="E1704" s="3">
        <v>101.94</v>
      </c>
      <c r="F1704" t="str">
        <f t="shared" si="132"/>
        <v>cogs</v>
      </c>
      <c r="G1704" s="7" t="str">
        <f t="shared" si="133"/>
        <v>product 2</v>
      </c>
      <c r="H1704">
        <f t="shared" si="134"/>
        <v>2024</v>
      </c>
      <c r="I1704">
        <f t="shared" si="135"/>
        <v>8</v>
      </c>
      <c r="J1704">
        <f t="shared" si="136"/>
        <v>-593.01</v>
      </c>
    </row>
    <row r="1705" spans="1:10" ht="12.5" x14ac:dyDescent="0.25">
      <c r="A1705" s="1">
        <v>45528</v>
      </c>
      <c r="B1705" s="2" t="s">
        <v>9</v>
      </c>
      <c r="C1705" s="3">
        <v>8.49</v>
      </c>
      <c r="D1705" s="3">
        <v>83</v>
      </c>
      <c r="E1705" s="3">
        <v>704.67000000000007</v>
      </c>
      <c r="F1705" t="str">
        <f t="shared" si="132"/>
        <v>cogs</v>
      </c>
      <c r="G1705" s="7" t="str">
        <f t="shared" si="133"/>
        <v>product 3</v>
      </c>
      <c r="H1705">
        <f t="shared" si="134"/>
        <v>2024</v>
      </c>
      <c r="I1705">
        <f t="shared" si="135"/>
        <v>8</v>
      </c>
      <c r="J1705">
        <f t="shared" si="136"/>
        <v>-67.959999999999994</v>
      </c>
    </row>
    <row r="1706" spans="1:10" ht="12.5" x14ac:dyDescent="0.25">
      <c r="A1706" s="1">
        <v>45528</v>
      </c>
      <c r="B1706" s="2" t="s">
        <v>10</v>
      </c>
      <c r="C1706" s="2" t="s">
        <v>6</v>
      </c>
      <c r="D1706" s="2" t="s">
        <v>6</v>
      </c>
      <c r="E1706" s="3">
        <v>99.93</v>
      </c>
      <c r="F1706" t="str">
        <f t="shared" si="132"/>
        <v>marketing</v>
      </c>
      <c r="G1706" s="7" t="s">
        <v>6</v>
      </c>
      <c r="H1706">
        <f t="shared" si="134"/>
        <v>2024</v>
      </c>
      <c r="I1706">
        <f t="shared" si="135"/>
        <v>8</v>
      </c>
      <c r="J1706">
        <f t="shared" si="136"/>
        <v>-16.98</v>
      </c>
    </row>
    <row r="1707" spans="1:10" ht="12.5" x14ac:dyDescent="0.25">
      <c r="A1707" s="1">
        <v>45528</v>
      </c>
      <c r="B1707" s="2" t="s">
        <v>11</v>
      </c>
      <c r="C1707" s="3">
        <v>9.99</v>
      </c>
      <c r="D1707" s="3">
        <v>20</v>
      </c>
      <c r="E1707" s="3">
        <v>199.8</v>
      </c>
      <c r="F1707" t="str">
        <f t="shared" si="132"/>
        <v>net sales</v>
      </c>
      <c r="G1707" s="7" t="str">
        <f t="shared" si="133"/>
        <v>product 1</v>
      </c>
      <c r="H1707">
        <f t="shared" si="134"/>
        <v>2024</v>
      </c>
      <c r="I1707">
        <f t="shared" si="135"/>
        <v>8</v>
      </c>
      <c r="J1707">
        <f t="shared" si="136"/>
        <v>-100.01</v>
      </c>
    </row>
    <row r="1708" spans="1:10" ht="12.5" x14ac:dyDescent="0.25">
      <c r="A1708" s="1">
        <v>45528</v>
      </c>
      <c r="B1708" s="2" t="s">
        <v>12</v>
      </c>
      <c r="C1708" s="3">
        <v>24.99</v>
      </c>
      <c r="D1708" s="3">
        <v>6</v>
      </c>
      <c r="E1708" s="3">
        <v>149.94</v>
      </c>
      <c r="F1708" t="str">
        <f t="shared" si="132"/>
        <v>net sales</v>
      </c>
      <c r="G1708" s="7" t="str">
        <f t="shared" si="133"/>
        <v>product 2</v>
      </c>
      <c r="H1708">
        <f t="shared" si="134"/>
        <v>2024</v>
      </c>
      <c r="I1708">
        <f t="shared" si="135"/>
        <v>8</v>
      </c>
      <c r="J1708">
        <f t="shared" si="136"/>
        <v>989.01</v>
      </c>
    </row>
    <row r="1709" spans="1:10" ht="12.5" x14ac:dyDescent="0.25">
      <c r="A1709" s="1">
        <v>45528</v>
      </c>
      <c r="B1709" s="2" t="s">
        <v>13</v>
      </c>
      <c r="C1709" s="3">
        <v>12.49</v>
      </c>
      <c r="D1709" s="3">
        <v>83</v>
      </c>
      <c r="E1709" s="3">
        <v>1036.67</v>
      </c>
      <c r="F1709" t="str">
        <f t="shared" si="132"/>
        <v>net sales</v>
      </c>
      <c r="G1709" s="7" t="str">
        <f t="shared" si="133"/>
        <v>product 3</v>
      </c>
      <c r="H1709">
        <f t="shared" si="134"/>
        <v>2024</v>
      </c>
      <c r="I1709">
        <f t="shared" si="135"/>
        <v>8</v>
      </c>
      <c r="J1709">
        <f t="shared" si="136"/>
        <v>99.96</v>
      </c>
    </row>
    <row r="1710" spans="1:10" ht="12.5" x14ac:dyDescent="0.25">
      <c r="A1710" s="1">
        <v>45529</v>
      </c>
      <c r="B1710" s="2" t="s">
        <v>7</v>
      </c>
      <c r="C1710" s="3">
        <v>5.99</v>
      </c>
      <c r="D1710" s="3">
        <v>23</v>
      </c>
      <c r="E1710" s="3">
        <v>137.77000000000001</v>
      </c>
      <c r="F1710" t="str">
        <f t="shared" si="132"/>
        <v>cogs</v>
      </c>
      <c r="G1710" s="7" t="str">
        <f t="shared" si="133"/>
        <v>product 1</v>
      </c>
      <c r="H1710">
        <f t="shared" si="134"/>
        <v>2024</v>
      </c>
      <c r="I1710">
        <f t="shared" si="135"/>
        <v>8</v>
      </c>
      <c r="J1710">
        <f t="shared" si="136"/>
        <v>24.98</v>
      </c>
    </row>
    <row r="1711" spans="1:10" ht="12.5" x14ac:dyDescent="0.25">
      <c r="A1711" s="1">
        <v>45529</v>
      </c>
      <c r="B1711" s="2" t="s">
        <v>8</v>
      </c>
      <c r="C1711" s="3">
        <v>16.989999999999998</v>
      </c>
      <c r="D1711" s="3">
        <v>1</v>
      </c>
      <c r="E1711" s="3">
        <v>16.989999999999998</v>
      </c>
      <c r="F1711" t="str">
        <f t="shared" si="132"/>
        <v>cogs</v>
      </c>
      <c r="G1711" s="7" t="str">
        <f t="shared" si="133"/>
        <v>product 2</v>
      </c>
      <c r="H1711">
        <f t="shared" si="134"/>
        <v>2024</v>
      </c>
      <c r="I1711">
        <f t="shared" si="135"/>
        <v>8</v>
      </c>
      <c r="J1711">
        <f t="shared" si="136"/>
        <v>-521.13</v>
      </c>
    </row>
    <row r="1712" spans="1:10" ht="12.5" x14ac:dyDescent="0.25">
      <c r="A1712" s="1">
        <v>45529</v>
      </c>
      <c r="B1712" s="2" t="s">
        <v>9</v>
      </c>
      <c r="C1712" s="3">
        <v>8.49</v>
      </c>
      <c r="D1712" s="3">
        <v>117</v>
      </c>
      <c r="E1712" s="3">
        <v>993.33</v>
      </c>
      <c r="F1712" t="str">
        <f t="shared" si="132"/>
        <v>cogs</v>
      </c>
      <c r="G1712" s="7" t="str">
        <f t="shared" si="133"/>
        <v>product 3</v>
      </c>
      <c r="H1712">
        <f t="shared" si="134"/>
        <v>2024</v>
      </c>
      <c r="I1712">
        <f t="shared" si="135"/>
        <v>8</v>
      </c>
      <c r="J1712">
        <f t="shared" si="136"/>
        <v>-84.949999999999989</v>
      </c>
    </row>
    <row r="1713" spans="1:10" ht="12.5" x14ac:dyDescent="0.25">
      <c r="A1713" s="1">
        <v>45529</v>
      </c>
      <c r="B1713" s="2" t="s">
        <v>10</v>
      </c>
      <c r="C1713" s="2" t="s">
        <v>6</v>
      </c>
      <c r="D1713" s="2" t="s">
        <v>6</v>
      </c>
      <c r="E1713" s="3">
        <v>99.9</v>
      </c>
      <c r="F1713" t="str">
        <f t="shared" si="132"/>
        <v>marketing</v>
      </c>
      <c r="G1713" s="7" t="s">
        <v>6</v>
      </c>
      <c r="H1713">
        <f t="shared" si="134"/>
        <v>2024</v>
      </c>
      <c r="I1713">
        <f t="shared" si="135"/>
        <v>8</v>
      </c>
      <c r="J1713">
        <f t="shared" si="136"/>
        <v>-424.5</v>
      </c>
    </row>
    <row r="1714" spans="1:10" ht="12.5" x14ac:dyDescent="0.25">
      <c r="A1714" s="1">
        <v>45529</v>
      </c>
      <c r="B1714" s="2" t="s">
        <v>11</v>
      </c>
      <c r="C1714" s="3">
        <v>9.99</v>
      </c>
      <c r="D1714" s="3">
        <v>23</v>
      </c>
      <c r="E1714" s="3">
        <v>229.77</v>
      </c>
      <c r="F1714" t="str">
        <f t="shared" si="132"/>
        <v>net sales</v>
      </c>
      <c r="G1714" s="7" t="str">
        <f t="shared" si="133"/>
        <v>product 1</v>
      </c>
      <c r="H1714">
        <f t="shared" si="134"/>
        <v>2024</v>
      </c>
      <c r="I1714">
        <f t="shared" si="135"/>
        <v>8</v>
      </c>
      <c r="J1714">
        <f t="shared" si="136"/>
        <v>-100.10000000000001</v>
      </c>
    </row>
    <row r="1715" spans="1:10" ht="12.5" x14ac:dyDescent="0.25">
      <c r="A1715" s="1">
        <v>45529</v>
      </c>
      <c r="B1715" s="2" t="s">
        <v>12</v>
      </c>
      <c r="C1715" s="3">
        <v>24.99</v>
      </c>
      <c r="D1715" s="3">
        <v>1</v>
      </c>
      <c r="E1715" s="3">
        <v>24.99</v>
      </c>
      <c r="F1715" t="str">
        <f t="shared" si="132"/>
        <v>net sales</v>
      </c>
      <c r="G1715" s="7" t="str">
        <f t="shared" si="133"/>
        <v>product 2</v>
      </c>
      <c r="H1715">
        <f t="shared" si="134"/>
        <v>2024</v>
      </c>
      <c r="I1715">
        <f t="shared" si="135"/>
        <v>8</v>
      </c>
      <c r="J1715">
        <f t="shared" si="136"/>
        <v>869.13</v>
      </c>
    </row>
    <row r="1716" spans="1:10" ht="12.5" x14ac:dyDescent="0.25">
      <c r="A1716" s="1">
        <v>45529</v>
      </c>
      <c r="B1716" s="2" t="s">
        <v>13</v>
      </c>
      <c r="C1716" s="3">
        <v>12.49</v>
      </c>
      <c r="D1716" s="3">
        <v>117</v>
      </c>
      <c r="E1716" s="3">
        <v>1461.33</v>
      </c>
      <c r="F1716" t="str">
        <f t="shared" si="132"/>
        <v>net sales</v>
      </c>
      <c r="G1716" s="7" t="str">
        <f t="shared" si="133"/>
        <v>product 3</v>
      </c>
      <c r="H1716">
        <f t="shared" si="134"/>
        <v>2024</v>
      </c>
      <c r="I1716">
        <f t="shared" si="135"/>
        <v>8</v>
      </c>
      <c r="J1716">
        <f t="shared" si="136"/>
        <v>124.94999999999999</v>
      </c>
    </row>
    <row r="1717" spans="1:10" ht="12.5" x14ac:dyDescent="0.25">
      <c r="A1717" s="1">
        <v>45530</v>
      </c>
      <c r="B1717" s="2" t="s">
        <v>7</v>
      </c>
      <c r="C1717" s="3">
        <v>5.99</v>
      </c>
      <c r="D1717" s="3">
        <v>63</v>
      </c>
      <c r="E1717" s="3">
        <v>377.37</v>
      </c>
      <c r="F1717" t="str">
        <f t="shared" si="132"/>
        <v>cogs</v>
      </c>
      <c r="G1717" s="7" t="str">
        <f t="shared" si="133"/>
        <v>product 1</v>
      </c>
      <c r="H1717">
        <f t="shared" si="134"/>
        <v>2024</v>
      </c>
      <c r="I1717">
        <f t="shared" si="135"/>
        <v>8</v>
      </c>
      <c r="J1717">
        <f t="shared" si="136"/>
        <v>624.5</v>
      </c>
    </row>
    <row r="1718" spans="1:10" ht="12.5" x14ac:dyDescent="0.25">
      <c r="A1718" s="1">
        <v>45530</v>
      </c>
      <c r="B1718" s="2" t="s">
        <v>8</v>
      </c>
      <c r="C1718" s="3">
        <v>16.989999999999998</v>
      </c>
      <c r="D1718" s="3">
        <v>10</v>
      </c>
      <c r="E1718" s="3">
        <v>169.89999999999998</v>
      </c>
      <c r="F1718" t="str">
        <f t="shared" si="132"/>
        <v>cogs</v>
      </c>
      <c r="G1718" s="7" t="str">
        <f t="shared" si="133"/>
        <v>product 2</v>
      </c>
      <c r="H1718">
        <f t="shared" si="134"/>
        <v>2024</v>
      </c>
      <c r="I1718">
        <f t="shared" si="135"/>
        <v>8</v>
      </c>
      <c r="J1718">
        <f t="shared" si="136"/>
        <v>-377.37</v>
      </c>
    </row>
    <row r="1719" spans="1:10" ht="12.5" x14ac:dyDescent="0.25">
      <c r="A1719" s="1">
        <v>45530</v>
      </c>
      <c r="B1719" s="2" t="s">
        <v>9</v>
      </c>
      <c r="C1719" s="3">
        <v>8.49</v>
      </c>
      <c r="D1719" s="3">
        <v>164</v>
      </c>
      <c r="E1719" s="3">
        <v>1392.3600000000001</v>
      </c>
      <c r="F1719" t="str">
        <f t="shared" si="132"/>
        <v>cogs</v>
      </c>
      <c r="G1719" s="7" t="str">
        <f t="shared" si="133"/>
        <v>product 3</v>
      </c>
      <c r="H1719">
        <f t="shared" si="134"/>
        <v>2024</v>
      </c>
      <c r="I1719">
        <f t="shared" si="135"/>
        <v>8</v>
      </c>
      <c r="J1719">
        <f t="shared" si="136"/>
        <v>-169.89999999999998</v>
      </c>
    </row>
    <row r="1720" spans="1:10" ht="12.5" x14ac:dyDescent="0.25">
      <c r="A1720" s="1">
        <v>45530</v>
      </c>
      <c r="B1720" s="2" t="s">
        <v>10</v>
      </c>
      <c r="C1720" s="2" t="s">
        <v>6</v>
      </c>
      <c r="D1720" s="2" t="s">
        <v>6</v>
      </c>
      <c r="E1720" s="3">
        <v>100.07000000000001</v>
      </c>
      <c r="F1720" t="str">
        <f t="shared" si="132"/>
        <v>marketing</v>
      </c>
      <c r="G1720" s="7" t="s">
        <v>6</v>
      </c>
      <c r="H1720">
        <f t="shared" si="134"/>
        <v>2024</v>
      </c>
      <c r="I1720">
        <f t="shared" si="135"/>
        <v>8</v>
      </c>
      <c r="J1720">
        <f t="shared" si="136"/>
        <v>-1698</v>
      </c>
    </row>
    <row r="1721" spans="1:10" ht="12.5" x14ac:dyDescent="0.25">
      <c r="A1721" s="1">
        <v>45530</v>
      </c>
      <c r="B1721" s="2" t="s">
        <v>11</v>
      </c>
      <c r="C1721" s="3">
        <v>9.99</v>
      </c>
      <c r="D1721" s="3">
        <v>63</v>
      </c>
      <c r="E1721" s="3">
        <v>629.37</v>
      </c>
      <c r="F1721" t="str">
        <f t="shared" si="132"/>
        <v>net sales</v>
      </c>
      <c r="G1721" s="7" t="str">
        <f t="shared" si="133"/>
        <v>product 1</v>
      </c>
      <c r="H1721">
        <f t="shared" si="134"/>
        <v>2024</v>
      </c>
      <c r="I1721">
        <f t="shared" si="135"/>
        <v>8</v>
      </c>
      <c r="J1721">
        <f t="shared" si="136"/>
        <v>-99.94</v>
      </c>
    </row>
    <row r="1722" spans="1:10" ht="12.5" x14ac:dyDescent="0.25">
      <c r="A1722" s="1">
        <v>45530</v>
      </c>
      <c r="B1722" s="2" t="s">
        <v>12</v>
      </c>
      <c r="C1722" s="3">
        <v>24.99</v>
      </c>
      <c r="D1722" s="3">
        <v>10</v>
      </c>
      <c r="E1722" s="3">
        <v>249.89999999999998</v>
      </c>
      <c r="F1722" t="str">
        <f t="shared" si="132"/>
        <v>net sales</v>
      </c>
      <c r="G1722" s="7" t="str">
        <f t="shared" si="133"/>
        <v>product 2</v>
      </c>
      <c r="H1722">
        <f t="shared" si="134"/>
        <v>2024</v>
      </c>
      <c r="I1722">
        <f t="shared" si="135"/>
        <v>8</v>
      </c>
      <c r="J1722">
        <f t="shared" si="136"/>
        <v>629.37</v>
      </c>
    </row>
    <row r="1723" spans="1:10" ht="12.5" x14ac:dyDescent="0.25">
      <c r="A1723" s="1">
        <v>45530</v>
      </c>
      <c r="B1723" s="2" t="s">
        <v>13</v>
      </c>
      <c r="C1723" s="3">
        <v>12.49</v>
      </c>
      <c r="D1723" s="3">
        <v>164</v>
      </c>
      <c r="E1723" s="3">
        <v>2048.36</v>
      </c>
      <c r="F1723" t="str">
        <f t="shared" si="132"/>
        <v>net sales</v>
      </c>
      <c r="G1723" s="7" t="str">
        <f t="shared" si="133"/>
        <v>product 3</v>
      </c>
      <c r="H1723">
        <f t="shared" si="134"/>
        <v>2024</v>
      </c>
      <c r="I1723">
        <f t="shared" si="135"/>
        <v>8</v>
      </c>
      <c r="J1723">
        <f t="shared" si="136"/>
        <v>249.89999999999998</v>
      </c>
    </row>
    <row r="1724" spans="1:10" ht="12.5" x14ac:dyDescent="0.25">
      <c r="A1724" s="1">
        <v>45531</v>
      </c>
      <c r="B1724" s="2" t="s">
        <v>7</v>
      </c>
      <c r="C1724" s="3">
        <v>5.99</v>
      </c>
      <c r="D1724" s="3">
        <v>81</v>
      </c>
      <c r="E1724" s="3">
        <v>485.19</v>
      </c>
      <c r="F1724" t="str">
        <f t="shared" si="132"/>
        <v>cogs</v>
      </c>
      <c r="G1724" s="7" t="str">
        <f t="shared" si="133"/>
        <v>product 1</v>
      </c>
      <c r="H1724">
        <f t="shared" si="134"/>
        <v>2024</v>
      </c>
      <c r="I1724">
        <f t="shared" si="135"/>
        <v>8</v>
      </c>
      <c r="J1724">
        <f t="shared" si="136"/>
        <v>2498</v>
      </c>
    </row>
    <row r="1725" spans="1:10" ht="12.5" x14ac:dyDescent="0.25">
      <c r="A1725" s="1">
        <v>45531</v>
      </c>
      <c r="B1725" s="2" t="s">
        <v>8</v>
      </c>
      <c r="C1725" s="3">
        <v>16.989999999999998</v>
      </c>
      <c r="D1725" s="3">
        <v>1</v>
      </c>
      <c r="E1725" s="3">
        <v>16.989999999999998</v>
      </c>
      <c r="F1725" t="str">
        <f t="shared" si="132"/>
        <v>cogs</v>
      </c>
      <c r="G1725" s="7" t="str">
        <f t="shared" si="133"/>
        <v>product 2</v>
      </c>
      <c r="H1725">
        <f t="shared" si="134"/>
        <v>2024</v>
      </c>
      <c r="I1725">
        <f t="shared" si="135"/>
        <v>8</v>
      </c>
      <c r="J1725">
        <f t="shared" si="136"/>
        <v>-539.1</v>
      </c>
    </row>
    <row r="1726" spans="1:10" ht="12.5" x14ac:dyDescent="0.25">
      <c r="A1726" s="1">
        <v>45531</v>
      </c>
      <c r="B1726" s="2" t="s">
        <v>9</v>
      </c>
      <c r="C1726" s="3">
        <v>8.49</v>
      </c>
      <c r="D1726" s="3">
        <v>163</v>
      </c>
      <c r="E1726" s="3">
        <v>1383.8700000000001</v>
      </c>
      <c r="F1726" t="str">
        <f t="shared" si="132"/>
        <v>cogs</v>
      </c>
      <c r="G1726" s="7" t="str">
        <f t="shared" si="133"/>
        <v>product 3</v>
      </c>
      <c r="H1726">
        <f t="shared" si="134"/>
        <v>2024</v>
      </c>
      <c r="I1726">
        <f t="shared" si="135"/>
        <v>8</v>
      </c>
      <c r="J1726">
        <f t="shared" si="136"/>
        <v>-67.959999999999994</v>
      </c>
    </row>
    <row r="1727" spans="1:10" ht="12.5" x14ac:dyDescent="0.25">
      <c r="A1727" s="1">
        <v>45531</v>
      </c>
      <c r="B1727" s="2" t="s">
        <v>10</v>
      </c>
      <c r="C1727" s="2" t="s">
        <v>6</v>
      </c>
      <c r="D1727" s="2" t="s">
        <v>6</v>
      </c>
      <c r="E1727" s="3">
        <v>99.92</v>
      </c>
      <c r="F1727" t="str">
        <f t="shared" si="132"/>
        <v>marketing</v>
      </c>
      <c r="G1727" s="7" t="s">
        <v>6</v>
      </c>
      <c r="H1727">
        <f t="shared" si="134"/>
        <v>2024</v>
      </c>
      <c r="I1727">
        <f t="shared" si="135"/>
        <v>8</v>
      </c>
      <c r="J1727">
        <f t="shared" si="136"/>
        <v>-645.24</v>
      </c>
    </row>
    <row r="1728" spans="1:10" ht="12.5" x14ac:dyDescent="0.25">
      <c r="A1728" s="1">
        <v>45531</v>
      </c>
      <c r="B1728" s="2" t="s">
        <v>11</v>
      </c>
      <c r="C1728" s="3">
        <v>9.99</v>
      </c>
      <c r="D1728" s="3">
        <v>81</v>
      </c>
      <c r="E1728" s="3">
        <v>809.19</v>
      </c>
      <c r="F1728" t="str">
        <f t="shared" si="132"/>
        <v>net sales</v>
      </c>
      <c r="G1728" s="7" t="str">
        <f t="shared" si="133"/>
        <v>product 1</v>
      </c>
      <c r="H1728">
        <f t="shared" si="134"/>
        <v>2024</v>
      </c>
      <c r="I1728">
        <f t="shared" si="135"/>
        <v>8</v>
      </c>
      <c r="J1728">
        <f t="shared" si="136"/>
        <v>-99.9</v>
      </c>
    </row>
    <row r="1729" spans="1:10" ht="12.5" x14ac:dyDescent="0.25">
      <c r="A1729" s="1">
        <v>45531</v>
      </c>
      <c r="B1729" s="2" t="s">
        <v>12</v>
      </c>
      <c r="C1729" s="3">
        <v>24.99</v>
      </c>
      <c r="D1729" s="3">
        <v>1</v>
      </c>
      <c r="E1729" s="3">
        <v>24.99</v>
      </c>
      <c r="F1729" t="str">
        <f t="shared" si="132"/>
        <v>net sales</v>
      </c>
      <c r="G1729" s="7" t="str">
        <f t="shared" si="133"/>
        <v>product 2</v>
      </c>
      <c r="H1729">
        <f t="shared" si="134"/>
        <v>2024</v>
      </c>
      <c r="I1729">
        <f t="shared" si="135"/>
        <v>8</v>
      </c>
      <c r="J1729">
        <f t="shared" si="136"/>
        <v>899.1</v>
      </c>
    </row>
    <row r="1730" spans="1:10" ht="12.5" x14ac:dyDescent="0.25">
      <c r="A1730" s="1">
        <v>45531</v>
      </c>
      <c r="B1730" s="2" t="s">
        <v>13</v>
      </c>
      <c r="C1730" s="3">
        <v>12.49</v>
      </c>
      <c r="D1730" s="3">
        <v>163</v>
      </c>
      <c r="E1730" s="3">
        <v>2035.8700000000001</v>
      </c>
      <c r="F1730" t="str">
        <f t="shared" si="132"/>
        <v>net sales</v>
      </c>
      <c r="G1730" s="7" t="str">
        <f t="shared" si="133"/>
        <v>product 3</v>
      </c>
      <c r="H1730">
        <f t="shared" si="134"/>
        <v>2024</v>
      </c>
      <c r="I1730">
        <f t="shared" si="135"/>
        <v>8</v>
      </c>
      <c r="J1730">
        <f t="shared" si="136"/>
        <v>99.96</v>
      </c>
    </row>
    <row r="1731" spans="1:10" ht="12.5" x14ac:dyDescent="0.25">
      <c r="A1731" s="1">
        <v>45532</v>
      </c>
      <c r="B1731" s="2" t="s">
        <v>7</v>
      </c>
      <c r="C1731" s="3">
        <v>5.99</v>
      </c>
      <c r="D1731" s="3">
        <v>56</v>
      </c>
      <c r="E1731" s="3">
        <v>335.44</v>
      </c>
      <c r="F1731" t="str">
        <f t="shared" ref="F1731:F1794" si="137">IFERROR(LEFT(B1731,FIND(":",B1731)-1),B1731)</f>
        <v>cogs</v>
      </c>
      <c r="G1731" s="7" t="str">
        <f t="shared" ref="G1731:G1794" si="138">IFERROR(RIGHT(B1731,LEN(B1731)-FIND(":",B1731)),"")</f>
        <v>product 1</v>
      </c>
      <c r="H1731">
        <f t="shared" ref="H1731:H1794" si="139">YEAR(A1731)</f>
        <v>2024</v>
      </c>
      <c r="I1731">
        <f t="shared" ref="I1731:I1794" si="140">MONTH(A1731)</f>
        <v>8</v>
      </c>
      <c r="J1731">
        <f t="shared" si="136"/>
        <v>949.24</v>
      </c>
    </row>
    <row r="1732" spans="1:10" ht="12.5" x14ac:dyDescent="0.25">
      <c r="A1732" s="1">
        <v>45532</v>
      </c>
      <c r="B1732" s="2" t="s">
        <v>8</v>
      </c>
      <c r="C1732" s="3">
        <v>16.989999999999998</v>
      </c>
      <c r="D1732" s="3">
        <v>4</v>
      </c>
      <c r="E1732" s="3">
        <v>67.959999999999994</v>
      </c>
      <c r="F1732" t="str">
        <f t="shared" si="137"/>
        <v>cogs</v>
      </c>
      <c r="G1732" s="7" t="str">
        <f t="shared" si="138"/>
        <v>product 2</v>
      </c>
      <c r="H1732">
        <f t="shared" si="139"/>
        <v>2024</v>
      </c>
      <c r="I1732">
        <f t="shared" si="140"/>
        <v>8</v>
      </c>
      <c r="J1732">
        <f t="shared" si="136"/>
        <v>-425.29</v>
      </c>
    </row>
    <row r="1733" spans="1:10" ht="12.5" x14ac:dyDescent="0.25">
      <c r="A1733" s="1">
        <v>45532</v>
      </c>
      <c r="B1733" s="2" t="s">
        <v>9</v>
      </c>
      <c r="C1733" s="3">
        <v>8.49</v>
      </c>
      <c r="D1733" s="3">
        <v>99</v>
      </c>
      <c r="E1733" s="3">
        <v>840.51</v>
      </c>
      <c r="F1733" t="str">
        <f t="shared" si="137"/>
        <v>cogs</v>
      </c>
      <c r="G1733" s="7" t="str">
        <f t="shared" si="138"/>
        <v>product 3</v>
      </c>
      <c r="H1733">
        <f t="shared" si="139"/>
        <v>2024</v>
      </c>
      <c r="I1733">
        <f t="shared" si="140"/>
        <v>8</v>
      </c>
      <c r="J1733">
        <f t="shared" si="136"/>
        <v>0</v>
      </c>
    </row>
    <row r="1734" spans="1:10" ht="12.5" x14ac:dyDescent="0.25">
      <c r="A1734" s="1">
        <v>45532</v>
      </c>
      <c r="B1734" s="2" t="s">
        <v>10</v>
      </c>
      <c r="C1734" s="2" t="s">
        <v>6</v>
      </c>
      <c r="D1734" s="2" t="s">
        <v>6</v>
      </c>
      <c r="E1734" s="3">
        <v>99.97</v>
      </c>
      <c r="F1734" t="str">
        <f t="shared" si="137"/>
        <v>marketing</v>
      </c>
      <c r="G1734" s="7" t="s">
        <v>6</v>
      </c>
      <c r="H1734">
        <f t="shared" si="139"/>
        <v>2024</v>
      </c>
      <c r="I1734">
        <f t="shared" si="140"/>
        <v>8</v>
      </c>
      <c r="J1734">
        <f t="shared" si="136"/>
        <v>-1740.45</v>
      </c>
    </row>
    <row r="1735" spans="1:10" ht="12.5" x14ac:dyDescent="0.25">
      <c r="A1735" s="1">
        <v>45532</v>
      </c>
      <c r="B1735" s="2" t="s">
        <v>11</v>
      </c>
      <c r="C1735" s="3">
        <v>9.99</v>
      </c>
      <c r="D1735" s="3">
        <v>56</v>
      </c>
      <c r="E1735" s="3">
        <v>559.44000000000005</v>
      </c>
      <c r="F1735" t="str">
        <f t="shared" si="137"/>
        <v>net sales</v>
      </c>
      <c r="G1735" s="7" t="str">
        <f t="shared" si="138"/>
        <v>product 1</v>
      </c>
      <c r="H1735">
        <f t="shared" si="139"/>
        <v>2024</v>
      </c>
      <c r="I1735">
        <f t="shared" si="140"/>
        <v>8</v>
      </c>
      <c r="J1735">
        <f t="shared" si="136"/>
        <v>-99.93</v>
      </c>
    </row>
    <row r="1736" spans="1:10" ht="12.5" x14ac:dyDescent="0.25">
      <c r="A1736" s="1">
        <v>45532</v>
      </c>
      <c r="B1736" s="2" t="s">
        <v>12</v>
      </c>
      <c r="C1736" s="3">
        <v>24.99</v>
      </c>
      <c r="D1736" s="3">
        <v>4</v>
      </c>
      <c r="E1736" s="3">
        <v>99.96</v>
      </c>
      <c r="F1736" t="str">
        <f t="shared" si="137"/>
        <v>net sales</v>
      </c>
      <c r="G1736" s="7" t="str">
        <f t="shared" si="138"/>
        <v>product 2</v>
      </c>
      <c r="H1736">
        <f t="shared" si="139"/>
        <v>2024</v>
      </c>
      <c r="I1736">
        <f t="shared" si="140"/>
        <v>8</v>
      </c>
      <c r="J1736">
        <f t="shared" si="136"/>
        <v>709.29</v>
      </c>
    </row>
    <row r="1737" spans="1:10" ht="12.5" x14ac:dyDescent="0.25">
      <c r="A1737" s="1">
        <v>45532</v>
      </c>
      <c r="B1737" s="2" t="s">
        <v>13</v>
      </c>
      <c r="C1737" s="3">
        <v>12.49</v>
      </c>
      <c r="D1737" s="3">
        <v>99</v>
      </c>
      <c r="E1737" s="3">
        <v>1236.51</v>
      </c>
      <c r="F1737" t="str">
        <f t="shared" si="137"/>
        <v>net sales</v>
      </c>
      <c r="G1737" s="7" t="str">
        <f t="shared" si="138"/>
        <v>product 3</v>
      </c>
      <c r="H1737">
        <f t="shared" si="139"/>
        <v>2024</v>
      </c>
      <c r="I1737">
        <f t="shared" si="140"/>
        <v>8</v>
      </c>
      <c r="J1737">
        <f t="shared" si="136"/>
        <v>0</v>
      </c>
    </row>
    <row r="1738" spans="1:10" ht="12.5" x14ac:dyDescent="0.25">
      <c r="A1738" s="1">
        <v>45533</v>
      </c>
      <c r="B1738" s="2" t="s">
        <v>7</v>
      </c>
      <c r="C1738" s="3">
        <v>5.99</v>
      </c>
      <c r="D1738" s="3">
        <v>20</v>
      </c>
      <c r="E1738" s="3">
        <v>119.80000000000001</v>
      </c>
      <c r="F1738" t="str">
        <f t="shared" si="137"/>
        <v>cogs</v>
      </c>
      <c r="G1738" s="7" t="str">
        <f t="shared" si="138"/>
        <v>product 1</v>
      </c>
      <c r="H1738">
        <f t="shared" si="139"/>
        <v>2024</v>
      </c>
      <c r="I1738">
        <f t="shared" si="140"/>
        <v>8</v>
      </c>
      <c r="J1738">
        <f t="shared" si="136"/>
        <v>2560.4499999999998</v>
      </c>
    </row>
    <row r="1739" spans="1:10" ht="12.5" x14ac:dyDescent="0.25">
      <c r="A1739" s="1">
        <v>45533</v>
      </c>
      <c r="B1739" s="2" t="s">
        <v>8</v>
      </c>
      <c r="C1739" s="3">
        <v>16.989999999999998</v>
      </c>
      <c r="D1739" s="3">
        <v>1</v>
      </c>
      <c r="E1739" s="3">
        <v>16.989999999999998</v>
      </c>
      <c r="F1739" t="str">
        <f t="shared" si="137"/>
        <v>cogs</v>
      </c>
      <c r="G1739" s="7" t="str">
        <f t="shared" si="138"/>
        <v>product 2</v>
      </c>
      <c r="H1739">
        <f t="shared" si="139"/>
        <v>2024</v>
      </c>
      <c r="I1739">
        <f t="shared" si="140"/>
        <v>8</v>
      </c>
      <c r="J1739">
        <f t="shared" si="136"/>
        <v>-215.64000000000001</v>
      </c>
    </row>
    <row r="1740" spans="1:10" ht="12.5" x14ac:dyDescent="0.25">
      <c r="A1740" s="1">
        <v>45533</v>
      </c>
      <c r="B1740" s="2" t="s">
        <v>9</v>
      </c>
      <c r="C1740" s="3">
        <v>8.49</v>
      </c>
      <c r="D1740" s="3">
        <v>183</v>
      </c>
      <c r="E1740" s="3">
        <v>1553.67</v>
      </c>
      <c r="F1740" t="str">
        <f t="shared" si="137"/>
        <v>cogs</v>
      </c>
      <c r="G1740" s="7" t="str">
        <f t="shared" si="138"/>
        <v>product 3</v>
      </c>
      <c r="H1740">
        <f t="shared" si="139"/>
        <v>2024</v>
      </c>
      <c r="I1740">
        <f t="shared" si="140"/>
        <v>8</v>
      </c>
      <c r="J1740">
        <f t="shared" si="136"/>
        <v>-16.989999999999998</v>
      </c>
    </row>
    <row r="1741" spans="1:10" ht="12.5" x14ac:dyDescent="0.25">
      <c r="A1741" s="1">
        <v>45533</v>
      </c>
      <c r="B1741" s="2" t="s">
        <v>10</v>
      </c>
      <c r="C1741" s="2" t="s">
        <v>6</v>
      </c>
      <c r="D1741" s="2" t="s">
        <v>6</v>
      </c>
      <c r="E1741" s="3">
        <v>100.06</v>
      </c>
      <c r="F1741" t="str">
        <f t="shared" si="137"/>
        <v>marketing</v>
      </c>
      <c r="G1741" s="7" t="s">
        <v>6</v>
      </c>
      <c r="H1741">
        <f t="shared" si="139"/>
        <v>2024</v>
      </c>
      <c r="I1741">
        <f t="shared" si="140"/>
        <v>8</v>
      </c>
      <c r="J1741">
        <f t="shared" si="136"/>
        <v>-679.2</v>
      </c>
    </row>
    <row r="1742" spans="1:10" ht="12.5" x14ac:dyDescent="0.25">
      <c r="A1742" s="1">
        <v>45533</v>
      </c>
      <c r="B1742" s="2" t="s">
        <v>11</v>
      </c>
      <c r="C1742" s="3">
        <v>9.99</v>
      </c>
      <c r="D1742" s="3">
        <v>20</v>
      </c>
      <c r="E1742" s="3">
        <v>199.8</v>
      </c>
      <c r="F1742" t="str">
        <f t="shared" si="137"/>
        <v>net sales</v>
      </c>
      <c r="G1742" s="7" t="str">
        <f t="shared" si="138"/>
        <v>product 1</v>
      </c>
      <c r="H1742">
        <f t="shared" si="139"/>
        <v>2024</v>
      </c>
      <c r="I1742">
        <f t="shared" si="140"/>
        <v>8</v>
      </c>
      <c r="J1742">
        <f t="shared" si="136"/>
        <v>-100.03</v>
      </c>
    </row>
    <row r="1743" spans="1:10" ht="12.5" x14ac:dyDescent="0.25">
      <c r="A1743" s="1">
        <v>45533</v>
      </c>
      <c r="B1743" s="2" t="s">
        <v>12</v>
      </c>
      <c r="C1743" s="3">
        <v>24.99</v>
      </c>
      <c r="D1743" s="3">
        <v>1</v>
      </c>
      <c r="E1743" s="3">
        <v>24.99</v>
      </c>
      <c r="F1743" t="str">
        <f t="shared" si="137"/>
        <v>net sales</v>
      </c>
      <c r="G1743" s="7" t="str">
        <f t="shared" si="138"/>
        <v>product 2</v>
      </c>
      <c r="H1743">
        <f t="shared" si="139"/>
        <v>2024</v>
      </c>
      <c r="I1743">
        <f t="shared" si="140"/>
        <v>8</v>
      </c>
      <c r="J1743">
        <f t="shared" si="136"/>
        <v>359.64</v>
      </c>
    </row>
    <row r="1744" spans="1:10" ht="12.5" x14ac:dyDescent="0.25">
      <c r="A1744" s="1">
        <v>45533</v>
      </c>
      <c r="B1744" s="2" t="s">
        <v>13</v>
      </c>
      <c r="C1744" s="3">
        <v>12.49</v>
      </c>
      <c r="D1744" s="3">
        <v>183</v>
      </c>
      <c r="E1744" s="3">
        <v>2285.67</v>
      </c>
      <c r="F1744" t="str">
        <f t="shared" si="137"/>
        <v>net sales</v>
      </c>
      <c r="G1744" s="7" t="str">
        <f t="shared" si="138"/>
        <v>product 3</v>
      </c>
      <c r="H1744">
        <f t="shared" si="139"/>
        <v>2024</v>
      </c>
      <c r="I1744">
        <f t="shared" si="140"/>
        <v>8</v>
      </c>
      <c r="J1744">
        <f t="shared" si="136"/>
        <v>24.99</v>
      </c>
    </row>
    <row r="1745" spans="1:10" ht="12.5" x14ac:dyDescent="0.25">
      <c r="A1745" s="1">
        <v>45534</v>
      </c>
      <c r="B1745" s="2" t="s">
        <v>7</v>
      </c>
      <c r="C1745" s="3">
        <v>5.99</v>
      </c>
      <c r="D1745" s="3">
        <v>97</v>
      </c>
      <c r="E1745" s="3">
        <v>581.03</v>
      </c>
      <c r="F1745" t="str">
        <f t="shared" si="137"/>
        <v>cogs</v>
      </c>
      <c r="G1745" s="7" t="str">
        <f t="shared" si="138"/>
        <v>product 1</v>
      </c>
      <c r="H1745">
        <f t="shared" si="139"/>
        <v>2024</v>
      </c>
      <c r="I1745">
        <f t="shared" si="140"/>
        <v>8</v>
      </c>
      <c r="J1745">
        <f t="shared" si="136"/>
        <v>999.2</v>
      </c>
    </row>
    <row r="1746" spans="1:10" ht="12.5" x14ac:dyDescent="0.25">
      <c r="A1746" s="1">
        <v>45534</v>
      </c>
      <c r="B1746" s="2" t="s">
        <v>8</v>
      </c>
      <c r="C1746" s="3">
        <v>16.989999999999998</v>
      </c>
      <c r="D1746" s="3">
        <v>0</v>
      </c>
      <c r="E1746" s="2">
        <f>C1746*D1746</f>
        <v>0</v>
      </c>
      <c r="F1746" t="str">
        <f t="shared" si="137"/>
        <v>cogs</v>
      </c>
      <c r="G1746" s="7" t="str">
        <f t="shared" si="138"/>
        <v>product 2</v>
      </c>
      <c r="H1746">
        <f t="shared" si="139"/>
        <v>2024</v>
      </c>
      <c r="I1746">
        <f t="shared" si="140"/>
        <v>8</v>
      </c>
      <c r="J1746">
        <f t="shared" si="136"/>
        <v>-395.34000000000003</v>
      </c>
    </row>
    <row r="1747" spans="1:10" ht="12.5" x14ac:dyDescent="0.25">
      <c r="A1747" s="1">
        <v>45534</v>
      </c>
      <c r="B1747" s="2" t="s">
        <v>9</v>
      </c>
      <c r="C1747" s="3">
        <v>8.49</v>
      </c>
      <c r="D1747" s="3">
        <v>177</v>
      </c>
      <c r="E1747" s="3">
        <v>1502.73</v>
      </c>
      <c r="F1747" t="str">
        <f t="shared" si="137"/>
        <v>cogs</v>
      </c>
      <c r="G1747" s="7" t="str">
        <f t="shared" si="138"/>
        <v>product 3</v>
      </c>
      <c r="H1747">
        <f t="shared" si="139"/>
        <v>2024</v>
      </c>
      <c r="I1747">
        <f t="shared" si="140"/>
        <v>8</v>
      </c>
      <c r="J1747">
        <f t="shared" si="136"/>
        <v>-101.94</v>
      </c>
    </row>
    <row r="1748" spans="1:10" ht="12.5" x14ac:dyDescent="0.25">
      <c r="A1748" s="1">
        <v>45534</v>
      </c>
      <c r="B1748" s="2" t="s">
        <v>10</v>
      </c>
      <c r="C1748" s="2" t="s">
        <v>6</v>
      </c>
      <c r="D1748" s="2" t="s">
        <v>6</v>
      </c>
      <c r="E1748" s="3">
        <v>99.990000000000009</v>
      </c>
      <c r="F1748" t="str">
        <f t="shared" si="137"/>
        <v>marketing</v>
      </c>
      <c r="G1748" s="7" t="s">
        <v>6</v>
      </c>
      <c r="H1748">
        <f t="shared" si="139"/>
        <v>2024</v>
      </c>
      <c r="I1748">
        <f t="shared" si="140"/>
        <v>8</v>
      </c>
      <c r="J1748">
        <f t="shared" si="136"/>
        <v>-8.49</v>
      </c>
    </row>
    <row r="1749" spans="1:10" ht="12.5" x14ac:dyDescent="0.25">
      <c r="A1749" s="1">
        <v>45534</v>
      </c>
      <c r="B1749" s="2" t="s">
        <v>11</v>
      </c>
      <c r="C1749" s="3">
        <v>9.99</v>
      </c>
      <c r="D1749" s="3">
        <v>97</v>
      </c>
      <c r="E1749" s="3">
        <v>969.03</v>
      </c>
      <c r="F1749" t="str">
        <f t="shared" si="137"/>
        <v>net sales</v>
      </c>
      <c r="G1749" s="7" t="str">
        <f t="shared" si="138"/>
        <v>product 1</v>
      </c>
      <c r="H1749">
        <f t="shared" si="139"/>
        <v>2024</v>
      </c>
      <c r="I1749">
        <f t="shared" si="140"/>
        <v>8</v>
      </c>
      <c r="J1749">
        <f t="shared" si="136"/>
        <v>-99.95</v>
      </c>
    </row>
    <row r="1750" spans="1:10" ht="12.5" x14ac:dyDescent="0.25">
      <c r="A1750" s="1">
        <v>45534</v>
      </c>
      <c r="B1750" s="2" t="s">
        <v>12</v>
      </c>
      <c r="C1750" s="3">
        <v>24.99</v>
      </c>
      <c r="D1750" s="3">
        <v>0</v>
      </c>
      <c r="E1750" s="2">
        <f>C1750*D1750</f>
        <v>0</v>
      </c>
      <c r="F1750" t="str">
        <f t="shared" si="137"/>
        <v>net sales</v>
      </c>
      <c r="G1750" s="7" t="str">
        <f t="shared" si="138"/>
        <v>product 2</v>
      </c>
      <c r="H1750">
        <f t="shared" si="139"/>
        <v>2024</v>
      </c>
      <c r="I1750">
        <f t="shared" si="140"/>
        <v>8</v>
      </c>
      <c r="J1750">
        <f t="shared" si="136"/>
        <v>659.34</v>
      </c>
    </row>
    <row r="1751" spans="1:10" ht="12.5" x14ac:dyDescent="0.25">
      <c r="A1751" s="1">
        <v>45534</v>
      </c>
      <c r="B1751" s="2" t="s">
        <v>13</v>
      </c>
      <c r="C1751" s="3">
        <v>12.49</v>
      </c>
      <c r="D1751" s="3">
        <v>177</v>
      </c>
      <c r="E1751" s="3">
        <v>2210.73</v>
      </c>
      <c r="F1751" t="str">
        <f t="shared" si="137"/>
        <v>net sales</v>
      </c>
      <c r="G1751" s="7" t="str">
        <f t="shared" si="138"/>
        <v>product 3</v>
      </c>
      <c r="H1751">
        <f t="shared" si="139"/>
        <v>2024</v>
      </c>
      <c r="I1751">
        <f t="shared" si="140"/>
        <v>8</v>
      </c>
      <c r="J1751">
        <f t="shared" si="136"/>
        <v>149.94</v>
      </c>
    </row>
    <row r="1752" spans="1:10" ht="12.5" x14ac:dyDescent="0.25">
      <c r="A1752" s="1">
        <v>45534</v>
      </c>
      <c r="B1752" s="2" t="s">
        <v>15</v>
      </c>
      <c r="C1752" s="2" t="s">
        <v>6</v>
      </c>
      <c r="D1752" s="2" t="s">
        <v>6</v>
      </c>
      <c r="E1752" s="3">
        <v>1200</v>
      </c>
      <c r="F1752" t="str">
        <f t="shared" si="137"/>
        <v>payroll</v>
      </c>
      <c r="G1752" s="7" t="s">
        <v>6</v>
      </c>
      <c r="H1752">
        <f t="shared" si="139"/>
        <v>2024</v>
      </c>
      <c r="I1752">
        <f t="shared" si="140"/>
        <v>8</v>
      </c>
      <c r="J1752">
        <f t="shared" si="136"/>
        <v>12.49</v>
      </c>
    </row>
    <row r="1753" spans="1:10" ht="12.5" x14ac:dyDescent="0.25">
      <c r="A1753" s="1">
        <v>45535</v>
      </c>
      <c r="B1753" s="2" t="s">
        <v>7</v>
      </c>
      <c r="C1753" s="3">
        <v>5.99</v>
      </c>
      <c r="D1753" s="3">
        <v>48</v>
      </c>
      <c r="E1753" s="3">
        <v>287.52</v>
      </c>
      <c r="F1753" t="str">
        <f t="shared" si="137"/>
        <v>cogs</v>
      </c>
      <c r="G1753" s="7" t="str">
        <f t="shared" si="138"/>
        <v>product 1</v>
      </c>
      <c r="H1753">
        <f t="shared" si="139"/>
        <v>2024</v>
      </c>
      <c r="I1753">
        <f t="shared" si="140"/>
        <v>8</v>
      </c>
      <c r="J1753">
        <f t="shared" si="136"/>
        <v>0</v>
      </c>
    </row>
    <row r="1754" spans="1:10" ht="12.5" x14ac:dyDescent="0.25">
      <c r="A1754" s="1">
        <v>45535</v>
      </c>
      <c r="B1754" s="2" t="s">
        <v>8</v>
      </c>
      <c r="C1754" s="3">
        <v>16.989999999999998</v>
      </c>
      <c r="D1754" s="3">
        <v>6</v>
      </c>
      <c r="E1754" s="3">
        <v>101.94</v>
      </c>
      <c r="F1754" t="str">
        <f t="shared" si="137"/>
        <v>cogs</v>
      </c>
      <c r="G1754" s="7" t="str">
        <f t="shared" si="138"/>
        <v>product 2</v>
      </c>
      <c r="H1754">
        <f t="shared" si="139"/>
        <v>2024</v>
      </c>
      <c r="I1754">
        <f t="shared" si="140"/>
        <v>8</v>
      </c>
      <c r="J1754">
        <f t="shared" si="136"/>
        <v>-353.41</v>
      </c>
    </row>
    <row r="1755" spans="1:10" ht="12.5" x14ac:dyDescent="0.25">
      <c r="A1755" s="1">
        <v>45535</v>
      </c>
      <c r="B1755" s="2" t="s">
        <v>9</v>
      </c>
      <c r="C1755" s="3">
        <v>8.49</v>
      </c>
      <c r="D1755" s="3">
        <v>67</v>
      </c>
      <c r="E1755" s="3">
        <v>568.83000000000004</v>
      </c>
      <c r="F1755" t="str">
        <f t="shared" si="137"/>
        <v>cogs</v>
      </c>
      <c r="G1755" s="7" t="str">
        <f t="shared" si="138"/>
        <v>product 3</v>
      </c>
      <c r="H1755">
        <f t="shared" si="139"/>
        <v>2024</v>
      </c>
      <c r="I1755">
        <f t="shared" si="140"/>
        <v>8</v>
      </c>
      <c r="J1755">
        <f t="shared" si="136"/>
        <v>-67.959999999999994</v>
      </c>
    </row>
    <row r="1756" spans="1:10" ht="12.5" x14ac:dyDescent="0.25">
      <c r="A1756" s="1">
        <v>45535</v>
      </c>
      <c r="B1756" s="2" t="s">
        <v>10</v>
      </c>
      <c r="C1756" s="2" t="s">
        <v>6</v>
      </c>
      <c r="D1756" s="2" t="s">
        <v>6</v>
      </c>
      <c r="E1756" s="3">
        <v>100.08</v>
      </c>
      <c r="F1756" t="str">
        <f t="shared" si="137"/>
        <v>marketing</v>
      </c>
      <c r="G1756" s="7" t="s">
        <v>6</v>
      </c>
      <c r="H1756">
        <f t="shared" si="139"/>
        <v>2024</v>
      </c>
      <c r="I1756">
        <f t="shared" si="140"/>
        <v>8</v>
      </c>
      <c r="J1756">
        <f t="shared" ref="J1756:J1819" si="141">IF(F1539="net sales",E1539,
IF(F1539="cogs",-E1539,
IF(OR(F1539="marketing",F1539="overhead",F1539="payroll",F1539="interest","amortization"),-E1539,0)))</f>
        <v>-1171.6200000000001</v>
      </c>
    </row>
    <row r="1757" spans="1:10" ht="12.5" x14ac:dyDescent="0.25">
      <c r="A1757" s="1">
        <v>45535</v>
      </c>
      <c r="B1757" s="2" t="s">
        <v>11</v>
      </c>
      <c r="C1757" s="3">
        <v>9.99</v>
      </c>
      <c r="D1757" s="3">
        <v>48</v>
      </c>
      <c r="E1757" s="3">
        <v>479.52</v>
      </c>
      <c r="F1757" t="str">
        <f t="shared" si="137"/>
        <v>net sales</v>
      </c>
      <c r="G1757" s="7" t="str">
        <f t="shared" si="138"/>
        <v>product 1</v>
      </c>
      <c r="H1757">
        <f t="shared" si="139"/>
        <v>2024</v>
      </c>
      <c r="I1757">
        <f t="shared" si="140"/>
        <v>8</v>
      </c>
      <c r="J1757">
        <f t="shared" si="141"/>
        <v>-100.07000000000001</v>
      </c>
    </row>
    <row r="1758" spans="1:10" ht="12.5" x14ac:dyDescent="0.25">
      <c r="A1758" s="1">
        <v>45535</v>
      </c>
      <c r="B1758" s="2" t="s">
        <v>12</v>
      </c>
      <c r="C1758" s="3">
        <v>24.99</v>
      </c>
      <c r="D1758" s="3">
        <v>6</v>
      </c>
      <c r="E1758" s="3">
        <v>149.94</v>
      </c>
      <c r="F1758" t="str">
        <f t="shared" si="137"/>
        <v>net sales</v>
      </c>
      <c r="G1758" s="7" t="str">
        <f t="shared" si="138"/>
        <v>product 2</v>
      </c>
      <c r="H1758">
        <f t="shared" si="139"/>
        <v>2024</v>
      </c>
      <c r="I1758">
        <f t="shared" si="140"/>
        <v>8</v>
      </c>
      <c r="J1758">
        <f t="shared" si="141"/>
        <v>589.41</v>
      </c>
    </row>
    <row r="1759" spans="1:10" ht="12.5" x14ac:dyDescent="0.25">
      <c r="A1759" s="1">
        <v>45535</v>
      </c>
      <c r="B1759" s="2" t="s">
        <v>13</v>
      </c>
      <c r="C1759" s="3">
        <v>12.49</v>
      </c>
      <c r="D1759" s="3">
        <v>67</v>
      </c>
      <c r="E1759" s="3">
        <v>836.83</v>
      </c>
      <c r="F1759" t="str">
        <f t="shared" si="137"/>
        <v>net sales</v>
      </c>
      <c r="G1759" s="7" t="str">
        <f t="shared" si="138"/>
        <v>product 3</v>
      </c>
      <c r="H1759">
        <f t="shared" si="139"/>
        <v>2024</v>
      </c>
      <c r="I1759">
        <f t="shared" si="140"/>
        <v>8</v>
      </c>
      <c r="J1759">
        <f t="shared" si="141"/>
        <v>99.96</v>
      </c>
    </row>
    <row r="1760" spans="1:10" ht="12.5" x14ac:dyDescent="0.25">
      <c r="A1760" s="1">
        <v>45536</v>
      </c>
      <c r="B1760" s="2" t="s">
        <v>5</v>
      </c>
      <c r="C1760" s="2" t="s">
        <v>6</v>
      </c>
      <c r="D1760" s="2" t="s">
        <v>6</v>
      </c>
      <c r="E1760" s="3">
        <v>50</v>
      </c>
      <c r="F1760" t="str">
        <f t="shared" si="137"/>
        <v>amortization</v>
      </c>
      <c r="G1760" s="7" t="s">
        <v>6</v>
      </c>
      <c r="H1760">
        <f t="shared" si="139"/>
        <v>2024</v>
      </c>
      <c r="I1760">
        <f t="shared" si="140"/>
        <v>9</v>
      </c>
      <c r="J1760">
        <f t="shared" si="141"/>
        <v>1723.6200000000001</v>
      </c>
    </row>
    <row r="1761" spans="1:10" ht="12.5" x14ac:dyDescent="0.25">
      <c r="A1761" s="1">
        <v>45536</v>
      </c>
      <c r="B1761" s="2" t="s">
        <v>7</v>
      </c>
      <c r="C1761" s="3">
        <v>5.99</v>
      </c>
      <c r="D1761" s="3">
        <v>54</v>
      </c>
      <c r="E1761" s="3">
        <v>323.46000000000004</v>
      </c>
      <c r="F1761" t="str">
        <f t="shared" si="137"/>
        <v>cogs</v>
      </c>
      <c r="G1761" s="7" t="str">
        <f t="shared" si="138"/>
        <v>product 1</v>
      </c>
      <c r="H1761">
        <f t="shared" si="139"/>
        <v>2024</v>
      </c>
      <c r="I1761">
        <f t="shared" si="140"/>
        <v>9</v>
      </c>
      <c r="J1761">
        <f t="shared" si="141"/>
        <v>-2000</v>
      </c>
    </row>
    <row r="1762" spans="1:10" ht="12.5" x14ac:dyDescent="0.25">
      <c r="A1762" s="1">
        <v>45536</v>
      </c>
      <c r="B1762" s="2" t="s">
        <v>8</v>
      </c>
      <c r="C1762" s="3">
        <v>16.989999999999998</v>
      </c>
      <c r="D1762" s="3">
        <v>6</v>
      </c>
      <c r="E1762" s="3">
        <v>101.94</v>
      </c>
      <c r="F1762" t="str">
        <f t="shared" si="137"/>
        <v>cogs</v>
      </c>
      <c r="G1762" s="7" t="str">
        <f t="shared" si="138"/>
        <v>product 2</v>
      </c>
      <c r="H1762">
        <f t="shared" si="139"/>
        <v>2024</v>
      </c>
      <c r="I1762">
        <f t="shared" si="140"/>
        <v>9</v>
      </c>
      <c r="J1762">
        <f t="shared" si="141"/>
        <v>-11.98</v>
      </c>
    </row>
    <row r="1763" spans="1:10" ht="12.5" x14ac:dyDescent="0.25">
      <c r="A1763" s="1">
        <v>45536</v>
      </c>
      <c r="B1763" s="2" t="s">
        <v>9</v>
      </c>
      <c r="C1763" s="3">
        <v>8.49</v>
      </c>
      <c r="D1763" s="3">
        <v>245</v>
      </c>
      <c r="E1763" s="3">
        <v>2080.0500000000002</v>
      </c>
      <c r="F1763" t="str">
        <f t="shared" si="137"/>
        <v>cogs</v>
      </c>
      <c r="G1763" s="7" t="str">
        <f t="shared" si="138"/>
        <v>product 3</v>
      </c>
      <c r="H1763">
        <f t="shared" si="139"/>
        <v>2024</v>
      </c>
      <c r="I1763">
        <f t="shared" si="140"/>
        <v>9</v>
      </c>
      <c r="J1763">
        <f t="shared" si="141"/>
        <v>-101.94</v>
      </c>
    </row>
    <row r="1764" spans="1:10" ht="12.5" x14ac:dyDescent="0.25">
      <c r="A1764" s="1">
        <v>45536</v>
      </c>
      <c r="B1764" s="2" t="s">
        <v>10</v>
      </c>
      <c r="C1764" s="2" t="s">
        <v>6</v>
      </c>
      <c r="D1764" s="2" t="s">
        <v>6</v>
      </c>
      <c r="E1764" s="3">
        <v>99.9</v>
      </c>
      <c r="F1764" t="str">
        <f t="shared" si="137"/>
        <v>marketing</v>
      </c>
      <c r="G1764" s="7" t="s">
        <v>6</v>
      </c>
      <c r="H1764">
        <f t="shared" si="139"/>
        <v>2024</v>
      </c>
      <c r="I1764">
        <f t="shared" si="140"/>
        <v>9</v>
      </c>
      <c r="J1764">
        <f t="shared" si="141"/>
        <v>-560.34</v>
      </c>
    </row>
    <row r="1765" spans="1:10" ht="12.5" x14ac:dyDescent="0.25">
      <c r="A1765" s="1">
        <v>45536</v>
      </c>
      <c r="B1765" s="2" t="s">
        <v>11</v>
      </c>
      <c r="C1765" s="3">
        <v>9.99</v>
      </c>
      <c r="D1765" s="3">
        <v>54</v>
      </c>
      <c r="E1765" s="3">
        <v>539.46</v>
      </c>
      <c r="F1765" t="str">
        <f t="shared" si="137"/>
        <v>net sales</v>
      </c>
      <c r="G1765" s="7" t="str">
        <f t="shared" si="138"/>
        <v>product 1</v>
      </c>
      <c r="H1765">
        <f t="shared" si="139"/>
        <v>2024</v>
      </c>
      <c r="I1765">
        <f t="shared" si="140"/>
        <v>9</v>
      </c>
      <c r="J1765">
        <f t="shared" si="141"/>
        <v>-100.04</v>
      </c>
    </row>
    <row r="1766" spans="1:10" ht="12.5" x14ac:dyDescent="0.25">
      <c r="A1766" s="1">
        <v>45536</v>
      </c>
      <c r="B1766" s="2" t="s">
        <v>12</v>
      </c>
      <c r="C1766" s="3">
        <v>24.99</v>
      </c>
      <c r="D1766" s="3">
        <v>6</v>
      </c>
      <c r="E1766" s="3">
        <v>149.94</v>
      </c>
      <c r="F1766" t="str">
        <f t="shared" si="137"/>
        <v>net sales</v>
      </c>
      <c r="G1766" s="7" t="str">
        <f t="shared" si="138"/>
        <v>product 2</v>
      </c>
      <c r="H1766">
        <f t="shared" si="139"/>
        <v>2024</v>
      </c>
      <c r="I1766">
        <f t="shared" si="140"/>
        <v>9</v>
      </c>
      <c r="J1766">
        <f t="shared" si="141"/>
        <v>19.98</v>
      </c>
    </row>
    <row r="1767" spans="1:10" ht="12.5" x14ac:dyDescent="0.25">
      <c r="A1767" s="1">
        <v>45536</v>
      </c>
      <c r="B1767" s="2" t="s">
        <v>13</v>
      </c>
      <c r="C1767" s="3">
        <v>12.49</v>
      </c>
      <c r="D1767" s="3">
        <v>245</v>
      </c>
      <c r="E1767" s="3">
        <v>3060.05</v>
      </c>
      <c r="F1767" t="str">
        <f t="shared" si="137"/>
        <v>net sales</v>
      </c>
      <c r="G1767" s="7" t="str">
        <f t="shared" si="138"/>
        <v>product 3</v>
      </c>
      <c r="H1767">
        <f t="shared" si="139"/>
        <v>2024</v>
      </c>
      <c r="I1767">
        <f t="shared" si="140"/>
        <v>9</v>
      </c>
      <c r="J1767">
        <f t="shared" si="141"/>
        <v>149.94</v>
      </c>
    </row>
    <row r="1768" spans="1:10" ht="12.5" x14ac:dyDescent="0.25">
      <c r="A1768" s="1">
        <v>45536</v>
      </c>
      <c r="B1768" s="2" t="s">
        <v>14</v>
      </c>
      <c r="C1768" s="2" t="s">
        <v>6</v>
      </c>
      <c r="D1768" s="2" t="s">
        <v>6</v>
      </c>
      <c r="E1768" s="3">
        <v>2000</v>
      </c>
      <c r="F1768" t="str">
        <f t="shared" si="137"/>
        <v>overhead</v>
      </c>
      <c r="G1768" s="7" t="s">
        <v>6</v>
      </c>
      <c r="H1768">
        <f t="shared" si="139"/>
        <v>2024</v>
      </c>
      <c r="I1768">
        <f t="shared" si="140"/>
        <v>9</v>
      </c>
      <c r="J1768">
        <f t="shared" si="141"/>
        <v>824.34</v>
      </c>
    </row>
    <row r="1769" spans="1:10" ht="12.5" x14ac:dyDescent="0.25">
      <c r="A1769" s="1">
        <v>45537</v>
      </c>
      <c r="B1769" s="2" t="s">
        <v>7</v>
      </c>
      <c r="C1769" s="3">
        <v>5.99</v>
      </c>
      <c r="D1769" s="3">
        <v>62</v>
      </c>
      <c r="E1769" s="3">
        <v>371.38</v>
      </c>
      <c r="F1769" t="str">
        <f t="shared" si="137"/>
        <v>cogs</v>
      </c>
      <c r="G1769" s="7" t="str">
        <f t="shared" si="138"/>
        <v>product 1</v>
      </c>
      <c r="H1769">
        <f t="shared" si="139"/>
        <v>2024</v>
      </c>
      <c r="I1769">
        <f t="shared" si="140"/>
        <v>9</v>
      </c>
      <c r="J1769">
        <f t="shared" si="141"/>
        <v>-1200</v>
      </c>
    </row>
    <row r="1770" spans="1:10" ht="12.5" x14ac:dyDescent="0.25">
      <c r="A1770" s="1">
        <v>45537</v>
      </c>
      <c r="B1770" s="2" t="s">
        <v>8</v>
      </c>
      <c r="C1770" s="3">
        <v>16.989999999999998</v>
      </c>
      <c r="D1770" s="3">
        <v>6</v>
      </c>
      <c r="E1770" s="3">
        <v>101.94</v>
      </c>
      <c r="F1770" t="str">
        <f t="shared" si="137"/>
        <v>cogs</v>
      </c>
      <c r="G1770" s="7" t="str">
        <f t="shared" si="138"/>
        <v>product 2</v>
      </c>
      <c r="H1770">
        <f t="shared" si="139"/>
        <v>2024</v>
      </c>
      <c r="I1770">
        <f t="shared" si="140"/>
        <v>9</v>
      </c>
      <c r="J1770">
        <f t="shared" si="141"/>
        <v>-131.78</v>
      </c>
    </row>
    <row r="1771" spans="1:10" ht="12.5" x14ac:dyDescent="0.25">
      <c r="A1771" s="1">
        <v>45537</v>
      </c>
      <c r="B1771" s="2" t="s">
        <v>9</v>
      </c>
      <c r="C1771" s="3">
        <v>8.49</v>
      </c>
      <c r="D1771" s="3">
        <v>48</v>
      </c>
      <c r="E1771" s="3">
        <v>407.52</v>
      </c>
      <c r="F1771" t="str">
        <f t="shared" si="137"/>
        <v>cogs</v>
      </c>
      <c r="G1771" s="7" t="str">
        <f t="shared" si="138"/>
        <v>product 3</v>
      </c>
      <c r="H1771">
        <f t="shared" si="139"/>
        <v>2024</v>
      </c>
      <c r="I1771">
        <f t="shared" si="140"/>
        <v>9</v>
      </c>
      <c r="J1771">
        <f t="shared" si="141"/>
        <v>-50.97</v>
      </c>
    </row>
    <row r="1772" spans="1:10" ht="12.5" x14ac:dyDescent="0.25">
      <c r="A1772" s="1">
        <v>45537</v>
      </c>
      <c r="B1772" s="2" t="s">
        <v>10</v>
      </c>
      <c r="C1772" s="2" t="s">
        <v>6</v>
      </c>
      <c r="D1772" s="2" t="s">
        <v>6</v>
      </c>
      <c r="E1772" s="3">
        <v>100.06</v>
      </c>
      <c r="F1772" t="str">
        <f t="shared" si="137"/>
        <v>marketing</v>
      </c>
      <c r="G1772" s="7" t="s">
        <v>6</v>
      </c>
      <c r="H1772">
        <f t="shared" si="139"/>
        <v>2024</v>
      </c>
      <c r="I1772">
        <f t="shared" si="140"/>
        <v>9</v>
      </c>
      <c r="J1772">
        <f t="shared" si="141"/>
        <v>-1536.69</v>
      </c>
    </row>
    <row r="1773" spans="1:10" ht="12.5" x14ac:dyDescent="0.25">
      <c r="A1773" s="1">
        <v>45537</v>
      </c>
      <c r="B1773" s="2" t="s">
        <v>11</v>
      </c>
      <c r="C1773" s="3">
        <v>9.99</v>
      </c>
      <c r="D1773" s="3">
        <v>62</v>
      </c>
      <c r="E1773" s="3">
        <v>619.38</v>
      </c>
      <c r="F1773" t="str">
        <f t="shared" si="137"/>
        <v>net sales</v>
      </c>
      <c r="G1773" s="7" t="str">
        <f t="shared" si="138"/>
        <v>product 1</v>
      </c>
      <c r="H1773">
        <f t="shared" si="139"/>
        <v>2024</v>
      </c>
      <c r="I1773">
        <f t="shared" si="140"/>
        <v>9</v>
      </c>
      <c r="J1773">
        <f t="shared" si="141"/>
        <v>-99.95</v>
      </c>
    </row>
    <row r="1774" spans="1:10" ht="12.5" x14ac:dyDescent="0.25">
      <c r="A1774" s="1">
        <v>45537</v>
      </c>
      <c r="B1774" s="2" t="s">
        <v>12</v>
      </c>
      <c r="C1774" s="3">
        <v>24.99</v>
      </c>
      <c r="D1774" s="3">
        <v>6</v>
      </c>
      <c r="E1774" s="3">
        <v>149.94</v>
      </c>
      <c r="F1774" t="str">
        <f t="shared" si="137"/>
        <v>net sales</v>
      </c>
      <c r="G1774" s="7" t="str">
        <f t="shared" si="138"/>
        <v>product 2</v>
      </c>
      <c r="H1774">
        <f t="shared" si="139"/>
        <v>2024</v>
      </c>
      <c r="I1774">
        <f t="shared" si="140"/>
        <v>9</v>
      </c>
      <c r="J1774">
        <f t="shared" si="141"/>
        <v>219.78</v>
      </c>
    </row>
    <row r="1775" spans="1:10" ht="12.5" x14ac:dyDescent="0.25">
      <c r="A1775" s="1">
        <v>45537</v>
      </c>
      <c r="B1775" s="2" t="s">
        <v>13</v>
      </c>
      <c r="C1775" s="3">
        <v>12.49</v>
      </c>
      <c r="D1775" s="3">
        <v>48</v>
      </c>
      <c r="E1775" s="3">
        <v>599.52</v>
      </c>
      <c r="F1775" t="str">
        <f t="shared" si="137"/>
        <v>net sales</v>
      </c>
      <c r="G1775" s="7" t="str">
        <f t="shared" si="138"/>
        <v>product 3</v>
      </c>
      <c r="H1775">
        <f t="shared" si="139"/>
        <v>2024</v>
      </c>
      <c r="I1775">
        <f t="shared" si="140"/>
        <v>9</v>
      </c>
      <c r="J1775">
        <f t="shared" si="141"/>
        <v>74.97</v>
      </c>
    </row>
    <row r="1776" spans="1:10" ht="12.5" x14ac:dyDescent="0.25">
      <c r="A1776" s="1">
        <v>45538</v>
      </c>
      <c r="B1776" s="2" t="s">
        <v>7</v>
      </c>
      <c r="C1776" s="3">
        <v>5.99</v>
      </c>
      <c r="D1776" s="3">
        <v>25</v>
      </c>
      <c r="E1776" s="3">
        <v>149.75</v>
      </c>
      <c r="F1776" t="str">
        <f t="shared" si="137"/>
        <v>cogs</v>
      </c>
      <c r="G1776" s="7" t="str">
        <f t="shared" si="138"/>
        <v>product 1</v>
      </c>
      <c r="H1776">
        <f t="shared" si="139"/>
        <v>2024</v>
      </c>
      <c r="I1776">
        <f t="shared" si="140"/>
        <v>9</v>
      </c>
      <c r="J1776">
        <f t="shared" si="141"/>
        <v>2260.69</v>
      </c>
    </row>
    <row r="1777" spans="1:10" ht="12.5" x14ac:dyDescent="0.25">
      <c r="A1777" s="1">
        <v>45538</v>
      </c>
      <c r="B1777" s="2" t="s">
        <v>8</v>
      </c>
      <c r="C1777" s="3">
        <v>16.989999999999998</v>
      </c>
      <c r="D1777" s="3">
        <v>3</v>
      </c>
      <c r="E1777" s="3">
        <v>50.97</v>
      </c>
      <c r="F1777" t="str">
        <f t="shared" si="137"/>
        <v>cogs</v>
      </c>
      <c r="G1777" s="7" t="str">
        <f t="shared" si="138"/>
        <v>product 2</v>
      </c>
      <c r="H1777">
        <f t="shared" si="139"/>
        <v>2024</v>
      </c>
      <c r="I1777">
        <f t="shared" si="140"/>
        <v>9</v>
      </c>
      <c r="J1777">
        <f t="shared" si="141"/>
        <v>-101.83</v>
      </c>
    </row>
    <row r="1778" spans="1:10" ht="12.5" x14ac:dyDescent="0.25">
      <c r="A1778" s="1">
        <v>45538</v>
      </c>
      <c r="B1778" s="2" t="s">
        <v>9</v>
      </c>
      <c r="C1778" s="3">
        <v>8.49</v>
      </c>
      <c r="D1778" s="3">
        <v>40</v>
      </c>
      <c r="E1778" s="3">
        <v>339.6</v>
      </c>
      <c r="F1778" t="str">
        <f t="shared" si="137"/>
        <v>cogs</v>
      </c>
      <c r="G1778" s="7" t="str">
        <f t="shared" si="138"/>
        <v>product 3</v>
      </c>
      <c r="H1778">
        <f t="shared" si="139"/>
        <v>2024</v>
      </c>
      <c r="I1778">
        <f t="shared" si="140"/>
        <v>9</v>
      </c>
      <c r="J1778">
        <f t="shared" si="141"/>
        <v>0</v>
      </c>
    </row>
    <row r="1779" spans="1:10" ht="12.5" x14ac:dyDescent="0.25">
      <c r="A1779" s="1">
        <v>45538</v>
      </c>
      <c r="B1779" s="2" t="s">
        <v>10</v>
      </c>
      <c r="C1779" s="2" t="s">
        <v>6</v>
      </c>
      <c r="D1779" s="2" t="s">
        <v>6</v>
      </c>
      <c r="E1779" s="3">
        <v>99.98</v>
      </c>
      <c r="F1779" t="str">
        <f t="shared" si="137"/>
        <v>marketing</v>
      </c>
      <c r="G1779" s="7" t="s">
        <v>6</v>
      </c>
      <c r="H1779">
        <f t="shared" si="139"/>
        <v>2024</v>
      </c>
      <c r="I1779">
        <f t="shared" si="140"/>
        <v>9</v>
      </c>
      <c r="J1779">
        <f t="shared" si="141"/>
        <v>-874.47</v>
      </c>
    </row>
    <row r="1780" spans="1:10" ht="12.5" x14ac:dyDescent="0.25">
      <c r="A1780" s="1">
        <v>45538</v>
      </c>
      <c r="B1780" s="2" t="s">
        <v>11</v>
      </c>
      <c r="C1780" s="3">
        <v>9.99</v>
      </c>
      <c r="D1780" s="3">
        <v>25</v>
      </c>
      <c r="E1780" s="3">
        <v>249.75</v>
      </c>
      <c r="F1780" t="str">
        <f t="shared" si="137"/>
        <v>net sales</v>
      </c>
      <c r="G1780" s="7" t="str">
        <f t="shared" si="138"/>
        <v>product 1</v>
      </c>
      <c r="H1780">
        <f t="shared" si="139"/>
        <v>2024</v>
      </c>
      <c r="I1780">
        <f t="shared" si="140"/>
        <v>9</v>
      </c>
      <c r="J1780">
        <f t="shared" si="141"/>
        <v>-100.08</v>
      </c>
    </row>
    <row r="1781" spans="1:10" ht="12.5" x14ac:dyDescent="0.25">
      <c r="A1781" s="1">
        <v>45538</v>
      </c>
      <c r="B1781" s="2" t="s">
        <v>12</v>
      </c>
      <c r="C1781" s="3">
        <v>24.99</v>
      </c>
      <c r="D1781" s="3">
        <v>3</v>
      </c>
      <c r="E1781" s="3">
        <v>74.97</v>
      </c>
      <c r="F1781" t="str">
        <f t="shared" si="137"/>
        <v>net sales</v>
      </c>
      <c r="G1781" s="7" t="str">
        <f t="shared" si="138"/>
        <v>product 2</v>
      </c>
      <c r="H1781">
        <f t="shared" si="139"/>
        <v>2024</v>
      </c>
      <c r="I1781">
        <f t="shared" si="140"/>
        <v>9</v>
      </c>
      <c r="J1781">
        <f t="shared" si="141"/>
        <v>169.83</v>
      </c>
    </row>
    <row r="1782" spans="1:10" ht="12.5" x14ac:dyDescent="0.25">
      <c r="A1782" s="1">
        <v>45538</v>
      </c>
      <c r="B1782" s="2" t="s">
        <v>13</v>
      </c>
      <c r="C1782" s="3">
        <v>12.49</v>
      </c>
      <c r="D1782" s="3">
        <v>40</v>
      </c>
      <c r="E1782" s="3">
        <v>499.6</v>
      </c>
      <c r="F1782" t="str">
        <f t="shared" si="137"/>
        <v>net sales</v>
      </c>
      <c r="G1782" s="7" t="str">
        <f t="shared" si="138"/>
        <v>product 3</v>
      </c>
      <c r="H1782">
        <f t="shared" si="139"/>
        <v>2024</v>
      </c>
      <c r="I1782">
        <f t="shared" si="140"/>
        <v>9</v>
      </c>
      <c r="J1782">
        <f t="shared" si="141"/>
        <v>0</v>
      </c>
    </row>
    <row r="1783" spans="1:10" ht="12.5" x14ac:dyDescent="0.25">
      <c r="A1783" s="1">
        <v>45539</v>
      </c>
      <c r="B1783" s="2" t="s">
        <v>7</v>
      </c>
      <c r="C1783" s="3">
        <v>5.99</v>
      </c>
      <c r="D1783" s="3">
        <v>79</v>
      </c>
      <c r="E1783" s="3">
        <v>473.21000000000004</v>
      </c>
      <c r="F1783" t="str">
        <f t="shared" si="137"/>
        <v>cogs</v>
      </c>
      <c r="G1783" s="7" t="str">
        <f t="shared" si="138"/>
        <v>product 1</v>
      </c>
      <c r="H1783">
        <f t="shared" si="139"/>
        <v>2024</v>
      </c>
      <c r="I1783">
        <f t="shared" si="140"/>
        <v>9</v>
      </c>
      <c r="J1783">
        <f t="shared" si="141"/>
        <v>1286.47</v>
      </c>
    </row>
    <row r="1784" spans="1:10" ht="12.5" x14ac:dyDescent="0.25">
      <c r="A1784" s="1">
        <v>45539</v>
      </c>
      <c r="B1784" s="2" t="s">
        <v>8</v>
      </c>
      <c r="C1784" s="3">
        <v>16.989999999999998</v>
      </c>
      <c r="D1784" s="3">
        <v>7</v>
      </c>
      <c r="E1784" s="3">
        <v>118.92999999999999</v>
      </c>
      <c r="F1784" t="str">
        <f t="shared" si="137"/>
        <v>cogs</v>
      </c>
      <c r="G1784" s="7" t="str">
        <f t="shared" si="138"/>
        <v>product 2</v>
      </c>
      <c r="H1784">
        <f t="shared" si="139"/>
        <v>2024</v>
      </c>
      <c r="I1784">
        <f t="shared" si="140"/>
        <v>9</v>
      </c>
      <c r="J1784">
        <f t="shared" si="141"/>
        <v>-77.87</v>
      </c>
    </row>
    <row r="1785" spans="1:10" ht="12.5" x14ac:dyDescent="0.25">
      <c r="A1785" s="1">
        <v>45539</v>
      </c>
      <c r="B1785" s="2" t="s">
        <v>9</v>
      </c>
      <c r="C1785" s="3">
        <v>8.49</v>
      </c>
      <c r="D1785" s="3">
        <v>232</v>
      </c>
      <c r="E1785" s="3">
        <v>1969.68</v>
      </c>
      <c r="F1785" t="str">
        <f t="shared" si="137"/>
        <v>cogs</v>
      </c>
      <c r="G1785" s="7" t="str">
        <f t="shared" si="138"/>
        <v>product 3</v>
      </c>
      <c r="H1785">
        <f t="shared" si="139"/>
        <v>2024</v>
      </c>
      <c r="I1785">
        <f t="shared" si="140"/>
        <v>9</v>
      </c>
      <c r="J1785">
        <f t="shared" si="141"/>
        <v>-118.92999999999999</v>
      </c>
    </row>
    <row r="1786" spans="1:10" ht="12.5" x14ac:dyDescent="0.25">
      <c r="A1786" s="1">
        <v>45539</v>
      </c>
      <c r="B1786" s="2" t="s">
        <v>10</v>
      </c>
      <c r="C1786" s="2" t="s">
        <v>6</v>
      </c>
      <c r="D1786" s="2" t="s">
        <v>6</v>
      </c>
      <c r="E1786" s="3">
        <v>99.94</v>
      </c>
      <c r="F1786" t="str">
        <f t="shared" si="137"/>
        <v>marketing</v>
      </c>
      <c r="G1786" s="7" t="s">
        <v>6</v>
      </c>
      <c r="H1786">
        <f t="shared" si="139"/>
        <v>2024</v>
      </c>
      <c r="I1786">
        <f t="shared" si="140"/>
        <v>9</v>
      </c>
      <c r="J1786">
        <f t="shared" si="141"/>
        <v>-1171.6200000000001</v>
      </c>
    </row>
    <row r="1787" spans="1:10" ht="12.5" x14ac:dyDescent="0.25">
      <c r="A1787" s="1">
        <v>45539</v>
      </c>
      <c r="B1787" s="2" t="s">
        <v>11</v>
      </c>
      <c r="C1787" s="3">
        <v>9.99</v>
      </c>
      <c r="D1787" s="3">
        <v>79</v>
      </c>
      <c r="E1787" s="3">
        <v>789.21</v>
      </c>
      <c r="F1787" t="str">
        <f t="shared" si="137"/>
        <v>net sales</v>
      </c>
      <c r="G1787" s="7" t="str">
        <f t="shared" si="138"/>
        <v>product 1</v>
      </c>
      <c r="H1787">
        <f t="shared" si="139"/>
        <v>2024</v>
      </c>
      <c r="I1787">
        <f t="shared" si="140"/>
        <v>9</v>
      </c>
      <c r="J1787">
        <f t="shared" si="141"/>
        <v>-100.02</v>
      </c>
    </row>
    <row r="1788" spans="1:10" ht="12.5" x14ac:dyDescent="0.25">
      <c r="A1788" s="1">
        <v>45539</v>
      </c>
      <c r="B1788" s="2" t="s">
        <v>12</v>
      </c>
      <c r="C1788" s="3">
        <v>24.99</v>
      </c>
      <c r="D1788" s="3">
        <v>7</v>
      </c>
      <c r="E1788" s="3">
        <v>174.92999999999998</v>
      </c>
      <c r="F1788" t="str">
        <f t="shared" si="137"/>
        <v>net sales</v>
      </c>
      <c r="G1788" s="7" t="str">
        <f t="shared" si="138"/>
        <v>product 2</v>
      </c>
      <c r="H1788">
        <f t="shared" si="139"/>
        <v>2024</v>
      </c>
      <c r="I1788">
        <f t="shared" si="140"/>
        <v>9</v>
      </c>
      <c r="J1788">
        <f t="shared" si="141"/>
        <v>129.87</v>
      </c>
    </row>
    <row r="1789" spans="1:10" ht="12.5" x14ac:dyDescent="0.25">
      <c r="A1789" s="1">
        <v>45539</v>
      </c>
      <c r="B1789" s="2" t="s">
        <v>13</v>
      </c>
      <c r="C1789" s="3">
        <v>12.49</v>
      </c>
      <c r="D1789" s="3">
        <v>232</v>
      </c>
      <c r="E1789" s="3">
        <v>2897.68</v>
      </c>
      <c r="F1789" t="str">
        <f t="shared" si="137"/>
        <v>net sales</v>
      </c>
      <c r="G1789" s="7" t="str">
        <f t="shared" si="138"/>
        <v>product 3</v>
      </c>
      <c r="H1789">
        <f t="shared" si="139"/>
        <v>2024</v>
      </c>
      <c r="I1789">
        <f t="shared" si="140"/>
        <v>9</v>
      </c>
      <c r="J1789">
        <f t="shared" si="141"/>
        <v>174.92999999999998</v>
      </c>
    </row>
    <row r="1790" spans="1:10" ht="12.5" x14ac:dyDescent="0.25">
      <c r="A1790" s="1">
        <v>45540</v>
      </c>
      <c r="B1790" s="2" t="s">
        <v>7</v>
      </c>
      <c r="C1790" s="3">
        <v>5.99</v>
      </c>
      <c r="D1790" s="3">
        <v>78</v>
      </c>
      <c r="E1790" s="3">
        <v>467.22</v>
      </c>
      <c r="F1790" t="str">
        <f t="shared" si="137"/>
        <v>cogs</v>
      </c>
      <c r="G1790" s="7" t="str">
        <f t="shared" si="138"/>
        <v>product 1</v>
      </c>
      <c r="H1790">
        <f t="shared" si="139"/>
        <v>2024</v>
      </c>
      <c r="I1790">
        <f t="shared" si="140"/>
        <v>9</v>
      </c>
      <c r="J1790">
        <f t="shared" si="141"/>
        <v>1723.6200000000001</v>
      </c>
    </row>
    <row r="1791" spans="1:10" ht="12.5" x14ac:dyDescent="0.25">
      <c r="A1791" s="1">
        <v>45540</v>
      </c>
      <c r="B1791" s="2" t="s">
        <v>8</v>
      </c>
      <c r="C1791" s="3">
        <v>16.989999999999998</v>
      </c>
      <c r="D1791" s="3">
        <v>4</v>
      </c>
      <c r="E1791" s="3">
        <v>67.959999999999994</v>
      </c>
      <c r="F1791" t="str">
        <f t="shared" si="137"/>
        <v>cogs</v>
      </c>
      <c r="G1791" s="7" t="str">
        <f t="shared" si="138"/>
        <v>product 2</v>
      </c>
      <c r="H1791">
        <f t="shared" si="139"/>
        <v>2024</v>
      </c>
      <c r="I1791">
        <f t="shared" si="140"/>
        <v>9</v>
      </c>
      <c r="J1791">
        <f t="shared" si="141"/>
        <v>-485.19</v>
      </c>
    </row>
    <row r="1792" spans="1:10" ht="12.5" x14ac:dyDescent="0.25">
      <c r="A1792" s="1">
        <v>45540</v>
      </c>
      <c r="B1792" s="2" t="s">
        <v>9</v>
      </c>
      <c r="C1792" s="3">
        <v>8.49</v>
      </c>
      <c r="D1792" s="3">
        <v>221</v>
      </c>
      <c r="E1792" s="3">
        <v>1876.29</v>
      </c>
      <c r="F1792" t="str">
        <f t="shared" si="137"/>
        <v>cogs</v>
      </c>
      <c r="G1792" s="7" t="str">
        <f t="shared" si="138"/>
        <v>product 3</v>
      </c>
      <c r="H1792">
        <f t="shared" si="139"/>
        <v>2024</v>
      </c>
      <c r="I1792">
        <f t="shared" si="140"/>
        <v>9</v>
      </c>
      <c r="J1792">
        <f t="shared" si="141"/>
        <v>-67.959999999999994</v>
      </c>
    </row>
    <row r="1793" spans="1:10" ht="12.5" x14ac:dyDescent="0.25">
      <c r="A1793" s="1">
        <v>45540</v>
      </c>
      <c r="B1793" s="2" t="s">
        <v>10</v>
      </c>
      <c r="C1793" s="2" t="s">
        <v>6</v>
      </c>
      <c r="D1793" s="2" t="s">
        <v>6</v>
      </c>
      <c r="E1793" s="3">
        <v>100.05</v>
      </c>
      <c r="F1793" t="str">
        <f t="shared" si="137"/>
        <v>marketing</v>
      </c>
      <c r="G1793" s="7" t="s">
        <v>6</v>
      </c>
      <c r="H1793">
        <f t="shared" si="139"/>
        <v>2024</v>
      </c>
      <c r="I1793">
        <f t="shared" si="140"/>
        <v>9</v>
      </c>
      <c r="J1793">
        <f t="shared" si="141"/>
        <v>-152.82</v>
      </c>
    </row>
    <row r="1794" spans="1:10" ht="12.5" x14ac:dyDescent="0.25">
      <c r="A1794" s="1">
        <v>45540</v>
      </c>
      <c r="B1794" s="2" t="s">
        <v>11</v>
      </c>
      <c r="C1794" s="3">
        <v>9.99</v>
      </c>
      <c r="D1794" s="3">
        <v>78</v>
      </c>
      <c r="E1794" s="3">
        <v>779.22</v>
      </c>
      <c r="F1794" t="str">
        <f t="shared" si="137"/>
        <v>net sales</v>
      </c>
      <c r="G1794" s="7" t="str">
        <f t="shared" si="138"/>
        <v>product 1</v>
      </c>
      <c r="H1794">
        <f t="shared" si="139"/>
        <v>2024</v>
      </c>
      <c r="I1794">
        <f t="shared" si="140"/>
        <v>9</v>
      </c>
      <c r="J1794">
        <f t="shared" si="141"/>
        <v>-99.97</v>
      </c>
    </row>
    <row r="1795" spans="1:10" ht="12.5" x14ac:dyDescent="0.25">
      <c r="A1795" s="1">
        <v>45540</v>
      </c>
      <c r="B1795" s="2" t="s">
        <v>12</v>
      </c>
      <c r="C1795" s="3">
        <v>24.99</v>
      </c>
      <c r="D1795" s="3">
        <v>4</v>
      </c>
      <c r="E1795" s="3">
        <v>99.96</v>
      </c>
      <c r="F1795" t="str">
        <f t="shared" ref="F1795:F1858" si="142">IFERROR(LEFT(B1795,FIND(":",B1795)-1),B1795)</f>
        <v>net sales</v>
      </c>
      <c r="G1795" s="7" t="str">
        <f t="shared" ref="G1795:G1858" si="143">IFERROR(RIGHT(B1795,LEN(B1795)-FIND(":",B1795)),"")</f>
        <v>product 2</v>
      </c>
      <c r="H1795">
        <f t="shared" ref="H1795:H1858" si="144">YEAR(A1795)</f>
        <v>2024</v>
      </c>
      <c r="I1795">
        <f t="shared" ref="I1795:I1858" si="145">MONTH(A1795)</f>
        <v>9</v>
      </c>
      <c r="J1795">
        <f t="shared" si="141"/>
        <v>809.19</v>
      </c>
    </row>
    <row r="1796" spans="1:10" ht="12.5" x14ac:dyDescent="0.25">
      <c r="A1796" s="1">
        <v>45540</v>
      </c>
      <c r="B1796" s="2" t="s">
        <v>13</v>
      </c>
      <c r="C1796" s="3">
        <v>12.49</v>
      </c>
      <c r="D1796" s="3">
        <v>221</v>
      </c>
      <c r="E1796" s="3">
        <v>2760.29</v>
      </c>
      <c r="F1796" t="str">
        <f t="shared" si="142"/>
        <v>net sales</v>
      </c>
      <c r="G1796" s="7" t="str">
        <f t="shared" si="143"/>
        <v>product 3</v>
      </c>
      <c r="H1796">
        <f t="shared" si="144"/>
        <v>2024</v>
      </c>
      <c r="I1796">
        <f t="shared" si="145"/>
        <v>9</v>
      </c>
      <c r="J1796">
        <f t="shared" si="141"/>
        <v>99.96</v>
      </c>
    </row>
    <row r="1797" spans="1:10" ht="12.5" x14ac:dyDescent="0.25">
      <c r="A1797" s="1">
        <v>45541</v>
      </c>
      <c r="B1797" s="2" t="s">
        <v>7</v>
      </c>
      <c r="C1797" s="3">
        <v>5.99</v>
      </c>
      <c r="D1797" s="3">
        <v>82</v>
      </c>
      <c r="E1797" s="3">
        <v>491.18</v>
      </c>
      <c r="F1797" t="str">
        <f t="shared" si="142"/>
        <v>cogs</v>
      </c>
      <c r="G1797" s="7" t="str">
        <f t="shared" si="143"/>
        <v>product 1</v>
      </c>
      <c r="H1797">
        <f t="shared" si="144"/>
        <v>2024</v>
      </c>
      <c r="I1797">
        <f t="shared" si="145"/>
        <v>9</v>
      </c>
      <c r="J1797">
        <f t="shared" si="141"/>
        <v>224.82</v>
      </c>
    </row>
    <row r="1798" spans="1:10" ht="12.5" x14ac:dyDescent="0.25">
      <c r="A1798" s="1">
        <v>45541</v>
      </c>
      <c r="B1798" s="2" t="s">
        <v>8</v>
      </c>
      <c r="C1798" s="3">
        <v>16.989999999999998</v>
      </c>
      <c r="D1798" s="3">
        <v>10</v>
      </c>
      <c r="E1798" s="3">
        <v>169.89999999999998</v>
      </c>
      <c r="F1798" t="str">
        <f t="shared" si="142"/>
        <v>cogs</v>
      </c>
      <c r="G1798" s="7" t="str">
        <f t="shared" si="143"/>
        <v>product 2</v>
      </c>
      <c r="H1798">
        <f t="shared" si="144"/>
        <v>2024</v>
      </c>
      <c r="I1798">
        <f t="shared" si="145"/>
        <v>9</v>
      </c>
      <c r="J1798">
        <f t="shared" si="141"/>
        <v>-59.900000000000006</v>
      </c>
    </row>
    <row r="1799" spans="1:10" ht="12.5" x14ac:dyDescent="0.25">
      <c r="A1799" s="1">
        <v>45541</v>
      </c>
      <c r="B1799" s="2" t="s">
        <v>9</v>
      </c>
      <c r="C1799" s="3">
        <v>8.49</v>
      </c>
      <c r="D1799" s="3">
        <v>205</v>
      </c>
      <c r="E1799" s="3">
        <v>1740.45</v>
      </c>
      <c r="F1799" t="str">
        <f t="shared" si="142"/>
        <v>cogs</v>
      </c>
      <c r="G1799" s="7" t="str">
        <f t="shared" si="143"/>
        <v>product 3</v>
      </c>
      <c r="H1799">
        <f t="shared" si="144"/>
        <v>2024</v>
      </c>
      <c r="I1799">
        <f t="shared" si="145"/>
        <v>9</v>
      </c>
      <c r="J1799">
        <f t="shared" si="141"/>
        <v>-118.92999999999999</v>
      </c>
    </row>
    <row r="1800" spans="1:10" ht="12.5" x14ac:dyDescent="0.25">
      <c r="A1800" s="1">
        <v>45541</v>
      </c>
      <c r="B1800" s="2" t="s">
        <v>10</v>
      </c>
      <c r="C1800" s="2" t="s">
        <v>6</v>
      </c>
      <c r="D1800" s="2" t="s">
        <v>6</v>
      </c>
      <c r="E1800" s="3">
        <v>99.9</v>
      </c>
      <c r="F1800" t="str">
        <f t="shared" si="142"/>
        <v>marketing</v>
      </c>
      <c r="G1800" s="7" t="s">
        <v>6</v>
      </c>
      <c r="H1800">
        <f t="shared" si="144"/>
        <v>2024</v>
      </c>
      <c r="I1800">
        <f t="shared" si="145"/>
        <v>9</v>
      </c>
      <c r="J1800">
        <f t="shared" si="141"/>
        <v>-399.03000000000003</v>
      </c>
    </row>
    <row r="1801" spans="1:10" ht="12.5" x14ac:dyDescent="0.25">
      <c r="A1801" s="1">
        <v>45541</v>
      </c>
      <c r="B1801" s="2" t="s">
        <v>11</v>
      </c>
      <c r="C1801" s="3">
        <v>9.99</v>
      </c>
      <c r="D1801" s="3">
        <v>82</v>
      </c>
      <c r="E1801" s="3">
        <v>819.18000000000006</v>
      </c>
      <c r="F1801" t="str">
        <f t="shared" si="142"/>
        <v>net sales</v>
      </c>
      <c r="G1801" s="7" t="str">
        <f t="shared" si="143"/>
        <v>product 1</v>
      </c>
      <c r="H1801">
        <f t="shared" si="144"/>
        <v>2024</v>
      </c>
      <c r="I1801">
        <f t="shared" si="145"/>
        <v>9</v>
      </c>
      <c r="J1801">
        <f t="shared" si="141"/>
        <v>-100</v>
      </c>
    </row>
    <row r="1802" spans="1:10" ht="12.5" x14ac:dyDescent="0.25">
      <c r="A1802" s="1">
        <v>45541</v>
      </c>
      <c r="B1802" s="2" t="s">
        <v>12</v>
      </c>
      <c r="C1802" s="3">
        <v>24.99</v>
      </c>
      <c r="D1802" s="3">
        <v>10</v>
      </c>
      <c r="E1802" s="3">
        <v>249.89999999999998</v>
      </c>
      <c r="F1802" t="str">
        <f t="shared" si="142"/>
        <v>net sales</v>
      </c>
      <c r="G1802" s="7" t="str">
        <f t="shared" si="143"/>
        <v>product 2</v>
      </c>
      <c r="H1802">
        <f t="shared" si="144"/>
        <v>2024</v>
      </c>
      <c r="I1802">
        <f t="shared" si="145"/>
        <v>9</v>
      </c>
      <c r="J1802">
        <f t="shared" si="141"/>
        <v>99.9</v>
      </c>
    </row>
    <row r="1803" spans="1:10" ht="12.5" x14ac:dyDescent="0.25">
      <c r="A1803" s="1">
        <v>45541</v>
      </c>
      <c r="B1803" s="2" t="s">
        <v>13</v>
      </c>
      <c r="C1803" s="3">
        <v>12.49</v>
      </c>
      <c r="D1803" s="3">
        <v>205</v>
      </c>
      <c r="E1803" s="3">
        <v>2560.4499999999998</v>
      </c>
      <c r="F1803" t="str">
        <f t="shared" si="142"/>
        <v>net sales</v>
      </c>
      <c r="G1803" s="7" t="str">
        <f t="shared" si="143"/>
        <v>product 3</v>
      </c>
      <c r="H1803">
        <f t="shared" si="144"/>
        <v>2024</v>
      </c>
      <c r="I1803">
        <f t="shared" si="145"/>
        <v>9</v>
      </c>
      <c r="J1803">
        <f t="shared" si="141"/>
        <v>174.92999999999998</v>
      </c>
    </row>
    <row r="1804" spans="1:10" ht="12.5" x14ac:dyDescent="0.25">
      <c r="A1804" s="1">
        <v>45542</v>
      </c>
      <c r="B1804" s="2" t="s">
        <v>7</v>
      </c>
      <c r="C1804" s="3">
        <v>5.99</v>
      </c>
      <c r="D1804" s="3">
        <v>22</v>
      </c>
      <c r="E1804" s="3">
        <v>131.78</v>
      </c>
      <c r="F1804" t="str">
        <f t="shared" si="142"/>
        <v>cogs</v>
      </c>
      <c r="G1804" s="7" t="str">
        <f t="shared" si="143"/>
        <v>product 1</v>
      </c>
      <c r="H1804">
        <f t="shared" si="144"/>
        <v>2024</v>
      </c>
      <c r="I1804">
        <f t="shared" si="145"/>
        <v>9</v>
      </c>
      <c r="J1804">
        <f t="shared" si="141"/>
        <v>587.03</v>
      </c>
    </row>
    <row r="1805" spans="1:10" ht="12.5" x14ac:dyDescent="0.25">
      <c r="A1805" s="1">
        <v>45542</v>
      </c>
      <c r="B1805" s="2" t="s">
        <v>8</v>
      </c>
      <c r="C1805" s="3">
        <v>16.989999999999998</v>
      </c>
      <c r="D1805" s="3">
        <v>2</v>
      </c>
      <c r="E1805" s="3">
        <v>33.979999999999997</v>
      </c>
      <c r="F1805" t="str">
        <f t="shared" si="142"/>
        <v>cogs</v>
      </c>
      <c r="G1805" s="7" t="str">
        <f t="shared" si="143"/>
        <v>product 2</v>
      </c>
      <c r="H1805">
        <f t="shared" si="144"/>
        <v>2024</v>
      </c>
      <c r="I1805">
        <f t="shared" si="145"/>
        <v>9</v>
      </c>
      <c r="J1805">
        <f t="shared" si="141"/>
        <v>-17.97</v>
      </c>
    </row>
    <row r="1806" spans="1:10" ht="12.5" x14ac:dyDescent="0.25">
      <c r="A1806" s="1">
        <v>45542</v>
      </c>
      <c r="B1806" s="2" t="s">
        <v>9</v>
      </c>
      <c r="C1806" s="3">
        <v>8.49</v>
      </c>
      <c r="D1806" s="3">
        <v>0</v>
      </c>
      <c r="E1806" s="2">
        <f>C1806*D1806</f>
        <v>0</v>
      </c>
      <c r="F1806" t="str">
        <f t="shared" si="142"/>
        <v>cogs</v>
      </c>
      <c r="G1806" s="7" t="str">
        <f t="shared" si="143"/>
        <v>product 3</v>
      </c>
      <c r="H1806">
        <f t="shared" si="144"/>
        <v>2024</v>
      </c>
      <c r="I1806">
        <f t="shared" si="145"/>
        <v>9</v>
      </c>
      <c r="J1806">
        <f t="shared" si="141"/>
        <v>-152.91</v>
      </c>
    </row>
    <row r="1807" spans="1:10" ht="12.5" x14ac:dyDescent="0.25">
      <c r="A1807" s="1">
        <v>45542</v>
      </c>
      <c r="B1807" s="2" t="s">
        <v>10</v>
      </c>
      <c r="C1807" s="2" t="s">
        <v>6</v>
      </c>
      <c r="D1807" s="2" t="s">
        <v>6</v>
      </c>
      <c r="E1807" s="3">
        <v>99.9</v>
      </c>
      <c r="F1807" t="str">
        <f t="shared" si="142"/>
        <v>marketing</v>
      </c>
      <c r="G1807" s="7" t="s">
        <v>6</v>
      </c>
      <c r="H1807">
        <f t="shared" si="144"/>
        <v>2024</v>
      </c>
      <c r="I1807">
        <f t="shared" si="145"/>
        <v>9</v>
      </c>
      <c r="J1807">
        <f t="shared" si="141"/>
        <v>-1001.82</v>
      </c>
    </row>
    <row r="1808" spans="1:10" ht="12.5" x14ac:dyDescent="0.25">
      <c r="A1808" s="1">
        <v>45542</v>
      </c>
      <c r="B1808" s="2" t="s">
        <v>11</v>
      </c>
      <c r="C1808" s="3">
        <v>9.99</v>
      </c>
      <c r="D1808" s="3">
        <v>22</v>
      </c>
      <c r="E1808" s="3">
        <v>219.78</v>
      </c>
      <c r="F1808" t="str">
        <f t="shared" si="142"/>
        <v>net sales</v>
      </c>
      <c r="G1808" s="7" t="str">
        <f t="shared" si="143"/>
        <v>product 1</v>
      </c>
      <c r="H1808">
        <f t="shared" si="144"/>
        <v>2024</v>
      </c>
      <c r="I1808">
        <f t="shared" si="145"/>
        <v>9</v>
      </c>
      <c r="J1808">
        <f t="shared" si="141"/>
        <v>-100.02</v>
      </c>
    </row>
    <row r="1809" spans="1:10" ht="12.5" x14ac:dyDescent="0.25">
      <c r="A1809" s="1">
        <v>45542</v>
      </c>
      <c r="B1809" s="2" t="s">
        <v>12</v>
      </c>
      <c r="C1809" s="3">
        <v>24.99</v>
      </c>
      <c r="D1809" s="3">
        <v>2</v>
      </c>
      <c r="E1809" s="3">
        <v>49.98</v>
      </c>
      <c r="F1809" t="str">
        <f t="shared" si="142"/>
        <v>net sales</v>
      </c>
      <c r="G1809" s="7" t="str">
        <f t="shared" si="143"/>
        <v>product 2</v>
      </c>
      <c r="H1809">
        <f t="shared" si="144"/>
        <v>2024</v>
      </c>
      <c r="I1809">
        <f t="shared" si="145"/>
        <v>9</v>
      </c>
      <c r="J1809">
        <f t="shared" si="141"/>
        <v>29.97</v>
      </c>
    </row>
    <row r="1810" spans="1:10" ht="12.5" x14ac:dyDescent="0.25">
      <c r="A1810" s="1">
        <v>45542</v>
      </c>
      <c r="B1810" s="2" t="s">
        <v>13</v>
      </c>
      <c r="C1810" s="3">
        <v>12.49</v>
      </c>
      <c r="D1810" s="3">
        <v>0</v>
      </c>
      <c r="E1810" s="2">
        <f>C1810*D1810</f>
        <v>0</v>
      </c>
      <c r="F1810" t="str">
        <f t="shared" si="142"/>
        <v>net sales</v>
      </c>
      <c r="G1810" s="7" t="str">
        <f t="shared" si="143"/>
        <v>product 3</v>
      </c>
      <c r="H1810">
        <f t="shared" si="144"/>
        <v>2024</v>
      </c>
      <c r="I1810">
        <f t="shared" si="145"/>
        <v>9</v>
      </c>
      <c r="J1810">
        <f t="shared" si="141"/>
        <v>224.91</v>
      </c>
    </row>
    <row r="1811" spans="1:10" ht="12.5" x14ac:dyDescent="0.25">
      <c r="A1811" s="1">
        <v>45543</v>
      </c>
      <c r="B1811" s="2" t="s">
        <v>7</v>
      </c>
      <c r="C1811" s="3">
        <v>5.99</v>
      </c>
      <c r="D1811" s="3">
        <v>26</v>
      </c>
      <c r="E1811" s="3">
        <v>155.74</v>
      </c>
      <c r="F1811" t="str">
        <f t="shared" si="142"/>
        <v>cogs</v>
      </c>
      <c r="G1811" s="7" t="str">
        <f t="shared" si="143"/>
        <v>product 1</v>
      </c>
      <c r="H1811">
        <f t="shared" si="144"/>
        <v>2024</v>
      </c>
      <c r="I1811">
        <f t="shared" si="145"/>
        <v>9</v>
      </c>
      <c r="J1811">
        <f t="shared" si="141"/>
        <v>1473.82</v>
      </c>
    </row>
    <row r="1812" spans="1:10" ht="12.5" x14ac:dyDescent="0.25">
      <c r="A1812" s="1">
        <v>45543</v>
      </c>
      <c r="B1812" s="2" t="s">
        <v>8</v>
      </c>
      <c r="C1812" s="3">
        <v>16.989999999999998</v>
      </c>
      <c r="D1812" s="3">
        <v>7</v>
      </c>
      <c r="E1812" s="3">
        <v>118.92999999999999</v>
      </c>
      <c r="F1812" t="str">
        <f t="shared" si="142"/>
        <v>cogs</v>
      </c>
      <c r="G1812" s="7" t="str">
        <f t="shared" si="143"/>
        <v>product 2</v>
      </c>
      <c r="H1812">
        <f t="shared" si="144"/>
        <v>2024</v>
      </c>
      <c r="I1812">
        <f t="shared" si="145"/>
        <v>9</v>
      </c>
      <c r="J1812">
        <f t="shared" si="141"/>
        <v>-479.20000000000005</v>
      </c>
    </row>
    <row r="1813" spans="1:10" ht="12.5" x14ac:dyDescent="0.25">
      <c r="A1813" s="1">
        <v>45543</v>
      </c>
      <c r="B1813" s="2" t="s">
        <v>9</v>
      </c>
      <c r="C1813" s="3">
        <v>8.49</v>
      </c>
      <c r="D1813" s="3">
        <v>159</v>
      </c>
      <c r="E1813" s="3">
        <v>1349.91</v>
      </c>
      <c r="F1813" t="str">
        <f t="shared" si="142"/>
        <v>cogs</v>
      </c>
      <c r="G1813" s="7" t="str">
        <f t="shared" si="143"/>
        <v>product 3</v>
      </c>
      <c r="H1813">
        <f t="shared" si="144"/>
        <v>2024</v>
      </c>
      <c r="I1813">
        <f t="shared" si="145"/>
        <v>9</v>
      </c>
      <c r="J1813">
        <f t="shared" si="141"/>
        <v>-101.94</v>
      </c>
    </row>
    <row r="1814" spans="1:10" ht="12.5" x14ac:dyDescent="0.25">
      <c r="A1814" s="1">
        <v>45543</v>
      </c>
      <c r="B1814" s="2" t="s">
        <v>10</v>
      </c>
      <c r="C1814" s="2" t="s">
        <v>6</v>
      </c>
      <c r="D1814" s="2" t="s">
        <v>6</v>
      </c>
      <c r="E1814" s="3">
        <v>100.05</v>
      </c>
      <c r="F1814" t="str">
        <f t="shared" si="142"/>
        <v>marketing</v>
      </c>
      <c r="G1814" s="7" t="s">
        <v>6</v>
      </c>
      <c r="H1814">
        <f t="shared" si="144"/>
        <v>2024</v>
      </c>
      <c r="I1814">
        <f t="shared" si="145"/>
        <v>9</v>
      </c>
      <c r="J1814">
        <f t="shared" si="141"/>
        <v>0</v>
      </c>
    </row>
    <row r="1815" spans="1:10" ht="12.5" x14ac:dyDescent="0.25">
      <c r="A1815" s="1">
        <v>45543</v>
      </c>
      <c r="B1815" s="2" t="s">
        <v>11</v>
      </c>
      <c r="C1815" s="3">
        <v>9.99</v>
      </c>
      <c r="D1815" s="3">
        <v>26</v>
      </c>
      <c r="E1815" s="3">
        <v>259.74</v>
      </c>
      <c r="F1815" t="str">
        <f t="shared" si="142"/>
        <v>net sales</v>
      </c>
      <c r="G1815" s="7" t="str">
        <f t="shared" si="143"/>
        <v>product 1</v>
      </c>
      <c r="H1815">
        <f t="shared" si="144"/>
        <v>2024</v>
      </c>
      <c r="I1815">
        <f t="shared" si="145"/>
        <v>9</v>
      </c>
      <c r="J1815">
        <f t="shared" si="141"/>
        <v>-100</v>
      </c>
    </row>
    <row r="1816" spans="1:10" ht="12.5" x14ac:dyDescent="0.25">
      <c r="A1816" s="1">
        <v>45543</v>
      </c>
      <c r="B1816" s="2" t="s">
        <v>12</v>
      </c>
      <c r="C1816" s="3">
        <v>24.99</v>
      </c>
      <c r="D1816" s="3">
        <v>7</v>
      </c>
      <c r="E1816" s="3">
        <v>174.92999999999998</v>
      </c>
      <c r="F1816" t="str">
        <f t="shared" si="142"/>
        <v>net sales</v>
      </c>
      <c r="G1816" s="7" t="str">
        <f t="shared" si="143"/>
        <v>product 2</v>
      </c>
      <c r="H1816">
        <f t="shared" si="144"/>
        <v>2024</v>
      </c>
      <c r="I1816">
        <f t="shared" si="145"/>
        <v>9</v>
      </c>
      <c r="J1816">
        <f t="shared" si="141"/>
        <v>799.2</v>
      </c>
    </row>
    <row r="1817" spans="1:10" ht="12.5" x14ac:dyDescent="0.25">
      <c r="A1817" s="1">
        <v>45543</v>
      </c>
      <c r="B1817" s="2" t="s">
        <v>13</v>
      </c>
      <c r="C1817" s="3">
        <v>12.49</v>
      </c>
      <c r="D1817" s="3">
        <v>159</v>
      </c>
      <c r="E1817" s="3">
        <v>1985.91</v>
      </c>
      <c r="F1817" t="str">
        <f t="shared" si="142"/>
        <v>net sales</v>
      </c>
      <c r="G1817" s="7" t="str">
        <f t="shared" si="143"/>
        <v>product 3</v>
      </c>
      <c r="H1817">
        <f t="shared" si="144"/>
        <v>2024</v>
      </c>
      <c r="I1817">
        <f t="shared" si="145"/>
        <v>9</v>
      </c>
      <c r="J1817">
        <f t="shared" si="141"/>
        <v>149.94</v>
      </c>
    </row>
    <row r="1818" spans="1:10" ht="12.5" x14ac:dyDescent="0.25">
      <c r="A1818" s="1">
        <v>45544</v>
      </c>
      <c r="B1818" s="2" t="s">
        <v>7</v>
      </c>
      <c r="C1818" s="3">
        <v>5.99</v>
      </c>
      <c r="D1818" s="3">
        <v>68</v>
      </c>
      <c r="E1818" s="3">
        <v>407.32</v>
      </c>
      <c r="F1818" t="str">
        <f t="shared" si="142"/>
        <v>cogs</v>
      </c>
      <c r="G1818" s="7" t="str">
        <f t="shared" si="143"/>
        <v>product 1</v>
      </c>
      <c r="H1818">
        <f t="shared" si="144"/>
        <v>2024</v>
      </c>
      <c r="I1818">
        <f t="shared" si="145"/>
        <v>9</v>
      </c>
      <c r="J1818">
        <f t="shared" si="141"/>
        <v>0</v>
      </c>
    </row>
    <row r="1819" spans="1:10" ht="12.5" x14ac:dyDescent="0.25">
      <c r="A1819" s="1">
        <v>45544</v>
      </c>
      <c r="B1819" s="2" t="s">
        <v>8</v>
      </c>
      <c r="C1819" s="3">
        <v>16.989999999999998</v>
      </c>
      <c r="D1819" s="3">
        <v>9</v>
      </c>
      <c r="E1819" s="3">
        <v>152.91</v>
      </c>
      <c r="F1819" t="str">
        <f t="shared" si="142"/>
        <v>cogs</v>
      </c>
      <c r="G1819" s="7" t="str">
        <f t="shared" si="143"/>
        <v>product 2</v>
      </c>
      <c r="H1819">
        <f t="shared" si="144"/>
        <v>2024</v>
      </c>
      <c r="I1819">
        <f t="shared" si="145"/>
        <v>9</v>
      </c>
      <c r="J1819">
        <f t="shared" si="141"/>
        <v>-395.34000000000003</v>
      </c>
    </row>
    <row r="1820" spans="1:10" ht="12.5" x14ac:dyDescent="0.25">
      <c r="A1820" s="1">
        <v>45544</v>
      </c>
      <c r="B1820" s="2" t="s">
        <v>9</v>
      </c>
      <c r="C1820" s="3">
        <v>8.49</v>
      </c>
      <c r="D1820" s="3">
        <v>146</v>
      </c>
      <c r="E1820" s="3">
        <v>1239.54</v>
      </c>
      <c r="F1820" t="str">
        <f t="shared" si="142"/>
        <v>cogs</v>
      </c>
      <c r="G1820" s="7" t="str">
        <f t="shared" si="143"/>
        <v>product 3</v>
      </c>
      <c r="H1820">
        <f t="shared" si="144"/>
        <v>2024</v>
      </c>
      <c r="I1820">
        <f t="shared" si="145"/>
        <v>9</v>
      </c>
      <c r="J1820">
        <f t="shared" ref="J1820:J1883" si="146">IF(F1603="net sales",E1603,
IF(F1603="cogs",-E1603,
IF(OR(F1603="marketing",F1603="overhead",F1603="payroll",F1603="interest","amortization"),-E1603,0)))</f>
        <v>-50.97</v>
      </c>
    </row>
    <row r="1821" spans="1:10" ht="12.5" x14ac:dyDescent="0.25">
      <c r="A1821" s="1">
        <v>45544</v>
      </c>
      <c r="B1821" s="2" t="s">
        <v>10</v>
      </c>
      <c r="C1821" s="2" t="s">
        <v>6</v>
      </c>
      <c r="D1821" s="2" t="s">
        <v>6</v>
      </c>
      <c r="E1821" s="3">
        <v>100.08</v>
      </c>
      <c r="F1821" t="str">
        <f t="shared" si="142"/>
        <v>marketing</v>
      </c>
      <c r="G1821" s="7" t="s">
        <v>6</v>
      </c>
      <c r="H1821">
        <f t="shared" si="144"/>
        <v>2024</v>
      </c>
      <c r="I1821">
        <f t="shared" si="145"/>
        <v>9</v>
      </c>
      <c r="J1821">
        <f t="shared" si="146"/>
        <v>-2114.0100000000002</v>
      </c>
    </row>
    <row r="1822" spans="1:10" ht="12.5" x14ac:dyDescent="0.25">
      <c r="A1822" s="1">
        <v>45544</v>
      </c>
      <c r="B1822" s="2" t="s">
        <v>11</v>
      </c>
      <c r="C1822" s="3">
        <v>9.99</v>
      </c>
      <c r="D1822" s="3">
        <v>68</v>
      </c>
      <c r="E1822" s="3">
        <v>679.32</v>
      </c>
      <c r="F1822" t="str">
        <f t="shared" si="142"/>
        <v>net sales</v>
      </c>
      <c r="G1822" s="7" t="str">
        <f t="shared" si="143"/>
        <v>product 1</v>
      </c>
      <c r="H1822">
        <f t="shared" si="144"/>
        <v>2024</v>
      </c>
      <c r="I1822">
        <f t="shared" si="145"/>
        <v>9</v>
      </c>
      <c r="J1822">
        <f t="shared" si="146"/>
        <v>-100.08</v>
      </c>
    </row>
    <row r="1823" spans="1:10" ht="12.5" x14ac:dyDescent="0.25">
      <c r="A1823" s="1">
        <v>45544</v>
      </c>
      <c r="B1823" s="2" t="s">
        <v>12</v>
      </c>
      <c r="C1823" s="3">
        <v>24.99</v>
      </c>
      <c r="D1823" s="3">
        <v>9</v>
      </c>
      <c r="E1823" s="3">
        <v>224.91</v>
      </c>
      <c r="F1823" t="str">
        <f t="shared" si="142"/>
        <v>net sales</v>
      </c>
      <c r="G1823" s="7" t="str">
        <f t="shared" si="143"/>
        <v>product 2</v>
      </c>
      <c r="H1823">
        <f t="shared" si="144"/>
        <v>2024</v>
      </c>
      <c r="I1823">
        <f t="shared" si="145"/>
        <v>9</v>
      </c>
      <c r="J1823">
        <f t="shared" si="146"/>
        <v>659.34</v>
      </c>
    </row>
    <row r="1824" spans="1:10" ht="12.5" x14ac:dyDescent="0.25">
      <c r="A1824" s="1">
        <v>45544</v>
      </c>
      <c r="B1824" s="2" t="s">
        <v>13</v>
      </c>
      <c r="C1824" s="3">
        <v>12.49</v>
      </c>
      <c r="D1824" s="3">
        <v>146</v>
      </c>
      <c r="E1824" s="3">
        <v>1823.54</v>
      </c>
      <c r="F1824" t="str">
        <f t="shared" si="142"/>
        <v>net sales</v>
      </c>
      <c r="G1824" s="7" t="str">
        <f t="shared" si="143"/>
        <v>product 3</v>
      </c>
      <c r="H1824">
        <f t="shared" si="144"/>
        <v>2024</v>
      </c>
      <c r="I1824">
        <f t="shared" si="145"/>
        <v>9</v>
      </c>
      <c r="J1824">
        <f t="shared" si="146"/>
        <v>74.97</v>
      </c>
    </row>
    <row r="1825" spans="1:10" ht="12.5" x14ac:dyDescent="0.25">
      <c r="A1825" s="1">
        <v>45545</v>
      </c>
      <c r="B1825" s="2" t="s">
        <v>7</v>
      </c>
      <c r="C1825" s="3">
        <v>5.99</v>
      </c>
      <c r="D1825" s="3">
        <v>70</v>
      </c>
      <c r="E1825" s="3">
        <v>419.3</v>
      </c>
      <c r="F1825" t="str">
        <f t="shared" si="142"/>
        <v>cogs</v>
      </c>
      <c r="G1825" s="7" t="str">
        <f t="shared" si="143"/>
        <v>product 1</v>
      </c>
      <c r="H1825">
        <f t="shared" si="144"/>
        <v>2024</v>
      </c>
      <c r="I1825">
        <f t="shared" si="145"/>
        <v>9</v>
      </c>
      <c r="J1825">
        <f t="shared" si="146"/>
        <v>3110.01</v>
      </c>
    </row>
    <row r="1826" spans="1:10" ht="12.5" x14ac:dyDescent="0.25">
      <c r="A1826" s="1">
        <v>45545</v>
      </c>
      <c r="B1826" s="2" t="s">
        <v>8</v>
      </c>
      <c r="C1826" s="3">
        <v>16.989999999999998</v>
      </c>
      <c r="D1826" s="3">
        <v>3</v>
      </c>
      <c r="E1826" s="3">
        <v>50.97</v>
      </c>
      <c r="F1826" t="str">
        <f t="shared" si="142"/>
        <v>cogs</v>
      </c>
      <c r="G1826" s="7" t="str">
        <f t="shared" si="143"/>
        <v>product 2</v>
      </c>
      <c r="H1826">
        <f t="shared" si="144"/>
        <v>2024</v>
      </c>
      <c r="I1826">
        <f t="shared" si="145"/>
        <v>9</v>
      </c>
      <c r="J1826">
        <f t="shared" si="146"/>
        <v>-281.53000000000003</v>
      </c>
    </row>
    <row r="1827" spans="1:10" ht="12.5" x14ac:dyDescent="0.25">
      <c r="A1827" s="1">
        <v>45545</v>
      </c>
      <c r="B1827" s="2" t="s">
        <v>9</v>
      </c>
      <c r="C1827" s="3">
        <v>8.49</v>
      </c>
      <c r="D1827" s="3">
        <v>45</v>
      </c>
      <c r="E1827" s="3">
        <v>382.05</v>
      </c>
      <c r="F1827" t="str">
        <f t="shared" si="142"/>
        <v>cogs</v>
      </c>
      <c r="G1827" s="7" t="str">
        <f t="shared" si="143"/>
        <v>product 3</v>
      </c>
      <c r="H1827">
        <f t="shared" si="144"/>
        <v>2024</v>
      </c>
      <c r="I1827">
        <f t="shared" si="145"/>
        <v>9</v>
      </c>
      <c r="J1827">
        <f t="shared" si="146"/>
        <v>-118.92999999999999</v>
      </c>
    </row>
    <row r="1828" spans="1:10" ht="12.5" x14ac:dyDescent="0.25">
      <c r="A1828" s="1">
        <v>45545</v>
      </c>
      <c r="B1828" s="2" t="s">
        <v>10</v>
      </c>
      <c r="C1828" s="2" t="s">
        <v>6</v>
      </c>
      <c r="D1828" s="2" t="s">
        <v>6</v>
      </c>
      <c r="E1828" s="3">
        <v>100.05</v>
      </c>
      <c r="F1828" t="str">
        <f t="shared" si="142"/>
        <v>marketing</v>
      </c>
      <c r="G1828" s="7" t="s">
        <v>6</v>
      </c>
      <c r="H1828">
        <f t="shared" si="144"/>
        <v>2024</v>
      </c>
      <c r="I1828">
        <f t="shared" si="145"/>
        <v>9</v>
      </c>
      <c r="J1828">
        <f t="shared" si="146"/>
        <v>-348.09000000000003</v>
      </c>
    </row>
    <row r="1829" spans="1:10" ht="12.5" x14ac:dyDescent="0.25">
      <c r="A1829" s="1">
        <v>45545</v>
      </c>
      <c r="B1829" s="2" t="s">
        <v>11</v>
      </c>
      <c r="C1829" s="3">
        <v>9.99</v>
      </c>
      <c r="D1829" s="3">
        <v>70</v>
      </c>
      <c r="E1829" s="3">
        <v>699.30000000000007</v>
      </c>
      <c r="F1829" t="str">
        <f t="shared" si="142"/>
        <v>net sales</v>
      </c>
      <c r="G1829" s="7" t="str">
        <f t="shared" si="143"/>
        <v>product 1</v>
      </c>
      <c r="H1829">
        <f t="shared" si="144"/>
        <v>2024</v>
      </c>
      <c r="I1829">
        <f t="shared" si="145"/>
        <v>9</v>
      </c>
      <c r="J1829">
        <f t="shared" si="146"/>
        <v>-99.990000000000009</v>
      </c>
    </row>
    <row r="1830" spans="1:10" ht="12.5" x14ac:dyDescent="0.25">
      <c r="A1830" s="1">
        <v>45545</v>
      </c>
      <c r="B1830" s="2" t="s">
        <v>12</v>
      </c>
      <c r="C1830" s="3">
        <v>24.99</v>
      </c>
      <c r="D1830" s="3">
        <v>3</v>
      </c>
      <c r="E1830" s="3">
        <v>74.97</v>
      </c>
      <c r="F1830" t="str">
        <f t="shared" si="142"/>
        <v>net sales</v>
      </c>
      <c r="G1830" s="7" t="str">
        <f t="shared" si="143"/>
        <v>product 2</v>
      </c>
      <c r="H1830">
        <f t="shared" si="144"/>
        <v>2024</v>
      </c>
      <c r="I1830">
        <f t="shared" si="145"/>
        <v>9</v>
      </c>
      <c r="J1830">
        <f t="shared" si="146"/>
        <v>469.53000000000003</v>
      </c>
    </row>
    <row r="1831" spans="1:10" ht="12.5" x14ac:dyDescent="0.25">
      <c r="A1831" s="1">
        <v>45545</v>
      </c>
      <c r="B1831" s="2" t="s">
        <v>13</v>
      </c>
      <c r="C1831" s="3">
        <v>12.49</v>
      </c>
      <c r="D1831" s="3">
        <v>45</v>
      </c>
      <c r="E1831" s="3">
        <v>562.04999999999995</v>
      </c>
      <c r="F1831" t="str">
        <f t="shared" si="142"/>
        <v>net sales</v>
      </c>
      <c r="G1831" s="7" t="str">
        <f t="shared" si="143"/>
        <v>product 3</v>
      </c>
      <c r="H1831">
        <f t="shared" si="144"/>
        <v>2024</v>
      </c>
      <c r="I1831">
        <f t="shared" si="145"/>
        <v>9</v>
      </c>
      <c r="J1831">
        <f t="shared" si="146"/>
        <v>174.92999999999998</v>
      </c>
    </row>
    <row r="1832" spans="1:10" ht="12.5" x14ac:dyDescent="0.25">
      <c r="A1832" s="1">
        <v>45546</v>
      </c>
      <c r="B1832" s="2" t="s">
        <v>7</v>
      </c>
      <c r="C1832" s="3">
        <v>5.99</v>
      </c>
      <c r="D1832" s="3">
        <v>91</v>
      </c>
      <c r="E1832" s="3">
        <v>545.09</v>
      </c>
      <c r="F1832" t="str">
        <f t="shared" si="142"/>
        <v>cogs</v>
      </c>
      <c r="G1832" s="7" t="str">
        <f t="shared" si="143"/>
        <v>product 1</v>
      </c>
      <c r="H1832">
        <f t="shared" si="144"/>
        <v>2024</v>
      </c>
      <c r="I1832">
        <f t="shared" si="145"/>
        <v>9</v>
      </c>
      <c r="J1832">
        <f t="shared" si="146"/>
        <v>512.09</v>
      </c>
    </row>
    <row r="1833" spans="1:10" ht="12.5" x14ac:dyDescent="0.25">
      <c r="A1833" s="1">
        <v>45546</v>
      </c>
      <c r="B1833" s="2" t="s">
        <v>8</v>
      </c>
      <c r="C1833" s="3">
        <v>16.989999999999998</v>
      </c>
      <c r="D1833" s="3">
        <v>2</v>
      </c>
      <c r="E1833" s="3">
        <v>33.979999999999997</v>
      </c>
      <c r="F1833" t="str">
        <f t="shared" si="142"/>
        <v>cogs</v>
      </c>
      <c r="G1833" s="7" t="str">
        <f t="shared" si="143"/>
        <v>product 2</v>
      </c>
      <c r="H1833">
        <f t="shared" si="144"/>
        <v>2024</v>
      </c>
      <c r="I1833">
        <f t="shared" si="145"/>
        <v>9</v>
      </c>
      <c r="J1833">
        <f t="shared" si="146"/>
        <v>-125.79</v>
      </c>
    </row>
    <row r="1834" spans="1:10" ht="12.5" x14ac:dyDescent="0.25">
      <c r="A1834" s="1">
        <v>45546</v>
      </c>
      <c r="B1834" s="2" t="s">
        <v>9</v>
      </c>
      <c r="C1834" s="3">
        <v>8.49</v>
      </c>
      <c r="D1834" s="3">
        <v>26</v>
      </c>
      <c r="E1834" s="3">
        <v>220.74</v>
      </c>
      <c r="F1834" t="str">
        <f t="shared" si="142"/>
        <v>cogs</v>
      </c>
      <c r="G1834" s="7" t="str">
        <f t="shared" si="143"/>
        <v>product 3</v>
      </c>
      <c r="H1834">
        <f t="shared" si="144"/>
        <v>2024</v>
      </c>
      <c r="I1834">
        <f t="shared" si="145"/>
        <v>9</v>
      </c>
      <c r="J1834">
        <f t="shared" si="146"/>
        <v>0</v>
      </c>
    </row>
    <row r="1835" spans="1:10" ht="12.5" x14ac:dyDescent="0.25">
      <c r="A1835" s="1">
        <v>45546</v>
      </c>
      <c r="B1835" s="2" t="s">
        <v>10</v>
      </c>
      <c r="C1835" s="2" t="s">
        <v>6</v>
      </c>
      <c r="D1835" s="2" t="s">
        <v>6</v>
      </c>
      <c r="E1835" s="3">
        <v>99.960000000000008</v>
      </c>
      <c r="F1835" t="str">
        <f t="shared" si="142"/>
        <v>marketing</v>
      </c>
      <c r="G1835" s="7" t="s">
        <v>6</v>
      </c>
      <c r="H1835">
        <f t="shared" si="144"/>
        <v>2024</v>
      </c>
      <c r="I1835">
        <f t="shared" si="145"/>
        <v>9</v>
      </c>
      <c r="J1835">
        <f t="shared" si="146"/>
        <v>-2105.52</v>
      </c>
    </row>
    <row r="1836" spans="1:10" ht="12.5" x14ac:dyDescent="0.25">
      <c r="A1836" s="1">
        <v>45546</v>
      </c>
      <c r="B1836" s="2" t="s">
        <v>11</v>
      </c>
      <c r="C1836" s="3">
        <v>9.99</v>
      </c>
      <c r="D1836" s="3">
        <v>91</v>
      </c>
      <c r="E1836" s="3">
        <v>909.09</v>
      </c>
      <c r="F1836" t="str">
        <f t="shared" si="142"/>
        <v>net sales</v>
      </c>
      <c r="G1836" s="7" t="str">
        <f t="shared" si="143"/>
        <v>product 1</v>
      </c>
      <c r="H1836">
        <f t="shared" si="144"/>
        <v>2024</v>
      </c>
      <c r="I1836">
        <f t="shared" si="145"/>
        <v>9</v>
      </c>
      <c r="J1836">
        <f t="shared" si="146"/>
        <v>-100</v>
      </c>
    </row>
    <row r="1837" spans="1:10" ht="12.5" x14ac:dyDescent="0.25">
      <c r="A1837" s="1">
        <v>45546</v>
      </c>
      <c r="B1837" s="2" t="s">
        <v>12</v>
      </c>
      <c r="C1837" s="3">
        <v>24.99</v>
      </c>
      <c r="D1837" s="3">
        <v>2</v>
      </c>
      <c r="E1837" s="3">
        <v>49.98</v>
      </c>
      <c r="F1837" t="str">
        <f t="shared" si="142"/>
        <v>net sales</v>
      </c>
      <c r="G1837" s="7" t="str">
        <f t="shared" si="143"/>
        <v>product 2</v>
      </c>
      <c r="H1837">
        <f t="shared" si="144"/>
        <v>2024</v>
      </c>
      <c r="I1837">
        <f t="shared" si="145"/>
        <v>9</v>
      </c>
      <c r="J1837">
        <f t="shared" si="146"/>
        <v>209.79</v>
      </c>
    </row>
    <row r="1838" spans="1:10" ht="12.5" x14ac:dyDescent="0.25">
      <c r="A1838" s="1">
        <v>45546</v>
      </c>
      <c r="B1838" s="2" t="s">
        <v>13</v>
      </c>
      <c r="C1838" s="3">
        <v>12.49</v>
      </c>
      <c r="D1838" s="3">
        <v>26</v>
      </c>
      <c r="E1838" s="3">
        <v>324.74</v>
      </c>
      <c r="F1838" t="str">
        <f t="shared" si="142"/>
        <v>net sales</v>
      </c>
      <c r="G1838" s="7" t="str">
        <f t="shared" si="143"/>
        <v>product 3</v>
      </c>
      <c r="H1838">
        <f t="shared" si="144"/>
        <v>2024</v>
      </c>
      <c r="I1838">
        <f t="shared" si="145"/>
        <v>9</v>
      </c>
      <c r="J1838">
        <f t="shared" si="146"/>
        <v>0</v>
      </c>
    </row>
    <row r="1839" spans="1:10" ht="12.5" x14ac:dyDescent="0.25">
      <c r="A1839" s="1">
        <v>45547</v>
      </c>
      <c r="B1839" s="2" t="s">
        <v>7</v>
      </c>
      <c r="C1839" s="3">
        <v>5.99</v>
      </c>
      <c r="D1839" s="3">
        <v>64</v>
      </c>
      <c r="E1839" s="3">
        <v>383.36</v>
      </c>
      <c r="F1839" t="str">
        <f t="shared" si="142"/>
        <v>cogs</v>
      </c>
      <c r="G1839" s="7" t="str">
        <f t="shared" si="143"/>
        <v>product 1</v>
      </c>
      <c r="H1839">
        <f t="shared" si="144"/>
        <v>2024</v>
      </c>
      <c r="I1839">
        <f t="shared" si="145"/>
        <v>9</v>
      </c>
      <c r="J1839">
        <f t="shared" si="146"/>
        <v>3097.52</v>
      </c>
    </row>
    <row r="1840" spans="1:10" ht="12.5" x14ac:dyDescent="0.25">
      <c r="A1840" s="1">
        <v>45547</v>
      </c>
      <c r="B1840" s="2" t="s">
        <v>8</v>
      </c>
      <c r="C1840" s="3">
        <v>16.989999999999998</v>
      </c>
      <c r="D1840" s="3">
        <v>10</v>
      </c>
      <c r="E1840" s="3">
        <v>169.89999999999998</v>
      </c>
      <c r="F1840" t="str">
        <f t="shared" si="142"/>
        <v>cogs</v>
      </c>
      <c r="G1840" s="7" t="str">
        <f t="shared" si="143"/>
        <v>product 2</v>
      </c>
      <c r="H1840">
        <f t="shared" si="144"/>
        <v>2024</v>
      </c>
      <c r="I1840">
        <f t="shared" si="145"/>
        <v>9</v>
      </c>
      <c r="J1840">
        <f t="shared" si="146"/>
        <v>-521.13</v>
      </c>
    </row>
    <row r="1841" spans="1:10" ht="12.5" x14ac:dyDescent="0.25">
      <c r="A1841" s="1">
        <v>45547</v>
      </c>
      <c r="B1841" s="2" t="s">
        <v>9</v>
      </c>
      <c r="C1841" s="3">
        <v>8.49</v>
      </c>
      <c r="D1841" s="3">
        <v>195</v>
      </c>
      <c r="E1841" s="3">
        <v>1655.55</v>
      </c>
      <c r="F1841" t="str">
        <f t="shared" si="142"/>
        <v>cogs</v>
      </c>
      <c r="G1841" s="7" t="str">
        <f t="shared" si="143"/>
        <v>product 3</v>
      </c>
      <c r="H1841">
        <f t="shared" si="144"/>
        <v>2024</v>
      </c>
      <c r="I1841">
        <f t="shared" si="145"/>
        <v>9</v>
      </c>
      <c r="J1841">
        <f t="shared" si="146"/>
        <v>-101.94</v>
      </c>
    </row>
    <row r="1842" spans="1:10" ht="12.5" x14ac:dyDescent="0.25">
      <c r="A1842" s="1">
        <v>45547</v>
      </c>
      <c r="B1842" s="2" t="s">
        <v>10</v>
      </c>
      <c r="C1842" s="2" t="s">
        <v>6</v>
      </c>
      <c r="D1842" s="2" t="s">
        <v>6</v>
      </c>
      <c r="E1842" s="3">
        <v>99.95</v>
      </c>
      <c r="F1842" t="str">
        <f t="shared" si="142"/>
        <v>marketing</v>
      </c>
      <c r="G1842" s="7" t="s">
        <v>6</v>
      </c>
      <c r="H1842">
        <f t="shared" si="144"/>
        <v>2024</v>
      </c>
      <c r="I1842">
        <f t="shared" si="145"/>
        <v>9</v>
      </c>
      <c r="J1842">
        <f t="shared" si="146"/>
        <v>-798.06000000000006</v>
      </c>
    </row>
    <row r="1843" spans="1:10" ht="12.5" x14ac:dyDescent="0.25">
      <c r="A1843" s="1">
        <v>45547</v>
      </c>
      <c r="B1843" s="2" t="s">
        <v>11</v>
      </c>
      <c r="C1843" s="3">
        <v>9.99</v>
      </c>
      <c r="D1843" s="3">
        <v>64</v>
      </c>
      <c r="E1843" s="3">
        <v>639.36</v>
      </c>
      <c r="F1843" t="str">
        <f t="shared" si="142"/>
        <v>net sales</v>
      </c>
      <c r="G1843" s="7" t="str">
        <f t="shared" si="143"/>
        <v>product 1</v>
      </c>
      <c r="H1843">
        <f t="shared" si="144"/>
        <v>2024</v>
      </c>
      <c r="I1843">
        <f t="shared" si="145"/>
        <v>9</v>
      </c>
      <c r="J1843">
        <f t="shared" si="146"/>
        <v>-99.990000000000009</v>
      </c>
    </row>
    <row r="1844" spans="1:10" ht="12.5" x14ac:dyDescent="0.25">
      <c r="A1844" s="1">
        <v>45547</v>
      </c>
      <c r="B1844" s="2" t="s">
        <v>12</v>
      </c>
      <c r="C1844" s="3">
        <v>24.99</v>
      </c>
      <c r="D1844" s="3">
        <v>10</v>
      </c>
      <c r="E1844" s="3">
        <v>249.89999999999998</v>
      </c>
      <c r="F1844" t="str">
        <f t="shared" si="142"/>
        <v>net sales</v>
      </c>
      <c r="G1844" s="7" t="str">
        <f t="shared" si="143"/>
        <v>product 2</v>
      </c>
      <c r="H1844">
        <f t="shared" si="144"/>
        <v>2024</v>
      </c>
      <c r="I1844">
        <f t="shared" si="145"/>
        <v>9</v>
      </c>
      <c r="J1844">
        <f t="shared" si="146"/>
        <v>869.13</v>
      </c>
    </row>
    <row r="1845" spans="1:10" ht="12.5" x14ac:dyDescent="0.25">
      <c r="A1845" s="1">
        <v>45547</v>
      </c>
      <c r="B1845" s="2" t="s">
        <v>13</v>
      </c>
      <c r="C1845" s="3">
        <v>12.49</v>
      </c>
      <c r="D1845" s="3">
        <v>195</v>
      </c>
      <c r="E1845" s="3">
        <v>2435.5500000000002</v>
      </c>
      <c r="F1845" t="str">
        <f t="shared" si="142"/>
        <v>net sales</v>
      </c>
      <c r="G1845" s="7" t="str">
        <f t="shared" si="143"/>
        <v>product 3</v>
      </c>
      <c r="H1845">
        <f t="shared" si="144"/>
        <v>2024</v>
      </c>
      <c r="I1845">
        <f t="shared" si="145"/>
        <v>9</v>
      </c>
      <c r="J1845">
        <f t="shared" si="146"/>
        <v>149.94</v>
      </c>
    </row>
    <row r="1846" spans="1:10" ht="12.5" x14ac:dyDescent="0.25">
      <c r="A1846" s="1">
        <v>45548</v>
      </c>
      <c r="B1846" s="2" t="s">
        <v>7</v>
      </c>
      <c r="C1846" s="3">
        <v>5.99</v>
      </c>
      <c r="D1846" s="3">
        <v>14</v>
      </c>
      <c r="E1846" s="3">
        <v>83.86</v>
      </c>
      <c r="F1846" t="str">
        <f t="shared" si="142"/>
        <v>cogs</v>
      </c>
      <c r="G1846" s="7" t="str">
        <f t="shared" si="143"/>
        <v>product 1</v>
      </c>
      <c r="H1846">
        <f t="shared" si="144"/>
        <v>2024</v>
      </c>
      <c r="I1846">
        <f t="shared" si="145"/>
        <v>9</v>
      </c>
      <c r="J1846">
        <f t="shared" si="146"/>
        <v>1174.06</v>
      </c>
    </row>
    <row r="1847" spans="1:10" ht="12.5" x14ac:dyDescent="0.25">
      <c r="A1847" s="1">
        <v>45548</v>
      </c>
      <c r="B1847" s="2" t="s">
        <v>8</v>
      </c>
      <c r="C1847" s="3">
        <v>16.989999999999998</v>
      </c>
      <c r="D1847" s="3">
        <v>2</v>
      </c>
      <c r="E1847" s="3">
        <v>33.979999999999997</v>
      </c>
      <c r="F1847" t="str">
        <f t="shared" si="142"/>
        <v>cogs</v>
      </c>
      <c r="G1847" s="7" t="str">
        <f t="shared" si="143"/>
        <v>product 2</v>
      </c>
      <c r="H1847">
        <f t="shared" si="144"/>
        <v>2024</v>
      </c>
      <c r="I1847">
        <f t="shared" si="145"/>
        <v>9</v>
      </c>
      <c r="J1847">
        <f t="shared" si="146"/>
        <v>-287.52</v>
      </c>
    </row>
    <row r="1848" spans="1:10" ht="12.5" x14ac:dyDescent="0.25">
      <c r="A1848" s="1">
        <v>45548</v>
      </c>
      <c r="B1848" s="2" t="s">
        <v>9</v>
      </c>
      <c r="C1848" s="3">
        <v>8.49</v>
      </c>
      <c r="D1848" s="3">
        <v>165</v>
      </c>
      <c r="E1848" s="3">
        <v>1400.8500000000001</v>
      </c>
      <c r="F1848" t="str">
        <f t="shared" si="142"/>
        <v>cogs</v>
      </c>
      <c r="G1848" s="7" t="str">
        <f t="shared" si="143"/>
        <v>product 3</v>
      </c>
      <c r="H1848">
        <f t="shared" si="144"/>
        <v>2024</v>
      </c>
      <c r="I1848">
        <f t="shared" si="145"/>
        <v>9</v>
      </c>
      <c r="J1848">
        <f t="shared" si="146"/>
        <v>-67.959999999999994</v>
      </c>
    </row>
    <row r="1849" spans="1:10" ht="12.5" x14ac:dyDescent="0.25">
      <c r="A1849" s="1">
        <v>45548</v>
      </c>
      <c r="B1849" s="2" t="s">
        <v>10</v>
      </c>
      <c r="C1849" s="2" t="s">
        <v>6</v>
      </c>
      <c r="D1849" s="2" t="s">
        <v>6</v>
      </c>
      <c r="E1849" s="3">
        <v>99.91</v>
      </c>
      <c r="F1849" t="str">
        <f t="shared" si="142"/>
        <v>marketing</v>
      </c>
      <c r="G1849" s="7" t="s">
        <v>6</v>
      </c>
      <c r="H1849">
        <f t="shared" si="144"/>
        <v>2024</v>
      </c>
      <c r="I1849">
        <f t="shared" si="145"/>
        <v>9</v>
      </c>
      <c r="J1849">
        <f t="shared" si="146"/>
        <v>-33.96</v>
      </c>
    </row>
    <row r="1850" spans="1:10" ht="12.5" x14ac:dyDescent="0.25">
      <c r="A1850" s="1">
        <v>45548</v>
      </c>
      <c r="B1850" s="2" t="s">
        <v>11</v>
      </c>
      <c r="C1850" s="3">
        <v>9.99</v>
      </c>
      <c r="D1850" s="3">
        <v>14</v>
      </c>
      <c r="E1850" s="3">
        <v>139.86000000000001</v>
      </c>
      <c r="F1850" t="str">
        <f t="shared" si="142"/>
        <v>net sales</v>
      </c>
      <c r="G1850" s="7" t="str">
        <f t="shared" si="143"/>
        <v>product 1</v>
      </c>
      <c r="H1850">
        <f t="shared" si="144"/>
        <v>2024</v>
      </c>
      <c r="I1850">
        <f t="shared" si="145"/>
        <v>9</v>
      </c>
      <c r="J1850">
        <f t="shared" si="146"/>
        <v>-99.990000000000009</v>
      </c>
    </row>
    <row r="1851" spans="1:10" ht="12.5" x14ac:dyDescent="0.25">
      <c r="A1851" s="1">
        <v>45548</v>
      </c>
      <c r="B1851" s="2" t="s">
        <v>12</v>
      </c>
      <c r="C1851" s="3">
        <v>24.99</v>
      </c>
      <c r="D1851" s="3">
        <v>2</v>
      </c>
      <c r="E1851" s="3">
        <v>49.98</v>
      </c>
      <c r="F1851" t="str">
        <f t="shared" si="142"/>
        <v>net sales</v>
      </c>
      <c r="G1851" s="7" t="str">
        <f t="shared" si="143"/>
        <v>product 2</v>
      </c>
      <c r="H1851">
        <f t="shared" si="144"/>
        <v>2024</v>
      </c>
      <c r="I1851">
        <f t="shared" si="145"/>
        <v>9</v>
      </c>
      <c r="J1851">
        <f t="shared" si="146"/>
        <v>479.52</v>
      </c>
    </row>
    <row r="1852" spans="1:10" ht="12.5" x14ac:dyDescent="0.25">
      <c r="A1852" s="1">
        <v>45548</v>
      </c>
      <c r="B1852" s="2" t="s">
        <v>13</v>
      </c>
      <c r="C1852" s="3">
        <v>12.49</v>
      </c>
      <c r="D1852" s="3">
        <v>165</v>
      </c>
      <c r="E1852" s="3">
        <v>2060.85</v>
      </c>
      <c r="F1852" t="str">
        <f t="shared" si="142"/>
        <v>net sales</v>
      </c>
      <c r="G1852" s="7" t="str">
        <f t="shared" si="143"/>
        <v>product 3</v>
      </c>
      <c r="H1852">
        <f t="shared" si="144"/>
        <v>2024</v>
      </c>
      <c r="I1852">
        <f t="shared" si="145"/>
        <v>9</v>
      </c>
      <c r="J1852">
        <f t="shared" si="146"/>
        <v>99.96</v>
      </c>
    </row>
    <row r="1853" spans="1:10" ht="12.5" x14ac:dyDescent="0.25">
      <c r="A1853" s="1">
        <v>45548</v>
      </c>
      <c r="B1853" s="2" t="s">
        <v>15</v>
      </c>
      <c r="C1853" s="2" t="s">
        <v>6</v>
      </c>
      <c r="D1853" s="2" t="s">
        <v>6</v>
      </c>
      <c r="E1853" s="3">
        <v>1200</v>
      </c>
      <c r="F1853" t="str">
        <f t="shared" si="142"/>
        <v>payroll</v>
      </c>
      <c r="G1853" s="7" t="s">
        <v>6</v>
      </c>
      <c r="H1853">
        <f t="shared" si="144"/>
        <v>2024</v>
      </c>
      <c r="I1853">
        <f t="shared" si="145"/>
        <v>9</v>
      </c>
      <c r="J1853">
        <f t="shared" si="146"/>
        <v>49.96</v>
      </c>
    </row>
    <row r="1854" spans="1:10" ht="12.5" x14ac:dyDescent="0.25">
      <c r="A1854" s="1">
        <v>45549</v>
      </c>
      <c r="B1854" s="2" t="s">
        <v>7</v>
      </c>
      <c r="C1854" s="3">
        <v>5.99</v>
      </c>
      <c r="D1854" s="3">
        <v>40</v>
      </c>
      <c r="E1854" s="3">
        <v>239.60000000000002</v>
      </c>
      <c r="F1854" t="str">
        <f t="shared" si="142"/>
        <v>cogs</v>
      </c>
      <c r="G1854" s="7" t="str">
        <f t="shared" si="143"/>
        <v>product 1</v>
      </c>
      <c r="H1854">
        <f t="shared" si="144"/>
        <v>2024</v>
      </c>
      <c r="I1854">
        <f t="shared" si="145"/>
        <v>9</v>
      </c>
      <c r="J1854">
        <f t="shared" si="146"/>
        <v>-179.70000000000002</v>
      </c>
    </row>
    <row r="1855" spans="1:10" ht="12.5" x14ac:dyDescent="0.25">
      <c r="A1855" s="1">
        <v>45549</v>
      </c>
      <c r="B1855" s="2" t="s">
        <v>8</v>
      </c>
      <c r="C1855" s="3">
        <v>16.989999999999998</v>
      </c>
      <c r="D1855" s="3">
        <v>6</v>
      </c>
      <c r="E1855" s="3">
        <v>101.94</v>
      </c>
      <c r="F1855" t="str">
        <f t="shared" si="142"/>
        <v>cogs</v>
      </c>
      <c r="G1855" s="7" t="str">
        <f t="shared" si="143"/>
        <v>product 2</v>
      </c>
      <c r="H1855">
        <f t="shared" si="144"/>
        <v>2024</v>
      </c>
      <c r="I1855">
        <f t="shared" si="145"/>
        <v>9</v>
      </c>
      <c r="J1855">
        <f t="shared" si="146"/>
        <v>-33.979999999999997</v>
      </c>
    </row>
    <row r="1856" spans="1:10" ht="12.5" x14ac:dyDescent="0.25">
      <c r="A1856" s="1">
        <v>45549</v>
      </c>
      <c r="B1856" s="2" t="s">
        <v>9</v>
      </c>
      <c r="C1856" s="3">
        <v>8.49</v>
      </c>
      <c r="D1856" s="3">
        <v>134</v>
      </c>
      <c r="E1856" s="3">
        <v>1137.6600000000001</v>
      </c>
      <c r="F1856" t="str">
        <f t="shared" si="142"/>
        <v>cogs</v>
      </c>
      <c r="G1856" s="7" t="str">
        <f t="shared" si="143"/>
        <v>product 3</v>
      </c>
      <c r="H1856">
        <f t="shared" si="144"/>
        <v>2024</v>
      </c>
      <c r="I1856">
        <f t="shared" si="145"/>
        <v>9</v>
      </c>
      <c r="J1856">
        <f t="shared" si="146"/>
        <v>-1290.48</v>
      </c>
    </row>
    <row r="1857" spans="1:10" ht="12.5" x14ac:dyDescent="0.25">
      <c r="A1857" s="1">
        <v>45549</v>
      </c>
      <c r="B1857" s="2" t="s">
        <v>10</v>
      </c>
      <c r="C1857" s="2" t="s">
        <v>6</v>
      </c>
      <c r="D1857" s="2" t="s">
        <v>6</v>
      </c>
      <c r="E1857" s="3">
        <v>100.04</v>
      </c>
      <c r="F1857" t="str">
        <f t="shared" si="142"/>
        <v>marketing</v>
      </c>
      <c r="G1857" s="7" t="s">
        <v>6</v>
      </c>
      <c r="H1857">
        <f t="shared" si="144"/>
        <v>2024</v>
      </c>
      <c r="I1857">
        <f t="shared" si="145"/>
        <v>9</v>
      </c>
      <c r="J1857">
        <f t="shared" si="146"/>
        <v>-1282.24</v>
      </c>
    </row>
    <row r="1858" spans="1:10" ht="12.5" x14ac:dyDescent="0.25">
      <c r="A1858" s="1">
        <v>45549</v>
      </c>
      <c r="B1858" s="2" t="s">
        <v>11</v>
      </c>
      <c r="C1858" s="3">
        <v>9.99</v>
      </c>
      <c r="D1858" s="3">
        <v>40</v>
      </c>
      <c r="E1858" s="3">
        <v>399.6</v>
      </c>
      <c r="F1858" t="str">
        <f t="shared" si="142"/>
        <v>net sales</v>
      </c>
      <c r="G1858" s="7" t="str">
        <f t="shared" si="143"/>
        <v>product 1</v>
      </c>
      <c r="H1858">
        <f t="shared" si="144"/>
        <v>2024</v>
      </c>
      <c r="I1858">
        <f t="shared" si="145"/>
        <v>9</v>
      </c>
      <c r="J1858">
        <f t="shared" si="146"/>
        <v>-99.98</v>
      </c>
    </row>
    <row r="1859" spans="1:10" ht="12.5" x14ac:dyDescent="0.25">
      <c r="A1859" s="1">
        <v>45549</v>
      </c>
      <c r="B1859" s="2" t="s">
        <v>12</v>
      </c>
      <c r="C1859" s="3">
        <v>24.99</v>
      </c>
      <c r="D1859" s="3">
        <v>6</v>
      </c>
      <c r="E1859" s="3">
        <v>149.94</v>
      </c>
      <c r="F1859" t="str">
        <f t="shared" ref="F1859:F1922" si="147">IFERROR(LEFT(B1859,FIND(":",B1859)-1),B1859)</f>
        <v>net sales</v>
      </c>
      <c r="G1859" s="7" t="str">
        <f t="shared" ref="G1859:G1921" si="148">IFERROR(RIGHT(B1859,LEN(B1859)-FIND(":",B1859)),"")</f>
        <v>product 2</v>
      </c>
      <c r="H1859">
        <f t="shared" ref="H1859:H1922" si="149">YEAR(A1859)</f>
        <v>2024</v>
      </c>
      <c r="I1859">
        <f t="shared" ref="I1859:I1922" si="150">MONTH(A1859)</f>
        <v>9</v>
      </c>
      <c r="J1859">
        <f t="shared" si="146"/>
        <v>299.7</v>
      </c>
    </row>
    <row r="1860" spans="1:10" ht="12.5" x14ac:dyDescent="0.25">
      <c r="A1860" s="1">
        <v>45549</v>
      </c>
      <c r="B1860" s="2" t="s">
        <v>13</v>
      </c>
      <c r="C1860" s="3">
        <v>12.49</v>
      </c>
      <c r="D1860" s="3">
        <v>134</v>
      </c>
      <c r="E1860" s="3">
        <v>1673.66</v>
      </c>
      <c r="F1860" t="str">
        <f t="shared" si="147"/>
        <v>net sales</v>
      </c>
      <c r="G1860" s="7" t="str">
        <f t="shared" si="148"/>
        <v>product 3</v>
      </c>
      <c r="H1860">
        <f t="shared" si="149"/>
        <v>2024</v>
      </c>
      <c r="I1860">
        <f t="shared" si="150"/>
        <v>9</v>
      </c>
      <c r="J1860">
        <f t="shared" si="146"/>
        <v>49.98</v>
      </c>
    </row>
    <row r="1861" spans="1:10" ht="12.5" x14ac:dyDescent="0.25">
      <c r="A1861" s="1">
        <v>45550</v>
      </c>
      <c r="B1861" s="2" t="s">
        <v>7</v>
      </c>
      <c r="C1861" s="3">
        <v>5.99</v>
      </c>
      <c r="D1861" s="3">
        <v>26</v>
      </c>
      <c r="E1861" s="3">
        <v>155.74</v>
      </c>
      <c r="F1861" t="str">
        <f t="shared" si="147"/>
        <v>cogs</v>
      </c>
      <c r="G1861" s="7" t="str">
        <f t="shared" si="148"/>
        <v>product 1</v>
      </c>
      <c r="H1861">
        <f t="shared" si="149"/>
        <v>2024</v>
      </c>
      <c r="I1861">
        <f t="shared" si="150"/>
        <v>9</v>
      </c>
      <c r="J1861">
        <f t="shared" si="146"/>
        <v>1898.48</v>
      </c>
    </row>
    <row r="1862" spans="1:10" ht="12.5" x14ac:dyDescent="0.25">
      <c r="A1862" s="1">
        <v>45550</v>
      </c>
      <c r="B1862" s="2" t="s">
        <v>8</v>
      </c>
      <c r="C1862" s="3">
        <v>16.989999999999998</v>
      </c>
      <c r="D1862" s="3">
        <v>2</v>
      </c>
      <c r="E1862" s="3">
        <v>33.979999999999997</v>
      </c>
      <c r="F1862" t="str">
        <f t="shared" si="147"/>
        <v>cogs</v>
      </c>
      <c r="G1862" s="7" t="str">
        <f t="shared" si="148"/>
        <v>product 2</v>
      </c>
      <c r="H1862">
        <f t="shared" si="149"/>
        <v>2024</v>
      </c>
      <c r="I1862">
        <f t="shared" si="150"/>
        <v>9</v>
      </c>
      <c r="J1862">
        <f t="shared" si="146"/>
        <v>-315.2</v>
      </c>
    </row>
    <row r="1863" spans="1:10" ht="12.5" x14ac:dyDescent="0.25">
      <c r="A1863" s="1">
        <v>45550</v>
      </c>
      <c r="B1863" s="2" t="s">
        <v>9</v>
      </c>
      <c r="C1863" s="3">
        <v>8.49</v>
      </c>
      <c r="D1863" s="3">
        <v>33</v>
      </c>
      <c r="E1863" s="3">
        <v>280.17</v>
      </c>
      <c r="F1863" t="str">
        <f t="shared" si="147"/>
        <v>cogs</v>
      </c>
      <c r="G1863" s="7" t="str">
        <f t="shared" si="148"/>
        <v>product 3</v>
      </c>
      <c r="H1863">
        <f t="shared" si="149"/>
        <v>2024</v>
      </c>
      <c r="I1863">
        <f t="shared" si="150"/>
        <v>9</v>
      </c>
      <c r="J1863">
        <f t="shared" si="146"/>
        <v>-437.27000000000004</v>
      </c>
    </row>
    <row r="1864" spans="1:10" ht="12.5" x14ac:dyDescent="0.25">
      <c r="A1864" s="1">
        <v>45550</v>
      </c>
      <c r="B1864" s="2" t="s">
        <v>16</v>
      </c>
      <c r="C1864" s="2" t="s">
        <v>6</v>
      </c>
      <c r="D1864" s="2" t="s">
        <v>6</v>
      </c>
      <c r="E1864" s="3">
        <v>1280.1600000000001</v>
      </c>
      <c r="F1864" t="str">
        <f t="shared" si="147"/>
        <v>interest</v>
      </c>
      <c r="G1864" s="7" t="s">
        <v>6</v>
      </c>
      <c r="H1864">
        <f t="shared" si="149"/>
        <v>2024</v>
      </c>
      <c r="I1864">
        <f t="shared" si="150"/>
        <v>9</v>
      </c>
      <c r="J1864">
        <f t="shared" si="146"/>
        <v>-50.97</v>
      </c>
    </row>
    <row r="1865" spans="1:10" ht="12.5" x14ac:dyDescent="0.25">
      <c r="A1865" s="1">
        <v>45550</v>
      </c>
      <c r="B1865" s="2" t="s">
        <v>10</v>
      </c>
      <c r="C1865" s="2" t="s">
        <v>6</v>
      </c>
      <c r="D1865" s="2" t="s">
        <v>6</v>
      </c>
      <c r="E1865" s="3">
        <v>99.92</v>
      </c>
      <c r="F1865" t="str">
        <f t="shared" si="147"/>
        <v>marketing</v>
      </c>
      <c r="G1865" s="7" t="s">
        <v>6</v>
      </c>
      <c r="H1865">
        <f t="shared" si="149"/>
        <v>2024</v>
      </c>
      <c r="I1865">
        <f t="shared" si="150"/>
        <v>9</v>
      </c>
      <c r="J1865">
        <f t="shared" si="146"/>
        <v>-1052.76</v>
      </c>
    </row>
    <row r="1866" spans="1:10" ht="12.5" x14ac:dyDescent="0.25">
      <c r="A1866" s="1">
        <v>45550</v>
      </c>
      <c r="B1866" s="2" t="s">
        <v>11</v>
      </c>
      <c r="C1866" s="3">
        <v>9.99</v>
      </c>
      <c r="D1866" s="3">
        <v>26</v>
      </c>
      <c r="E1866" s="3">
        <v>259.74</v>
      </c>
      <c r="F1866" t="str">
        <f t="shared" si="147"/>
        <v>net sales</v>
      </c>
      <c r="G1866" s="7" t="str">
        <f t="shared" si="148"/>
        <v>product 1</v>
      </c>
      <c r="H1866">
        <f t="shared" si="149"/>
        <v>2024</v>
      </c>
      <c r="I1866">
        <f t="shared" si="150"/>
        <v>9</v>
      </c>
      <c r="J1866">
        <f t="shared" si="146"/>
        <v>-100.03</v>
      </c>
    </row>
    <row r="1867" spans="1:10" ht="12.5" x14ac:dyDescent="0.25">
      <c r="A1867" s="1">
        <v>45550</v>
      </c>
      <c r="B1867" s="2" t="s">
        <v>12</v>
      </c>
      <c r="C1867" s="3">
        <v>24.99</v>
      </c>
      <c r="D1867" s="3">
        <v>2</v>
      </c>
      <c r="E1867" s="3">
        <v>49.98</v>
      </c>
      <c r="F1867" t="str">
        <f t="shared" si="147"/>
        <v>net sales</v>
      </c>
      <c r="G1867" s="7" t="str">
        <f t="shared" si="148"/>
        <v>product 2</v>
      </c>
      <c r="H1867">
        <f t="shared" si="149"/>
        <v>2024</v>
      </c>
      <c r="I1867">
        <f t="shared" si="150"/>
        <v>9</v>
      </c>
      <c r="J1867">
        <f t="shared" si="146"/>
        <v>729.27</v>
      </c>
    </row>
    <row r="1868" spans="1:10" ht="12.5" x14ac:dyDescent="0.25">
      <c r="A1868" s="1">
        <v>45550</v>
      </c>
      <c r="B1868" s="2" t="s">
        <v>13</v>
      </c>
      <c r="C1868" s="3">
        <v>12.49</v>
      </c>
      <c r="D1868" s="3">
        <v>33</v>
      </c>
      <c r="E1868" s="3">
        <v>412.17</v>
      </c>
      <c r="F1868" t="str">
        <f t="shared" si="147"/>
        <v>net sales</v>
      </c>
      <c r="G1868" s="7" t="str">
        <f t="shared" si="148"/>
        <v>product 3</v>
      </c>
      <c r="H1868">
        <f t="shared" si="149"/>
        <v>2024</v>
      </c>
      <c r="I1868">
        <f t="shared" si="150"/>
        <v>9</v>
      </c>
      <c r="J1868">
        <f t="shared" si="146"/>
        <v>74.97</v>
      </c>
    </row>
    <row r="1869" spans="1:10" ht="12.5" x14ac:dyDescent="0.25">
      <c r="A1869" s="1">
        <v>45550</v>
      </c>
      <c r="B1869" s="2" t="s">
        <v>14</v>
      </c>
      <c r="C1869" s="2" t="s">
        <v>6</v>
      </c>
      <c r="D1869" s="2" t="s">
        <v>6</v>
      </c>
      <c r="E1869" s="3">
        <v>320.04000000000002</v>
      </c>
      <c r="F1869" t="str">
        <f t="shared" si="147"/>
        <v>overhead</v>
      </c>
      <c r="G1869" s="7" t="s">
        <v>6</v>
      </c>
      <c r="H1869">
        <f t="shared" si="149"/>
        <v>2024</v>
      </c>
      <c r="I1869">
        <f t="shared" si="150"/>
        <v>9</v>
      </c>
      <c r="J1869">
        <f t="shared" si="146"/>
        <v>1548.76</v>
      </c>
    </row>
    <row r="1870" spans="1:10" ht="12.5" x14ac:dyDescent="0.25">
      <c r="A1870" s="1">
        <v>45551</v>
      </c>
      <c r="B1870" s="2" t="s">
        <v>7</v>
      </c>
      <c r="C1870" s="3">
        <v>5.99</v>
      </c>
      <c r="D1870" s="3">
        <v>74</v>
      </c>
      <c r="E1870" s="3">
        <v>443.26</v>
      </c>
      <c r="F1870" t="str">
        <f t="shared" si="147"/>
        <v>cogs</v>
      </c>
      <c r="G1870" s="7" t="str">
        <f t="shared" si="148"/>
        <v>product 1</v>
      </c>
      <c r="H1870">
        <f t="shared" si="149"/>
        <v>2024</v>
      </c>
      <c r="I1870">
        <f t="shared" si="150"/>
        <v>9</v>
      </c>
      <c r="J1870">
        <f t="shared" si="146"/>
        <v>-1200</v>
      </c>
    </row>
    <row r="1871" spans="1:10" ht="12.5" x14ac:dyDescent="0.25">
      <c r="A1871" s="1">
        <v>45551</v>
      </c>
      <c r="B1871" s="2" t="s">
        <v>8</v>
      </c>
      <c r="C1871" s="3">
        <v>16.989999999999998</v>
      </c>
      <c r="D1871" s="3">
        <v>9</v>
      </c>
      <c r="E1871" s="3">
        <v>152.91</v>
      </c>
      <c r="F1871" t="str">
        <f t="shared" si="147"/>
        <v>cogs</v>
      </c>
      <c r="G1871" s="7" t="str">
        <f t="shared" si="148"/>
        <v>product 2</v>
      </c>
      <c r="H1871">
        <f t="shared" si="149"/>
        <v>2024</v>
      </c>
      <c r="I1871">
        <f t="shared" si="150"/>
        <v>9</v>
      </c>
      <c r="J1871">
        <f t="shared" si="146"/>
        <v>-359.40000000000003</v>
      </c>
    </row>
    <row r="1872" spans="1:10" ht="12.5" x14ac:dyDescent="0.25">
      <c r="A1872" s="1">
        <v>45551</v>
      </c>
      <c r="B1872" s="2" t="s">
        <v>9</v>
      </c>
      <c r="C1872" s="3">
        <v>8.49</v>
      </c>
      <c r="D1872" s="3">
        <v>47</v>
      </c>
      <c r="E1872" s="3">
        <v>399.03000000000003</v>
      </c>
      <c r="F1872" t="str">
        <f t="shared" si="147"/>
        <v>cogs</v>
      </c>
      <c r="G1872" s="7" t="str">
        <f t="shared" si="148"/>
        <v>product 3</v>
      </c>
      <c r="H1872">
        <f t="shared" si="149"/>
        <v>2024</v>
      </c>
      <c r="I1872">
        <f t="shared" si="150"/>
        <v>9</v>
      </c>
      <c r="J1872">
        <f t="shared" si="146"/>
        <v>-135.91999999999999</v>
      </c>
    </row>
    <row r="1873" spans="1:10" ht="12.5" x14ac:dyDescent="0.25">
      <c r="A1873" s="1">
        <v>45551</v>
      </c>
      <c r="B1873" s="2" t="s">
        <v>10</v>
      </c>
      <c r="C1873" s="2" t="s">
        <v>6</v>
      </c>
      <c r="D1873" s="2" t="s">
        <v>6</v>
      </c>
      <c r="E1873" s="3">
        <v>100.03</v>
      </c>
      <c r="F1873" t="str">
        <f t="shared" si="147"/>
        <v>marketing</v>
      </c>
      <c r="G1873" s="7" t="s">
        <v>6</v>
      </c>
      <c r="H1873">
        <f t="shared" si="149"/>
        <v>2024</v>
      </c>
      <c r="I1873">
        <f t="shared" si="150"/>
        <v>9</v>
      </c>
      <c r="J1873">
        <f t="shared" si="146"/>
        <v>-475.44</v>
      </c>
    </row>
    <row r="1874" spans="1:10" ht="12.5" x14ac:dyDescent="0.25">
      <c r="A1874" s="1">
        <v>45551</v>
      </c>
      <c r="B1874" s="2" t="s">
        <v>11</v>
      </c>
      <c r="C1874" s="3">
        <v>9.99</v>
      </c>
      <c r="D1874" s="3">
        <v>74</v>
      </c>
      <c r="E1874" s="3">
        <v>739.26</v>
      </c>
      <c r="F1874" t="str">
        <f t="shared" si="147"/>
        <v>net sales</v>
      </c>
      <c r="G1874" s="7" t="str">
        <f t="shared" si="148"/>
        <v>product 1</v>
      </c>
      <c r="H1874">
        <f t="shared" si="149"/>
        <v>2024</v>
      </c>
      <c r="I1874">
        <f t="shared" si="150"/>
        <v>9</v>
      </c>
      <c r="J1874">
        <f t="shared" si="146"/>
        <v>-100.08</v>
      </c>
    </row>
    <row r="1875" spans="1:10" ht="12.5" x14ac:dyDescent="0.25">
      <c r="A1875" s="1">
        <v>45551</v>
      </c>
      <c r="B1875" s="2" t="s">
        <v>12</v>
      </c>
      <c r="C1875" s="3">
        <v>24.99</v>
      </c>
      <c r="D1875" s="3">
        <v>9</v>
      </c>
      <c r="E1875" s="3">
        <v>224.91</v>
      </c>
      <c r="F1875" t="str">
        <f t="shared" si="147"/>
        <v>net sales</v>
      </c>
      <c r="G1875" s="7" t="str">
        <f t="shared" si="148"/>
        <v>product 2</v>
      </c>
      <c r="H1875">
        <f t="shared" si="149"/>
        <v>2024</v>
      </c>
      <c r="I1875">
        <f t="shared" si="150"/>
        <v>9</v>
      </c>
      <c r="J1875">
        <f t="shared" si="146"/>
        <v>599.4</v>
      </c>
    </row>
    <row r="1876" spans="1:10" ht="12.5" x14ac:dyDescent="0.25">
      <c r="A1876" s="1">
        <v>45551</v>
      </c>
      <c r="B1876" s="2" t="s">
        <v>13</v>
      </c>
      <c r="C1876" s="3">
        <v>12.49</v>
      </c>
      <c r="D1876" s="3">
        <v>47</v>
      </c>
      <c r="E1876" s="3">
        <v>587.03</v>
      </c>
      <c r="F1876" t="str">
        <f t="shared" si="147"/>
        <v>net sales</v>
      </c>
      <c r="G1876" s="7" t="str">
        <f t="shared" si="148"/>
        <v>product 3</v>
      </c>
      <c r="H1876">
        <f t="shared" si="149"/>
        <v>2024</v>
      </c>
      <c r="I1876">
        <f t="shared" si="150"/>
        <v>9</v>
      </c>
      <c r="J1876">
        <f t="shared" si="146"/>
        <v>199.92</v>
      </c>
    </row>
    <row r="1877" spans="1:10" ht="12.5" x14ac:dyDescent="0.25">
      <c r="A1877" s="1">
        <v>45552</v>
      </c>
      <c r="B1877" s="2" t="s">
        <v>7</v>
      </c>
      <c r="C1877" s="3">
        <v>5.99</v>
      </c>
      <c r="D1877" s="3">
        <v>16</v>
      </c>
      <c r="E1877" s="3">
        <v>95.84</v>
      </c>
      <c r="F1877" t="str">
        <f t="shared" si="147"/>
        <v>cogs</v>
      </c>
      <c r="G1877" s="7" t="str">
        <f t="shared" si="148"/>
        <v>product 1</v>
      </c>
      <c r="H1877">
        <f t="shared" si="149"/>
        <v>2024</v>
      </c>
      <c r="I1877">
        <f t="shared" si="150"/>
        <v>9</v>
      </c>
      <c r="J1877">
        <f t="shared" si="146"/>
        <v>699.44</v>
      </c>
    </row>
    <row r="1878" spans="1:10" ht="12.5" x14ac:dyDescent="0.25">
      <c r="A1878" s="1">
        <v>45552</v>
      </c>
      <c r="B1878" s="2" t="s">
        <v>8</v>
      </c>
      <c r="C1878" s="3">
        <v>16.989999999999998</v>
      </c>
      <c r="D1878" s="3">
        <v>5</v>
      </c>
      <c r="E1878" s="3">
        <v>84.949999999999989</v>
      </c>
      <c r="F1878" t="str">
        <f t="shared" si="147"/>
        <v>cogs</v>
      </c>
      <c r="G1878" s="7" t="str">
        <f t="shared" si="148"/>
        <v>product 2</v>
      </c>
      <c r="H1878">
        <f t="shared" si="149"/>
        <v>2024</v>
      </c>
      <c r="I1878">
        <f t="shared" si="150"/>
        <v>9</v>
      </c>
      <c r="J1878">
        <f t="shared" si="146"/>
        <v>-437.27000000000004</v>
      </c>
    </row>
    <row r="1879" spans="1:10" ht="12.5" x14ac:dyDescent="0.25">
      <c r="A1879" s="1">
        <v>45552</v>
      </c>
      <c r="B1879" s="2" t="s">
        <v>9</v>
      </c>
      <c r="C1879" s="3">
        <v>8.49</v>
      </c>
      <c r="D1879" s="3">
        <v>208</v>
      </c>
      <c r="E1879" s="3">
        <v>1765.92</v>
      </c>
      <c r="F1879" t="str">
        <f t="shared" si="147"/>
        <v>cogs</v>
      </c>
      <c r="G1879" s="7" t="str">
        <f t="shared" si="148"/>
        <v>product 3</v>
      </c>
      <c r="H1879">
        <f t="shared" si="149"/>
        <v>2024</v>
      </c>
      <c r="I1879">
        <f t="shared" si="150"/>
        <v>9</v>
      </c>
      <c r="J1879">
        <f t="shared" si="146"/>
        <v>-152.91</v>
      </c>
    </row>
    <row r="1880" spans="1:10" ht="12.5" x14ac:dyDescent="0.25">
      <c r="A1880" s="1">
        <v>45552</v>
      </c>
      <c r="B1880" s="2" t="s">
        <v>10</v>
      </c>
      <c r="C1880" s="2" t="s">
        <v>6</v>
      </c>
      <c r="D1880" s="2" t="s">
        <v>6</v>
      </c>
      <c r="E1880" s="3">
        <v>99.94</v>
      </c>
      <c r="F1880" t="str">
        <f t="shared" si="147"/>
        <v>marketing</v>
      </c>
      <c r="G1880" s="7" t="s">
        <v>6</v>
      </c>
      <c r="H1880">
        <f t="shared" si="149"/>
        <v>2024</v>
      </c>
      <c r="I1880">
        <f t="shared" si="150"/>
        <v>9</v>
      </c>
      <c r="J1880">
        <f t="shared" si="146"/>
        <v>-1740.45</v>
      </c>
    </row>
    <row r="1881" spans="1:10" ht="12.5" x14ac:dyDescent="0.25">
      <c r="A1881" s="1">
        <v>45552</v>
      </c>
      <c r="B1881" s="2" t="s">
        <v>11</v>
      </c>
      <c r="C1881" s="3">
        <v>9.99</v>
      </c>
      <c r="D1881" s="3">
        <v>16</v>
      </c>
      <c r="E1881" s="3">
        <v>159.84</v>
      </c>
      <c r="F1881" t="str">
        <f t="shared" si="147"/>
        <v>net sales</v>
      </c>
      <c r="G1881" s="7" t="str">
        <f t="shared" si="148"/>
        <v>product 1</v>
      </c>
      <c r="H1881">
        <f t="shared" si="149"/>
        <v>2024</v>
      </c>
      <c r="I1881">
        <f t="shared" si="150"/>
        <v>9</v>
      </c>
      <c r="J1881">
        <f t="shared" si="146"/>
        <v>-99.92</v>
      </c>
    </row>
    <row r="1882" spans="1:10" ht="12.5" x14ac:dyDescent="0.25">
      <c r="A1882" s="1">
        <v>45552</v>
      </c>
      <c r="B1882" s="2" t="s">
        <v>12</v>
      </c>
      <c r="C1882" s="3">
        <v>24.99</v>
      </c>
      <c r="D1882" s="3">
        <v>5</v>
      </c>
      <c r="E1882" s="3">
        <v>124.94999999999999</v>
      </c>
      <c r="F1882" t="str">
        <f t="shared" si="147"/>
        <v>net sales</v>
      </c>
      <c r="G1882" s="7" t="str">
        <f t="shared" si="148"/>
        <v>product 2</v>
      </c>
      <c r="H1882">
        <f t="shared" si="149"/>
        <v>2024</v>
      </c>
      <c r="I1882">
        <f t="shared" si="150"/>
        <v>9</v>
      </c>
      <c r="J1882">
        <f t="shared" si="146"/>
        <v>729.27</v>
      </c>
    </row>
    <row r="1883" spans="1:10" ht="12.5" x14ac:dyDescent="0.25">
      <c r="A1883" s="1">
        <v>45552</v>
      </c>
      <c r="B1883" s="2" t="s">
        <v>13</v>
      </c>
      <c r="C1883" s="3">
        <v>12.49</v>
      </c>
      <c r="D1883" s="3">
        <v>208</v>
      </c>
      <c r="E1883" s="3">
        <v>2597.92</v>
      </c>
      <c r="F1883" t="str">
        <f t="shared" si="147"/>
        <v>net sales</v>
      </c>
      <c r="G1883" s="7" t="str">
        <f t="shared" si="148"/>
        <v>product 3</v>
      </c>
      <c r="H1883">
        <f t="shared" si="149"/>
        <v>2024</v>
      </c>
      <c r="I1883">
        <f t="shared" si="150"/>
        <v>9</v>
      </c>
      <c r="J1883">
        <f t="shared" si="146"/>
        <v>224.91</v>
      </c>
    </row>
    <row r="1884" spans="1:10" ht="12.5" x14ac:dyDescent="0.25">
      <c r="A1884" s="1">
        <v>45553</v>
      </c>
      <c r="B1884" s="2" t="s">
        <v>7</v>
      </c>
      <c r="C1884" s="3">
        <v>5.99</v>
      </c>
      <c r="D1884" s="3">
        <v>5</v>
      </c>
      <c r="E1884" s="3">
        <v>29.950000000000003</v>
      </c>
      <c r="F1884" t="str">
        <f t="shared" si="147"/>
        <v>cogs</v>
      </c>
      <c r="G1884" s="7" t="str">
        <f t="shared" si="148"/>
        <v>product 1</v>
      </c>
      <c r="H1884">
        <f t="shared" si="149"/>
        <v>2024</v>
      </c>
      <c r="I1884">
        <f t="shared" si="150"/>
        <v>9</v>
      </c>
      <c r="J1884">
        <f t="shared" ref="J1884:J1947" si="151">IF(F1667="net sales",E1667,
IF(F1667="cogs",-E1667,
IF(OR(F1667="marketing",F1667="overhead",F1667="payroll",F1667="interest","amortization"),-E1667,0)))</f>
        <v>2560.4499999999998</v>
      </c>
    </row>
    <row r="1885" spans="1:10" ht="12.5" x14ac:dyDescent="0.25">
      <c r="A1885" s="1">
        <v>45553</v>
      </c>
      <c r="B1885" s="2" t="s">
        <v>8</v>
      </c>
      <c r="C1885" s="3">
        <v>16.989999999999998</v>
      </c>
      <c r="D1885" s="3">
        <v>2</v>
      </c>
      <c r="E1885" s="3">
        <v>33.979999999999997</v>
      </c>
      <c r="F1885" t="str">
        <f t="shared" si="147"/>
        <v>cogs</v>
      </c>
      <c r="G1885" s="7" t="str">
        <f t="shared" si="148"/>
        <v>product 2</v>
      </c>
      <c r="H1885">
        <f t="shared" si="149"/>
        <v>2024</v>
      </c>
      <c r="I1885">
        <f t="shared" si="150"/>
        <v>9</v>
      </c>
      <c r="J1885">
        <f t="shared" si="151"/>
        <v>-149.75</v>
      </c>
    </row>
    <row r="1886" spans="1:10" ht="12.5" x14ac:dyDescent="0.25">
      <c r="A1886" s="1">
        <v>45553</v>
      </c>
      <c r="B1886" s="2" t="s">
        <v>9</v>
      </c>
      <c r="C1886" s="3">
        <v>8.49</v>
      </c>
      <c r="D1886" s="3">
        <v>193</v>
      </c>
      <c r="E1886" s="3">
        <v>1638.57</v>
      </c>
      <c r="F1886" t="str">
        <f t="shared" si="147"/>
        <v>cogs</v>
      </c>
      <c r="G1886" s="7" t="str">
        <f t="shared" si="148"/>
        <v>product 3</v>
      </c>
      <c r="H1886">
        <f t="shared" si="149"/>
        <v>2024</v>
      </c>
      <c r="I1886">
        <f t="shared" si="150"/>
        <v>9</v>
      </c>
      <c r="J1886">
        <f t="shared" si="151"/>
        <v>-33.979999999999997</v>
      </c>
    </row>
    <row r="1887" spans="1:10" ht="12.5" x14ac:dyDescent="0.25">
      <c r="A1887" s="1">
        <v>45553</v>
      </c>
      <c r="B1887" s="2" t="s">
        <v>10</v>
      </c>
      <c r="C1887" s="2" t="s">
        <v>6</v>
      </c>
      <c r="D1887" s="2" t="s">
        <v>6</v>
      </c>
      <c r="E1887" s="3">
        <v>99.95</v>
      </c>
      <c r="F1887" t="str">
        <f t="shared" si="147"/>
        <v>marketing</v>
      </c>
      <c r="G1887" s="7" t="s">
        <v>6</v>
      </c>
      <c r="H1887">
        <f t="shared" si="149"/>
        <v>2024</v>
      </c>
      <c r="I1887">
        <f t="shared" si="150"/>
        <v>9</v>
      </c>
      <c r="J1887">
        <f t="shared" si="151"/>
        <v>-407.52</v>
      </c>
    </row>
    <row r="1888" spans="1:10" ht="12.5" x14ac:dyDescent="0.25">
      <c r="A1888" s="1">
        <v>45553</v>
      </c>
      <c r="B1888" s="2" t="s">
        <v>11</v>
      </c>
      <c r="C1888" s="3">
        <v>9.99</v>
      </c>
      <c r="D1888" s="3">
        <v>5</v>
      </c>
      <c r="E1888" s="3">
        <v>49.95</v>
      </c>
      <c r="F1888" t="str">
        <f t="shared" si="147"/>
        <v>net sales</v>
      </c>
      <c r="G1888" s="7" t="str">
        <f t="shared" si="148"/>
        <v>product 1</v>
      </c>
      <c r="H1888">
        <f t="shared" si="149"/>
        <v>2024</v>
      </c>
      <c r="I1888">
        <f t="shared" si="150"/>
        <v>9</v>
      </c>
      <c r="J1888">
        <f t="shared" si="151"/>
        <v>-99.97</v>
      </c>
    </row>
    <row r="1889" spans="1:10" ht="12.5" x14ac:dyDescent="0.25">
      <c r="A1889" s="1">
        <v>45553</v>
      </c>
      <c r="B1889" s="2" t="s">
        <v>12</v>
      </c>
      <c r="C1889" s="3">
        <v>24.99</v>
      </c>
      <c r="D1889" s="3">
        <v>2</v>
      </c>
      <c r="E1889" s="3">
        <v>49.98</v>
      </c>
      <c r="F1889" t="str">
        <f t="shared" si="147"/>
        <v>net sales</v>
      </c>
      <c r="G1889" s="7" t="str">
        <f t="shared" si="148"/>
        <v>product 2</v>
      </c>
      <c r="H1889">
        <f t="shared" si="149"/>
        <v>2024</v>
      </c>
      <c r="I1889">
        <f t="shared" si="150"/>
        <v>9</v>
      </c>
      <c r="J1889">
        <f t="shared" si="151"/>
        <v>249.75</v>
      </c>
    </row>
    <row r="1890" spans="1:10" ht="12.5" x14ac:dyDescent="0.25">
      <c r="A1890" s="1">
        <v>45553</v>
      </c>
      <c r="B1890" s="2" t="s">
        <v>13</v>
      </c>
      <c r="C1890" s="3">
        <v>12.49</v>
      </c>
      <c r="D1890" s="3">
        <v>193</v>
      </c>
      <c r="E1890" s="3">
        <v>2410.5700000000002</v>
      </c>
      <c r="F1890" t="str">
        <f t="shared" si="147"/>
        <v>net sales</v>
      </c>
      <c r="G1890" s="7" t="str">
        <f t="shared" si="148"/>
        <v>product 3</v>
      </c>
      <c r="H1890">
        <f t="shared" si="149"/>
        <v>2024</v>
      </c>
      <c r="I1890">
        <f t="shared" si="150"/>
        <v>9</v>
      </c>
      <c r="J1890">
        <f t="shared" si="151"/>
        <v>49.98</v>
      </c>
    </row>
    <row r="1891" spans="1:10" ht="12.5" x14ac:dyDescent="0.25">
      <c r="A1891" s="1">
        <v>45554</v>
      </c>
      <c r="B1891" s="2" t="s">
        <v>7</v>
      </c>
      <c r="C1891" s="3">
        <v>5.99</v>
      </c>
      <c r="D1891" s="3">
        <v>7</v>
      </c>
      <c r="E1891" s="3">
        <v>41.93</v>
      </c>
      <c r="F1891" t="str">
        <f t="shared" si="147"/>
        <v>cogs</v>
      </c>
      <c r="G1891" s="7" t="str">
        <f t="shared" si="148"/>
        <v>product 1</v>
      </c>
      <c r="H1891">
        <f t="shared" si="149"/>
        <v>2024</v>
      </c>
      <c r="I1891">
        <f t="shared" si="150"/>
        <v>9</v>
      </c>
      <c r="J1891">
        <f t="shared" si="151"/>
        <v>599.52</v>
      </c>
    </row>
    <row r="1892" spans="1:10" ht="12.5" x14ac:dyDescent="0.25">
      <c r="A1892" s="1">
        <v>45554</v>
      </c>
      <c r="B1892" s="2" t="s">
        <v>8</v>
      </c>
      <c r="C1892" s="3">
        <v>16.989999999999998</v>
      </c>
      <c r="D1892" s="3">
        <v>6</v>
      </c>
      <c r="E1892" s="3">
        <v>101.94</v>
      </c>
      <c r="F1892" t="str">
        <f t="shared" si="147"/>
        <v>cogs</v>
      </c>
      <c r="G1892" s="7" t="str">
        <f t="shared" si="148"/>
        <v>product 2</v>
      </c>
      <c r="H1892">
        <f t="shared" si="149"/>
        <v>2024</v>
      </c>
      <c r="I1892">
        <f t="shared" si="150"/>
        <v>9</v>
      </c>
      <c r="J1892">
        <f t="shared" si="151"/>
        <v>-575.04</v>
      </c>
    </row>
    <row r="1893" spans="1:10" ht="12.5" x14ac:dyDescent="0.25">
      <c r="A1893" s="1">
        <v>45554</v>
      </c>
      <c r="B1893" s="2" t="s">
        <v>9</v>
      </c>
      <c r="C1893" s="3">
        <v>8.49</v>
      </c>
      <c r="D1893" s="3">
        <v>219</v>
      </c>
      <c r="E1893" s="3">
        <v>1859.31</v>
      </c>
      <c r="F1893" t="str">
        <f t="shared" si="147"/>
        <v>cogs</v>
      </c>
      <c r="G1893" s="7" t="str">
        <f t="shared" si="148"/>
        <v>product 3</v>
      </c>
      <c r="H1893">
        <f t="shared" si="149"/>
        <v>2024</v>
      </c>
      <c r="I1893">
        <f t="shared" si="150"/>
        <v>9</v>
      </c>
      <c r="J1893">
        <f t="shared" si="151"/>
        <v>-152.91</v>
      </c>
    </row>
    <row r="1894" spans="1:10" ht="12.5" x14ac:dyDescent="0.25">
      <c r="A1894" s="1">
        <v>45554</v>
      </c>
      <c r="B1894" s="2" t="s">
        <v>10</v>
      </c>
      <c r="C1894" s="2" t="s">
        <v>6</v>
      </c>
      <c r="D1894" s="2" t="s">
        <v>6</v>
      </c>
      <c r="E1894" s="3">
        <v>100.03</v>
      </c>
      <c r="F1894" t="str">
        <f t="shared" si="147"/>
        <v>marketing</v>
      </c>
      <c r="G1894" s="7" t="s">
        <v>6</v>
      </c>
      <c r="H1894">
        <f t="shared" si="149"/>
        <v>2024</v>
      </c>
      <c r="I1894">
        <f t="shared" si="150"/>
        <v>9</v>
      </c>
      <c r="J1894">
        <f t="shared" si="151"/>
        <v>0</v>
      </c>
    </row>
    <row r="1895" spans="1:10" ht="12.5" x14ac:dyDescent="0.25">
      <c r="A1895" s="1">
        <v>45554</v>
      </c>
      <c r="B1895" s="2" t="s">
        <v>11</v>
      </c>
      <c r="C1895" s="3">
        <v>9.99</v>
      </c>
      <c r="D1895" s="3">
        <v>7</v>
      </c>
      <c r="E1895" s="3">
        <v>69.930000000000007</v>
      </c>
      <c r="F1895" t="str">
        <f t="shared" si="147"/>
        <v>net sales</v>
      </c>
      <c r="G1895" s="7" t="str">
        <f t="shared" si="148"/>
        <v>product 1</v>
      </c>
      <c r="H1895">
        <f t="shared" si="149"/>
        <v>2024</v>
      </c>
      <c r="I1895">
        <f t="shared" si="150"/>
        <v>9</v>
      </c>
      <c r="J1895">
        <f t="shared" si="151"/>
        <v>-100.01</v>
      </c>
    </row>
    <row r="1896" spans="1:10" ht="12.5" x14ac:dyDescent="0.25">
      <c r="A1896" s="1">
        <v>45554</v>
      </c>
      <c r="B1896" s="2" t="s">
        <v>12</v>
      </c>
      <c r="C1896" s="3">
        <v>24.99</v>
      </c>
      <c r="D1896" s="3">
        <v>6</v>
      </c>
      <c r="E1896" s="3">
        <v>149.94</v>
      </c>
      <c r="F1896" t="str">
        <f t="shared" si="147"/>
        <v>net sales</v>
      </c>
      <c r="G1896" s="7" t="str">
        <f t="shared" si="148"/>
        <v>product 2</v>
      </c>
      <c r="H1896">
        <f t="shared" si="149"/>
        <v>2024</v>
      </c>
      <c r="I1896">
        <f t="shared" si="150"/>
        <v>9</v>
      </c>
      <c r="J1896">
        <f t="shared" si="151"/>
        <v>959.04</v>
      </c>
    </row>
    <row r="1897" spans="1:10" ht="12.5" x14ac:dyDescent="0.25">
      <c r="A1897" s="1">
        <v>45554</v>
      </c>
      <c r="B1897" s="2" t="s">
        <v>13</v>
      </c>
      <c r="C1897" s="3">
        <v>12.49</v>
      </c>
      <c r="D1897" s="3">
        <v>219</v>
      </c>
      <c r="E1897" s="3">
        <v>2735.31</v>
      </c>
      <c r="F1897" t="str">
        <f t="shared" si="147"/>
        <v>net sales</v>
      </c>
      <c r="G1897" s="7" t="str">
        <f t="shared" si="148"/>
        <v>product 3</v>
      </c>
      <c r="H1897">
        <f t="shared" si="149"/>
        <v>2024</v>
      </c>
      <c r="I1897">
        <f t="shared" si="150"/>
        <v>9</v>
      </c>
      <c r="J1897">
        <f t="shared" si="151"/>
        <v>224.91</v>
      </c>
    </row>
    <row r="1898" spans="1:10" ht="12.5" x14ac:dyDescent="0.25">
      <c r="A1898" s="1">
        <v>45555</v>
      </c>
      <c r="B1898" s="2" t="s">
        <v>7</v>
      </c>
      <c r="C1898" s="3">
        <v>5.99</v>
      </c>
      <c r="D1898" s="3">
        <v>7</v>
      </c>
      <c r="E1898" s="3">
        <v>41.93</v>
      </c>
      <c r="F1898" t="str">
        <f t="shared" si="147"/>
        <v>cogs</v>
      </c>
      <c r="G1898" s="7" t="str">
        <f t="shared" si="148"/>
        <v>product 1</v>
      </c>
      <c r="H1898">
        <f t="shared" si="149"/>
        <v>2024</v>
      </c>
      <c r="I1898">
        <f t="shared" si="150"/>
        <v>9</v>
      </c>
      <c r="J1898">
        <f t="shared" si="151"/>
        <v>0</v>
      </c>
    </row>
    <row r="1899" spans="1:10" ht="12.5" x14ac:dyDescent="0.25">
      <c r="A1899" s="1">
        <v>45555</v>
      </c>
      <c r="B1899" s="2" t="s">
        <v>8</v>
      </c>
      <c r="C1899" s="3">
        <v>16.989999999999998</v>
      </c>
      <c r="D1899" s="3">
        <v>8</v>
      </c>
      <c r="E1899" s="3">
        <v>135.91999999999999</v>
      </c>
      <c r="F1899" t="str">
        <f t="shared" si="147"/>
        <v>cogs</v>
      </c>
      <c r="G1899" s="7" t="str">
        <f t="shared" si="148"/>
        <v>product 2</v>
      </c>
      <c r="H1899">
        <f t="shared" si="149"/>
        <v>2024</v>
      </c>
      <c r="I1899">
        <f t="shared" si="150"/>
        <v>9</v>
      </c>
      <c r="J1899">
        <f t="shared" si="151"/>
        <v>-71.88</v>
      </c>
    </row>
    <row r="1900" spans="1:10" ht="12.5" x14ac:dyDescent="0.25">
      <c r="A1900" s="1">
        <v>45555</v>
      </c>
      <c r="B1900" s="2" t="s">
        <v>9</v>
      </c>
      <c r="C1900" s="3">
        <v>8.49</v>
      </c>
      <c r="D1900" s="3">
        <v>80</v>
      </c>
      <c r="E1900" s="3">
        <v>679.2</v>
      </c>
      <c r="F1900" t="str">
        <f t="shared" si="147"/>
        <v>cogs</v>
      </c>
      <c r="G1900" s="7" t="str">
        <f t="shared" si="148"/>
        <v>product 3</v>
      </c>
      <c r="H1900">
        <f t="shared" si="149"/>
        <v>2024</v>
      </c>
      <c r="I1900">
        <f t="shared" si="150"/>
        <v>9</v>
      </c>
      <c r="J1900">
        <f t="shared" si="151"/>
        <v>-101.94</v>
      </c>
    </row>
    <row r="1901" spans="1:10" ht="12.5" x14ac:dyDescent="0.25">
      <c r="A1901" s="1">
        <v>45555</v>
      </c>
      <c r="B1901" s="2" t="s">
        <v>10</v>
      </c>
      <c r="C1901" s="2" t="s">
        <v>6</v>
      </c>
      <c r="D1901" s="2" t="s">
        <v>6</v>
      </c>
      <c r="E1901" s="3">
        <v>100.10000000000001</v>
      </c>
      <c r="F1901" t="str">
        <f t="shared" si="147"/>
        <v>marketing</v>
      </c>
      <c r="G1901" s="7" t="s">
        <v>6</v>
      </c>
      <c r="H1901">
        <f t="shared" si="149"/>
        <v>2024</v>
      </c>
      <c r="I1901">
        <f t="shared" si="150"/>
        <v>9</v>
      </c>
      <c r="J1901">
        <f t="shared" si="151"/>
        <v>-220.74</v>
      </c>
    </row>
    <row r="1902" spans="1:10" ht="12.5" x14ac:dyDescent="0.25">
      <c r="A1902" s="1">
        <v>45555</v>
      </c>
      <c r="B1902" s="2" t="s">
        <v>11</v>
      </c>
      <c r="C1902" s="3">
        <v>9.99</v>
      </c>
      <c r="D1902" s="3">
        <v>7</v>
      </c>
      <c r="E1902" s="3">
        <v>69.930000000000007</v>
      </c>
      <c r="F1902" t="str">
        <f t="shared" si="147"/>
        <v>net sales</v>
      </c>
      <c r="G1902" s="7" t="str">
        <f t="shared" si="148"/>
        <v>product 1</v>
      </c>
      <c r="H1902">
        <f t="shared" si="149"/>
        <v>2024</v>
      </c>
      <c r="I1902">
        <f t="shared" si="150"/>
        <v>9</v>
      </c>
      <c r="J1902">
        <f t="shared" si="151"/>
        <v>-99.95</v>
      </c>
    </row>
    <row r="1903" spans="1:10" ht="12.5" x14ac:dyDescent="0.25">
      <c r="A1903" s="1">
        <v>45555</v>
      </c>
      <c r="B1903" s="2" t="s">
        <v>12</v>
      </c>
      <c r="C1903" s="3">
        <v>24.99</v>
      </c>
      <c r="D1903" s="3">
        <v>8</v>
      </c>
      <c r="E1903" s="3">
        <v>199.92</v>
      </c>
      <c r="F1903" t="str">
        <f t="shared" si="147"/>
        <v>net sales</v>
      </c>
      <c r="G1903" s="7" t="str">
        <f t="shared" si="148"/>
        <v>product 2</v>
      </c>
      <c r="H1903">
        <f t="shared" si="149"/>
        <v>2024</v>
      </c>
      <c r="I1903">
        <f t="shared" si="150"/>
        <v>9</v>
      </c>
      <c r="J1903">
        <f t="shared" si="151"/>
        <v>119.88</v>
      </c>
    </row>
    <row r="1904" spans="1:10" ht="12.5" x14ac:dyDescent="0.25">
      <c r="A1904" s="1">
        <v>45555</v>
      </c>
      <c r="B1904" s="2" t="s">
        <v>13</v>
      </c>
      <c r="C1904" s="3">
        <v>12.49</v>
      </c>
      <c r="D1904" s="3">
        <v>80</v>
      </c>
      <c r="E1904" s="3">
        <v>999.2</v>
      </c>
      <c r="F1904" t="str">
        <f t="shared" si="147"/>
        <v>net sales</v>
      </c>
      <c r="G1904" s="7" t="str">
        <f t="shared" si="148"/>
        <v>product 3</v>
      </c>
      <c r="H1904">
        <f t="shared" si="149"/>
        <v>2024</v>
      </c>
      <c r="I1904">
        <f t="shared" si="150"/>
        <v>9</v>
      </c>
      <c r="J1904">
        <f t="shared" si="151"/>
        <v>149.94</v>
      </c>
    </row>
    <row r="1905" spans="1:10" ht="12.5" x14ac:dyDescent="0.25">
      <c r="A1905" s="1">
        <v>45556</v>
      </c>
      <c r="B1905" s="2" t="s">
        <v>7</v>
      </c>
      <c r="C1905" s="3">
        <v>5.99</v>
      </c>
      <c r="D1905" s="3">
        <v>6</v>
      </c>
      <c r="E1905" s="3">
        <v>35.94</v>
      </c>
      <c r="F1905" t="str">
        <f t="shared" si="147"/>
        <v>cogs</v>
      </c>
      <c r="G1905" s="7" t="str">
        <f t="shared" si="148"/>
        <v>product 1</v>
      </c>
      <c r="H1905">
        <f t="shared" si="149"/>
        <v>2024</v>
      </c>
      <c r="I1905">
        <f t="shared" si="150"/>
        <v>9</v>
      </c>
      <c r="J1905">
        <f t="shared" si="151"/>
        <v>324.74</v>
      </c>
    </row>
    <row r="1906" spans="1:10" ht="12.5" x14ac:dyDescent="0.25">
      <c r="A1906" s="1">
        <v>45556</v>
      </c>
      <c r="B1906" s="2" t="s">
        <v>8</v>
      </c>
      <c r="C1906" s="3">
        <v>16.989999999999998</v>
      </c>
      <c r="D1906" s="3">
        <v>0</v>
      </c>
      <c r="E1906" s="2">
        <f>C1906*D1906</f>
        <v>0</v>
      </c>
      <c r="F1906" t="str">
        <f t="shared" si="147"/>
        <v>cogs</v>
      </c>
      <c r="G1906" s="7" t="str">
        <f t="shared" si="148"/>
        <v>product 2</v>
      </c>
      <c r="H1906">
        <f t="shared" si="149"/>
        <v>2024</v>
      </c>
      <c r="I1906">
        <f t="shared" si="150"/>
        <v>9</v>
      </c>
      <c r="J1906">
        <f t="shared" si="151"/>
        <v>-491.18</v>
      </c>
    </row>
    <row r="1907" spans="1:10" ht="12.5" x14ac:dyDescent="0.25">
      <c r="A1907" s="1">
        <v>45556</v>
      </c>
      <c r="B1907" s="2" t="s">
        <v>9</v>
      </c>
      <c r="C1907" s="3">
        <v>8.49</v>
      </c>
      <c r="D1907" s="3">
        <v>40</v>
      </c>
      <c r="E1907" s="3">
        <v>339.6</v>
      </c>
      <c r="F1907" t="str">
        <f t="shared" si="147"/>
        <v>cogs</v>
      </c>
      <c r="G1907" s="7" t="str">
        <f t="shared" si="148"/>
        <v>product 3</v>
      </c>
      <c r="H1907">
        <f t="shared" si="149"/>
        <v>2024</v>
      </c>
      <c r="I1907">
        <f t="shared" si="150"/>
        <v>9</v>
      </c>
      <c r="J1907">
        <f t="shared" si="151"/>
        <v>-135.91999999999999</v>
      </c>
    </row>
    <row r="1908" spans="1:10" ht="12.5" x14ac:dyDescent="0.25">
      <c r="A1908" s="1">
        <v>45556</v>
      </c>
      <c r="B1908" s="2" t="s">
        <v>10</v>
      </c>
      <c r="C1908" s="2" t="s">
        <v>6</v>
      </c>
      <c r="D1908" s="2" t="s">
        <v>6</v>
      </c>
      <c r="E1908" s="3">
        <v>99.94</v>
      </c>
      <c r="F1908" t="str">
        <f t="shared" si="147"/>
        <v>marketing</v>
      </c>
      <c r="G1908" s="7" t="s">
        <v>6</v>
      </c>
      <c r="H1908">
        <f t="shared" si="149"/>
        <v>2024</v>
      </c>
      <c r="I1908">
        <f t="shared" si="150"/>
        <v>9</v>
      </c>
      <c r="J1908">
        <f t="shared" si="151"/>
        <v>-144.33000000000001</v>
      </c>
    </row>
    <row r="1909" spans="1:10" ht="12.5" x14ac:dyDescent="0.25">
      <c r="A1909" s="1">
        <v>45556</v>
      </c>
      <c r="B1909" s="2" t="s">
        <v>11</v>
      </c>
      <c r="C1909" s="3">
        <v>9.99</v>
      </c>
      <c r="D1909" s="3">
        <v>6</v>
      </c>
      <c r="E1909" s="3">
        <v>59.94</v>
      </c>
      <c r="F1909" t="str">
        <f t="shared" si="147"/>
        <v>net sales</v>
      </c>
      <c r="G1909" s="7" t="str">
        <f t="shared" si="148"/>
        <v>product 1</v>
      </c>
      <c r="H1909">
        <f t="shared" si="149"/>
        <v>2024</v>
      </c>
      <c r="I1909">
        <f t="shared" si="150"/>
        <v>9</v>
      </c>
      <c r="J1909">
        <f t="shared" si="151"/>
        <v>-100.08</v>
      </c>
    </row>
    <row r="1910" spans="1:10" ht="12.5" x14ac:dyDescent="0.25">
      <c r="A1910" s="1">
        <v>45556</v>
      </c>
      <c r="B1910" s="2" t="s">
        <v>12</v>
      </c>
      <c r="C1910" s="3">
        <v>24.99</v>
      </c>
      <c r="D1910" s="3">
        <v>0</v>
      </c>
      <c r="E1910" s="2">
        <f>C1910*D1910</f>
        <v>0</v>
      </c>
      <c r="F1910" t="str">
        <f t="shared" si="147"/>
        <v>net sales</v>
      </c>
      <c r="G1910" s="7" t="str">
        <f t="shared" si="148"/>
        <v>product 2</v>
      </c>
      <c r="H1910">
        <f t="shared" si="149"/>
        <v>2024</v>
      </c>
      <c r="I1910">
        <f t="shared" si="150"/>
        <v>9</v>
      </c>
      <c r="J1910">
        <f t="shared" si="151"/>
        <v>819.18000000000006</v>
      </c>
    </row>
    <row r="1911" spans="1:10" ht="12.5" x14ac:dyDescent="0.25">
      <c r="A1911" s="1">
        <v>45556</v>
      </c>
      <c r="B1911" s="2" t="s">
        <v>13</v>
      </c>
      <c r="C1911" s="3">
        <v>12.49</v>
      </c>
      <c r="D1911" s="3">
        <v>40</v>
      </c>
      <c r="E1911" s="3">
        <v>499.6</v>
      </c>
      <c r="F1911" t="str">
        <f t="shared" si="147"/>
        <v>net sales</v>
      </c>
      <c r="G1911" s="7" t="str">
        <f t="shared" si="148"/>
        <v>product 3</v>
      </c>
      <c r="H1911">
        <f t="shared" si="149"/>
        <v>2024</v>
      </c>
      <c r="I1911">
        <f t="shared" si="150"/>
        <v>9</v>
      </c>
      <c r="J1911">
        <f t="shared" si="151"/>
        <v>199.92</v>
      </c>
    </row>
    <row r="1912" spans="1:10" ht="12.5" x14ac:dyDescent="0.25">
      <c r="A1912" s="1">
        <v>45557</v>
      </c>
      <c r="B1912" s="2" t="s">
        <v>7</v>
      </c>
      <c r="C1912" s="3">
        <v>5.99</v>
      </c>
      <c r="D1912" s="3">
        <v>61</v>
      </c>
      <c r="E1912" s="3">
        <v>365.39</v>
      </c>
      <c r="F1912" t="str">
        <f t="shared" si="147"/>
        <v>cogs</v>
      </c>
      <c r="G1912" s="7" t="str">
        <f t="shared" si="148"/>
        <v>product 1</v>
      </c>
      <c r="H1912">
        <f t="shared" si="149"/>
        <v>2024</v>
      </c>
      <c r="I1912">
        <f t="shared" si="150"/>
        <v>9</v>
      </c>
      <c r="J1912">
        <f t="shared" si="151"/>
        <v>212.33</v>
      </c>
    </row>
    <row r="1913" spans="1:10" ht="12.5" x14ac:dyDescent="0.25">
      <c r="A1913" s="1">
        <v>45557</v>
      </c>
      <c r="B1913" s="2" t="s">
        <v>8</v>
      </c>
      <c r="C1913" s="3">
        <v>16.989999999999998</v>
      </c>
      <c r="D1913" s="3">
        <v>3</v>
      </c>
      <c r="E1913" s="3">
        <v>50.97</v>
      </c>
      <c r="F1913" t="str">
        <f t="shared" si="147"/>
        <v>cogs</v>
      </c>
      <c r="G1913" s="7" t="str">
        <f t="shared" si="148"/>
        <v>product 2</v>
      </c>
      <c r="H1913">
        <f t="shared" si="149"/>
        <v>2024</v>
      </c>
      <c r="I1913">
        <f t="shared" si="150"/>
        <v>9</v>
      </c>
      <c r="J1913">
        <f t="shared" si="151"/>
        <v>-575.04</v>
      </c>
    </row>
    <row r="1914" spans="1:10" ht="12.5" x14ac:dyDescent="0.25">
      <c r="A1914" s="1">
        <v>45557</v>
      </c>
      <c r="B1914" s="2" t="s">
        <v>9</v>
      </c>
      <c r="C1914" s="3">
        <v>8.49</v>
      </c>
      <c r="D1914" s="3">
        <v>73</v>
      </c>
      <c r="E1914" s="3">
        <v>619.77</v>
      </c>
      <c r="F1914" t="str">
        <f t="shared" si="147"/>
        <v>cogs</v>
      </c>
      <c r="G1914" s="7" t="str">
        <f t="shared" si="148"/>
        <v>product 3</v>
      </c>
      <c r="H1914">
        <f t="shared" si="149"/>
        <v>2024</v>
      </c>
      <c r="I1914">
        <f t="shared" si="150"/>
        <v>9</v>
      </c>
      <c r="J1914">
        <f t="shared" si="151"/>
        <v>-84.949999999999989</v>
      </c>
    </row>
    <row r="1915" spans="1:10" ht="12.5" x14ac:dyDescent="0.25">
      <c r="A1915" s="1">
        <v>45557</v>
      </c>
      <c r="B1915" s="2" t="s">
        <v>10</v>
      </c>
      <c r="C1915" s="2" t="s">
        <v>6</v>
      </c>
      <c r="D1915" s="2" t="s">
        <v>6</v>
      </c>
      <c r="E1915" s="3">
        <v>99.960000000000008</v>
      </c>
      <c r="F1915" t="str">
        <f t="shared" si="147"/>
        <v>marketing</v>
      </c>
      <c r="G1915" s="7" t="s">
        <v>6</v>
      </c>
      <c r="H1915">
        <f t="shared" si="149"/>
        <v>2024</v>
      </c>
      <c r="I1915">
        <f t="shared" si="150"/>
        <v>9</v>
      </c>
      <c r="J1915">
        <f t="shared" si="151"/>
        <v>-1969.68</v>
      </c>
    </row>
    <row r="1916" spans="1:10" ht="12.5" x14ac:dyDescent="0.25">
      <c r="A1916" s="1">
        <v>45557</v>
      </c>
      <c r="B1916" s="2" t="s">
        <v>11</v>
      </c>
      <c r="C1916" s="3">
        <v>9.99</v>
      </c>
      <c r="D1916" s="3">
        <v>61</v>
      </c>
      <c r="E1916" s="3">
        <v>609.39</v>
      </c>
      <c r="F1916" t="str">
        <f t="shared" si="147"/>
        <v>net sales</v>
      </c>
      <c r="G1916" s="7" t="str">
        <f t="shared" si="148"/>
        <v>product 1</v>
      </c>
      <c r="H1916">
        <f t="shared" si="149"/>
        <v>2024</v>
      </c>
      <c r="I1916">
        <f t="shared" si="150"/>
        <v>9</v>
      </c>
      <c r="J1916">
        <f t="shared" si="151"/>
        <v>-100.07000000000001</v>
      </c>
    </row>
    <row r="1917" spans="1:10" ht="12.5" x14ac:dyDescent="0.25">
      <c r="A1917" s="1">
        <v>45557</v>
      </c>
      <c r="B1917" s="2" t="s">
        <v>12</v>
      </c>
      <c r="C1917" s="3">
        <v>24.99</v>
      </c>
      <c r="D1917" s="3">
        <v>3</v>
      </c>
      <c r="E1917" s="3">
        <v>74.97</v>
      </c>
      <c r="F1917" t="str">
        <f t="shared" si="147"/>
        <v>net sales</v>
      </c>
      <c r="G1917" s="7" t="str">
        <f t="shared" si="148"/>
        <v>product 2</v>
      </c>
      <c r="H1917">
        <f t="shared" si="149"/>
        <v>2024</v>
      </c>
      <c r="I1917">
        <f t="shared" si="150"/>
        <v>9</v>
      </c>
      <c r="J1917">
        <f t="shared" si="151"/>
        <v>959.04</v>
      </c>
    </row>
    <row r="1918" spans="1:10" ht="12.5" x14ac:dyDescent="0.25">
      <c r="A1918" s="1">
        <v>45557</v>
      </c>
      <c r="B1918" s="2" t="s">
        <v>13</v>
      </c>
      <c r="C1918" s="3">
        <v>12.49</v>
      </c>
      <c r="D1918" s="3">
        <v>73</v>
      </c>
      <c r="E1918" s="3">
        <v>911.77</v>
      </c>
      <c r="F1918" t="str">
        <f t="shared" si="147"/>
        <v>net sales</v>
      </c>
      <c r="G1918" s="7" t="str">
        <f t="shared" si="148"/>
        <v>product 3</v>
      </c>
      <c r="H1918">
        <f t="shared" si="149"/>
        <v>2024</v>
      </c>
      <c r="I1918">
        <f t="shared" si="150"/>
        <v>9</v>
      </c>
      <c r="J1918">
        <f t="shared" si="151"/>
        <v>124.94999999999999</v>
      </c>
    </row>
    <row r="1919" spans="1:10" ht="12.5" x14ac:dyDescent="0.25">
      <c r="A1919" s="1">
        <v>45558</v>
      </c>
      <c r="B1919" s="2" t="s">
        <v>7</v>
      </c>
      <c r="C1919" s="3">
        <v>5.99</v>
      </c>
      <c r="D1919" s="3">
        <v>4</v>
      </c>
      <c r="E1919" s="3">
        <v>23.96</v>
      </c>
      <c r="F1919" t="str">
        <f t="shared" si="147"/>
        <v>cogs</v>
      </c>
      <c r="G1919" s="7" t="str">
        <f t="shared" si="148"/>
        <v>product 1</v>
      </c>
      <c r="H1919">
        <f t="shared" si="149"/>
        <v>2024</v>
      </c>
      <c r="I1919">
        <f t="shared" si="150"/>
        <v>9</v>
      </c>
      <c r="J1919">
        <f t="shared" si="151"/>
        <v>2897.68</v>
      </c>
    </row>
    <row r="1920" spans="1:10" ht="12.5" x14ac:dyDescent="0.25">
      <c r="A1920" s="1">
        <v>45558</v>
      </c>
      <c r="B1920" s="2" t="s">
        <v>8</v>
      </c>
      <c r="C1920" s="3">
        <v>16.989999999999998</v>
      </c>
      <c r="D1920" s="3">
        <v>9</v>
      </c>
      <c r="E1920" s="3">
        <v>152.91</v>
      </c>
      <c r="F1920" t="str">
        <f t="shared" si="147"/>
        <v>cogs</v>
      </c>
      <c r="G1920" s="7" t="str">
        <f t="shared" si="148"/>
        <v>product 2</v>
      </c>
      <c r="H1920">
        <f t="shared" si="149"/>
        <v>2024</v>
      </c>
      <c r="I1920">
        <f t="shared" si="150"/>
        <v>9</v>
      </c>
      <c r="J1920">
        <f t="shared" si="151"/>
        <v>-119.80000000000001</v>
      </c>
    </row>
    <row r="1921" spans="1:10" ht="12.5" x14ac:dyDescent="0.25">
      <c r="A1921" s="1">
        <v>45558</v>
      </c>
      <c r="B1921" s="2" t="s">
        <v>9</v>
      </c>
      <c r="C1921" s="3">
        <v>8.49</v>
      </c>
      <c r="D1921" s="3">
        <v>220</v>
      </c>
      <c r="E1921" s="3">
        <v>1867.8</v>
      </c>
      <c r="F1921" t="str">
        <f t="shared" si="147"/>
        <v>cogs</v>
      </c>
      <c r="G1921" s="7" t="str">
        <f t="shared" si="148"/>
        <v>product 3</v>
      </c>
      <c r="H1921">
        <f t="shared" si="149"/>
        <v>2024</v>
      </c>
      <c r="I1921">
        <f t="shared" si="150"/>
        <v>9</v>
      </c>
      <c r="J1921">
        <f t="shared" si="151"/>
        <v>-101.94</v>
      </c>
    </row>
    <row r="1922" spans="1:10" ht="12.5" x14ac:dyDescent="0.25">
      <c r="A1922" s="1">
        <v>45558</v>
      </c>
      <c r="B1922" s="2" t="s">
        <v>10</v>
      </c>
      <c r="C1922" s="2" t="s">
        <v>6</v>
      </c>
      <c r="D1922" s="2" t="s">
        <v>6</v>
      </c>
      <c r="E1922" s="3">
        <v>100.04</v>
      </c>
      <c r="F1922" t="str">
        <f t="shared" si="147"/>
        <v>marketing</v>
      </c>
      <c r="G1922" s="7" t="s">
        <v>6</v>
      </c>
      <c r="H1922">
        <f t="shared" si="149"/>
        <v>2024</v>
      </c>
      <c r="I1922">
        <f t="shared" si="150"/>
        <v>9</v>
      </c>
      <c r="J1922">
        <f t="shared" si="151"/>
        <v>-704.67000000000007</v>
      </c>
    </row>
    <row r="1923" spans="1:10" ht="12.5" x14ac:dyDescent="0.25">
      <c r="A1923" s="1">
        <v>45558</v>
      </c>
      <c r="B1923" s="2" t="s">
        <v>11</v>
      </c>
      <c r="C1923" s="3">
        <v>9.99</v>
      </c>
      <c r="D1923" s="3">
        <v>4</v>
      </c>
      <c r="E1923" s="3">
        <v>39.96</v>
      </c>
      <c r="F1923" t="str">
        <f t="shared" ref="F1923:F1986" si="152">IFERROR(LEFT(B1923,FIND(":",B1923)-1),B1923)</f>
        <v>net sales</v>
      </c>
      <c r="G1923" s="7" t="str">
        <f t="shared" ref="G1923:G1986" si="153">IFERROR(RIGHT(B1923,LEN(B1923)-FIND(":",B1923)),"")</f>
        <v>product 1</v>
      </c>
      <c r="H1923">
        <f t="shared" ref="H1923:H1986" si="154">YEAR(A1923)</f>
        <v>2024</v>
      </c>
      <c r="I1923">
        <f t="shared" ref="I1923:I1986" si="155">MONTH(A1923)</f>
        <v>9</v>
      </c>
      <c r="J1923">
        <f t="shared" si="151"/>
        <v>-99.93</v>
      </c>
    </row>
    <row r="1924" spans="1:10" ht="12.5" x14ac:dyDescent="0.25">
      <c r="A1924" s="1">
        <v>45558</v>
      </c>
      <c r="B1924" s="2" t="s">
        <v>12</v>
      </c>
      <c r="C1924" s="3">
        <v>24.99</v>
      </c>
      <c r="D1924" s="3">
        <v>9</v>
      </c>
      <c r="E1924" s="3">
        <v>224.91</v>
      </c>
      <c r="F1924" t="str">
        <f t="shared" si="152"/>
        <v>net sales</v>
      </c>
      <c r="G1924" s="7" t="str">
        <f t="shared" si="153"/>
        <v>product 2</v>
      </c>
      <c r="H1924">
        <f t="shared" si="154"/>
        <v>2024</v>
      </c>
      <c r="I1924">
        <f t="shared" si="155"/>
        <v>9</v>
      </c>
      <c r="J1924">
        <f t="shared" si="151"/>
        <v>199.8</v>
      </c>
    </row>
    <row r="1925" spans="1:10" ht="12.5" x14ac:dyDescent="0.25">
      <c r="A1925" s="1">
        <v>45558</v>
      </c>
      <c r="B1925" s="2" t="s">
        <v>13</v>
      </c>
      <c r="C1925" s="3">
        <v>12.49</v>
      </c>
      <c r="D1925" s="3">
        <v>220</v>
      </c>
      <c r="E1925" s="3">
        <v>2747.8</v>
      </c>
      <c r="F1925" t="str">
        <f t="shared" si="152"/>
        <v>net sales</v>
      </c>
      <c r="G1925" s="7" t="str">
        <f t="shared" si="153"/>
        <v>product 3</v>
      </c>
      <c r="H1925">
        <f t="shared" si="154"/>
        <v>2024</v>
      </c>
      <c r="I1925">
        <f t="shared" si="155"/>
        <v>9</v>
      </c>
      <c r="J1925">
        <f t="shared" si="151"/>
        <v>149.94</v>
      </c>
    </row>
    <row r="1926" spans="1:10" ht="12.5" x14ac:dyDescent="0.25">
      <c r="A1926" s="1">
        <v>45559</v>
      </c>
      <c r="B1926" s="2" t="s">
        <v>7</v>
      </c>
      <c r="C1926" s="3">
        <v>5.99</v>
      </c>
      <c r="D1926" s="3">
        <v>4</v>
      </c>
      <c r="E1926" s="3">
        <v>23.96</v>
      </c>
      <c r="F1926" t="str">
        <f t="shared" si="152"/>
        <v>cogs</v>
      </c>
      <c r="G1926" s="7" t="str">
        <f t="shared" si="153"/>
        <v>product 1</v>
      </c>
      <c r="H1926">
        <f t="shared" si="154"/>
        <v>2024</v>
      </c>
      <c r="I1926">
        <f t="shared" si="155"/>
        <v>9</v>
      </c>
      <c r="J1926">
        <f t="shared" si="151"/>
        <v>1036.67</v>
      </c>
    </row>
    <row r="1927" spans="1:10" ht="12.5" x14ac:dyDescent="0.25">
      <c r="A1927" s="1">
        <v>45559</v>
      </c>
      <c r="B1927" s="2" t="s">
        <v>8</v>
      </c>
      <c r="C1927" s="3">
        <v>16.989999999999998</v>
      </c>
      <c r="D1927" s="3">
        <v>3</v>
      </c>
      <c r="E1927" s="3">
        <v>50.97</v>
      </c>
      <c r="F1927" t="str">
        <f t="shared" si="152"/>
        <v>cogs</v>
      </c>
      <c r="G1927" s="7" t="str">
        <f t="shared" si="153"/>
        <v>product 2</v>
      </c>
      <c r="H1927">
        <f t="shared" si="154"/>
        <v>2024</v>
      </c>
      <c r="I1927">
        <f t="shared" si="155"/>
        <v>9</v>
      </c>
      <c r="J1927">
        <f t="shared" si="151"/>
        <v>-137.77000000000001</v>
      </c>
    </row>
    <row r="1928" spans="1:10" ht="12.5" x14ac:dyDescent="0.25">
      <c r="A1928" s="1">
        <v>45559</v>
      </c>
      <c r="B1928" s="2" t="s">
        <v>9</v>
      </c>
      <c r="C1928" s="3">
        <v>8.49</v>
      </c>
      <c r="D1928" s="3">
        <v>215</v>
      </c>
      <c r="E1928" s="3">
        <v>1825.3500000000001</v>
      </c>
      <c r="F1928" t="str">
        <f t="shared" si="152"/>
        <v>cogs</v>
      </c>
      <c r="G1928" s="7" t="str">
        <f t="shared" si="153"/>
        <v>product 3</v>
      </c>
      <c r="H1928">
        <f t="shared" si="154"/>
        <v>2024</v>
      </c>
      <c r="I1928">
        <f t="shared" si="155"/>
        <v>9</v>
      </c>
      <c r="J1928">
        <f t="shared" si="151"/>
        <v>-16.989999999999998</v>
      </c>
    </row>
    <row r="1929" spans="1:10" ht="12.5" x14ac:dyDescent="0.25">
      <c r="A1929" s="1">
        <v>45559</v>
      </c>
      <c r="B1929" s="2" t="s">
        <v>10</v>
      </c>
      <c r="C1929" s="2" t="s">
        <v>6</v>
      </c>
      <c r="D1929" s="2" t="s">
        <v>6</v>
      </c>
      <c r="E1929" s="3">
        <v>100.04</v>
      </c>
      <c r="F1929" t="str">
        <f t="shared" si="152"/>
        <v>marketing</v>
      </c>
      <c r="G1929" s="7" t="s">
        <v>6</v>
      </c>
      <c r="H1929">
        <f t="shared" si="154"/>
        <v>2024</v>
      </c>
      <c r="I1929">
        <f t="shared" si="155"/>
        <v>9</v>
      </c>
      <c r="J1929">
        <f t="shared" si="151"/>
        <v>-993.33</v>
      </c>
    </row>
    <row r="1930" spans="1:10" ht="12.5" x14ac:dyDescent="0.25">
      <c r="A1930" s="1">
        <v>45559</v>
      </c>
      <c r="B1930" s="2" t="s">
        <v>11</v>
      </c>
      <c r="C1930" s="3">
        <v>9.99</v>
      </c>
      <c r="D1930" s="3">
        <v>4</v>
      </c>
      <c r="E1930" s="3">
        <v>39.96</v>
      </c>
      <c r="F1930" t="str">
        <f t="shared" si="152"/>
        <v>net sales</v>
      </c>
      <c r="G1930" s="7" t="str">
        <f t="shared" si="153"/>
        <v>product 1</v>
      </c>
      <c r="H1930">
        <f t="shared" si="154"/>
        <v>2024</v>
      </c>
      <c r="I1930">
        <f t="shared" si="155"/>
        <v>9</v>
      </c>
      <c r="J1930">
        <f t="shared" si="151"/>
        <v>-99.9</v>
      </c>
    </row>
    <row r="1931" spans="1:10" ht="12.5" x14ac:dyDescent="0.25">
      <c r="A1931" s="1">
        <v>45559</v>
      </c>
      <c r="B1931" s="2" t="s">
        <v>12</v>
      </c>
      <c r="C1931" s="3">
        <v>24.99</v>
      </c>
      <c r="D1931" s="3">
        <v>3</v>
      </c>
      <c r="E1931" s="3">
        <v>74.97</v>
      </c>
      <c r="F1931" t="str">
        <f t="shared" si="152"/>
        <v>net sales</v>
      </c>
      <c r="G1931" s="7" t="str">
        <f t="shared" si="153"/>
        <v>product 2</v>
      </c>
      <c r="H1931">
        <f t="shared" si="154"/>
        <v>2024</v>
      </c>
      <c r="I1931">
        <f t="shared" si="155"/>
        <v>9</v>
      </c>
      <c r="J1931">
        <f t="shared" si="151"/>
        <v>229.77</v>
      </c>
    </row>
    <row r="1932" spans="1:10" ht="12.5" x14ac:dyDescent="0.25">
      <c r="A1932" s="1">
        <v>45559</v>
      </c>
      <c r="B1932" s="2" t="s">
        <v>13</v>
      </c>
      <c r="C1932" s="3">
        <v>12.49</v>
      </c>
      <c r="D1932" s="3">
        <v>215</v>
      </c>
      <c r="E1932" s="3">
        <v>2685.35</v>
      </c>
      <c r="F1932" t="str">
        <f t="shared" si="152"/>
        <v>net sales</v>
      </c>
      <c r="G1932" s="7" t="str">
        <f t="shared" si="153"/>
        <v>product 3</v>
      </c>
      <c r="H1932">
        <f t="shared" si="154"/>
        <v>2024</v>
      </c>
      <c r="I1932">
        <f t="shared" si="155"/>
        <v>9</v>
      </c>
      <c r="J1932">
        <f t="shared" si="151"/>
        <v>24.99</v>
      </c>
    </row>
    <row r="1933" spans="1:10" ht="12.5" x14ac:dyDescent="0.25">
      <c r="A1933" s="1">
        <v>45560</v>
      </c>
      <c r="B1933" s="2" t="s">
        <v>7</v>
      </c>
      <c r="C1933" s="3">
        <v>5.99</v>
      </c>
      <c r="D1933" s="3">
        <v>52</v>
      </c>
      <c r="E1933" s="3">
        <v>311.48</v>
      </c>
      <c r="F1933" t="str">
        <f t="shared" si="152"/>
        <v>cogs</v>
      </c>
      <c r="G1933" s="7" t="str">
        <f t="shared" si="153"/>
        <v>product 1</v>
      </c>
      <c r="H1933">
        <f t="shared" si="154"/>
        <v>2024</v>
      </c>
      <c r="I1933">
        <f t="shared" si="155"/>
        <v>9</v>
      </c>
      <c r="J1933">
        <f t="shared" si="151"/>
        <v>1461.33</v>
      </c>
    </row>
    <row r="1934" spans="1:10" ht="12.5" x14ac:dyDescent="0.25">
      <c r="A1934" s="1">
        <v>45560</v>
      </c>
      <c r="B1934" s="2" t="s">
        <v>8</v>
      </c>
      <c r="C1934" s="3">
        <v>16.989999999999998</v>
      </c>
      <c r="D1934" s="3">
        <v>2</v>
      </c>
      <c r="E1934" s="3">
        <v>33.979999999999997</v>
      </c>
      <c r="F1934" t="str">
        <f t="shared" si="152"/>
        <v>cogs</v>
      </c>
      <c r="G1934" s="7" t="str">
        <f t="shared" si="153"/>
        <v>product 2</v>
      </c>
      <c r="H1934">
        <f t="shared" si="154"/>
        <v>2024</v>
      </c>
      <c r="I1934">
        <f t="shared" si="155"/>
        <v>9</v>
      </c>
      <c r="J1934">
        <f t="shared" si="151"/>
        <v>-377.37</v>
      </c>
    </row>
    <row r="1935" spans="1:10" ht="12.5" x14ac:dyDescent="0.25">
      <c r="A1935" s="1">
        <v>45560</v>
      </c>
      <c r="B1935" s="2" t="s">
        <v>9</v>
      </c>
      <c r="C1935" s="3">
        <v>8.49</v>
      </c>
      <c r="D1935" s="3">
        <v>91</v>
      </c>
      <c r="E1935" s="3">
        <v>772.59</v>
      </c>
      <c r="F1935" t="str">
        <f t="shared" si="152"/>
        <v>cogs</v>
      </c>
      <c r="G1935" s="7" t="str">
        <f t="shared" si="153"/>
        <v>product 3</v>
      </c>
      <c r="H1935">
        <f t="shared" si="154"/>
        <v>2024</v>
      </c>
      <c r="I1935">
        <f t="shared" si="155"/>
        <v>9</v>
      </c>
      <c r="J1935">
        <f t="shared" si="151"/>
        <v>-169.89999999999998</v>
      </c>
    </row>
    <row r="1936" spans="1:10" ht="12.5" x14ac:dyDescent="0.25">
      <c r="A1936" s="1">
        <v>45560</v>
      </c>
      <c r="B1936" s="2" t="s">
        <v>10</v>
      </c>
      <c r="C1936" s="2" t="s">
        <v>6</v>
      </c>
      <c r="D1936" s="2" t="s">
        <v>6</v>
      </c>
      <c r="E1936" s="3">
        <v>99.93</v>
      </c>
      <c r="F1936" t="str">
        <f t="shared" si="152"/>
        <v>marketing</v>
      </c>
      <c r="G1936" s="7" t="s">
        <v>6</v>
      </c>
      <c r="H1936">
        <f t="shared" si="154"/>
        <v>2024</v>
      </c>
      <c r="I1936">
        <f t="shared" si="155"/>
        <v>9</v>
      </c>
      <c r="J1936">
        <f t="shared" si="151"/>
        <v>-1392.3600000000001</v>
      </c>
    </row>
    <row r="1937" spans="1:10" ht="12.5" x14ac:dyDescent="0.25">
      <c r="A1937" s="1">
        <v>45560</v>
      </c>
      <c r="B1937" s="2" t="s">
        <v>11</v>
      </c>
      <c r="C1937" s="3">
        <v>9.99</v>
      </c>
      <c r="D1937" s="3">
        <v>52</v>
      </c>
      <c r="E1937" s="3">
        <v>519.48</v>
      </c>
      <c r="F1937" t="str">
        <f t="shared" si="152"/>
        <v>net sales</v>
      </c>
      <c r="G1937" s="7" t="str">
        <f t="shared" si="153"/>
        <v>product 1</v>
      </c>
      <c r="H1937">
        <f t="shared" si="154"/>
        <v>2024</v>
      </c>
      <c r="I1937">
        <f t="shared" si="155"/>
        <v>9</v>
      </c>
      <c r="J1937">
        <f t="shared" si="151"/>
        <v>-100.07000000000001</v>
      </c>
    </row>
    <row r="1938" spans="1:10" ht="12.5" x14ac:dyDescent="0.25">
      <c r="A1938" s="1">
        <v>45560</v>
      </c>
      <c r="B1938" s="2" t="s">
        <v>12</v>
      </c>
      <c r="C1938" s="3">
        <v>24.99</v>
      </c>
      <c r="D1938" s="3">
        <v>2</v>
      </c>
      <c r="E1938" s="3">
        <v>49.98</v>
      </c>
      <c r="F1938" t="str">
        <f t="shared" si="152"/>
        <v>net sales</v>
      </c>
      <c r="G1938" s="7" t="str">
        <f t="shared" si="153"/>
        <v>product 2</v>
      </c>
      <c r="H1938">
        <f t="shared" si="154"/>
        <v>2024</v>
      </c>
      <c r="I1938">
        <f t="shared" si="155"/>
        <v>9</v>
      </c>
      <c r="J1938">
        <f t="shared" si="151"/>
        <v>629.37</v>
      </c>
    </row>
    <row r="1939" spans="1:10" ht="12.5" x14ac:dyDescent="0.25">
      <c r="A1939" s="1">
        <v>45560</v>
      </c>
      <c r="B1939" s="2" t="s">
        <v>13</v>
      </c>
      <c r="C1939" s="3">
        <v>12.49</v>
      </c>
      <c r="D1939" s="3">
        <v>91</v>
      </c>
      <c r="E1939" s="3">
        <v>1136.5899999999999</v>
      </c>
      <c r="F1939" t="str">
        <f t="shared" si="152"/>
        <v>net sales</v>
      </c>
      <c r="G1939" s="7" t="str">
        <f t="shared" si="153"/>
        <v>product 3</v>
      </c>
      <c r="H1939">
        <f t="shared" si="154"/>
        <v>2024</v>
      </c>
      <c r="I1939">
        <f t="shared" si="155"/>
        <v>9</v>
      </c>
      <c r="J1939">
        <f t="shared" si="151"/>
        <v>249.89999999999998</v>
      </c>
    </row>
    <row r="1940" spans="1:10" ht="12.5" x14ac:dyDescent="0.25">
      <c r="A1940" s="1">
        <v>45561</v>
      </c>
      <c r="B1940" s="2" t="s">
        <v>7</v>
      </c>
      <c r="C1940" s="3">
        <v>5.99</v>
      </c>
      <c r="D1940" s="3">
        <v>15</v>
      </c>
      <c r="E1940" s="3">
        <v>89.850000000000009</v>
      </c>
      <c r="F1940" t="str">
        <f t="shared" si="152"/>
        <v>cogs</v>
      </c>
      <c r="G1940" s="7" t="str">
        <f t="shared" si="153"/>
        <v>product 1</v>
      </c>
      <c r="H1940">
        <f t="shared" si="154"/>
        <v>2024</v>
      </c>
      <c r="I1940">
        <f t="shared" si="155"/>
        <v>9</v>
      </c>
      <c r="J1940">
        <f t="shared" si="151"/>
        <v>2048.36</v>
      </c>
    </row>
    <row r="1941" spans="1:10" ht="12.5" x14ac:dyDescent="0.25">
      <c r="A1941" s="1">
        <v>45561</v>
      </c>
      <c r="B1941" s="2" t="s">
        <v>8</v>
      </c>
      <c r="C1941" s="3">
        <v>16.989999999999998</v>
      </c>
      <c r="D1941" s="3">
        <v>1</v>
      </c>
      <c r="E1941" s="3">
        <v>16.989999999999998</v>
      </c>
      <c r="F1941" t="str">
        <f t="shared" si="152"/>
        <v>cogs</v>
      </c>
      <c r="G1941" s="7" t="str">
        <f t="shared" si="153"/>
        <v>product 2</v>
      </c>
      <c r="H1941">
        <f t="shared" si="154"/>
        <v>2024</v>
      </c>
      <c r="I1941">
        <f t="shared" si="155"/>
        <v>9</v>
      </c>
      <c r="J1941">
        <f t="shared" si="151"/>
        <v>-485.19</v>
      </c>
    </row>
    <row r="1942" spans="1:10" ht="12.5" x14ac:dyDescent="0.25">
      <c r="A1942" s="1">
        <v>45561</v>
      </c>
      <c r="B1942" s="2" t="s">
        <v>9</v>
      </c>
      <c r="C1942" s="3">
        <v>8.49</v>
      </c>
      <c r="D1942" s="3">
        <v>120</v>
      </c>
      <c r="E1942" s="3">
        <v>1018.8000000000001</v>
      </c>
      <c r="F1942" t="str">
        <f t="shared" si="152"/>
        <v>cogs</v>
      </c>
      <c r="G1942" s="7" t="str">
        <f t="shared" si="153"/>
        <v>product 3</v>
      </c>
      <c r="H1942">
        <f t="shared" si="154"/>
        <v>2024</v>
      </c>
      <c r="I1942">
        <f t="shared" si="155"/>
        <v>9</v>
      </c>
      <c r="J1942">
        <f t="shared" si="151"/>
        <v>-16.989999999999998</v>
      </c>
    </row>
    <row r="1943" spans="1:10" ht="12.5" x14ac:dyDescent="0.25">
      <c r="A1943" s="1">
        <v>45561</v>
      </c>
      <c r="B1943" s="2" t="s">
        <v>10</v>
      </c>
      <c r="C1943" s="2" t="s">
        <v>6</v>
      </c>
      <c r="D1943" s="2" t="s">
        <v>6</v>
      </c>
      <c r="E1943" s="3">
        <v>100.04</v>
      </c>
      <c r="F1943" t="str">
        <f t="shared" si="152"/>
        <v>marketing</v>
      </c>
      <c r="G1943" s="7" t="s">
        <v>6</v>
      </c>
      <c r="H1943">
        <f t="shared" si="154"/>
        <v>2024</v>
      </c>
      <c r="I1943">
        <f t="shared" si="155"/>
        <v>9</v>
      </c>
      <c r="J1943">
        <f t="shared" si="151"/>
        <v>-1383.8700000000001</v>
      </c>
    </row>
    <row r="1944" spans="1:10" ht="12.5" x14ac:dyDescent="0.25">
      <c r="A1944" s="1">
        <v>45561</v>
      </c>
      <c r="B1944" s="2" t="s">
        <v>11</v>
      </c>
      <c r="C1944" s="3">
        <v>9.99</v>
      </c>
      <c r="D1944" s="3">
        <v>15</v>
      </c>
      <c r="E1944" s="3">
        <v>149.85</v>
      </c>
      <c r="F1944" t="str">
        <f t="shared" si="152"/>
        <v>net sales</v>
      </c>
      <c r="G1944" s="7" t="str">
        <f t="shared" si="153"/>
        <v>product 1</v>
      </c>
      <c r="H1944">
        <f t="shared" si="154"/>
        <v>2024</v>
      </c>
      <c r="I1944">
        <f t="shared" si="155"/>
        <v>9</v>
      </c>
      <c r="J1944">
        <f t="shared" si="151"/>
        <v>-99.92</v>
      </c>
    </row>
    <row r="1945" spans="1:10" ht="12.5" x14ac:dyDescent="0.25">
      <c r="A1945" s="1">
        <v>45561</v>
      </c>
      <c r="B1945" s="2" t="s">
        <v>12</v>
      </c>
      <c r="C1945" s="3">
        <v>24.99</v>
      </c>
      <c r="D1945" s="3">
        <v>1</v>
      </c>
      <c r="E1945" s="3">
        <v>24.99</v>
      </c>
      <c r="F1945" t="str">
        <f t="shared" si="152"/>
        <v>net sales</v>
      </c>
      <c r="G1945" s="7" t="str">
        <f t="shared" si="153"/>
        <v>product 2</v>
      </c>
      <c r="H1945">
        <f t="shared" si="154"/>
        <v>2024</v>
      </c>
      <c r="I1945">
        <f t="shared" si="155"/>
        <v>9</v>
      </c>
      <c r="J1945">
        <f t="shared" si="151"/>
        <v>809.19</v>
      </c>
    </row>
    <row r="1946" spans="1:10" ht="12.5" x14ac:dyDescent="0.25">
      <c r="A1946" s="1">
        <v>45561</v>
      </c>
      <c r="B1946" s="2" t="s">
        <v>13</v>
      </c>
      <c r="C1946" s="3">
        <v>12.49</v>
      </c>
      <c r="D1946" s="3">
        <v>120</v>
      </c>
      <c r="E1946" s="3">
        <v>1498.8</v>
      </c>
      <c r="F1946" t="str">
        <f t="shared" si="152"/>
        <v>net sales</v>
      </c>
      <c r="G1946" s="7" t="str">
        <f t="shared" si="153"/>
        <v>product 3</v>
      </c>
      <c r="H1946">
        <f t="shared" si="154"/>
        <v>2024</v>
      </c>
      <c r="I1946">
        <f t="shared" si="155"/>
        <v>9</v>
      </c>
      <c r="J1946">
        <f t="shared" si="151"/>
        <v>24.99</v>
      </c>
    </row>
    <row r="1947" spans="1:10" ht="12.5" x14ac:dyDescent="0.25">
      <c r="A1947" s="1">
        <v>45562</v>
      </c>
      <c r="B1947" s="2" t="s">
        <v>7</v>
      </c>
      <c r="C1947" s="3">
        <v>5.99</v>
      </c>
      <c r="D1947" s="3">
        <v>63</v>
      </c>
      <c r="E1947" s="3">
        <v>377.37</v>
      </c>
      <c r="F1947" t="str">
        <f t="shared" si="152"/>
        <v>cogs</v>
      </c>
      <c r="G1947" s="7" t="str">
        <f t="shared" si="153"/>
        <v>product 1</v>
      </c>
      <c r="H1947">
        <f t="shared" si="154"/>
        <v>2024</v>
      </c>
      <c r="I1947">
        <f t="shared" si="155"/>
        <v>9</v>
      </c>
      <c r="J1947">
        <f t="shared" si="151"/>
        <v>2035.8700000000001</v>
      </c>
    </row>
    <row r="1948" spans="1:10" ht="12.5" x14ac:dyDescent="0.25">
      <c r="A1948" s="1">
        <v>45562</v>
      </c>
      <c r="B1948" s="2" t="s">
        <v>8</v>
      </c>
      <c r="C1948" s="3">
        <v>16.989999999999998</v>
      </c>
      <c r="D1948" s="3">
        <v>7</v>
      </c>
      <c r="E1948" s="3">
        <v>118.92999999999999</v>
      </c>
      <c r="F1948" t="str">
        <f t="shared" si="152"/>
        <v>cogs</v>
      </c>
      <c r="G1948" s="7" t="str">
        <f t="shared" si="153"/>
        <v>product 2</v>
      </c>
      <c r="H1948">
        <f t="shared" si="154"/>
        <v>2024</v>
      </c>
      <c r="I1948">
        <f t="shared" si="155"/>
        <v>9</v>
      </c>
      <c r="J1948">
        <f t="shared" ref="J1948:J2011" si="156">IF(F1731="net sales",E1731,
IF(F1731="cogs",-E1731,
IF(OR(F1731="marketing",F1731="overhead",F1731="payroll",F1731="interest","amortization"),-E1731,0)))</f>
        <v>-335.44</v>
      </c>
    </row>
    <row r="1949" spans="1:10" ht="12.5" x14ac:dyDescent="0.25">
      <c r="A1949" s="1">
        <v>45562</v>
      </c>
      <c r="B1949" s="2" t="s">
        <v>9</v>
      </c>
      <c r="C1949" s="3">
        <v>8.49</v>
      </c>
      <c r="D1949" s="3">
        <v>89</v>
      </c>
      <c r="E1949" s="3">
        <v>755.61</v>
      </c>
      <c r="F1949" t="str">
        <f t="shared" si="152"/>
        <v>cogs</v>
      </c>
      <c r="G1949" s="7" t="str">
        <f t="shared" si="153"/>
        <v>product 3</v>
      </c>
      <c r="H1949">
        <f t="shared" si="154"/>
        <v>2024</v>
      </c>
      <c r="I1949">
        <f t="shared" si="155"/>
        <v>9</v>
      </c>
      <c r="J1949">
        <f t="shared" si="156"/>
        <v>-67.959999999999994</v>
      </c>
    </row>
    <row r="1950" spans="1:10" ht="12.5" x14ac:dyDescent="0.25">
      <c r="A1950" s="1">
        <v>45562</v>
      </c>
      <c r="B1950" s="2" t="s">
        <v>10</v>
      </c>
      <c r="C1950" s="2" t="s">
        <v>6</v>
      </c>
      <c r="D1950" s="2" t="s">
        <v>6</v>
      </c>
      <c r="E1950" s="3">
        <v>100.07000000000001</v>
      </c>
      <c r="F1950" t="str">
        <f t="shared" si="152"/>
        <v>marketing</v>
      </c>
      <c r="G1950" s="7" t="s">
        <v>6</v>
      </c>
      <c r="H1950">
        <f t="shared" si="154"/>
        <v>2024</v>
      </c>
      <c r="I1950">
        <f t="shared" si="155"/>
        <v>9</v>
      </c>
      <c r="J1950">
        <f t="shared" si="156"/>
        <v>-840.51</v>
      </c>
    </row>
    <row r="1951" spans="1:10" ht="12.5" x14ac:dyDescent="0.25">
      <c r="A1951" s="1">
        <v>45562</v>
      </c>
      <c r="B1951" s="2" t="s">
        <v>11</v>
      </c>
      <c r="C1951" s="3">
        <v>9.99</v>
      </c>
      <c r="D1951" s="3">
        <v>63</v>
      </c>
      <c r="E1951" s="3">
        <v>629.37</v>
      </c>
      <c r="F1951" t="str">
        <f t="shared" si="152"/>
        <v>net sales</v>
      </c>
      <c r="G1951" s="7" t="str">
        <f t="shared" si="153"/>
        <v>product 1</v>
      </c>
      <c r="H1951">
        <f t="shared" si="154"/>
        <v>2024</v>
      </c>
      <c r="I1951">
        <f t="shared" si="155"/>
        <v>9</v>
      </c>
      <c r="J1951">
        <f t="shared" si="156"/>
        <v>-99.97</v>
      </c>
    </row>
    <row r="1952" spans="1:10" ht="12.5" x14ac:dyDescent="0.25">
      <c r="A1952" s="1">
        <v>45562</v>
      </c>
      <c r="B1952" s="2" t="s">
        <v>12</v>
      </c>
      <c r="C1952" s="3">
        <v>24.99</v>
      </c>
      <c r="D1952" s="3">
        <v>7</v>
      </c>
      <c r="E1952" s="3">
        <v>174.92999999999998</v>
      </c>
      <c r="F1952" t="str">
        <f t="shared" si="152"/>
        <v>net sales</v>
      </c>
      <c r="G1952" s="7" t="str">
        <f t="shared" si="153"/>
        <v>product 2</v>
      </c>
      <c r="H1952">
        <f t="shared" si="154"/>
        <v>2024</v>
      </c>
      <c r="I1952">
        <f t="shared" si="155"/>
        <v>9</v>
      </c>
      <c r="J1952">
        <f t="shared" si="156"/>
        <v>559.44000000000005</v>
      </c>
    </row>
    <row r="1953" spans="1:10" ht="12.5" x14ac:dyDescent="0.25">
      <c r="A1953" s="1">
        <v>45562</v>
      </c>
      <c r="B1953" s="2" t="s">
        <v>13</v>
      </c>
      <c r="C1953" s="3">
        <v>12.49</v>
      </c>
      <c r="D1953" s="3">
        <v>89</v>
      </c>
      <c r="E1953" s="3">
        <v>1111.6100000000001</v>
      </c>
      <c r="F1953" t="str">
        <f t="shared" si="152"/>
        <v>net sales</v>
      </c>
      <c r="G1953" s="7" t="str">
        <f t="shared" si="153"/>
        <v>product 3</v>
      </c>
      <c r="H1953">
        <f t="shared" si="154"/>
        <v>2024</v>
      </c>
      <c r="I1953">
        <f t="shared" si="155"/>
        <v>9</v>
      </c>
      <c r="J1953">
        <f t="shared" si="156"/>
        <v>99.96</v>
      </c>
    </row>
    <row r="1954" spans="1:10" ht="12.5" x14ac:dyDescent="0.25">
      <c r="A1954" s="1">
        <v>45562</v>
      </c>
      <c r="B1954" s="2" t="s">
        <v>15</v>
      </c>
      <c r="C1954" s="2" t="s">
        <v>6</v>
      </c>
      <c r="D1954" s="2" t="s">
        <v>6</v>
      </c>
      <c r="E1954" s="3">
        <v>1200</v>
      </c>
      <c r="F1954" t="str">
        <f t="shared" si="152"/>
        <v>payroll</v>
      </c>
      <c r="G1954" s="7" t="s">
        <v>6</v>
      </c>
      <c r="H1954">
        <f t="shared" si="154"/>
        <v>2024</v>
      </c>
      <c r="I1954">
        <f t="shared" si="155"/>
        <v>9</v>
      </c>
      <c r="J1954">
        <f t="shared" si="156"/>
        <v>1236.51</v>
      </c>
    </row>
    <row r="1955" spans="1:10" ht="12.5" x14ac:dyDescent="0.25">
      <c r="A1955" s="1">
        <v>45563</v>
      </c>
      <c r="B1955" s="2" t="s">
        <v>7</v>
      </c>
      <c r="C1955" s="3">
        <v>5.99</v>
      </c>
      <c r="D1955" s="3">
        <v>33</v>
      </c>
      <c r="E1955" s="3">
        <v>197.67000000000002</v>
      </c>
      <c r="F1955" t="str">
        <f t="shared" si="152"/>
        <v>cogs</v>
      </c>
      <c r="G1955" s="7" t="str">
        <f t="shared" si="153"/>
        <v>product 1</v>
      </c>
      <c r="H1955">
        <f t="shared" si="154"/>
        <v>2024</v>
      </c>
      <c r="I1955">
        <f t="shared" si="155"/>
        <v>9</v>
      </c>
      <c r="J1955">
        <f t="shared" si="156"/>
        <v>-119.80000000000001</v>
      </c>
    </row>
    <row r="1956" spans="1:10" ht="12.5" x14ac:dyDescent="0.25">
      <c r="A1956" s="1">
        <v>45563</v>
      </c>
      <c r="B1956" s="2" t="s">
        <v>8</v>
      </c>
      <c r="C1956" s="3">
        <v>16.989999999999998</v>
      </c>
      <c r="D1956" s="3">
        <v>3</v>
      </c>
      <c r="E1956" s="3">
        <v>50.97</v>
      </c>
      <c r="F1956" t="str">
        <f t="shared" si="152"/>
        <v>cogs</v>
      </c>
      <c r="G1956" s="7" t="str">
        <f t="shared" si="153"/>
        <v>product 2</v>
      </c>
      <c r="H1956">
        <f t="shared" si="154"/>
        <v>2024</v>
      </c>
      <c r="I1956">
        <f t="shared" si="155"/>
        <v>9</v>
      </c>
      <c r="J1956">
        <f t="shared" si="156"/>
        <v>-16.989999999999998</v>
      </c>
    </row>
    <row r="1957" spans="1:10" ht="12.5" x14ac:dyDescent="0.25">
      <c r="A1957" s="1">
        <v>45563</v>
      </c>
      <c r="B1957" s="2" t="s">
        <v>9</v>
      </c>
      <c r="C1957" s="3">
        <v>8.49</v>
      </c>
      <c r="D1957" s="3">
        <v>242</v>
      </c>
      <c r="E1957" s="3">
        <v>2054.58</v>
      </c>
      <c r="F1957" t="str">
        <f t="shared" si="152"/>
        <v>cogs</v>
      </c>
      <c r="G1957" s="7" t="str">
        <f t="shared" si="153"/>
        <v>product 3</v>
      </c>
      <c r="H1957">
        <f t="shared" si="154"/>
        <v>2024</v>
      </c>
      <c r="I1957">
        <f t="shared" si="155"/>
        <v>9</v>
      </c>
      <c r="J1957">
        <f t="shared" si="156"/>
        <v>-1553.67</v>
      </c>
    </row>
    <row r="1958" spans="1:10" ht="12.5" x14ac:dyDescent="0.25">
      <c r="A1958" s="1">
        <v>45563</v>
      </c>
      <c r="B1958" s="2" t="s">
        <v>10</v>
      </c>
      <c r="C1958" s="2" t="s">
        <v>6</v>
      </c>
      <c r="D1958" s="2" t="s">
        <v>6</v>
      </c>
      <c r="E1958" s="3">
        <v>100.05</v>
      </c>
      <c r="F1958" t="str">
        <f t="shared" si="152"/>
        <v>marketing</v>
      </c>
      <c r="G1958" s="7" t="s">
        <v>6</v>
      </c>
      <c r="H1958">
        <f t="shared" si="154"/>
        <v>2024</v>
      </c>
      <c r="I1958">
        <f t="shared" si="155"/>
        <v>9</v>
      </c>
      <c r="J1958">
        <f t="shared" si="156"/>
        <v>-100.06</v>
      </c>
    </row>
    <row r="1959" spans="1:10" ht="12.5" x14ac:dyDescent="0.25">
      <c r="A1959" s="1">
        <v>45563</v>
      </c>
      <c r="B1959" s="2" t="s">
        <v>11</v>
      </c>
      <c r="C1959" s="3">
        <v>9.99</v>
      </c>
      <c r="D1959" s="3">
        <v>33</v>
      </c>
      <c r="E1959" s="3">
        <v>329.67</v>
      </c>
      <c r="F1959" t="str">
        <f t="shared" si="152"/>
        <v>net sales</v>
      </c>
      <c r="G1959" s="7" t="str">
        <f t="shared" si="153"/>
        <v>product 1</v>
      </c>
      <c r="H1959">
        <f t="shared" si="154"/>
        <v>2024</v>
      </c>
      <c r="I1959">
        <f t="shared" si="155"/>
        <v>9</v>
      </c>
      <c r="J1959">
        <f t="shared" si="156"/>
        <v>199.8</v>
      </c>
    </row>
    <row r="1960" spans="1:10" ht="12.5" x14ac:dyDescent="0.25">
      <c r="A1960" s="1">
        <v>45563</v>
      </c>
      <c r="B1960" s="2" t="s">
        <v>12</v>
      </c>
      <c r="C1960" s="3">
        <v>24.99</v>
      </c>
      <c r="D1960" s="3">
        <v>3</v>
      </c>
      <c r="E1960" s="3">
        <v>74.97</v>
      </c>
      <c r="F1960" t="str">
        <f t="shared" si="152"/>
        <v>net sales</v>
      </c>
      <c r="G1960" s="7" t="str">
        <f t="shared" si="153"/>
        <v>product 2</v>
      </c>
      <c r="H1960">
        <f t="shared" si="154"/>
        <v>2024</v>
      </c>
      <c r="I1960">
        <f t="shared" si="155"/>
        <v>9</v>
      </c>
      <c r="J1960">
        <f t="shared" si="156"/>
        <v>24.99</v>
      </c>
    </row>
    <row r="1961" spans="1:10" ht="12.5" x14ac:dyDescent="0.25">
      <c r="A1961" s="1">
        <v>45563</v>
      </c>
      <c r="B1961" s="2" t="s">
        <v>13</v>
      </c>
      <c r="C1961" s="3">
        <v>12.49</v>
      </c>
      <c r="D1961" s="3">
        <v>242</v>
      </c>
      <c r="E1961" s="3">
        <v>3022.58</v>
      </c>
      <c r="F1961" t="str">
        <f t="shared" si="152"/>
        <v>net sales</v>
      </c>
      <c r="G1961" s="7" t="str">
        <f t="shared" si="153"/>
        <v>product 3</v>
      </c>
      <c r="H1961">
        <f t="shared" si="154"/>
        <v>2024</v>
      </c>
      <c r="I1961">
        <f t="shared" si="155"/>
        <v>9</v>
      </c>
      <c r="J1961">
        <f t="shared" si="156"/>
        <v>2285.67</v>
      </c>
    </row>
    <row r="1962" spans="1:10" ht="12.5" x14ac:dyDescent="0.25">
      <c r="A1962" s="1">
        <v>45564</v>
      </c>
      <c r="B1962" s="2" t="s">
        <v>7</v>
      </c>
      <c r="C1962" s="3">
        <v>5.99</v>
      </c>
      <c r="D1962" s="3">
        <v>56</v>
      </c>
      <c r="E1962" s="3">
        <v>335.44</v>
      </c>
      <c r="F1962" t="str">
        <f t="shared" si="152"/>
        <v>cogs</v>
      </c>
      <c r="G1962" s="7" t="str">
        <f t="shared" si="153"/>
        <v>product 1</v>
      </c>
      <c r="H1962">
        <f t="shared" si="154"/>
        <v>2024</v>
      </c>
      <c r="I1962">
        <f t="shared" si="155"/>
        <v>9</v>
      </c>
      <c r="J1962">
        <f t="shared" si="156"/>
        <v>-581.03</v>
      </c>
    </row>
    <row r="1963" spans="1:10" ht="12.5" x14ac:dyDescent="0.25">
      <c r="A1963" s="1">
        <v>45564</v>
      </c>
      <c r="B1963" s="2" t="s">
        <v>8</v>
      </c>
      <c r="C1963" s="3">
        <v>16.989999999999998</v>
      </c>
      <c r="D1963" s="3">
        <v>2</v>
      </c>
      <c r="E1963" s="3">
        <v>33.979999999999997</v>
      </c>
      <c r="F1963" t="str">
        <f t="shared" si="152"/>
        <v>cogs</v>
      </c>
      <c r="G1963" s="7" t="str">
        <f t="shared" si="153"/>
        <v>product 2</v>
      </c>
      <c r="H1963">
        <f t="shared" si="154"/>
        <v>2024</v>
      </c>
      <c r="I1963">
        <f t="shared" si="155"/>
        <v>9</v>
      </c>
      <c r="J1963">
        <f t="shared" si="156"/>
        <v>0</v>
      </c>
    </row>
    <row r="1964" spans="1:10" ht="12.5" x14ac:dyDescent="0.25">
      <c r="A1964" s="1">
        <v>45564</v>
      </c>
      <c r="B1964" s="2" t="s">
        <v>9</v>
      </c>
      <c r="C1964" s="3">
        <v>8.49</v>
      </c>
      <c r="D1964" s="3">
        <v>48</v>
      </c>
      <c r="E1964" s="3">
        <v>407.52</v>
      </c>
      <c r="F1964" t="str">
        <f t="shared" si="152"/>
        <v>cogs</v>
      </c>
      <c r="G1964" s="7" t="str">
        <f t="shared" si="153"/>
        <v>product 3</v>
      </c>
      <c r="H1964">
        <f t="shared" si="154"/>
        <v>2024</v>
      </c>
      <c r="I1964">
        <f t="shared" si="155"/>
        <v>9</v>
      </c>
      <c r="J1964">
        <f t="shared" si="156"/>
        <v>-1502.73</v>
      </c>
    </row>
    <row r="1965" spans="1:10" ht="12.5" x14ac:dyDescent="0.25">
      <c r="A1965" s="1">
        <v>45564</v>
      </c>
      <c r="B1965" s="2" t="s">
        <v>10</v>
      </c>
      <c r="C1965" s="2" t="s">
        <v>6</v>
      </c>
      <c r="D1965" s="2" t="s">
        <v>6</v>
      </c>
      <c r="E1965" s="3">
        <v>100</v>
      </c>
      <c r="F1965" t="str">
        <f t="shared" si="152"/>
        <v>marketing</v>
      </c>
      <c r="G1965" s="7" t="s">
        <v>6</v>
      </c>
      <c r="H1965">
        <f t="shared" si="154"/>
        <v>2024</v>
      </c>
      <c r="I1965">
        <f t="shared" si="155"/>
        <v>9</v>
      </c>
      <c r="J1965">
        <f t="shared" si="156"/>
        <v>-99.990000000000009</v>
      </c>
    </row>
    <row r="1966" spans="1:10" ht="12.5" x14ac:dyDescent="0.25">
      <c r="A1966" s="1">
        <v>45564</v>
      </c>
      <c r="B1966" s="2" t="s">
        <v>11</v>
      </c>
      <c r="C1966" s="3">
        <v>9.99</v>
      </c>
      <c r="D1966" s="3">
        <v>56</v>
      </c>
      <c r="E1966" s="3">
        <v>559.44000000000005</v>
      </c>
      <c r="F1966" t="str">
        <f t="shared" si="152"/>
        <v>net sales</v>
      </c>
      <c r="G1966" s="7" t="str">
        <f t="shared" si="153"/>
        <v>product 1</v>
      </c>
      <c r="H1966">
        <f t="shared" si="154"/>
        <v>2024</v>
      </c>
      <c r="I1966">
        <f t="shared" si="155"/>
        <v>9</v>
      </c>
      <c r="J1966">
        <f t="shared" si="156"/>
        <v>969.03</v>
      </c>
    </row>
    <row r="1967" spans="1:10" ht="12.5" x14ac:dyDescent="0.25">
      <c r="A1967" s="1">
        <v>45564</v>
      </c>
      <c r="B1967" s="2" t="s">
        <v>12</v>
      </c>
      <c r="C1967" s="3">
        <v>24.99</v>
      </c>
      <c r="D1967" s="3">
        <v>2</v>
      </c>
      <c r="E1967" s="3">
        <v>49.98</v>
      </c>
      <c r="F1967" t="str">
        <f t="shared" si="152"/>
        <v>net sales</v>
      </c>
      <c r="G1967" s="7" t="str">
        <f t="shared" si="153"/>
        <v>product 2</v>
      </c>
      <c r="H1967">
        <f t="shared" si="154"/>
        <v>2024</v>
      </c>
      <c r="I1967">
        <f t="shared" si="155"/>
        <v>9</v>
      </c>
      <c r="J1967">
        <f t="shared" si="156"/>
        <v>0</v>
      </c>
    </row>
    <row r="1968" spans="1:10" ht="12.5" x14ac:dyDescent="0.25">
      <c r="A1968" s="1">
        <v>45564</v>
      </c>
      <c r="B1968" s="2" t="s">
        <v>13</v>
      </c>
      <c r="C1968" s="3">
        <v>12.49</v>
      </c>
      <c r="D1968" s="3">
        <v>48</v>
      </c>
      <c r="E1968" s="3">
        <v>599.52</v>
      </c>
      <c r="F1968" t="str">
        <f t="shared" si="152"/>
        <v>net sales</v>
      </c>
      <c r="G1968" s="7" t="str">
        <f t="shared" si="153"/>
        <v>product 3</v>
      </c>
      <c r="H1968">
        <f t="shared" si="154"/>
        <v>2024</v>
      </c>
      <c r="I1968">
        <f t="shared" si="155"/>
        <v>9</v>
      </c>
      <c r="J1968">
        <f t="shared" si="156"/>
        <v>2210.73</v>
      </c>
    </row>
    <row r="1969" spans="1:10" ht="12.5" x14ac:dyDescent="0.25">
      <c r="A1969" s="1">
        <v>45565</v>
      </c>
      <c r="B1969" s="2" t="s">
        <v>7</v>
      </c>
      <c r="C1969" s="3">
        <v>5.99</v>
      </c>
      <c r="D1969" s="3">
        <v>76</v>
      </c>
      <c r="E1969" s="3">
        <v>455.24</v>
      </c>
      <c r="F1969" t="str">
        <f t="shared" si="152"/>
        <v>cogs</v>
      </c>
      <c r="G1969" s="7" t="str">
        <f t="shared" si="153"/>
        <v>product 1</v>
      </c>
      <c r="H1969">
        <f t="shared" si="154"/>
        <v>2024</v>
      </c>
      <c r="I1969">
        <f t="shared" si="155"/>
        <v>9</v>
      </c>
      <c r="J1969">
        <f t="shared" si="156"/>
        <v>-1200</v>
      </c>
    </row>
    <row r="1970" spans="1:10" ht="12.5" x14ac:dyDescent="0.25">
      <c r="A1970" s="1">
        <v>45565</v>
      </c>
      <c r="B1970" s="2" t="s">
        <v>8</v>
      </c>
      <c r="C1970" s="3">
        <v>16.989999999999998</v>
      </c>
      <c r="D1970" s="3">
        <v>1</v>
      </c>
      <c r="E1970" s="3">
        <v>16.989999999999998</v>
      </c>
      <c r="F1970" t="str">
        <f t="shared" si="152"/>
        <v>cogs</v>
      </c>
      <c r="G1970" s="7" t="str">
        <f t="shared" si="153"/>
        <v>product 2</v>
      </c>
      <c r="H1970">
        <f t="shared" si="154"/>
        <v>2024</v>
      </c>
      <c r="I1970">
        <f t="shared" si="155"/>
        <v>9</v>
      </c>
      <c r="J1970">
        <f t="shared" si="156"/>
        <v>-287.52</v>
      </c>
    </row>
    <row r="1971" spans="1:10" ht="12.5" x14ac:dyDescent="0.25">
      <c r="A1971" s="1">
        <v>45565</v>
      </c>
      <c r="B1971" s="2" t="s">
        <v>9</v>
      </c>
      <c r="C1971" s="3">
        <v>8.49</v>
      </c>
      <c r="D1971" s="3">
        <v>164</v>
      </c>
      <c r="E1971" s="3">
        <v>1392.3600000000001</v>
      </c>
      <c r="F1971" t="str">
        <f t="shared" si="152"/>
        <v>cogs</v>
      </c>
      <c r="G1971" s="7" t="str">
        <f t="shared" si="153"/>
        <v>product 3</v>
      </c>
      <c r="H1971">
        <f t="shared" si="154"/>
        <v>2024</v>
      </c>
      <c r="I1971">
        <f t="shared" si="155"/>
        <v>9</v>
      </c>
      <c r="J1971">
        <f t="shared" si="156"/>
        <v>-101.94</v>
      </c>
    </row>
    <row r="1972" spans="1:10" ht="12.5" x14ac:dyDescent="0.25">
      <c r="A1972" s="1">
        <v>45565</v>
      </c>
      <c r="B1972" s="2" t="s">
        <v>10</v>
      </c>
      <c r="C1972" s="2" t="s">
        <v>6</v>
      </c>
      <c r="D1972" s="2" t="s">
        <v>6</v>
      </c>
      <c r="E1972" s="3">
        <v>100.09</v>
      </c>
      <c r="F1972" t="str">
        <f t="shared" si="152"/>
        <v>marketing</v>
      </c>
      <c r="G1972" s="7" t="s">
        <v>6</v>
      </c>
      <c r="H1972">
        <f t="shared" si="154"/>
        <v>2024</v>
      </c>
      <c r="I1972">
        <f t="shared" si="155"/>
        <v>9</v>
      </c>
      <c r="J1972">
        <f t="shared" si="156"/>
        <v>-568.83000000000004</v>
      </c>
    </row>
    <row r="1973" spans="1:10" ht="12.5" x14ac:dyDescent="0.25">
      <c r="A1973" s="1">
        <v>45565</v>
      </c>
      <c r="B1973" s="2" t="s">
        <v>11</v>
      </c>
      <c r="C1973" s="3">
        <v>9.99</v>
      </c>
      <c r="D1973" s="3">
        <v>76</v>
      </c>
      <c r="E1973" s="3">
        <v>759.24</v>
      </c>
      <c r="F1973" t="str">
        <f t="shared" si="152"/>
        <v>net sales</v>
      </c>
      <c r="G1973" s="7" t="str">
        <f t="shared" si="153"/>
        <v>product 1</v>
      </c>
      <c r="H1973">
        <f t="shared" si="154"/>
        <v>2024</v>
      </c>
      <c r="I1973">
        <f t="shared" si="155"/>
        <v>9</v>
      </c>
      <c r="J1973">
        <f t="shared" si="156"/>
        <v>-100.08</v>
      </c>
    </row>
    <row r="1974" spans="1:10" ht="12.5" x14ac:dyDescent="0.25">
      <c r="A1974" s="1">
        <v>45565</v>
      </c>
      <c r="B1974" s="2" t="s">
        <v>12</v>
      </c>
      <c r="C1974" s="3">
        <v>24.99</v>
      </c>
      <c r="D1974" s="3">
        <v>1</v>
      </c>
      <c r="E1974" s="3">
        <v>24.99</v>
      </c>
      <c r="F1974" t="str">
        <f t="shared" si="152"/>
        <v>net sales</v>
      </c>
      <c r="G1974" s="7" t="str">
        <f t="shared" si="153"/>
        <v>product 2</v>
      </c>
      <c r="H1974">
        <f t="shared" si="154"/>
        <v>2024</v>
      </c>
      <c r="I1974">
        <f t="shared" si="155"/>
        <v>9</v>
      </c>
      <c r="J1974">
        <f t="shared" si="156"/>
        <v>479.52</v>
      </c>
    </row>
    <row r="1975" spans="1:10" ht="12.5" x14ac:dyDescent="0.25">
      <c r="A1975" s="1">
        <v>45565</v>
      </c>
      <c r="B1975" s="2" t="s">
        <v>13</v>
      </c>
      <c r="C1975" s="3">
        <v>12.49</v>
      </c>
      <c r="D1975" s="3">
        <v>164</v>
      </c>
      <c r="E1975" s="3">
        <v>2048.36</v>
      </c>
      <c r="F1975" t="str">
        <f t="shared" si="152"/>
        <v>net sales</v>
      </c>
      <c r="G1975" s="7" t="str">
        <f t="shared" si="153"/>
        <v>product 3</v>
      </c>
      <c r="H1975">
        <f t="shared" si="154"/>
        <v>2024</v>
      </c>
      <c r="I1975">
        <f t="shared" si="155"/>
        <v>9</v>
      </c>
      <c r="J1975">
        <f t="shared" si="156"/>
        <v>149.94</v>
      </c>
    </row>
    <row r="1976" spans="1:10" ht="12.5" x14ac:dyDescent="0.25">
      <c r="A1976" s="1">
        <v>45566</v>
      </c>
      <c r="B1976" s="2" t="s">
        <v>5</v>
      </c>
      <c r="C1976" s="2" t="s">
        <v>6</v>
      </c>
      <c r="D1976" s="2" t="s">
        <v>6</v>
      </c>
      <c r="E1976" s="3">
        <v>50</v>
      </c>
      <c r="F1976" t="str">
        <f t="shared" si="152"/>
        <v>amortization</v>
      </c>
      <c r="G1976" s="7" t="s">
        <v>6</v>
      </c>
      <c r="H1976">
        <f t="shared" si="154"/>
        <v>2024</v>
      </c>
      <c r="I1976">
        <f t="shared" si="155"/>
        <v>10</v>
      </c>
      <c r="J1976">
        <f t="shared" si="156"/>
        <v>836.83</v>
      </c>
    </row>
    <row r="1977" spans="1:10" ht="12.5" x14ac:dyDescent="0.25">
      <c r="A1977" s="1">
        <v>45566</v>
      </c>
      <c r="B1977" s="2" t="s">
        <v>7</v>
      </c>
      <c r="C1977" s="3">
        <v>5.99</v>
      </c>
      <c r="D1977" s="3">
        <v>52</v>
      </c>
      <c r="E1977" s="3">
        <v>311.48</v>
      </c>
      <c r="F1977" t="str">
        <f t="shared" si="152"/>
        <v>cogs</v>
      </c>
      <c r="G1977" s="7" t="str">
        <f t="shared" si="153"/>
        <v>product 1</v>
      </c>
      <c r="H1977">
        <f t="shared" si="154"/>
        <v>2024</v>
      </c>
      <c r="I1977">
        <f t="shared" si="155"/>
        <v>10</v>
      </c>
      <c r="J1977">
        <f t="shared" si="156"/>
        <v>0</v>
      </c>
    </row>
    <row r="1978" spans="1:10" ht="12.5" x14ac:dyDescent="0.25">
      <c r="A1978" s="1">
        <v>45566</v>
      </c>
      <c r="B1978" s="2" t="s">
        <v>8</v>
      </c>
      <c r="C1978" s="3">
        <v>16.989999999999998</v>
      </c>
      <c r="D1978" s="3">
        <v>8</v>
      </c>
      <c r="E1978" s="3">
        <v>135.91999999999999</v>
      </c>
      <c r="F1978" t="str">
        <f t="shared" si="152"/>
        <v>cogs</v>
      </c>
      <c r="G1978" s="7" t="str">
        <f t="shared" si="153"/>
        <v>product 2</v>
      </c>
      <c r="H1978">
        <f t="shared" si="154"/>
        <v>2024</v>
      </c>
      <c r="I1978">
        <f t="shared" si="155"/>
        <v>10</v>
      </c>
      <c r="J1978">
        <f t="shared" si="156"/>
        <v>-323.46000000000004</v>
      </c>
    </row>
    <row r="1979" spans="1:10" ht="12.5" x14ac:dyDescent="0.25">
      <c r="A1979" s="1">
        <v>45566</v>
      </c>
      <c r="B1979" s="2" t="s">
        <v>9</v>
      </c>
      <c r="C1979" s="3">
        <v>8.49</v>
      </c>
      <c r="D1979" s="3">
        <v>146</v>
      </c>
      <c r="E1979" s="3">
        <v>1239.54</v>
      </c>
      <c r="F1979" t="str">
        <f t="shared" si="152"/>
        <v>cogs</v>
      </c>
      <c r="G1979" s="7" t="str">
        <f t="shared" si="153"/>
        <v>product 3</v>
      </c>
      <c r="H1979">
        <f t="shared" si="154"/>
        <v>2024</v>
      </c>
      <c r="I1979">
        <f t="shared" si="155"/>
        <v>10</v>
      </c>
      <c r="J1979">
        <f t="shared" si="156"/>
        <v>-101.94</v>
      </c>
    </row>
    <row r="1980" spans="1:10" ht="12.5" x14ac:dyDescent="0.25">
      <c r="A1980" s="1">
        <v>45566</v>
      </c>
      <c r="B1980" s="2" t="s">
        <v>10</v>
      </c>
      <c r="C1980" s="2" t="s">
        <v>6</v>
      </c>
      <c r="D1980" s="2" t="s">
        <v>6</v>
      </c>
      <c r="E1980" s="3">
        <v>99.92</v>
      </c>
      <c r="F1980" t="str">
        <f t="shared" si="152"/>
        <v>marketing</v>
      </c>
      <c r="G1980" s="7" t="s">
        <v>6</v>
      </c>
      <c r="H1980">
        <f t="shared" si="154"/>
        <v>2024</v>
      </c>
      <c r="I1980">
        <f t="shared" si="155"/>
        <v>10</v>
      </c>
      <c r="J1980">
        <f t="shared" si="156"/>
        <v>-2080.0500000000002</v>
      </c>
    </row>
    <row r="1981" spans="1:10" ht="12.5" x14ac:dyDescent="0.25">
      <c r="A1981" s="1">
        <v>45566</v>
      </c>
      <c r="B1981" s="2" t="s">
        <v>11</v>
      </c>
      <c r="C1981" s="3">
        <v>9.99</v>
      </c>
      <c r="D1981" s="3">
        <v>52</v>
      </c>
      <c r="E1981" s="3">
        <v>519.48</v>
      </c>
      <c r="F1981" t="str">
        <f t="shared" si="152"/>
        <v>net sales</v>
      </c>
      <c r="G1981" s="7" t="str">
        <f t="shared" si="153"/>
        <v>product 1</v>
      </c>
      <c r="H1981">
        <f t="shared" si="154"/>
        <v>2024</v>
      </c>
      <c r="I1981">
        <f t="shared" si="155"/>
        <v>10</v>
      </c>
      <c r="J1981">
        <f t="shared" si="156"/>
        <v>-99.9</v>
      </c>
    </row>
    <row r="1982" spans="1:10" ht="12.5" x14ac:dyDescent="0.25">
      <c r="A1982" s="1">
        <v>45566</v>
      </c>
      <c r="B1982" s="2" t="s">
        <v>12</v>
      </c>
      <c r="C1982" s="3">
        <v>24.99</v>
      </c>
      <c r="D1982" s="3">
        <v>8</v>
      </c>
      <c r="E1982" s="3">
        <v>199.92</v>
      </c>
      <c r="F1982" t="str">
        <f t="shared" si="152"/>
        <v>net sales</v>
      </c>
      <c r="G1982" s="7" t="str">
        <f t="shared" si="153"/>
        <v>product 2</v>
      </c>
      <c r="H1982">
        <f t="shared" si="154"/>
        <v>2024</v>
      </c>
      <c r="I1982">
        <f t="shared" si="155"/>
        <v>10</v>
      </c>
      <c r="J1982">
        <f t="shared" si="156"/>
        <v>539.46</v>
      </c>
    </row>
    <row r="1983" spans="1:10" ht="12.5" x14ac:dyDescent="0.25">
      <c r="A1983" s="1">
        <v>45566</v>
      </c>
      <c r="B1983" s="2" t="s">
        <v>13</v>
      </c>
      <c r="C1983" s="3">
        <v>12.49</v>
      </c>
      <c r="D1983" s="3">
        <v>146</v>
      </c>
      <c r="E1983" s="3">
        <v>1823.54</v>
      </c>
      <c r="F1983" t="str">
        <f t="shared" si="152"/>
        <v>net sales</v>
      </c>
      <c r="G1983" s="7" t="str">
        <f t="shared" si="153"/>
        <v>product 3</v>
      </c>
      <c r="H1983">
        <f t="shared" si="154"/>
        <v>2024</v>
      </c>
      <c r="I1983">
        <f t="shared" si="155"/>
        <v>10</v>
      </c>
      <c r="J1983">
        <f t="shared" si="156"/>
        <v>149.94</v>
      </c>
    </row>
    <row r="1984" spans="1:10" ht="12.5" x14ac:dyDescent="0.25">
      <c r="A1984" s="1">
        <v>45566</v>
      </c>
      <c r="B1984" s="2" t="s">
        <v>14</v>
      </c>
      <c r="C1984" s="2" t="s">
        <v>6</v>
      </c>
      <c r="D1984" s="2" t="s">
        <v>6</v>
      </c>
      <c r="E1984" s="3">
        <v>2000</v>
      </c>
      <c r="F1984" t="str">
        <f t="shared" si="152"/>
        <v>overhead</v>
      </c>
      <c r="G1984" s="7" t="s">
        <v>6</v>
      </c>
      <c r="H1984">
        <f t="shared" si="154"/>
        <v>2024</v>
      </c>
      <c r="I1984">
        <f t="shared" si="155"/>
        <v>10</v>
      </c>
      <c r="J1984">
        <f t="shared" si="156"/>
        <v>3060.05</v>
      </c>
    </row>
    <row r="1985" spans="1:10" ht="12.5" x14ac:dyDescent="0.25">
      <c r="A1985" s="1">
        <v>45567</v>
      </c>
      <c r="B1985" s="2" t="s">
        <v>7</v>
      </c>
      <c r="C1985" s="3">
        <v>5.99</v>
      </c>
      <c r="D1985" s="3">
        <v>24</v>
      </c>
      <c r="E1985" s="3">
        <v>143.76</v>
      </c>
      <c r="F1985" t="str">
        <f t="shared" si="152"/>
        <v>cogs</v>
      </c>
      <c r="G1985" s="7" t="str">
        <f t="shared" si="153"/>
        <v>product 1</v>
      </c>
      <c r="H1985">
        <f t="shared" si="154"/>
        <v>2024</v>
      </c>
      <c r="I1985">
        <f t="shared" si="155"/>
        <v>10</v>
      </c>
      <c r="J1985">
        <f t="shared" si="156"/>
        <v>-2000</v>
      </c>
    </row>
    <row r="1986" spans="1:10" ht="12.5" x14ac:dyDescent="0.25">
      <c r="A1986" s="1">
        <v>45567</v>
      </c>
      <c r="B1986" s="2" t="s">
        <v>8</v>
      </c>
      <c r="C1986" s="3">
        <v>16.989999999999998</v>
      </c>
      <c r="D1986" s="3">
        <v>3</v>
      </c>
      <c r="E1986" s="3">
        <v>50.97</v>
      </c>
      <c r="F1986" t="str">
        <f t="shared" si="152"/>
        <v>cogs</v>
      </c>
      <c r="G1986" s="7" t="str">
        <f t="shared" si="153"/>
        <v>product 2</v>
      </c>
      <c r="H1986">
        <f t="shared" si="154"/>
        <v>2024</v>
      </c>
      <c r="I1986">
        <f t="shared" si="155"/>
        <v>10</v>
      </c>
      <c r="J1986">
        <f t="shared" si="156"/>
        <v>-371.38</v>
      </c>
    </row>
    <row r="1987" spans="1:10" ht="12.5" x14ac:dyDescent="0.25">
      <c r="A1987" s="1">
        <v>45567</v>
      </c>
      <c r="B1987" s="2" t="s">
        <v>9</v>
      </c>
      <c r="C1987" s="3">
        <v>8.49</v>
      </c>
      <c r="D1987" s="3">
        <v>226</v>
      </c>
      <c r="E1987" s="3">
        <v>1918.74</v>
      </c>
      <c r="F1987" t="str">
        <f t="shared" ref="F1987:F2050" si="157">IFERROR(LEFT(B1987,FIND(":",B1987)-1),B1987)</f>
        <v>cogs</v>
      </c>
      <c r="G1987" s="7" t="str">
        <f t="shared" ref="G1987:G2050" si="158">IFERROR(RIGHT(B1987,LEN(B1987)-FIND(":",B1987)),"")</f>
        <v>product 3</v>
      </c>
      <c r="H1987">
        <f t="shared" ref="H1987:H2050" si="159">YEAR(A1987)</f>
        <v>2024</v>
      </c>
      <c r="I1987">
        <f t="shared" ref="I1987:I2050" si="160">MONTH(A1987)</f>
        <v>10</v>
      </c>
      <c r="J1987">
        <f t="shared" si="156"/>
        <v>-101.94</v>
      </c>
    </row>
    <row r="1988" spans="1:10" ht="12.5" x14ac:dyDescent="0.25">
      <c r="A1988" s="1">
        <v>45567</v>
      </c>
      <c r="B1988" s="2" t="s">
        <v>10</v>
      </c>
      <c r="C1988" s="2" t="s">
        <v>6</v>
      </c>
      <c r="D1988" s="2" t="s">
        <v>6</v>
      </c>
      <c r="E1988" s="3">
        <v>100.03</v>
      </c>
      <c r="F1988" t="str">
        <f t="shared" si="157"/>
        <v>marketing</v>
      </c>
      <c r="G1988" s="7" t="s">
        <v>6</v>
      </c>
      <c r="H1988">
        <f t="shared" si="159"/>
        <v>2024</v>
      </c>
      <c r="I1988">
        <f t="shared" si="160"/>
        <v>10</v>
      </c>
      <c r="J1988">
        <f t="shared" si="156"/>
        <v>-407.52</v>
      </c>
    </row>
    <row r="1989" spans="1:10" ht="12.5" x14ac:dyDescent="0.25">
      <c r="A1989" s="1">
        <v>45567</v>
      </c>
      <c r="B1989" s="2" t="s">
        <v>11</v>
      </c>
      <c r="C1989" s="3">
        <v>9.99</v>
      </c>
      <c r="D1989" s="3">
        <v>24</v>
      </c>
      <c r="E1989" s="3">
        <v>239.76</v>
      </c>
      <c r="F1989" t="str">
        <f t="shared" si="157"/>
        <v>net sales</v>
      </c>
      <c r="G1989" s="7" t="str">
        <f t="shared" si="158"/>
        <v>product 1</v>
      </c>
      <c r="H1989">
        <f t="shared" si="159"/>
        <v>2024</v>
      </c>
      <c r="I1989">
        <f t="shared" si="160"/>
        <v>10</v>
      </c>
      <c r="J1989">
        <f t="shared" si="156"/>
        <v>-100.06</v>
      </c>
    </row>
    <row r="1990" spans="1:10" ht="12.5" x14ac:dyDescent="0.25">
      <c r="A1990" s="1">
        <v>45567</v>
      </c>
      <c r="B1990" s="2" t="s">
        <v>12</v>
      </c>
      <c r="C1990" s="3">
        <v>24.99</v>
      </c>
      <c r="D1990" s="3">
        <v>3</v>
      </c>
      <c r="E1990" s="3">
        <v>74.97</v>
      </c>
      <c r="F1990" t="str">
        <f t="shared" si="157"/>
        <v>net sales</v>
      </c>
      <c r="G1990" s="7" t="str">
        <f t="shared" si="158"/>
        <v>product 2</v>
      </c>
      <c r="H1990">
        <f t="shared" si="159"/>
        <v>2024</v>
      </c>
      <c r="I1990">
        <f t="shared" si="160"/>
        <v>10</v>
      </c>
      <c r="J1990">
        <f t="shared" si="156"/>
        <v>619.38</v>
      </c>
    </row>
    <row r="1991" spans="1:10" ht="12.5" x14ac:dyDescent="0.25">
      <c r="A1991" s="1">
        <v>45567</v>
      </c>
      <c r="B1991" s="2" t="s">
        <v>13</v>
      </c>
      <c r="C1991" s="3">
        <v>12.49</v>
      </c>
      <c r="D1991" s="3">
        <v>226</v>
      </c>
      <c r="E1991" s="3">
        <v>2822.7400000000002</v>
      </c>
      <c r="F1991" t="str">
        <f t="shared" si="157"/>
        <v>net sales</v>
      </c>
      <c r="G1991" s="7" t="str">
        <f t="shared" si="158"/>
        <v>product 3</v>
      </c>
      <c r="H1991">
        <f t="shared" si="159"/>
        <v>2024</v>
      </c>
      <c r="I1991">
        <f t="shared" si="160"/>
        <v>10</v>
      </c>
      <c r="J1991">
        <f t="shared" si="156"/>
        <v>149.94</v>
      </c>
    </row>
    <row r="1992" spans="1:10" ht="12.5" x14ac:dyDescent="0.25">
      <c r="A1992" s="1">
        <v>45568</v>
      </c>
      <c r="B1992" s="2" t="s">
        <v>7</v>
      </c>
      <c r="C1992" s="3">
        <v>5.99</v>
      </c>
      <c r="D1992" s="3">
        <v>59</v>
      </c>
      <c r="E1992" s="3">
        <v>353.41</v>
      </c>
      <c r="F1992" t="str">
        <f t="shared" si="157"/>
        <v>cogs</v>
      </c>
      <c r="G1992" s="7" t="str">
        <f t="shared" si="158"/>
        <v>product 1</v>
      </c>
      <c r="H1992">
        <f t="shared" si="159"/>
        <v>2024</v>
      </c>
      <c r="I1992">
        <f t="shared" si="160"/>
        <v>10</v>
      </c>
      <c r="J1992">
        <f t="shared" si="156"/>
        <v>599.52</v>
      </c>
    </row>
    <row r="1993" spans="1:10" ht="12.5" x14ac:dyDescent="0.25">
      <c r="A1993" s="1">
        <v>45568</v>
      </c>
      <c r="B1993" s="2" t="s">
        <v>8</v>
      </c>
      <c r="C1993" s="3">
        <v>16.989999999999998</v>
      </c>
      <c r="D1993" s="3">
        <v>6</v>
      </c>
      <c r="E1993" s="3">
        <v>101.94</v>
      </c>
      <c r="F1993" t="str">
        <f t="shared" si="157"/>
        <v>cogs</v>
      </c>
      <c r="G1993" s="7" t="str">
        <f t="shared" si="158"/>
        <v>product 2</v>
      </c>
      <c r="H1993">
        <f t="shared" si="159"/>
        <v>2024</v>
      </c>
      <c r="I1993">
        <f t="shared" si="160"/>
        <v>10</v>
      </c>
      <c r="J1993">
        <f t="shared" si="156"/>
        <v>-149.75</v>
      </c>
    </row>
    <row r="1994" spans="1:10" ht="12.5" x14ac:dyDescent="0.25">
      <c r="A1994" s="1">
        <v>45568</v>
      </c>
      <c r="B1994" s="2" t="s">
        <v>9</v>
      </c>
      <c r="C1994" s="3">
        <v>8.49</v>
      </c>
      <c r="D1994" s="3">
        <v>120</v>
      </c>
      <c r="E1994" s="3">
        <v>1018.8000000000001</v>
      </c>
      <c r="F1994" t="str">
        <f t="shared" si="157"/>
        <v>cogs</v>
      </c>
      <c r="G1994" s="7" t="str">
        <f t="shared" si="158"/>
        <v>product 3</v>
      </c>
      <c r="H1994">
        <f t="shared" si="159"/>
        <v>2024</v>
      </c>
      <c r="I1994">
        <f t="shared" si="160"/>
        <v>10</v>
      </c>
      <c r="J1994">
        <f t="shared" si="156"/>
        <v>-50.97</v>
      </c>
    </row>
    <row r="1995" spans="1:10" ht="12.5" x14ac:dyDescent="0.25">
      <c r="A1995" s="1">
        <v>45568</v>
      </c>
      <c r="B1995" s="2" t="s">
        <v>10</v>
      </c>
      <c r="C1995" s="2" t="s">
        <v>6</v>
      </c>
      <c r="D1995" s="2" t="s">
        <v>6</v>
      </c>
      <c r="E1995" s="3">
        <v>99.91</v>
      </c>
      <c r="F1995" t="str">
        <f t="shared" si="157"/>
        <v>marketing</v>
      </c>
      <c r="G1995" s="7" t="s">
        <v>6</v>
      </c>
      <c r="H1995">
        <f t="shared" si="159"/>
        <v>2024</v>
      </c>
      <c r="I1995">
        <f t="shared" si="160"/>
        <v>10</v>
      </c>
      <c r="J1995">
        <f t="shared" si="156"/>
        <v>-339.6</v>
      </c>
    </row>
    <row r="1996" spans="1:10" ht="12.5" x14ac:dyDescent="0.25">
      <c r="A1996" s="1">
        <v>45568</v>
      </c>
      <c r="B1996" s="2" t="s">
        <v>11</v>
      </c>
      <c r="C1996" s="3">
        <v>9.99</v>
      </c>
      <c r="D1996" s="3">
        <v>59</v>
      </c>
      <c r="E1996" s="3">
        <v>589.41</v>
      </c>
      <c r="F1996" t="str">
        <f t="shared" si="157"/>
        <v>net sales</v>
      </c>
      <c r="G1996" s="7" t="str">
        <f t="shared" si="158"/>
        <v>product 1</v>
      </c>
      <c r="H1996">
        <f t="shared" si="159"/>
        <v>2024</v>
      </c>
      <c r="I1996">
        <f t="shared" si="160"/>
        <v>10</v>
      </c>
      <c r="J1996">
        <f t="shared" si="156"/>
        <v>-99.98</v>
      </c>
    </row>
    <row r="1997" spans="1:10" ht="12.5" x14ac:dyDescent="0.25">
      <c r="A1997" s="1">
        <v>45568</v>
      </c>
      <c r="B1997" s="2" t="s">
        <v>12</v>
      </c>
      <c r="C1997" s="3">
        <v>24.99</v>
      </c>
      <c r="D1997" s="3">
        <v>6</v>
      </c>
      <c r="E1997" s="3">
        <v>149.94</v>
      </c>
      <c r="F1997" t="str">
        <f t="shared" si="157"/>
        <v>net sales</v>
      </c>
      <c r="G1997" s="7" t="str">
        <f t="shared" si="158"/>
        <v>product 2</v>
      </c>
      <c r="H1997">
        <f t="shared" si="159"/>
        <v>2024</v>
      </c>
      <c r="I1997">
        <f t="shared" si="160"/>
        <v>10</v>
      </c>
      <c r="J1997">
        <f t="shared" si="156"/>
        <v>249.75</v>
      </c>
    </row>
    <row r="1998" spans="1:10" ht="12.5" x14ac:dyDescent="0.25">
      <c r="A1998" s="1">
        <v>45568</v>
      </c>
      <c r="B1998" s="2" t="s">
        <v>13</v>
      </c>
      <c r="C1998" s="3">
        <v>12.49</v>
      </c>
      <c r="D1998" s="3">
        <v>120</v>
      </c>
      <c r="E1998" s="3">
        <v>1498.8</v>
      </c>
      <c r="F1998" t="str">
        <f t="shared" si="157"/>
        <v>net sales</v>
      </c>
      <c r="G1998" s="7" t="str">
        <f t="shared" si="158"/>
        <v>product 3</v>
      </c>
      <c r="H1998">
        <f t="shared" si="159"/>
        <v>2024</v>
      </c>
      <c r="I1998">
        <f t="shared" si="160"/>
        <v>10</v>
      </c>
      <c r="J1998">
        <f t="shared" si="156"/>
        <v>74.97</v>
      </c>
    </row>
    <row r="1999" spans="1:10" ht="12.5" x14ac:dyDescent="0.25">
      <c r="A1999" s="1">
        <v>45569</v>
      </c>
      <c r="B1999" s="2" t="s">
        <v>7</v>
      </c>
      <c r="C1999" s="3">
        <v>5.99</v>
      </c>
      <c r="D1999" s="3">
        <v>91</v>
      </c>
      <c r="E1999" s="3">
        <v>545.09</v>
      </c>
      <c r="F1999" t="str">
        <f t="shared" si="157"/>
        <v>cogs</v>
      </c>
      <c r="G1999" s="7" t="str">
        <f t="shared" si="158"/>
        <v>product 1</v>
      </c>
      <c r="H1999">
        <f t="shared" si="159"/>
        <v>2024</v>
      </c>
      <c r="I1999">
        <f t="shared" si="160"/>
        <v>10</v>
      </c>
      <c r="J1999">
        <f t="shared" si="156"/>
        <v>499.6</v>
      </c>
    </row>
    <row r="2000" spans="1:10" ht="12.5" x14ac:dyDescent="0.25">
      <c r="A2000" s="1">
        <v>45569</v>
      </c>
      <c r="B2000" s="2" t="s">
        <v>8</v>
      </c>
      <c r="C2000" s="3">
        <v>16.989999999999998</v>
      </c>
      <c r="D2000" s="3">
        <v>1</v>
      </c>
      <c r="E2000" s="3">
        <v>16.989999999999998</v>
      </c>
      <c r="F2000" t="str">
        <f t="shared" si="157"/>
        <v>cogs</v>
      </c>
      <c r="G2000" s="7" t="str">
        <f t="shared" si="158"/>
        <v>product 2</v>
      </c>
      <c r="H2000">
        <f t="shared" si="159"/>
        <v>2024</v>
      </c>
      <c r="I2000">
        <f t="shared" si="160"/>
        <v>10</v>
      </c>
      <c r="J2000">
        <f t="shared" si="156"/>
        <v>-473.21000000000004</v>
      </c>
    </row>
    <row r="2001" spans="1:10" ht="12.5" x14ac:dyDescent="0.25">
      <c r="A2001" s="1">
        <v>45569</v>
      </c>
      <c r="B2001" s="2" t="s">
        <v>9</v>
      </c>
      <c r="C2001" s="3">
        <v>8.49</v>
      </c>
      <c r="D2001" s="3">
        <v>164</v>
      </c>
      <c r="E2001" s="3">
        <v>1392.3600000000001</v>
      </c>
      <c r="F2001" t="str">
        <f t="shared" si="157"/>
        <v>cogs</v>
      </c>
      <c r="G2001" s="7" t="str">
        <f t="shared" si="158"/>
        <v>product 3</v>
      </c>
      <c r="H2001">
        <f t="shared" si="159"/>
        <v>2024</v>
      </c>
      <c r="I2001">
        <f t="shared" si="160"/>
        <v>10</v>
      </c>
      <c r="J2001">
        <f t="shared" si="156"/>
        <v>-118.92999999999999</v>
      </c>
    </row>
    <row r="2002" spans="1:10" ht="12.5" x14ac:dyDescent="0.25">
      <c r="A2002" s="1">
        <v>45569</v>
      </c>
      <c r="B2002" s="2" t="s">
        <v>10</v>
      </c>
      <c r="C2002" s="2" t="s">
        <v>6</v>
      </c>
      <c r="D2002" s="2" t="s">
        <v>6</v>
      </c>
      <c r="E2002" s="3">
        <v>100.09</v>
      </c>
      <c r="F2002" t="str">
        <f t="shared" si="157"/>
        <v>marketing</v>
      </c>
      <c r="G2002" s="7" t="s">
        <v>6</v>
      </c>
      <c r="H2002">
        <f t="shared" si="159"/>
        <v>2024</v>
      </c>
      <c r="I2002">
        <f t="shared" si="160"/>
        <v>10</v>
      </c>
      <c r="J2002">
        <f t="shared" si="156"/>
        <v>-1969.68</v>
      </c>
    </row>
    <row r="2003" spans="1:10" ht="12.5" x14ac:dyDescent="0.25">
      <c r="A2003" s="1">
        <v>45569</v>
      </c>
      <c r="B2003" s="2" t="s">
        <v>11</v>
      </c>
      <c r="C2003" s="3">
        <v>9.99</v>
      </c>
      <c r="D2003" s="3">
        <v>91</v>
      </c>
      <c r="E2003" s="3">
        <v>909.09</v>
      </c>
      <c r="F2003" t="str">
        <f t="shared" si="157"/>
        <v>net sales</v>
      </c>
      <c r="G2003" s="7" t="str">
        <f t="shared" si="158"/>
        <v>product 1</v>
      </c>
      <c r="H2003">
        <f t="shared" si="159"/>
        <v>2024</v>
      </c>
      <c r="I2003">
        <f t="shared" si="160"/>
        <v>10</v>
      </c>
      <c r="J2003">
        <f t="shared" si="156"/>
        <v>-99.94</v>
      </c>
    </row>
    <row r="2004" spans="1:10" ht="12.5" x14ac:dyDescent="0.25">
      <c r="A2004" s="1">
        <v>45569</v>
      </c>
      <c r="B2004" s="2" t="s">
        <v>12</v>
      </c>
      <c r="C2004" s="3">
        <v>24.99</v>
      </c>
      <c r="D2004" s="3">
        <v>1</v>
      </c>
      <c r="E2004" s="3">
        <v>24.99</v>
      </c>
      <c r="F2004" t="str">
        <f t="shared" si="157"/>
        <v>net sales</v>
      </c>
      <c r="G2004" s="7" t="str">
        <f t="shared" si="158"/>
        <v>product 2</v>
      </c>
      <c r="H2004">
        <f t="shared" si="159"/>
        <v>2024</v>
      </c>
      <c r="I2004">
        <f t="shared" si="160"/>
        <v>10</v>
      </c>
      <c r="J2004">
        <f t="shared" si="156"/>
        <v>789.21</v>
      </c>
    </row>
    <row r="2005" spans="1:10" ht="12.5" x14ac:dyDescent="0.25">
      <c r="A2005" s="1">
        <v>45569</v>
      </c>
      <c r="B2005" s="2" t="s">
        <v>13</v>
      </c>
      <c r="C2005" s="3">
        <v>12.49</v>
      </c>
      <c r="D2005" s="3">
        <v>164</v>
      </c>
      <c r="E2005" s="3">
        <v>2048.36</v>
      </c>
      <c r="F2005" t="str">
        <f t="shared" si="157"/>
        <v>net sales</v>
      </c>
      <c r="G2005" s="7" t="str">
        <f t="shared" si="158"/>
        <v>product 3</v>
      </c>
      <c r="H2005">
        <f t="shared" si="159"/>
        <v>2024</v>
      </c>
      <c r="I2005">
        <f t="shared" si="160"/>
        <v>10</v>
      </c>
      <c r="J2005">
        <f t="shared" si="156"/>
        <v>174.92999999999998</v>
      </c>
    </row>
    <row r="2006" spans="1:10" ht="12.5" x14ac:dyDescent="0.25">
      <c r="A2006" s="1">
        <v>45570</v>
      </c>
      <c r="B2006" s="2" t="s">
        <v>7</v>
      </c>
      <c r="C2006" s="3">
        <v>5.99</v>
      </c>
      <c r="D2006" s="3">
        <v>90</v>
      </c>
      <c r="E2006" s="3">
        <v>539.1</v>
      </c>
      <c r="F2006" t="str">
        <f t="shared" si="157"/>
        <v>cogs</v>
      </c>
      <c r="G2006" s="7" t="str">
        <f t="shared" si="158"/>
        <v>product 1</v>
      </c>
      <c r="H2006">
        <f t="shared" si="159"/>
        <v>2024</v>
      </c>
      <c r="I2006">
        <f t="shared" si="160"/>
        <v>10</v>
      </c>
      <c r="J2006">
        <f t="shared" si="156"/>
        <v>2897.68</v>
      </c>
    </row>
    <row r="2007" spans="1:10" ht="12.5" x14ac:dyDescent="0.25">
      <c r="A2007" s="1">
        <v>45570</v>
      </c>
      <c r="B2007" s="2" t="s">
        <v>8</v>
      </c>
      <c r="C2007" s="3">
        <v>16.989999999999998</v>
      </c>
      <c r="D2007" s="3">
        <v>8</v>
      </c>
      <c r="E2007" s="3">
        <v>135.91999999999999</v>
      </c>
      <c r="F2007" t="str">
        <f t="shared" si="157"/>
        <v>cogs</v>
      </c>
      <c r="G2007" s="7" t="str">
        <f t="shared" si="158"/>
        <v>product 2</v>
      </c>
      <c r="H2007">
        <f t="shared" si="159"/>
        <v>2024</v>
      </c>
      <c r="I2007">
        <f t="shared" si="160"/>
        <v>10</v>
      </c>
      <c r="J2007">
        <f t="shared" si="156"/>
        <v>-467.22</v>
      </c>
    </row>
    <row r="2008" spans="1:10" ht="12.5" x14ac:dyDescent="0.25">
      <c r="A2008" s="1">
        <v>45570</v>
      </c>
      <c r="B2008" s="2" t="s">
        <v>9</v>
      </c>
      <c r="C2008" s="3">
        <v>8.49</v>
      </c>
      <c r="D2008" s="3">
        <v>206</v>
      </c>
      <c r="E2008" s="3">
        <v>1748.94</v>
      </c>
      <c r="F2008" t="str">
        <f t="shared" si="157"/>
        <v>cogs</v>
      </c>
      <c r="G2008" s="7" t="str">
        <f t="shared" si="158"/>
        <v>product 3</v>
      </c>
      <c r="H2008">
        <f t="shared" si="159"/>
        <v>2024</v>
      </c>
      <c r="I2008">
        <f t="shared" si="160"/>
        <v>10</v>
      </c>
      <c r="J2008">
        <f t="shared" si="156"/>
        <v>-67.959999999999994</v>
      </c>
    </row>
    <row r="2009" spans="1:10" ht="12.5" x14ac:dyDescent="0.25">
      <c r="A2009" s="1">
        <v>45570</v>
      </c>
      <c r="B2009" s="2" t="s">
        <v>10</v>
      </c>
      <c r="C2009" s="2" t="s">
        <v>6</v>
      </c>
      <c r="D2009" s="2" t="s">
        <v>6</v>
      </c>
      <c r="E2009" s="3">
        <v>100</v>
      </c>
      <c r="F2009" t="str">
        <f t="shared" si="157"/>
        <v>marketing</v>
      </c>
      <c r="G2009" s="7" t="s">
        <v>6</v>
      </c>
      <c r="H2009">
        <f t="shared" si="159"/>
        <v>2024</v>
      </c>
      <c r="I2009">
        <f t="shared" si="160"/>
        <v>10</v>
      </c>
      <c r="J2009">
        <f t="shared" si="156"/>
        <v>-1876.29</v>
      </c>
    </row>
    <row r="2010" spans="1:10" ht="12.5" x14ac:dyDescent="0.25">
      <c r="A2010" s="1">
        <v>45570</v>
      </c>
      <c r="B2010" s="2" t="s">
        <v>11</v>
      </c>
      <c r="C2010" s="3">
        <v>9.99</v>
      </c>
      <c r="D2010" s="3">
        <v>90</v>
      </c>
      <c r="E2010" s="3">
        <v>899.1</v>
      </c>
      <c r="F2010" t="str">
        <f t="shared" si="157"/>
        <v>net sales</v>
      </c>
      <c r="G2010" s="7" t="str">
        <f t="shared" si="158"/>
        <v>product 1</v>
      </c>
      <c r="H2010">
        <f t="shared" si="159"/>
        <v>2024</v>
      </c>
      <c r="I2010">
        <f t="shared" si="160"/>
        <v>10</v>
      </c>
      <c r="J2010">
        <f t="shared" si="156"/>
        <v>-100.05</v>
      </c>
    </row>
    <row r="2011" spans="1:10" ht="12.5" x14ac:dyDescent="0.25">
      <c r="A2011" s="1">
        <v>45570</v>
      </c>
      <c r="B2011" s="2" t="s">
        <v>12</v>
      </c>
      <c r="C2011" s="3">
        <v>24.99</v>
      </c>
      <c r="D2011" s="3">
        <v>8</v>
      </c>
      <c r="E2011" s="3">
        <v>199.92</v>
      </c>
      <c r="F2011" t="str">
        <f t="shared" si="157"/>
        <v>net sales</v>
      </c>
      <c r="G2011" s="7" t="str">
        <f t="shared" si="158"/>
        <v>product 2</v>
      </c>
      <c r="H2011">
        <f t="shared" si="159"/>
        <v>2024</v>
      </c>
      <c r="I2011">
        <f t="shared" si="160"/>
        <v>10</v>
      </c>
      <c r="J2011">
        <f t="shared" si="156"/>
        <v>779.22</v>
      </c>
    </row>
    <row r="2012" spans="1:10" ht="12.5" x14ac:dyDescent="0.25">
      <c r="A2012" s="1">
        <v>45570</v>
      </c>
      <c r="B2012" s="2" t="s">
        <v>13</v>
      </c>
      <c r="C2012" s="3">
        <v>12.49</v>
      </c>
      <c r="D2012" s="3">
        <v>206</v>
      </c>
      <c r="E2012" s="3">
        <v>2572.94</v>
      </c>
      <c r="F2012" t="str">
        <f t="shared" si="157"/>
        <v>net sales</v>
      </c>
      <c r="G2012" s="7" t="str">
        <f t="shared" si="158"/>
        <v>product 3</v>
      </c>
      <c r="H2012">
        <f t="shared" si="159"/>
        <v>2024</v>
      </c>
      <c r="I2012">
        <f t="shared" si="160"/>
        <v>10</v>
      </c>
      <c r="J2012">
        <f t="shared" ref="J2012:J2075" si="161">IF(F1795="net sales",E1795,
IF(F1795="cogs",-E1795,
IF(OR(F1795="marketing",F1795="overhead",F1795="payroll",F1795="interest","amortization"),-E1795,0)))</f>
        <v>99.96</v>
      </c>
    </row>
    <row r="2013" spans="1:10" ht="12.5" x14ac:dyDescent="0.25">
      <c r="A2013" s="1">
        <v>45571</v>
      </c>
      <c r="B2013" s="2" t="s">
        <v>7</v>
      </c>
      <c r="C2013" s="3">
        <v>5.99</v>
      </c>
      <c r="D2013" s="3">
        <v>4</v>
      </c>
      <c r="E2013" s="3">
        <v>23.96</v>
      </c>
      <c r="F2013" t="str">
        <f t="shared" si="157"/>
        <v>cogs</v>
      </c>
      <c r="G2013" s="7" t="str">
        <f t="shared" si="158"/>
        <v>product 1</v>
      </c>
      <c r="H2013">
        <f t="shared" si="159"/>
        <v>2024</v>
      </c>
      <c r="I2013">
        <f t="shared" si="160"/>
        <v>10</v>
      </c>
      <c r="J2013">
        <f t="shared" si="161"/>
        <v>2760.29</v>
      </c>
    </row>
    <row r="2014" spans="1:10" ht="12.5" x14ac:dyDescent="0.25">
      <c r="A2014" s="1">
        <v>45571</v>
      </c>
      <c r="B2014" s="2" t="s">
        <v>8</v>
      </c>
      <c r="C2014" s="3">
        <v>16.989999999999998</v>
      </c>
      <c r="D2014" s="3">
        <v>1</v>
      </c>
      <c r="E2014" s="3">
        <v>16.989999999999998</v>
      </c>
      <c r="F2014" t="str">
        <f t="shared" si="157"/>
        <v>cogs</v>
      </c>
      <c r="G2014" s="7" t="str">
        <f t="shared" si="158"/>
        <v>product 2</v>
      </c>
      <c r="H2014">
        <f t="shared" si="159"/>
        <v>2024</v>
      </c>
      <c r="I2014">
        <f t="shared" si="160"/>
        <v>10</v>
      </c>
      <c r="J2014">
        <f t="shared" si="161"/>
        <v>-491.18</v>
      </c>
    </row>
    <row r="2015" spans="1:10" ht="12.5" x14ac:dyDescent="0.25">
      <c r="A2015" s="1">
        <v>45571</v>
      </c>
      <c r="B2015" s="2" t="s">
        <v>9</v>
      </c>
      <c r="C2015" s="3">
        <v>8.49</v>
      </c>
      <c r="D2015" s="3">
        <v>116</v>
      </c>
      <c r="E2015" s="3">
        <v>984.84</v>
      </c>
      <c r="F2015" t="str">
        <f t="shared" si="157"/>
        <v>cogs</v>
      </c>
      <c r="G2015" s="7" t="str">
        <f t="shared" si="158"/>
        <v>product 3</v>
      </c>
      <c r="H2015">
        <f t="shared" si="159"/>
        <v>2024</v>
      </c>
      <c r="I2015">
        <f t="shared" si="160"/>
        <v>10</v>
      </c>
      <c r="J2015">
        <f t="shared" si="161"/>
        <v>-169.89999999999998</v>
      </c>
    </row>
    <row r="2016" spans="1:10" ht="12.5" x14ac:dyDescent="0.25">
      <c r="A2016" s="1">
        <v>45571</v>
      </c>
      <c r="B2016" s="2" t="s">
        <v>10</v>
      </c>
      <c r="C2016" s="2" t="s">
        <v>6</v>
      </c>
      <c r="D2016" s="2" t="s">
        <v>6</v>
      </c>
      <c r="E2016" s="3">
        <v>99.97</v>
      </c>
      <c r="F2016" t="str">
        <f t="shared" si="157"/>
        <v>marketing</v>
      </c>
      <c r="G2016" s="7" t="s">
        <v>6</v>
      </c>
      <c r="H2016">
        <f t="shared" si="159"/>
        <v>2024</v>
      </c>
      <c r="I2016">
        <f t="shared" si="160"/>
        <v>10</v>
      </c>
      <c r="J2016">
        <f t="shared" si="161"/>
        <v>-1740.45</v>
      </c>
    </row>
    <row r="2017" spans="1:10" ht="12.5" x14ac:dyDescent="0.25">
      <c r="A2017" s="1">
        <v>45571</v>
      </c>
      <c r="B2017" s="2" t="s">
        <v>11</v>
      </c>
      <c r="C2017" s="3">
        <v>9.99</v>
      </c>
      <c r="D2017" s="3">
        <v>4</v>
      </c>
      <c r="E2017" s="3">
        <v>39.96</v>
      </c>
      <c r="F2017" t="str">
        <f t="shared" si="157"/>
        <v>net sales</v>
      </c>
      <c r="G2017" s="7" t="str">
        <f t="shared" si="158"/>
        <v>product 1</v>
      </c>
      <c r="H2017">
        <f t="shared" si="159"/>
        <v>2024</v>
      </c>
      <c r="I2017">
        <f t="shared" si="160"/>
        <v>10</v>
      </c>
      <c r="J2017">
        <f t="shared" si="161"/>
        <v>-99.9</v>
      </c>
    </row>
    <row r="2018" spans="1:10" ht="12.5" x14ac:dyDescent="0.25">
      <c r="A2018" s="1">
        <v>45571</v>
      </c>
      <c r="B2018" s="2" t="s">
        <v>12</v>
      </c>
      <c r="C2018" s="3">
        <v>24.99</v>
      </c>
      <c r="D2018" s="3">
        <v>1</v>
      </c>
      <c r="E2018" s="3">
        <v>24.99</v>
      </c>
      <c r="F2018" t="str">
        <f t="shared" si="157"/>
        <v>net sales</v>
      </c>
      <c r="G2018" s="7" t="str">
        <f t="shared" si="158"/>
        <v>product 2</v>
      </c>
      <c r="H2018">
        <f t="shared" si="159"/>
        <v>2024</v>
      </c>
      <c r="I2018">
        <f t="shared" si="160"/>
        <v>10</v>
      </c>
      <c r="J2018">
        <f t="shared" si="161"/>
        <v>819.18000000000006</v>
      </c>
    </row>
    <row r="2019" spans="1:10" ht="12.5" x14ac:dyDescent="0.25">
      <c r="A2019" s="1">
        <v>45571</v>
      </c>
      <c r="B2019" s="2" t="s">
        <v>13</v>
      </c>
      <c r="C2019" s="3">
        <v>12.49</v>
      </c>
      <c r="D2019" s="3">
        <v>116</v>
      </c>
      <c r="E2019" s="3">
        <v>1448.84</v>
      </c>
      <c r="F2019" t="str">
        <f t="shared" si="157"/>
        <v>net sales</v>
      </c>
      <c r="G2019" s="7" t="str">
        <f t="shared" si="158"/>
        <v>product 3</v>
      </c>
      <c r="H2019">
        <f t="shared" si="159"/>
        <v>2024</v>
      </c>
      <c r="I2019">
        <f t="shared" si="160"/>
        <v>10</v>
      </c>
      <c r="J2019">
        <f t="shared" si="161"/>
        <v>249.89999999999998</v>
      </c>
    </row>
    <row r="2020" spans="1:10" ht="12.5" x14ac:dyDescent="0.25">
      <c r="A2020" s="1">
        <v>45572</v>
      </c>
      <c r="B2020" s="2" t="s">
        <v>7</v>
      </c>
      <c r="C2020" s="3">
        <v>5.99</v>
      </c>
      <c r="D2020" s="3">
        <v>58</v>
      </c>
      <c r="E2020" s="3">
        <v>347.42</v>
      </c>
      <c r="F2020" t="str">
        <f t="shared" si="157"/>
        <v>cogs</v>
      </c>
      <c r="G2020" s="7" t="str">
        <f t="shared" si="158"/>
        <v>product 1</v>
      </c>
      <c r="H2020">
        <f t="shared" si="159"/>
        <v>2024</v>
      </c>
      <c r="I2020">
        <f t="shared" si="160"/>
        <v>10</v>
      </c>
      <c r="J2020">
        <f t="shared" si="161"/>
        <v>2560.4499999999998</v>
      </c>
    </row>
    <row r="2021" spans="1:10" ht="12.5" x14ac:dyDescent="0.25">
      <c r="A2021" s="1">
        <v>45572</v>
      </c>
      <c r="B2021" s="2" t="s">
        <v>8</v>
      </c>
      <c r="C2021" s="3">
        <v>16.989999999999998</v>
      </c>
      <c r="D2021" s="3">
        <v>8</v>
      </c>
      <c r="E2021" s="3">
        <v>135.91999999999999</v>
      </c>
      <c r="F2021" t="str">
        <f t="shared" si="157"/>
        <v>cogs</v>
      </c>
      <c r="G2021" s="7" t="str">
        <f t="shared" si="158"/>
        <v>product 2</v>
      </c>
      <c r="H2021">
        <f t="shared" si="159"/>
        <v>2024</v>
      </c>
      <c r="I2021">
        <f t="shared" si="160"/>
        <v>10</v>
      </c>
      <c r="J2021">
        <f t="shared" si="161"/>
        <v>-131.78</v>
      </c>
    </row>
    <row r="2022" spans="1:10" ht="12.5" x14ac:dyDescent="0.25">
      <c r="A2022" s="1">
        <v>45572</v>
      </c>
      <c r="B2022" s="2" t="s">
        <v>9</v>
      </c>
      <c r="C2022" s="3">
        <v>8.49</v>
      </c>
      <c r="D2022" s="3">
        <v>198</v>
      </c>
      <c r="E2022" s="3">
        <v>1681.02</v>
      </c>
      <c r="F2022" t="str">
        <f t="shared" si="157"/>
        <v>cogs</v>
      </c>
      <c r="G2022" s="7" t="str">
        <f t="shared" si="158"/>
        <v>product 3</v>
      </c>
      <c r="H2022">
        <f t="shared" si="159"/>
        <v>2024</v>
      </c>
      <c r="I2022">
        <f t="shared" si="160"/>
        <v>10</v>
      </c>
      <c r="J2022">
        <f t="shared" si="161"/>
        <v>-33.979999999999997</v>
      </c>
    </row>
    <row r="2023" spans="1:10" ht="12.5" x14ac:dyDescent="0.25">
      <c r="A2023" s="1">
        <v>45572</v>
      </c>
      <c r="B2023" s="2" t="s">
        <v>10</v>
      </c>
      <c r="C2023" s="2" t="s">
        <v>6</v>
      </c>
      <c r="D2023" s="2" t="s">
        <v>6</v>
      </c>
      <c r="E2023" s="3">
        <v>100.08</v>
      </c>
      <c r="F2023" t="str">
        <f t="shared" si="157"/>
        <v>marketing</v>
      </c>
      <c r="G2023" s="7" t="s">
        <v>6</v>
      </c>
      <c r="H2023">
        <f t="shared" si="159"/>
        <v>2024</v>
      </c>
      <c r="I2023">
        <f t="shared" si="160"/>
        <v>10</v>
      </c>
      <c r="J2023">
        <f t="shared" si="161"/>
        <v>0</v>
      </c>
    </row>
    <row r="2024" spans="1:10" ht="12.5" x14ac:dyDescent="0.25">
      <c r="A2024" s="1">
        <v>45572</v>
      </c>
      <c r="B2024" s="2" t="s">
        <v>11</v>
      </c>
      <c r="C2024" s="3">
        <v>9.99</v>
      </c>
      <c r="D2024" s="3">
        <v>58</v>
      </c>
      <c r="E2024" s="3">
        <v>579.41999999999996</v>
      </c>
      <c r="F2024" t="str">
        <f t="shared" si="157"/>
        <v>net sales</v>
      </c>
      <c r="G2024" s="7" t="str">
        <f t="shared" si="158"/>
        <v>product 1</v>
      </c>
      <c r="H2024">
        <f t="shared" si="159"/>
        <v>2024</v>
      </c>
      <c r="I2024">
        <f t="shared" si="160"/>
        <v>10</v>
      </c>
      <c r="J2024">
        <f t="shared" si="161"/>
        <v>-99.9</v>
      </c>
    </row>
    <row r="2025" spans="1:10" ht="12.5" x14ac:dyDescent="0.25">
      <c r="A2025" s="1">
        <v>45572</v>
      </c>
      <c r="B2025" s="2" t="s">
        <v>12</v>
      </c>
      <c r="C2025" s="3">
        <v>24.99</v>
      </c>
      <c r="D2025" s="3">
        <v>8</v>
      </c>
      <c r="E2025" s="3">
        <v>199.92</v>
      </c>
      <c r="F2025" t="str">
        <f t="shared" si="157"/>
        <v>net sales</v>
      </c>
      <c r="G2025" s="7" t="str">
        <f t="shared" si="158"/>
        <v>product 2</v>
      </c>
      <c r="H2025">
        <f t="shared" si="159"/>
        <v>2024</v>
      </c>
      <c r="I2025">
        <f t="shared" si="160"/>
        <v>10</v>
      </c>
      <c r="J2025">
        <f t="shared" si="161"/>
        <v>219.78</v>
      </c>
    </row>
    <row r="2026" spans="1:10" ht="12.5" x14ac:dyDescent="0.25">
      <c r="A2026" s="1">
        <v>45572</v>
      </c>
      <c r="B2026" s="2" t="s">
        <v>13</v>
      </c>
      <c r="C2026" s="3">
        <v>12.49</v>
      </c>
      <c r="D2026" s="3">
        <v>198</v>
      </c>
      <c r="E2026" s="3">
        <v>2473.02</v>
      </c>
      <c r="F2026" t="str">
        <f t="shared" si="157"/>
        <v>net sales</v>
      </c>
      <c r="G2026" s="7" t="str">
        <f t="shared" si="158"/>
        <v>product 3</v>
      </c>
      <c r="H2026">
        <f t="shared" si="159"/>
        <v>2024</v>
      </c>
      <c r="I2026">
        <f t="shared" si="160"/>
        <v>10</v>
      </c>
      <c r="J2026">
        <f t="shared" si="161"/>
        <v>49.98</v>
      </c>
    </row>
    <row r="2027" spans="1:10" ht="12.5" x14ac:dyDescent="0.25">
      <c r="A2027" s="1">
        <v>45573</v>
      </c>
      <c r="B2027" s="2" t="s">
        <v>7</v>
      </c>
      <c r="C2027" s="3">
        <v>5.99</v>
      </c>
      <c r="D2027" s="3">
        <v>60</v>
      </c>
      <c r="E2027" s="3">
        <v>359.40000000000003</v>
      </c>
      <c r="F2027" t="str">
        <f t="shared" si="157"/>
        <v>cogs</v>
      </c>
      <c r="G2027" s="7" t="str">
        <f t="shared" si="158"/>
        <v>product 1</v>
      </c>
      <c r="H2027">
        <f t="shared" si="159"/>
        <v>2024</v>
      </c>
      <c r="I2027">
        <f t="shared" si="160"/>
        <v>10</v>
      </c>
      <c r="J2027">
        <f t="shared" si="161"/>
        <v>0</v>
      </c>
    </row>
    <row r="2028" spans="1:10" ht="12.5" x14ac:dyDescent="0.25">
      <c r="A2028" s="1">
        <v>45573</v>
      </c>
      <c r="B2028" s="2" t="s">
        <v>8</v>
      </c>
      <c r="C2028" s="3">
        <v>16.989999999999998</v>
      </c>
      <c r="D2028" s="3">
        <v>3</v>
      </c>
      <c r="E2028" s="3">
        <v>50.97</v>
      </c>
      <c r="F2028" t="str">
        <f t="shared" si="157"/>
        <v>cogs</v>
      </c>
      <c r="G2028" s="7" t="str">
        <f t="shared" si="158"/>
        <v>product 2</v>
      </c>
      <c r="H2028">
        <f t="shared" si="159"/>
        <v>2024</v>
      </c>
      <c r="I2028">
        <f t="shared" si="160"/>
        <v>10</v>
      </c>
      <c r="J2028">
        <f t="shared" si="161"/>
        <v>-155.74</v>
      </c>
    </row>
    <row r="2029" spans="1:10" ht="12.5" x14ac:dyDescent="0.25">
      <c r="A2029" s="1">
        <v>45573</v>
      </c>
      <c r="B2029" s="2" t="s">
        <v>9</v>
      </c>
      <c r="C2029" s="3">
        <v>8.49</v>
      </c>
      <c r="D2029" s="3">
        <v>104</v>
      </c>
      <c r="E2029" s="3">
        <v>882.96</v>
      </c>
      <c r="F2029" t="str">
        <f t="shared" si="157"/>
        <v>cogs</v>
      </c>
      <c r="G2029" s="7" t="str">
        <f t="shared" si="158"/>
        <v>product 3</v>
      </c>
      <c r="H2029">
        <f t="shared" si="159"/>
        <v>2024</v>
      </c>
      <c r="I2029">
        <f t="shared" si="160"/>
        <v>10</v>
      </c>
      <c r="J2029">
        <f t="shared" si="161"/>
        <v>-118.92999999999999</v>
      </c>
    </row>
    <row r="2030" spans="1:10" ht="12.5" x14ac:dyDescent="0.25">
      <c r="A2030" s="1">
        <v>45573</v>
      </c>
      <c r="B2030" s="2" t="s">
        <v>10</v>
      </c>
      <c r="C2030" s="2" t="s">
        <v>6</v>
      </c>
      <c r="D2030" s="2" t="s">
        <v>6</v>
      </c>
      <c r="E2030" s="3">
        <v>100.04</v>
      </c>
      <c r="F2030" t="str">
        <f t="shared" si="157"/>
        <v>marketing</v>
      </c>
      <c r="G2030" s="7" t="s">
        <v>6</v>
      </c>
      <c r="H2030">
        <f t="shared" si="159"/>
        <v>2024</v>
      </c>
      <c r="I2030">
        <f t="shared" si="160"/>
        <v>10</v>
      </c>
      <c r="J2030">
        <f t="shared" si="161"/>
        <v>-1349.91</v>
      </c>
    </row>
    <row r="2031" spans="1:10" ht="12.5" x14ac:dyDescent="0.25">
      <c r="A2031" s="1">
        <v>45573</v>
      </c>
      <c r="B2031" s="2" t="s">
        <v>11</v>
      </c>
      <c r="C2031" s="3">
        <v>9.99</v>
      </c>
      <c r="D2031" s="3">
        <v>60</v>
      </c>
      <c r="E2031" s="3">
        <v>599.4</v>
      </c>
      <c r="F2031" t="str">
        <f t="shared" si="157"/>
        <v>net sales</v>
      </c>
      <c r="G2031" s="7" t="str">
        <f t="shared" si="158"/>
        <v>product 1</v>
      </c>
      <c r="H2031">
        <f t="shared" si="159"/>
        <v>2024</v>
      </c>
      <c r="I2031">
        <f t="shared" si="160"/>
        <v>10</v>
      </c>
      <c r="J2031">
        <f t="shared" si="161"/>
        <v>-100.05</v>
      </c>
    </row>
    <row r="2032" spans="1:10" ht="12.5" x14ac:dyDescent="0.25">
      <c r="A2032" s="1">
        <v>45573</v>
      </c>
      <c r="B2032" s="2" t="s">
        <v>12</v>
      </c>
      <c r="C2032" s="3">
        <v>24.99</v>
      </c>
      <c r="D2032" s="3">
        <v>3</v>
      </c>
      <c r="E2032" s="3">
        <v>74.97</v>
      </c>
      <c r="F2032" t="str">
        <f t="shared" si="157"/>
        <v>net sales</v>
      </c>
      <c r="G2032" s="7" t="str">
        <f t="shared" si="158"/>
        <v>product 2</v>
      </c>
      <c r="H2032">
        <f t="shared" si="159"/>
        <v>2024</v>
      </c>
      <c r="I2032">
        <f t="shared" si="160"/>
        <v>10</v>
      </c>
      <c r="J2032">
        <f t="shared" si="161"/>
        <v>259.74</v>
      </c>
    </row>
    <row r="2033" spans="1:10" ht="12.5" x14ac:dyDescent="0.25">
      <c r="A2033" s="1">
        <v>45573</v>
      </c>
      <c r="B2033" s="2" t="s">
        <v>13</v>
      </c>
      <c r="C2033" s="3">
        <v>12.49</v>
      </c>
      <c r="D2033" s="3">
        <v>104</v>
      </c>
      <c r="E2033" s="3">
        <v>1298.96</v>
      </c>
      <c r="F2033" t="str">
        <f t="shared" si="157"/>
        <v>net sales</v>
      </c>
      <c r="G2033" s="7" t="str">
        <f t="shared" si="158"/>
        <v>product 3</v>
      </c>
      <c r="H2033">
        <f t="shared" si="159"/>
        <v>2024</v>
      </c>
      <c r="I2033">
        <f t="shared" si="160"/>
        <v>10</v>
      </c>
      <c r="J2033">
        <f t="shared" si="161"/>
        <v>174.92999999999998</v>
      </c>
    </row>
    <row r="2034" spans="1:10" ht="12.5" x14ac:dyDescent="0.25">
      <c r="A2034" s="1">
        <v>45574</v>
      </c>
      <c r="B2034" s="2" t="s">
        <v>7</v>
      </c>
      <c r="C2034" s="3">
        <v>5.99</v>
      </c>
      <c r="D2034" s="3">
        <v>19</v>
      </c>
      <c r="E2034" s="3">
        <v>113.81</v>
      </c>
      <c r="F2034" t="str">
        <f t="shared" si="157"/>
        <v>cogs</v>
      </c>
      <c r="G2034" s="7" t="str">
        <f t="shared" si="158"/>
        <v>product 1</v>
      </c>
      <c r="H2034">
        <f t="shared" si="159"/>
        <v>2024</v>
      </c>
      <c r="I2034">
        <f t="shared" si="160"/>
        <v>10</v>
      </c>
      <c r="J2034">
        <f t="shared" si="161"/>
        <v>1985.91</v>
      </c>
    </row>
    <row r="2035" spans="1:10" ht="12.5" x14ac:dyDescent="0.25">
      <c r="A2035" s="1">
        <v>45574</v>
      </c>
      <c r="B2035" s="2" t="s">
        <v>8</v>
      </c>
      <c r="C2035" s="3">
        <v>16.989999999999998</v>
      </c>
      <c r="D2035" s="3">
        <v>7</v>
      </c>
      <c r="E2035" s="3">
        <v>118.92999999999999</v>
      </c>
      <c r="F2035" t="str">
        <f t="shared" si="157"/>
        <v>cogs</v>
      </c>
      <c r="G2035" s="7" t="str">
        <f t="shared" si="158"/>
        <v>product 2</v>
      </c>
      <c r="H2035">
        <f t="shared" si="159"/>
        <v>2024</v>
      </c>
      <c r="I2035">
        <f t="shared" si="160"/>
        <v>10</v>
      </c>
      <c r="J2035">
        <f t="shared" si="161"/>
        <v>-407.32</v>
      </c>
    </row>
    <row r="2036" spans="1:10" ht="12.5" x14ac:dyDescent="0.25">
      <c r="A2036" s="1">
        <v>45574</v>
      </c>
      <c r="B2036" s="2" t="s">
        <v>9</v>
      </c>
      <c r="C2036" s="3">
        <v>8.49</v>
      </c>
      <c r="D2036" s="3">
        <v>46</v>
      </c>
      <c r="E2036" s="3">
        <v>390.54</v>
      </c>
      <c r="F2036" t="str">
        <f t="shared" si="157"/>
        <v>cogs</v>
      </c>
      <c r="G2036" s="7" t="str">
        <f t="shared" si="158"/>
        <v>product 3</v>
      </c>
      <c r="H2036">
        <f t="shared" si="159"/>
        <v>2024</v>
      </c>
      <c r="I2036">
        <f t="shared" si="160"/>
        <v>10</v>
      </c>
      <c r="J2036">
        <f t="shared" si="161"/>
        <v>-152.91</v>
      </c>
    </row>
    <row r="2037" spans="1:10" ht="12.5" x14ac:dyDescent="0.25">
      <c r="A2037" s="1">
        <v>45574</v>
      </c>
      <c r="B2037" s="2" t="s">
        <v>10</v>
      </c>
      <c r="C2037" s="2" t="s">
        <v>6</v>
      </c>
      <c r="D2037" s="2" t="s">
        <v>6</v>
      </c>
      <c r="E2037" s="3">
        <v>99.97</v>
      </c>
      <c r="F2037" t="str">
        <f t="shared" si="157"/>
        <v>marketing</v>
      </c>
      <c r="G2037" s="7" t="s">
        <v>6</v>
      </c>
      <c r="H2037">
        <f t="shared" si="159"/>
        <v>2024</v>
      </c>
      <c r="I2037">
        <f t="shared" si="160"/>
        <v>10</v>
      </c>
      <c r="J2037">
        <f t="shared" si="161"/>
        <v>-1239.54</v>
      </c>
    </row>
    <row r="2038" spans="1:10" ht="12.5" x14ac:dyDescent="0.25">
      <c r="A2038" s="1">
        <v>45574</v>
      </c>
      <c r="B2038" s="2" t="s">
        <v>11</v>
      </c>
      <c r="C2038" s="3">
        <v>9.99</v>
      </c>
      <c r="D2038" s="3">
        <v>19</v>
      </c>
      <c r="E2038" s="3">
        <v>189.81</v>
      </c>
      <c r="F2038" t="str">
        <f t="shared" si="157"/>
        <v>net sales</v>
      </c>
      <c r="G2038" s="7" t="str">
        <f t="shared" si="158"/>
        <v>product 1</v>
      </c>
      <c r="H2038">
        <f t="shared" si="159"/>
        <v>2024</v>
      </c>
      <c r="I2038">
        <f t="shared" si="160"/>
        <v>10</v>
      </c>
      <c r="J2038">
        <f t="shared" si="161"/>
        <v>-100.08</v>
      </c>
    </row>
    <row r="2039" spans="1:10" ht="12.5" x14ac:dyDescent="0.25">
      <c r="A2039" s="1">
        <v>45574</v>
      </c>
      <c r="B2039" s="2" t="s">
        <v>12</v>
      </c>
      <c r="C2039" s="3">
        <v>24.99</v>
      </c>
      <c r="D2039" s="3">
        <v>7</v>
      </c>
      <c r="E2039" s="3">
        <v>174.92999999999998</v>
      </c>
      <c r="F2039" t="str">
        <f t="shared" si="157"/>
        <v>net sales</v>
      </c>
      <c r="G2039" s="7" t="str">
        <f t="shared" si="158"/>
        <v>product 2</v>
      </c>
      <c r="H2039">
        <f t="shared" si="159"/>
        <v>2024</v>
      </c>
      <c r="I2039">
        <f t="shared" si="160"/>
        <v>10</v>
      </c>
      <c r="J2039">
        <f t="shared" si="161"/>
        <v>679.32</v>
      </c>
    </row>
    <row r="2040" spans="1:10" ht="12.5" x14ac:dyDescent="0.25">
      <c r="A2040" s="1">
        <v>45574</v>
      </c>
      <c r="B2040" s="2" t="s">
        <v>13</v>
      </c>
      <c r="C2040" s="3">
        <v>12.49</v>
      </c>
      <c r="D2040" s="3">
        <v>46</v>
      </c>
      <c r="E2040" s="3">
        <v>574.54</v>
      </c>
      <c r="F2040" t="str">
        <f t="shared" si="157"/>
        <v>net sales</v>
      </c>
      <c r="G2040" s="7" t="str">
        <f t="shared" si="158"/>
        <v>product 3</v>
      </c>
      <c r="H2040">
        <f t="shared" si="159"/>
        <v>2024</v>
      </c>
      <c r="I2040">
        <f t="shared" si="160"/>
        <v>10</v>
      </c>
      <c r="J2040">
        <f t="shared" si="161"/>
        <v>224.91</v>
      </c>
    </row>
    <row r="2041" spans="1:10" ht="12.5" x14ac:dyDescent="0.25">
      <c r="A2041" s="1">
        <v>45575</v>
      </c>
      <c r="B2041" s="2" t="s">
        <v>7</v>
      </c>
      <c r="C2041" s="3">
        <v>5.99</v>
      </c>
      <c r="D2041" s="3">
        <v>11</v>
      </c>
      <c r="E2041" s="3">
        <v>65.89</v>
      </c>
      <c r="F2041" t="str">
        <f t="shared" si="157"/>
        <v>cogs</v>
      </c>
      <c r="G2041" s="7" t="str">
        <f t="shared" si="158"/>
        <v>product 1</v>
      </c>
      <c r="H2041">
        <f t="shared" si="159"/>
        <v>2024</v>
      </c>
      <c r="I2041">
        <f t="shared" si="160"/>
        <v>10</v>
      </c>
      <c r="J2041">
        <f t="shared" si="161"/>
        <v>1823.54</v>
      </c>
    </row>
    <row r="2042" spans="1:10" ht="12.5" x14ac:dyDescent="0.25">
      <c r="A2042" s="1">
        <v>45575</v>
      </c>
      <c r="B2042" s="2" t="s">
        <v>8</v>
      </c>
      <c r="C2042" s="3">
        <v>16.989999999999998</v>
      </c>
      <c r="D2042" s="3">
        <v>6</v>
      </c>
      <c r="E2042" s="3">
        <v>101.94</v>
      </c>
      <c r="F2042" t="str">
        <f t="shared" si="157"/>
        <v>cogs</v>
      </c>
      <c r="G2042" s="7" t="str">
        <f t="shared" si="158"/>
        <v>product 2</v>
      </c>
      <c r="H2042">
        <f t="shared" si="159"/>
        <v>2024</v>
      </c>
      <c r="I2042">
        <f t="shared" si="160"/>
        <v>10</v>
      </c>
      <c r="J2042">
        <f t="shared" si="161"/>
        <v>-419.3</v>
      </c>
    </row>
    <row r="2043" spans="1:10" ht="12.5" x14ac:dyDescent="0.25">
      <c r="A2043" s="1">
        <v>45575</v>
      </c>
      <c r="B2043" s="2" t="s">
        <v>9</v>
      </c>
      <c r="C2043" s="3">
        <v>8.49</v>
      </c>
      <c r="D2043" s="3">
        <v>4</v>
      </c>
      <c r="E2043" s="3">
        <v>33.96</v>
      </c>
      <c r="F2043" t="str">
        <f t="shared" si="157"/>
        <v>cogs</v>
      </c>
      <c r="G2043" s="7" t="str">
        <f t="shared" si="158"/>
        <v>product 3</v>
      </c>
      <c r="H2043">
        <f t="shared" si="159"/>
        <v>2024</v>
      </c>
      <c r="I2043">
        <f t="shared" si="160"/>
        <v>10</v>
      </c>
      <c r="J2043">
        <f t="shared" si="161"/>
        <v>-50.97</v>
      </c>
    </row>
    <row r="2044" spans="1:10" ht="12.5" x14ac:dyDescent="0.25">
      <c r="A2044" s="1">
        <v>45575</v>
      </c>
      <c r="B2044" s="2" t="s">
        <v>10</v>
      </c>
      <c r="C2044" s="2" t="s">
        <v>6</v>
      </c>
      <c r="D2044" s="2" t="s">
        <v>6</v>
      </c>
      <c r="E2044" s="3">
        <v>100.07000000000001</v>
      </c>
      <c r="F2044" t="str">
        <f t="shared" si="157"/>
        <v>marketing</v>
      </c>
      <c r="G2044" s="7" t="s">
        <v>6</v>
      </c>
      <c r="H2044">
        <f t="shared" si="159"/>
        <v>2024</v>
      </c>
      <c r="I2044">
        <f t="shared" si="160"/>
        <v>10</v>
      </c>
      <c r="J2044">
        <f t="shared" si="161"/>
        <v>-382.05</v>
      </c>
    </row>
    <row r="2045" spans="1:10" ht="12.5" x14ac:dyDescent="0.25">
      <c r="A2045" s="1">
        <v>45575</v>
      </c>
      <c r="B2045" s="2" t="s">
        <v>11</v>
      </c>
      <c r="C2045" s="3">
        <v>9.99</v>
      </c>
      <c r="D2045" s="3">
        <v>11</v>
      </c>
      <c r="E2045" s="3">
        <v>109.89</v>
      </c>
      <c r="F2045" t="str">
        <f t="shared" si="157"/>
        <v>net sales</v>
      </c>
      <c r="G2045" s="7" t="str">
        <f t="shared" si="158"/>
        <v>product 1</v>
      </c>
      <c r="H2045">
        <f t="shared" si="159"/>
        <v>2024</v>
      </c>
      <c r="I2045">
        <f t="shared" si="160"/>
        <v>10</v>
      </c>
      <c r="J2045">
        <f t="shared" si="161"/>
        <v>-100.05</v>
      </c>
    </row>
    <row r="2046" spans="1:10" ht="12.5" x14ac:dyDescent="0.25">
      <c r="A2046" s="1">
        <v>45575</v>
      </c>
      <c r="B2046" s="2" t="s">
        <v>12</v>
      </c>
      <c r="C2046" s="3">
        <v>24.99</v>
      </c>
      <c r="D2046" s="3">
        <v>6</v>
      </c>
      <c r="E2046" s="3">
        <v>149.94</v>
      </c>
      <c r="F2046" t="str">
        <f t="shared" si="157"/>
        <v>net sales</v>
      </c>
      <c r="G2046" s="7" t="str">
        <f t="shared" si="158"/>
        <v>product 2</v>
      </c>
      <c r="H2046">
        <f t="shared" si="159"/>
        <v>2024</v>
      </c>
      <c r="I2046">
        <f t="shared" si="160"/>
        <v>10</v>
      </c>
      <c r="J2046">
        <f t="shared" si="161"/>
        <v>699.30000000000007</v>
      </c>
    </row>
    <row r="2047" spans="1:10" ht="12.5" x14ac:dyDescent="0.25">
      <c r="A2047" s="1">
        <v>45575</v>
      </c>
      <c r="B2047" s="2" t="s">
        <v>13</v>
      </c>
      <c r="C2047" s="3">
        <v>12.49</v>
      </c>
      <c r="D2047" s="3">
        <v>4</v>
      </c>
      <c r="E2047" s="3">
        <v>49.96</v>
      </c>
      <c r="F2047" t="str">
        <f t="shared" si="157"/>
        <v>net sales</v>
      </c>
      <c r="G2047" s="7" t="str">
        <f t="shared" si="158"/>
        <v>product 3</v>
      </c>
      <c r="H2047">
        <f t="shared" si="159"/>
        <v>2024</v>
      </c>
      <c r="I2047">
        <f t="shared" si="160"/>
        <v>10</v>
      </c>
      <c r="J2047">
        <f t="shared" si="161"/>
        <v>74.97</v>
      </c>
    </row>
    <row r="2048" spans="1:10" ht="12.5" x14ac:dyDescent="0.25">
      <c r="A2048" s="1">
        <v>45576</v>
      </c>
      <c r="B2048" s="2" t="s">
        <v>7</v>
      </c>
      <c r="C2048" s="3">
        <v>5.99</v>
      </c>
      <c r="D2048" s="3">
        <v>30</v>
      </c>
      <c r="E2048" s="3">
        <v>179.70000000000002</v>
      </c>
      <c r="F2048" t="str">
        <f t="shared" si="157"/>
        <v>cogs</v>
      </c>
      <c r="G2048" s="7" t="str">
        <f t="shared" si="158"/>
        <v>product 1</v>
      </c>
      <c r="H2048">
        <f t="shared" si="159"/>
        <v>2024</v>
      </c>
      <c r="I2048">
        <f t="shared" si="160"/>
        <v>10</v>
      </c>
      <c r="J2048">
        <f t="shared" si="161"/>
        <v>562.04999999999995</v>
      </c>
    </row>
    <row r="2049" spans="1:10" ht="12.5" x14ac:dyDescent="0.25">
      <c r="A2049" s="1">
        <v>45576</v>
      </c>
      <c r="B2049" s="2" t="s">
        <v>8</v>
      </c>
      <c r="C2049" s="3">
        <v>16.989999999999998</v>
      </c>
      <c r="D2049" s="3">
        <v>9</v>
      </c>
      <c r="E2049" s="3">
        <v>152.91</v>
      </c>
      <c r="F2049" t="str">
        <f t="shared" si="157"/>
        <v>cogs</v>
      </c>
      <c r="G2049" s="7" t="str">
        <f t="shared" si="158"/>
        <v>product 2</v>
      </c>
      <c r="H2049">
        <f t="shared" si="159"/>
        <v>2024</v>
      </c>
      <c r="I2049">
        <f t="shared" si="160"/>
        <v>10</v>
      </c>
      <c r="J2049">
        <f t="shared" si="161"/>
        <v>-545.09</v>
      </c>
    </row>
    <row r="2050" spans="1:10" ht="12.5" x14ac:dyDescent="0.25">
      <c r="A2050" s="1">
        <v>45576</v>
      </c>
      <c r="B2050" s="2" t="s">
        <v>9</v>
      </c>
      <c r="C2050" s="3">
        <v>8.49</v>
      </c>
      <c r="D2050" s="3">
        <v>166</v>
      </c>
      <c r="E2050" s="3">
        <v>1409.3400000000001</v>
      </c>
      <c r="F2050" t="str">
        <f t="shared" si="157"/>
        <v>cogs</v>
      </c>
      <c r="G2050" s="7" t="str">
        <f t="shared" si="158"/>
        <v>product 3</v>
      </c>
      <c r="H2050">
        <f t="shared" si="159"/>
        <v>2024</v>
      </c>
      <c r="I2050">
        <f t="shared" si="160"/>
        <v>10</v>
      </c>
      <c r="J2050">
        <f t="shared" si="161"/>
        <v>-33.979999999999997</v>
      </c>
    </row>
    <row r="2051" spans="1:10" ht="12.5" x14ac:dyDescent="0.25">
      <c r="A2051" s="1">
        <v>45576</v>
      </c>
      <c r="B2051" s="2" t="s">
        <v>10</v>
      </c>
      <c r="C2051" s="2" t="s">
        <v>6</v>
      </c>
      <c r="D2051" s="2" t="s">
        <v>6</v>
      </c>
      <c r="E2051" s="3">
        <v>100.04</v>
      </c>
      <c r="F2051" t="str">
        <f t="shared" ref="F2051:F2114" si="162">IFERROR(LEFT(B2051,FIND(":",B2051)-1),B2051)</f>
        <v>marketing</v>
      </c>
      <c r="G2051" s="7" t="s">
        <v>6</v>
      </c>
      <c r="H2051">
        <f t="shared" ref="H2051:H2114" si="163">YEAR(A2051)</f>
        <v>2024</v>
      </c>
      <c r="I2051">
        <f t="shared" ref="I2051:I2114" si="164">MONTH(A2051)</f>
        <v>10</v>
      </c>
      <c r="J2051">
        <f t="shared" si="161"/>
        <v>-220.74</v>
      </c>
    </row>
    <row r="2052" spans="1:10" ht="12.5" x14ac:dyDescent="0.25">
      <c r="A2052" s="1">
        <v>45576</v>
      </c>
      <c r="B2052" s="2" t="s">
        <v>11</v>
      </c>
      <c r="C2052" s="3">
        <v>9.99</v>
      </c>
      <c r="D2052" s="3">
        <v>30</v>
      </c>
      <c r="E2052" s="3">
        <v>299.7</v>
      </c>
      <c r="F2052" t="str">
        <f t="shared" si="162"/>
        <v>net sales</v>
      </c>
      <c r="G2052" s="7" t="str">
        <f t="shared" ref="G2052:G2114" si="165">IFERROR(RIGHT(B2052,LEN(B2052)-FIND(":",B2052)),"")</f>
        <v>product 1</v>
      </c>
      <c r="H2052">
        <f t="shared" si="163"/>
        <v>2024</v>
      </c>
      <c r="I2052">
        <f t="shared" si="164"/>
        <v>10</v>
      </c>
      <c r="J2052">
        <f t="shared" si="161"/>
        <v>-99.960000000000008</v>
      </c>
    </row>
    <row r="2053" spans="1:10" ht="12.5" x14ac:dyDescent="0.25">
      <c r="A2053" s="1">
        <v>45576</v>
      </c>
      <c r="B2053" s="2" t="s">
        <v>12</v>
      </c>
      <c r="C2053" s="3">
        <v>24.99</v>
      </c>
      <c r="D2053" s="3">
        <v>9</v>
      </c>
      <c r="E2053" s="3">
        <v>224.91</v>
      </c>
      <c r="F2053" t="str">
        <f t="shared" si="162"/>
        <v>net sales</v>
      </c>
      <c r="G2053" s="7" t="str">
        <f t="shared" si="165"/>
        <v>product 2</v>
      </c>
      <c r="H2053">
        <f t="shared" si="163"/>
        <v>2024</v>
      </c>
      <c r="I2053">
        <f t="shared" si="164"/>
        <v>10</v>
      </c>
      <c r="J2053">
        <f t="shared" si="161"/>
        <v>909.09</v>
      </c>
    </row>
    <row r="2054" spans="1:10" ht="12.5" x14ac:dyDescent="0.25">
      <c r="A2054" s="1">
        <v>45576</v>
      </c>
      <c r="B2054" s="2" t="s">
        <v>13</v>
      </c>
      <c r="C2054" s="3">
        <v>12.49</v>
      </c>
      <c r="D2054" s="3">
        <v>166</v>
      </c>
      <c r="E2054" s="3">
        <v>2073.34</v>
      </c>
      <c r="F2054" t="str">
        <f t="shared" si="162"/>
        <v>net sales</v>
      </c>
      <c r="G2054" s="7" t="str">
        <f t="shared" si="165"/>
        <v>product 3</v>
      </c>
      <c r="H2054">
        <f t="shared" si="163"/>
        <v>2024</v>
      </c>
      <c r="I2054">
        <f t="shared" si="164"/>
        <v>10</v>
      </c>
      <c r="J2054">
        <f t="shared" si="161"/>
        <v>49.98</v>
      </c>
    </row>
    <row r="2055" spans="1:10" ht="12.5" x14ac:dyDescent="0.25">
      <c r="A2055" s="1">
        <v>45576</v>
      </c>
      <c r="B2055" s="2" t="s">
        <v>15</v>
      </c>
      <c r="C2055" s="2" t="s">
        <v>6</v>
      </c>
      <c r="D2055" s="2" t="s">
        <v>6</v>
      </c>
      <c r="E2055" s="3">
        <v>1200</v>
      </c>
      <c r="F2055" t="str">
        <f t="shared" si="162"/>
        <v>payroll</v>
      </c>
      <c r="G2055" s="7" t="s">
        <v>6</v>
      </c>
      <c r="H2055">
        <f t="shared" si="163"/>
        <v>2024</v>
      </c>
      <c r="I2055">
        <f t="shared" si="164"/>
        <v>10</v>
      </c>
      <c r="J2055">
        <f t="shared" si="161"/>
        <v>324.74</v>
      </c>
    </row>
    <row r="2056" spans="1:10" ht="12.5" x14ac:dyDescent="0.25">
      <c r="A2056" s="1">
        <v>45577</v>
      </c>
      <c r="B2056" s="2" t="s">
        <v>7</v>
      </c>
      <c r="C2056" s="3">
        <v>5.99</v>
      </c>
      <c r="D2056" s="3">
        <v>18</v>
      </c>
      <c r="E2056" s="3">
        <v>107.82000000000001</v>
      </c>
      <c r="F2056" t="str">
        <f t="shared" si="162"/>
        <v>cogs</v>
      </c>
      <c r="G2056" s="7" t="str">
        <f t="shared" si="165"/>
        <v>product 1</v>
      </c>
      <c r="H2056">
        <f t="shared" si="163"/>
        <v>2024</v>
      </c>
      <c r="I2056">
        <f t="shared" si="164"/>
        <v>10</v>
      </c>
      <c r="J2056">
        <f t="shared" si="161"/>
        <v>-383.36</v>
      </c>
    </row>
    <row r="2057" spans="1:10" ht="12.5" x14ac:dyDescent="0.25">
      <c r="A2057" s="1">
        <v>45577</v>
      </c>
      <c r="B2057" s="2" t="s">
        <v>8</v>
      </c>
      <c r="C2057" s="3">
        <v>16.989999999999998</v>
      </c>
      <c r="D2057" s="3">
        <v>6</v>
      </c>
      <c r="E2057" s="3">
        <v>101.94</v>
      </c>
      <c r="F2057" t="str">
        <f t="shared" si="162"/>
        <v>cogs</v>
      </c>
      <c r="G2057" s="7" t="str">
        <f t="shared" si="165"/>
        <v>product 2</v>
      </c>
      <c r="H2057">
        <f t="shared" si="163"/>
        <v>2024</v>
      </c>
      <c r="I2057">
        <f t="shared" si="164"/>
        <v>10</v>
      </c>
      <c r="J2057">
        <f t="shared" si="161"/>
        <v>-169.89999999999998</v>
      </c>
    </row>
    <row r="2058" spans="1:10" ht="12.5" x14ac:dyDescent="0.25">
      <c r="A2058" s="1">
        <v>45577</v>
      </c>
      <c r="B2058" s="2" t="s">
        <v>9</v>
      </c>
      <c r="C2058" s="3">
        <v>8.49</v>
      </c>
      <c r="D2058" s="3">
        <v>197</v>
      </c>
      <c r="E2058" s="3">
        <v>1672.53</v>
      </c>
      <c r="F2058" t="str">
        <f t="shared" si="162"/>
        <v>cogs</v>
      </c>
      <c r="G2058" s="7" t="str">
        <f t="shared" si="165"/>
        <v>product 3</v>
      </c>
      <c r="H2058">
        <f t="shared" si="163"/>
        <v>2024</v>
      </c>
      <c r="I2058">
        <f t="shared" si="164"/>
        <v>10</v>
      </c>
      <c r="J2058">
        <f t="shared" si="161"/>
        <v>-1655.55</v>
      </c>
    </row>
    <row r="2059" spans="1:10" ht="12.5" x14ac:dyDescent="0.25">
      <c r="A2059" s="1">
        <v>45577</v>
      </c>
      <c r="B2059" s="2" t="s">
        <v>10</v>
      </c>
      <c r="C2059" s="2" t="s">
        <v>6</v>
      </c>
      <c r="D2059" s="2" t="s">
        <v>6</v>
      </c>
      <c r="E2059" s="3">
        <v>100.04</v>
      </c>
      <c r="F2059" t="str">
        <f t="shared" si="162"/>
        <v>marketing</v>
      </c>
      <c r="G2059" s="7" t="s">
        <v>6</v>
      </c>
      <c r="H2059">
        <f t="shared" si="163"/>
        <v>2024</v>
      </c>
      <c r="I2059">
        <f t="shared" si="164"/>
        <v>10</v>
      </c>
      <c r="J2059">
        <f t="shared" si="161"/>
        <v>-99.95</v>
      </c>
    </row>
    <row r="2060" spans="1:10" ht="12.5" x14ac:dyDescent="0.25">
      <c r="A2060" s="1">
        <v>45577</v>
      </c>
      <c r="B2060" s="2" t="s">
        <v>11</v>
      </c>
      <c r="C2060" s="3">
        <v>9.99</v>
      </c>
      <c r="D2060" s="3">
        <v>18</v>
      </c>
      <c r="E2060" s="3">
        <v>179.82</v>
      </c>
      <c r="F2060" t="str">
        <f t="shared" si="162"/>
        <v>net sales</v>
      </c>
      <c r="G2060" s="7" t="str">
        <f t="shared" si="165"/>
        <v>product 1</v>
      </c>
      <c r="H2060">
        <f t="shared" si="163"/>
        <v>2024</v>
      </c>
      <c r="I2060">
        <f t="shared" si="164"/>
        <v>10</v>
      </c>
      <c r="J2060">
        <f t="shared" si="161"/>
        <v>639.36</v>
      </c>
    </row>
    <row r="2061" spans="1:10" ht="12.5" x14ac:dyDescent="0.25">
      <c r="A2061" s="1">
        <v>45577</v>
      </c>
      <c r="B2061" s="2" t="s">
        <v>12</v>
      </c>
      <c r="C2061" s="3">
        <v>24.99</v>
      </c>
      <c r="D2061" s="3">
        <v>6</v>
      </c>
      <c r="E2061" s="3">
        <v>149.94</v>
      </c>
      <c r="F2061" t="str">
        <f t="shared" si="162"/>
        <v>net sales</v>
      </c>
      <c r="G2061" s="7" t="str">
        <f t="shared" si="165"/>
        <v>product 2</v>
      </c>
      <c r="H2061">
        <f t="shared" si="163"/>
        <v>2024</v>
      </c>
      <c r="I2061">
        <f t="shared" si="164"/>
        <v>10</v>
      </c>
      <c r="J2061">
        <f t="shared" si="161"/>
        <v>249.89999999999998</v>
      </c>
    </row>
    <row r="2062" spans="1:10" ht="12.5" x14ac:dyDescent="0.25">
      <c r="A2062" s="1">
        <v>45577</v>
      </c>
      <c r="B2062" s="2" t="s">
        <v>13</v>
      </c>
      <c r="C2062" s="3">
        <v>12.49</v>
      </c>
      <c r="D2062" s="3">
        <v>197</v>
      </c>
      <c r="E2062" s="3">
        <v>2460.5300000000002</v>
      </c>
      <c r="F2062" t="str">
        <f t="shared" si="162"/>
        <v>net sales</v>
      </c>
      <c r="G2062" s="7" t="str">
        <f t="shared" si="165"/>
        <v>product 3</v>
      </c>
      <c r="H2062">
        <f t="shared" si="163"/>
        <v>2024</v>
      </c>
      <c r="I2062">
        <f t="shared" si="164"/>
        <v>10</v>
      </c>
      <c r="J2062">
        <f t="shared" si="161"/>
        <v>2435.5500000000002</v>
      </c>
    </row>
    <row r="2063" spans="1:10" ht="12.5" x14ac:dyDescent="0.25">
      <c r="A2063" s="1">
        <v>45578</v>
      </c>
      <c r="B2063" s="2" t="s">
        <v>7</v>
      </c>
      <c r="C2063" s="3">
        <v>5.99</v>
      </c>
      <c r="D2063" s="3">
        <v>61</v>
      </c>
      <c r="E2063" s="3">
        <v>365.39</v>
      </c>
      <c r="F2063" t="str">
        <f t="shared" si="162"/>
        <v>cogs</v>
      </c>
      <c r="G2063" s="7" t="str">
        <f t="shared" si="165"/>
        <v>product 1</v>
      </c>
      <c r="H2063">
        <f t="shared" si="163"/>
        <v>2024</v>
      </c>
      <c r="I2063">
        <f t="shared" si="164"/>
        <v>10</v>
      </c>
      <c r="J2063">
        <f t="shared" si="161"/>
        <v>-83.86</v>
      </c>
    </row>
    <row r="2064" spans="1:10" ht="12.5" x14ac:dyDescent="0.25">
      <c r="A2064" s="1">
        <v>45578</v>
      </c>
      <c r="B2064" s="2" t="s">
        <v>8</v>
      </c>
      <c r="C2064" s="3">
        <v>16.989999999999998</v>
      </c>
      <c r="D2064" s="3">
        <v>3</v>
      </c>
      <c r="E2064" s="3">
        <v>50.97</v>
      </c>
      <c r="F2064" t="str">
        <f t="shared" si="162"/>
        <v>cogs</v>
      </c>
      <c r="G2064" s="7" t="str">
        <f t="shared" si="165"/>
        <v>product 2</v>
      </c>
      <c r="H2064">
        <f t="shared" si="163"/>
        <v>2024</v>
      </c>
      <c r="I2064">
        <f t="shared" si="164"/>
        <v>10</v>
      </c>
      <c r="J2064">
        <f t="shared" si="161"/>
        <v>-33.979999999999997</v>
      </c>
    </row>
    <row r="2065" spans="1:10" ht="12.5" x14ac:dyDescent="0.25">
      <c r="A2065" s="1">
        <v>45578</v>
      </c>
      <c r="B2065" s="2" t="s">
        <v>9</v>
      </c>
      <c r="C2065" s="3">
        <v>8.49</v>
      </c>
      <c r="D2065" s="3">
        <v>159</v>
      </c>
      <c r="E2065" s="3">
        <v>1349.91</v>
      </c>
      <c r="F2065" t="str">
        <f t="shared" si="162"/>
        <v>cogs</v>
      </c>
      <c r="G2065" s="7" t="str">
        <f t="shared" si="165"/>
        <v>product 3</v>
      </c>
      <c r="H2065">
        <f t="shared" si="163"/>
        <v>2024</v>
      </c>
      <c r="I2065">
        <f t="shared" si="164"/>
        <v>10</v>
      </c>
      <c r="J2065">
        <f t="shared" si="161"/>
        <v>-1400.8500000000001</v>
      </c>
    </row>
    <row r="2066" spans="1:10" ht="12.5" x14ac:dyDescent="0.25">
      <c r="A2066" s="1">
        <v>45578</v>
      </c>
      <c r="B2066" s="2" t="s">
        <v>10</v>
      </c>
      <c r="C2066" s="2" t="s">
        <v>6</v>
      </c>
      <c r="D2066" s="2" t="s">
        <v>6</v>
      </c>
      <c r="E2066" s="3">
        <v>100.05</v>
      </c>
      <c r="F2066" t="str">
        <f t="shared" si="162"/>
        <v>marketing</v>
      </c>
      <c r="G2066" s="7" t="s">
        <v>6</v>
      </c>
      <c r="H2066">
        <f t="shared" si="163"/>
        <v>2024</v>
      </c>
      <c r="I2066">
        <f t="shared" si="164"/>
        <v>10</v>
      </c>
      <c r="J2066">
        <f t="shared" si="161"/>
        <v>-99.91</v>
      </c>
    </row>
    <row r="2067" spans="1:10" ht="12.5" x14ac:dyDescent="0.25">
      <c r="A2067" s="1">
        <v>45578</v>
      </c>
      <c r="B2067" s="2" t="s">
        <v>11</v>
      </c>
      <c r="C2067" s="3">
        <v>9.99</v>
      </c>
      <c r="D2067" s="3">
        <v>61</v>
      </c>
      <c r="E2067" s="3">
        <v>609.39</v>
      </c>
      <c r="F2067" t="str">
        <f t="shared" si="162"/>
        <v>net sales</v>
      </c>
      <c r="G2067" s="7" t="str">
        <f t="shared" si="165"/>
        <v>product 1</v>
      </c>
      <c r="H2067">
        <f t="shared" si="163"/>
        <v>2024</v>
      </c>
      <c r="I2067">
        <f t="shared" si="164"/>
        <v>10</v>
      </c>
      <c r="J2067">
        <f t="shared" si="161"/>
        <v>139.86000000000001</v>
      </c>
    </row>
    <row r="2068" spans="1:10" ht="12.5" x14ac:dyDescent="0.25">
      <c r="A2068" s="1">
        <v>45578</v>
      </c>
      <c r="B2068" s="2" t="s">
        <v>12</v>
      </c>
      <c r="C2068" s="3">
        <v>24.99</v>
      </c>
      <c r="D2068" s="3">
        <v>3</v>
      </c>
      <c r="E2068" s="3">
        <v>74.97</v>
      </c>
      <c r="F2068" t="str">
        <f t="shared" si="162"/>
        <v>net sales</v>
      </c>
      <c r="G2068" s="7" t="str">
        <f t="shared" si="165"/>
        <v>product 2</v>
      </c>
      <c r="H2068">
        <f t="shared" si="163"/>
        <v>2024</v>
      </c>
      <c r="I2068">
        <f t="shared" si="164"/>
        <v>10</v>
      </c>
      <c r="J2068">
        <f t="shared" si="161"/>
        <v>49.98</v>
      </c>
    </row>
    <row r="2069" spans="1:10" ht="12.5" x14ac:dyDescent="0.25">
      <c r="A2069" s="1">
        <v>45578</v>
      </c>
      <c r="B2069" s="2" t="s">
        <v>13</v>
      </c>
      <c r="C2069" s="3">
        <v>12.49</v>
      </c>
      <c r="D2069" s="3">
        <v>159</v>
      </c>
      <c r="E2069" s="3">
        <v>1985.91</v>
      </c>
      <c r="F2069" t="str">
        <f t="shared" si="162"/>
        <v>net sales</v>
      </c>
      <c r="G2069" s="7" t="str">
        <f t="shared" si="165"/>
        <v>product 3</v>
      </c>
      <c r="H2069">
        <f t="shared" si="163"/>
        <v>2024</v>
      </c>
      <c r="I2069">
        <f t="shared" si="164"/>
        <v>10</v>
      </c>
      <c r="J2069">
        <f t="shared" si="161"/>
        <v>2060.85</v>
      </c>
    </row>
    <row r="2070" spans="1:10" ht="12.5" x14ac:dyDescent="0.25">
      <c r="A2070" s="1">
        <v>45579</v>
      </c>
      <c r="B2070" s="2" t="s">
        <v>7</v>
      </c>
      <c r="C2070" s="3">
        <v>5.99</v>
      </c>
      <c r="D2070" s="3">
        <v>86</v>
      </c>
      <c r="E2070" s="3">
        <v>515.14</v>
      </c>
      <c r="F2070" t="str">
        <f t="shared" si="162"/>
        <v>cogs</v>
      </c>
      <c r="G2070" s="7" t="str">
        <f t="shared" si="165"/>
        <v>product 1</v>
      </c>
      <c r="H2070">
        <f t="shared" si="163"/>
        <v>2024</v>
      </c>
      <c r="I2070">
        <f t="shared" si="164"/>
        <v>10</v>
      </c>
      <c r="J2070">
        <f t="shared" si="161"/>
        <v>-1200</v>
      </c>
    </row>
    <row r="2071" spans="1:10" ht="12.5" x14ac:dyDescent="0.25">
      <c r="A2071" s="1">
        <v>45579</v>
      </c>
      <c r="B2071" s="2" t="s">
        <v>8</v>
      </c>
      <c r="C2071" s="3">
        <v>16.989999999999998</v>
      </c>
      <c r="D2071" s="3">
        <v>10</v>
      </c>
      <c r="E2071" s="3">
        <v>169.89999999999998</v>
      </c>
      <c r="F2071" t="str">
        <f t="shared" si="162"/>
        <v>cogs</v>
      </c>
      <c r="G2071" s="7" t="str">
        <f t="shared" si="165"/>
        <v>product 2</v>
      </c>
      <c r="H2071">
        <f t="shared" si="163"/>
        <v>2024</v>
      </c>
      <c r="I2071">
        <f t="shared" si="164"/>
        <v>10</v>
      </c>
      <c r="J2071">
        <f t="shared" si="161"/>
        <v>-239.60000000000002</v>
      </c>
    </row>
    <row r="2072" spans="1:10" ht="12.5" x14ac:dyDescent="0.25">
      <c r="A2072" s="1">
        <v>45579</v>
      </c>
      <c r="B2072" s="2" t="s">
        <v>9</v>
      </c>
      <c r="C2072" s="3">
        <v>8.49</v>
      </c>
      <c r="D2072" s="3">
        <v>94</v>
      </c>
      <c r="E2072" s="3">
        <v>798.06000000000006</v>
      </c>
      <c r="F2072" t="str">
        <f t="shared" si="162"/>
        <v>cogs</v>
      </c>
      <c r="G2072" s="7" t="str">
        <f t="shared" si="165"/>
        <v>product 3</v>
      </c>
      <c r="H2072">
        <f t="shared" si="163"/>
        <v>2024</v>
      </c>
      <c r="I2072">
        <f t="shared" si="164"/>
        <v>10</v>
      </c>
      <c r="J2072">
        <f t="shared" si="161"/>
        <v>-101.94</v>
      </c>
    </row>
    <row r="2073" spans="1:10" ht="12.5" x14ac:dyDescent="0.25">
      <c r="A2073" s="1">
        <v>45579</v>
      </c>
      <c r="B2073" s="2" t="s">
        <v>10</v>
      </c>
      <c r="C2073" s="2" t="s">
        <v>6</v>
      </c>
      <c r="D2073" s="2" t="s">
        <v>6</v>
      </c>
      <c r="E2073" s="3">
        <v>100.08</v>
      </c>
      <c r="F2073" t="str">
        <f t="shared" si="162"/>
        <v>marketing</v>
      </c>
      <c r="G2073" s="7" t="s">
        <v>6</v>
      </c>
      <c r="H2073">
        <f t="shared" si="163"/>
        <v>2024</v>
      </c>
      <c r="I2073">
        <f t="shared" si="164"/>
        <v>10</v>
      </c>
      <c r="J2073">
        <f t="shared" si="161"/>
        <v>-1137.6600000000001</v>
      </c>
    </row>
    <row r="2074" spans="1:10" ht="12.5" x14ac:dyDescent="0.25">
      <c r="A2074" s="1">
        <v>45579</v>
      </c>
      <c r="B2074" s="2" t="s">
        <v>11</v>
      </c>
      <c r="C2074" s="3">
        <v>9.99</v>
      </c>
      <c r="D2074" s="3">
        <v>86</v>
      </c>
      <c r="E2074" s="3">
        <v>859.14</v>
      </c>
      <c r="F2074" t="str">
        <f t="shared" si="162"/>
        <v>net sales</v>
      </c>
      <c r="G2074" s="7" t="str">
        <f t="shared" si="165"/>
        <v>product 1</v>
      </c>
      <c r="H2074">
        <f t="shared" si="163"/>
        <v>2024</v>
      </c>
      <c r="I2074">
        <f t="shared" si="164"/>
        <v>10</v>
      </c>
      <c r="J2074">
        <f t="shared" si="161"/>
        <v>-100.04</v>
      </c>
    </row>
    <row r="2075" spans="1:10" ht="12.5" x14ac:dyDescent="0.25">
      <c r="A2075" s="1">
        <v>45579</v>
      </c>
      <c r="B2075" s="2" t="s">
        <v>12</v>
      </c>
      <c r="C2075" s="3">
        <v>24.99</v>
      </c>
      <c r="D2075" s="3">
        <v>10</v>
      </c>
      <c r="E2075" s="3">
        <v>249.89999999999998</v>
      </c>
      <c r="F2075" t="str">
        <f t="shared" si="162"/>
        <v>net sales</v>
      </c>
      <c r="G2075" s="7" t="str">
        <f t="shared" si="165"/>
        <v>product 2</v>
      </c>
      <c r="H2075">
        <f t="shared" si="163"/>
        <v>2024</v>
      </c>
      <c r="I2075">
        <f t="shared" si="164"/>
        <v>10</v>
      </c>
      <c r="J2075">
        <f t="shared" si="161"/>
        <v>399.6</v>
      </c>
    </row>
    <row r="2076" spans="1:10" ht="12.5" x14ac:dyDescent="0.25">
      <c r="A2076" s="1">
        <v>45579</v>
      </c>
      <c r="B2076" s="2" t="s">
        <v>13</v>
      </c>
      <c r="C2076" s="3">
        <v>12.49</v>
      </c>
      <c r="D2076" s="3">
        <v>94</v>
      </c>
      <c r="E2076" s="3">
        <v>1174.06</v>
      </c>
      <c r="F2076" t="str">
        <f t="shared" si="162"/>
        <v>net sales</v>
      </c>
      <c r="G2076" s="7" t="str">
        <f t="shared" si="165"/>
        <v>product 3</v>
      </c>
      <c r="H2076">
        <f t="shared" si="163"/>
        <v>2024</v>
      </c>
      <c r="I2076">
        <f t="shared" si="164"/>
        <v>10</v>
      </c>
      <c r="J2076">
        <f t="shared" ref="J2076:J2139" si="166">IF(F1859="net sales",E1859,
IF(F1859="cogs",-E1859,
IF(OR(F1859="marketing",F1859="overhead",F1859="payroll",F1859="interest","amortization"),-E1859,0)))</f>
        <v>149.94</v>
      </c>
    </row>
    <row r="2077" spans="1:10" ht="12.5" x14ac:dyDescent="0.25">
      <c r="A2077" s="1">
        <v>45580</v>
      </c>
      <c r="B2077" s="2" t="s">
        <v>7</v>
      </c>
      <c r="C2077" s="3">
        <v>5.99</v>
      </c>
      <c r="D2077" s="3">
        <v>96</v>
      </c>
      <c r="E2077" s="3">
        <v>575.04</v>
      </c>
      <c r="F2077" t="str">
        <f t="shared" si="162"/>
        <v>cogs</v>
      </c>
      <c r="G2077" s="7" t="str">
        <f t="shared" si="165"/>
        <v>product 1</v>
      </c>
      <c r="H2077">
        <f t="shared" si="163"/>
        <v>2024</v>
      </c>
      <c r="I2077">
        <f t="shared" si="164"/>
        <v>10</v>
      </c>
      <c r="J2077">
        <f t="shared" si="166"/>
        <v>1673.66</v>
      </c>
    </row>
    <row r="2078" spans="1:10" ht="12.5" x14ac:dyDescent="0.25">
      <c r="A2078" s="1">
        <v>45580</v>
      </c>
      <c r="B2078" s="2" t="s">
        <v>8</v>
      </c>
      <c r="C2078" s="3">
        <v>16.989999999999998</v>
      </c>
      <c r="D2078" s="3">
        <v>0</v>
      </c>
      <c r="E2078" s="2">
        <f>C2078*D2078</f>
        <v>0</v>
      </c>
      <c r="F2078" t="str">
        <f t="shared" si="162"/>
        <v>cogs</v>
      </c>
      <c r="G2078" s="7" t="str">
        <f t="shared" si="165"/>
        <v>product 2</v>
      </c>
      <c r="H2078">
        <f t="shared" si="163"/>
        <v>2024</v>
      </c>
      <c r="I2078">
        <f t="shared" si="164"/>
        <v>10</v>
      </c>
      <c r="J2078">
        <f t="shared" si="166"/>
        <v>-155.74</v>
      </c>
    </row>
    <row r="2079" spans="1:10" ht="12.5" x14ac:dyDescent="0.25">
      <c r="A2079" s="1">
        <v>45580</v>
      </c>
      <c r="B2079" s="2" t="s">
        <v>9</v>
      </c>
      <c r="C2079" s="3">
        <v>8.49</v>
      </c>
      <c r="D2079" s="3">
        <v>215</v>
      </c>
      <c r="E2079" s="3">
        <v>1825.3500000000001</v>
      </c>
      <c r="F2079" t="str">
        <f t="shared" si="162"/>
        <v>cogs</v>
      </c>
      <c r="G2079" s="7" t="str">
        <f t="shared" si="165"/>
        <v>product 3</v>
      </c>
      <c r="H2079">
        <f t="shared" si="163"/>
        <v>2024</v>
      </c>
      <c r="I2079">
        <f t="shared" si="164"/>
        <v>10</v>
      </c>
      <c r="J2079">
        <f t="shared" si="166"/>
        <v>-33.979999999999997</v>
      </c>
    </row>
    <row r="2080" spans="1:10" ht="12.5" x14ac:dyDescent="0.25">
      <c r="A2080" s="1">
        <v>45580</v>
      </c>
      <c r="B2080" s="2" t="s">
        <v>16</v>
      </c>
      <c r="C2080" s="2" t="s">
        <v>6</v>
      </c>
      <c r="D2080" s="2" t="s">
        <v>6</v>
      </c>
      <c r="E2080" s="3">
        <v>1252.1199999999999</v>
      </c>
      <c r="F2080" t="str">
        <f t="shared" si="162"/>
        <v>interest</v>
      </c>
      <c r="G2080" s="7" t="s">
        <v>6</v>
      </c>
      <c r="H2080">
        <f t="shared" si="163"/>
        <v>2024</v>
      </c>
      <c r="I2080">
        <f t="shared" si="164"/>
        <v>10</v>
      </c>
      <c r="J2080">
        <f t="shared" si="166"/>
        <v>-280.17</v>
      </c>
    </row>
    <row r="2081" spans="1:10" ht="12.5" x14ac:dyDescent="0.25">
      <c r="A2081" s="1">
        <v>45580</v>
      </c>
      <c r="B2081" s="2" t="s">
        <v>10</v>
      </c>
      <c r="C2081" s="2" t="s">
        <v>6</v>
      </c>
      <c r="D2081" s="2" t="s">
        <v>6</v>
      </c>
      <c r="E2081" s="3">
        <v>99.91</v>
      </c>
      <c r="F2081" t="str">
        <f t="shared" si="162"/>
        <v>marketing</v>
      </c>
      <c r="G2081" s="7" t="s">
        <v>6</v>
      </c>
      <c r="H2081">
        <f t="shared" si="163"/>
        <v>2024</v>
      </c>
      <c r="I2081">
        <f t="shared" si="164"/>
        <v>10</v>
      </c>
      <c r="J2081">
        <f t="shared" si="166"/>
        <v>-1280.1600000000001</v>
      </c>
    </row>
    <row r="2082" spans="1:10" ht="12.5" x14ac:dyDescent="0.25">
      <c r="A2082" s="1">
        <v>45580</v>
      </c>
      <c r="B2082" s="2" t="s">
        <v>11</v>
      </c>
      <c r="C2082" s="3">
        <v>9.99</v>
      </c>
      <c r="D2082" s="3">
        <v>96</v>
      </c>
      <c r="E2082" s="3">
        <v>959.04</v>
      </c>
      <c r="F2082" t="str">
        <f t="shared" si="162"/>
        <v>net sales</v>
      </c>
      <c r="G2082" s="7" t="str">
        <f t="shared" si="165"/>
        <v>product 1</v>
      </c>
      <c r="H2082">
        <f t="shared" si="163"/>
        <v>2024</v>
      </c>
      <c r="I2082">
        <f t="shared" si="164"/>
        <v>10</v>
      </c>
      <c r="J2082">
        <f t="shared" si="166"/>
        <v>-99.92</v>
      </c>
    </row>
    <row r="2083" spans="1:10" ht="12.5" x14ac:dyDescent="0.25">
      <c r="A2083" s="1">
        <v>45580</v>
      </c>
      <c r="B2083" s="2" t="s">
        <v>12</v>
      </c>
      <c r="C2083" s="3">
        <v>24.99</v>
      </c>
      <c r="D2083" s="3">
        <v>0</v>
      </c>
      <c r="E2083" s="2">
        <f>C2083*D2083</f>
        <v>0</v>
      </c>
      <c r="F2083" t="str">
        <f t="shared" si="162"/>
        <v>net sales</v>
      </c>
      <c r="G2083" s="7" t="str">
        <f t="shared" si="165"/>
        <v>product 2</v>
      </c>
      <c r="H2083">
        <f t="shared" si="163"/>
        <v>2024</v>
      </c>
      <c r="I2083">
        <f t="shared" si="164"/>
        <v>10</v>
      </c>
      <c r="J2083">
        <f t="shared" si="166"/>
        <v>259.74</v>
      </c>
    </row>
    <row r="2084" spans="1:10" ht="12.5" x14ac:dyDescent="0.25">
      <c r="A2084" s="1">
        <v>45580</v>
      </c>
      <c r="B2084" s="2" t="s">
        <v>13</v>
      </c>
      <c r="C2084" s="3">
        <v>12.49</v>
      </c>
      <c r="D2084" s="3">
        <v>215</v>
      </c>
      <c r="E2084" s="3">
        <v>2685.35</v>
      </c>
      <c r="F2084" t="str">
        <f t="shared" si="162"/>
        <v>net sales</v>
      </c>
      <c r="G2084" s="7" t="str">
        <f t="shared" si="165"/>
        <v>product 3</v>
      </c>
      <c r="H2084">
        <f t="shared" si="163"/>
        <v>2024</v>
      </c>
      <c r="I2084">
        <f t="shared" si="164"/>
        <v>10</v>
      </c>
      <c r="J2084">
        <f t="shared" si="166"/>
        <v>49.98</v>
      </c>
    </row>
    <row r="2085" spans="1:10" ht="12.5" x14ac:dyDescent="0.25">
      <c r="A2085" s="1">
        <v>45580</v>
      </c>
      <c r="B2085" s="2" t="s">
        <v>14</v>
      </c>
      <c r="C2085" s="2" t="s">
        <v>6</v>
      </c>
      <c r="D2085" s="2" t="s">
        <v>6</v>
      </c>
      <c r="E2085" s="3">
        <v>316.27999999999997</v>
      </c>
      <c r="F2085" t="str">
        <f t="shared" si="162"/>
        <v>overhead</v>
      </c>
      <c r="G2085" s="7" t="s">
        <v>6</v>
      </c>
      <c r="H2085">
        <f t="shared" si="163"/>
        <v>2024</v>
      </c>
      <c r="I2085">
        <f t="shared" si="164"/>
        <v>10</v>
      </c>
      <c r="J2085">
        <f t="shared" si="166"/>
        <v>412.17</v>
      </c>
    </row>
    <row r="2086" spans="1:10" ht="12.5" x14ac:dyDescent="0.25">
      <c r="A2086" s="1">
        <v>45581</v>
      </c>
      <c r="B2086" s="2" t="s">
        <v>7</v>
      </c>
      <c r="C2086" s="3">
        <v>5.99</v>
      </c>
      <c r="D2086" s="3">
        <v>68</v>
      </c>
      <c r="E2086" s="3">
        <v>407.32</v>
      </c>
      <c r="F2086" t="str">
        <f t="shared" si="162"/>
        <v>cogs</v>
      </c>
      <c r="G2086" s="7" t="str">
        <f t="shared" si="165"/>
        <v>product 1</v>
      </c>
      <c r="H2086">
        <f t="shared" si="163"/>
        <v>2024</v>
      </c>
      <c r="I2086">
        <f t="shared" si="164"/>
        <v>10</v>
      </c>
      <c r="J2086">
        <f t="shared" si="166"/>
        <v>-320.04000000000002</v>
      </c>
    </row>
    <row r="2087" spans="1:10" ht="12.5" x14ac:dyDescent="0.25">
      <c r="A2087" s="1">
        <v>45581</v>
      </c>
      <c r="B2087" s="2" t="s">
        <v>8</v>
      </c>
      <c r="C2087" s="3">
        <v>16.989999999999998</v>
      </c>
      <c r="D2087" s="3">
        <v>5</v>
      </c>
      <c r="E2087" s="3">
        <v>84.949999999999989</v>
      </c>
      <c r="F2087" t="str">
        <f t="shared" si="162"/>
        <v>cogs</v>
      </c>
      <c r="G2087" s="7" t="str">
        <f t="shared" si="165"/>
        <v>product 2</v>
      </c>
      <c r="H2087">
        <f t="shared" si="163"/>
        <v>2024</v>
      </c>
      <c r="I2087">
        <f t="shared" si="164"/>
        <v>10</v>
      </c>
      <c r="J2087">
        <f t="shared" si="166"/>
        <v>-443.26</v>
      </c>
    </row>
    <row r="2088" spans="1:10" ht="12.5" x14ac:dyDescent="0.25">
      <c r="A2088" s="1">
        <v>45581</v>
      </c>
      <c r="B2088" s="2" t="s">
        <v>9</v>
      </c>
      <c r="C2088" s="3">
        <v>8.49</v>
      </c>
      <c r="D2088" s="3">
        <v>14</v>
      </c>
      <c r="E2088" s="3">
        <v>118.86</v>
      </c>
      <c r="F2088" t="str">
        <f t="shared" si="162"/>
        <v>cogs</v>
      </c>
      <c r="G2088" s="7" t="str">
        <f t="shared" si="165"/>
        <v>product 3</v>
      </c>
      <c r="H2088">
        <f t="shared" si="163"/>
        <v>2024</v>
      </c>
      <c r="I2088">
        <f t="shared" si="164"/>
        <v>10</v>
      </c>
      <c r="J2088">
        <f t="shared" si="166"/>
        <v>-152.91</v>
      </c>
    </row>
    <row r="2089" spans="1:10" ht="12.5" x14ac:dyDescent="0.25">
      <c r="A2089" s="1">
        <v>45581</v>
      </c>
      <c r="B2089" s="2" t="s">
        <v>10</v>
      </c>
      <c r="C2089" s="2" t="s">
        <v>6</v>
      </c>
      <c r="D2089" s="2" t="s">
        <v>6</v>
      </c>
      <c r="E2089" s="3">
        <v>100.06</v>
      </c>
      <c r="F2089" t="str">
        <f t="shared" si="162"/>
        <v>marketing</v>
      </c>
      <c r="G2089" s="7" t="s">
        <v>6</v>
      </c>
      <c r="H2089">
        <f t="shared" si="163"/>
        <v>2024</v>
      </c>
      <c r="I2089">
        <f t="shared" si="164"/>
        <v>10</v>
      </c>
      <c r="J2089">
        <f t="shared" si="166"/>
        <v>-399.03000000000003</v>
      </c>
    </row>
    <row r="2090" spans="1:10" ht="12.5" x14ac:dyDescent="0.25">
      <c r="A2090" s="1">
        <v>45581</v>
      </c>
      <c r="B2090" s="2" t="s">
        <v>11</v>
      </c>
      <c r="C2090" s="3">
        <v>9.99</v>
      </c>
      <c r="D2090" s="3">
        <v>68</v>
      </c>
      <c r="E2090" s="3">
        <v>679.32</v>
      </c>
      <c r="F2090" t="str">
        <f t="shared" si="162"/>
        <v>net sales</v>
      </c>
      <c r="G2090" s="7" t="str">
        <f t="shared" si="165"/>
        <v>product 1</v>
      </c>
      <c r="H2090">
        <f t="shared" si="163"/>
        <v>2024</v>
      </c>
      <c r="I2090">
        <f t="shared" si="164"/>
        <v>10</v>
      </c>
      <c r="J2090">
        <f t="shared" si="166"/>
        <v>-100.03</v>
      </c>
    </row>
    <row r="2091" spans="1:10" ht="12.5" x14ac:dyDescent="0.25">
      <c r="A2091" s="1">
        <v>45581</v>
      </c>
      <c r="B2091" s="2" t="s">
        <v>12</v>
      </c>
      <c r="C2091" s="3">
        <v>24.99</v>
      </c>
      <c r="D2091" s="3">
        <v>5</v>
      </c>
      <c r="E2091" s="3">
        <v>124.94999999999999</v>
      </c>
      <c r="F2091" t="str">
        <f t="shared" si="162"/>
        <v>net sales</v>
      </c>
      <c r="G2091" s="7" t="str">
        <f t="shared" si="165"/>
        <v>product 2</v>
      </c>
      <c r="H2091">
        <f t="shared" si="163"/>
        <v>2024</v>
      </c>
      <c r="I2091">
        <f t="shared" si="164"/>
        <v>10</v>
      </c>
      <c r="J2091">
        <f t="shared" si="166"/>
        <v>739.26</v>
      </c>
    </row>
    <row r="2092" spans="1:10" ht="12.5" x14ac:dyDescent="0.25">
      <c r="A2092" s="1">
        <v>45581</v>
      </c>
      <c r="B2092" s="2" t="s">
        <v>13</v>
      </c>
      <c r="C2092" s="3">
        <v>12.49</v>
      </c>
      <c r="D2092" s="3">
        <v>14</v>
      </c>
      <c r="E2092" s="3">
        <v>174.86</v>
      </c>
      <c r="F2092" t="str">
        <f t="shared" si="162"/>
        <v>net sales</v>
      </c>
      <c r="G2092" s="7" t="str">
        <f t="shared" si="165"/>
        <v>product 3</v>
      </c>
      <c r="H2092">
        <f t="shared" si="163"/>
        <v>2024</v>
      </c>
      <c r="I2092">
        <f t="shared" si="164"/>
        <v>10</v>
      </c>
      <c r="J2092">
        <f t="shared" si="166"/>
        <v>224.91</v>
      </c>
    </row>
    <row r="2093" spans="1:10" ht="12.5" x14ac:dyDescent="0.25">
      <c r="A2093" s="1">
        <v>45582</v>
      </c>
      <c r="B2093" s="2" t="s">
        <v>7</v>
      </c>
      <c r="C2093" s="3">
        <v>5.99</v>
      </c>
      <c r="D2093" s="3">
        <v>33</v>
      </c>
      <c r="E2093" s="3">
        <v>197.67000000000002</v>
      </c>
      <c r="F2093" t="str">
        <f t="shared" si="162"/>
        <v>cogs</v>
      </c>
      <c r="G2093" s="7" t="str">
        <f t="shared" si="165"/>
        <v>product 1</v>
      </c>
      <c r="H2093">
        <f t="shared" si="163"/>
        <v>2024</v>
      </c>
      <c r="I2093">
        <f t="shared" si="164"/>
        <v>10</v>
      </c>
      <c r="J2093">
        <f t="shared" si="166"/>
        <v>587.03</v>
      </c>
    </row>
    <row r="2094" spans="1:10" ht="12.5" x14ac:dyDescent="0.25">
      <c r="A2094" s="1">
        <v>45582</v>
      </c>
      <c r="B2094" s="2" t="s">
        <v>8</v>
      </c>
      <c r="C2094" s="3">
        <v>16.989999999999998</v>
      </c>
      <c r="D2094" s="3">
        <v>2</v>
      </c>
      <c r="E2094" s="3">
        <v>33.979999999999997</v>
      </c>
      <c r="F2094" t="str">
        <f t="shared" si="162"/>
        <v>cogs</v>
      </c>
      <c r="G2094" s="7" t="str">
        <f t="shared" si="165"/>
        <v>product 2</v>
      </c>
      <c r="H2094">
        <f t="shared" si="163"/>
        <v>2024</v>
      </c>
      <c r="I2094">
        <f t="shared" si="164"/>
        <v>10</v>
      </c>
      <c r="J2094">
        <f t="shared" si="166"/>
        <v>-95.84</v>
      </c>
    </row>
    <row r="2095" spans="1:10" ht="12.5" x14ac:dyDescent="0.25">
      <c r="A2095" s="1">
        <v>45582</v>
      </c>
      <c r="B2095" s="2" t="s">
        <v>9</v>
      </c>
      <c r="C2095" s="3">
        <v>8.49</v>
      </c>
      <c r="D2095" s="3">
        <v>157</v>
      </c>
      <c r="E2095" s="3">
        <v>1332.93</v>
      </c>
      <c r="F2095" t="str">
        <f t="shared" si="162"/>
        <v>cogs</v>
      </c>
      <c r="G2095" s="7" t="str">
        <f t="shared" si="165"/>
        <v>product 3</v>
      </c>
      <c r="H2095">
        <f t="shared" si="163"/>
        <v>2024</v>
      </c>
      <c r="I2095">
        <f t="shared" si="164"/>
        <v>10</v>
      </c>
      <c r="J2095">
        <f t="shared" si="166"/>
        <v>-84.949999999999989</v>
      </c>
    </row>
    <row r="2096" spans="1:10" ht="12.5" x14ac:dyDescent="0.25">
      <c r="A2096" s="1">
        <v>45582</v>
      </c>
      <c r="B2096" s="2" t="s">
        <v>10</v>
      </c>
      <c r="C2096" s="2" t="s">
        <v>6</v>
      </c>
      <c r="D2096" s="2" t="s">
        <v>6</v>
      </c>
      <c r="E2096" s="3">
        <v>99.960000000000008</v>
      </c>
      <c r="F2096" t="str">
        <f t="shared" si="162"/>
        <v>marketing</v>
      </c>
      <c r="G2096" s="7" t="s">
        <v>6</v>
      </c>
      <c r="H2096">
        <f t="shared" si="163"/>
        <v>2024</v>
      </c>
      <c r="I2096">
        <f t="shared" si="164"/>
        <v>10</v>
      </c>
      <c r="J2096">
        <f t="shared" si="166"/>
        <v>-1765.92</v>
      </c>
    </row>
    <row r="2097" spans="1:10" ht="12.5" x14ac:dyDescent="0.25">
      <c r="A2097" s="1">
        <v>45582</v>
      </c>
      <c r="B2097" s="2" t="s">
        <v>11</v>
      </c>
      <c r="C2097" s="3">
        <v>9.99</v>
      </c>
      <c r="D2097" s="3">
        <v>33</v>
      </c>
      <c r="E2097" s="3">
        <v>329.67</v>
      </c>
      <c r="F2097" t="str">
        <f t="shared" si="162"/>
        <v>net sales</v>
      </c>
      <c r="G2097" s="7" t="str">
        <f t="shared" si="165"/>
        <v>product 1</v>
      </c>
      <c r="H2097">
        <f t="shared" si="163"/>
        <v>2024</v>
      </c>
      <c r="I2097">
        <f t="shared" si="164"/>
        <v>10</v>
      </c>
      <c r="J2097">
        <f t="shared" si="166"/>
        <v>-99.94</v>
      </c>
    </row>
    <row r="2098" spans="1:10" ht="12.5" x14ac:dyDescent="0.25">
      <c r="A2098" s="1">
        <v>45582</v>
      </c>
      <c r="B2098" s="2" t="s">
        <v>12</v>
      </c>
      <c r="C2098" s="3">
        <v>24.99</v>
      </c>
      <c r="D2098" s="3">
        <v>2</v>
      </c>
      <c r="E2098" s="3">
        <v>49.98</v>
      </c>
      <c r="F2098" t="str">
        <f t="shared" si="162"/>
        <v>net sales</v>
      </c>
      <c r="G2098" s="7" t="str">
        <f t="shared" si="165"/>
        <v>product 2</v>
      </c>
      <c r="H2098">
        <f t="shared" si="163"/>
        <v>2024</v>
      </c>
      <c r="I2098">
        <f t="shared" si="164"/>
        <v>10</v>
      </c>
      <c r="J2098">
        <f t="shared" si="166"/>
        <v>159.84</v>
      </c>
    </row>
    <row r="2099" spans="1:10" ht="12.5" x14ac:dyDescent="0.25">
      <c r="A2099" s="1">
        <v>45582</v>
      </c>
      <c r="B2099" s="2" t="s">
        <v>13</v>
      </c>
      <c r="C2099" s="3">
        <v>12.49</v>
      </c>
      <c r="D2099" s="3">
        <v>157</v>
      </c>
      <c r="E2099" s="3">
        <v>1960.93</v>
      </c>
      <c r="F2099" t="str">
        <f t="shared" si="162"/>
        <v>net sales</v>
      </c>
      <c r="G2099" s="7" t="str">
        <f t="shared" si="165"/>
        <v>product 3</v>
      </c>
      <c r="H2099">
        <f t="shared" si="163"/>
        <v>2024</v>
      </c>
      <c r="I2099">
        <f t="shared" si="164"/>
        <v>10</v>
      </c>
      <c r="J2099">
        <f t="shared" si="166"/>
        <v>124.94999999999999</v>
      </c>
    </row>
    <row r="2100" spans="1:10" ht="12.5" x14ac:dyDescent="0.25">
      <c r="A2100" s="1">
        <v>45583</v>
      </c>
      <c r="B2100" s="2" t="s">
        <v>7</v>
      </c>
      <c r="C2100" s="3">
        <v>5.99</v>
      </c>
      <c r="D2100" s="3">
        <v>78</v>
      </c>
      <c r="E2100" s="3">
        <v>467.22</v>
      </c>
      <c r="F2100" t="str">
        <f t="shared" si="162"/>
        <v>cogs</v>
      </c>
      <c r="G2100" s="7" t="str">
        <f t="shared" si="165"/>
        <v>product 1</v>
      </c>
      <c r="H2100">
        <f t="shared" si="163"/>
        <v>2024</v>
      </c>
      <c r="I2100">
        <f t="shared" si="164"/>
        <v>10</v>
      </c>
      <c r="J2100">
        <f t="shared" si="166"/>
        <v>2597.92</v>
      </c>
    </row>
    <row r="2101" spans="1:10" ht="12.5" x14ac:dyDescent="0.25">
      <c r="A2101" s="1">
        <v>45583</v>
      </c>
      <c r="B2101" s="2" t="s">
        <v>8</v>
      </c>
      <c r="C2101" s="3">
        <v>16.989999999999998</v>
      </c>
      <c r="D2101" s="3">
        <v>6</v>
      </c>
      <c r="E2101" s="3">
        <v>101.94</v>
      </c>
      <c r="F2101" t="str">
        <f t="shared" si="162"/>
        <v>cogs</v>
      </c>
      <c r="G2101" s="7" t="str">
        <f t="shared" si="165"/>
        <v>product 2</v>
      </c>
      <c r="H2101">
        <f t="shared" si="163"/>
        <v>2024</v>
      </c>
      <c r="I2101">
        <f t="shared" si="164"/>
        <v>10</v>
      </c>
      <c r="J2101">
        <f t="shared" si="166"/>
        <v>-29.950000000000003</v>
      </c>
    </row>
    <row r="2102" spans="1:10" ht="12.5" x14ac:dyDescent="0.25">
      <c r="A2102" s="1">
        <v>45583</v>
      </c>
      <c r="B2102" s="2" t="s">
        <v>9</v>
      </c>
      <c r="C2102" s="3">
        <v>8.49</v>
      </c>
      <c r="D2102" s="3">
        <v>18</v>
      </c>
      <c r="E2102" s="3">
        <v>152.82</v>
      </c>
      <c r="F2102" t="str">
        <f t="shared" si="162"/>
        <v>cogs</v>
      </c>
      <c r="G2102" s="7" t="str">
        <f t="shared" si="165"/>
        <v>product 3</v>
      </c>
      <c r="H2102">
        <f t="shared" si="163"/>
        <v>2024</v>
      </c>
      <c r="I2102">
        <f t="shared" si="164"/>
        <v>10</v>
      </c>
      <c r="J2102">
        <f t="shared" si="166"/>
        <v>-33.979999999999997</v>
      </c>
    </row>
    <row r="2103" spans="1:10" ht="12.5" x14ac:dyDescent="0.25">
      <c r="A2103" s="1">
        <v>45583</v>
      </c>
      <c r="B2103" s="2" t="s">
        <v>10</v>
      </c>
      <c r="C2103" s="2" t="s">
        <v>6</v>
      </c>
      <c r="D2103" s="2" t="s">
        <v>6</v>
      </c>
      <c r="E2103" s="3">
        <v>99.91</v>
      </c>
      <c r="F2103" t="str">
        <f t="shared" si="162"/>
        <v>marketing</v>
      </c>
      <c r="G2103" s="7" t="s">
        <v>6</v>
      </c>
      <c r="H2103">
        <f t="shared" si="163"/>
        <v>2024</v>
      </c>
      <c r="I2103">
        <f t="shared" si="164"/>
        <v>10</v>
      </c>
      <c r="J2103">
        <f t="shared" si="166"/>
        <v>-1638.57</v>
      </c>
    </row>
    <row r="2104" spans="1:10" ht="12.5" x14ac:dyDescent="0.25">
      <c r="A2104" s="1">
        <v>45583</v>
      </c>
      <c r="B2104" s="2" t="s">
        <v>11</v>
      </c>
      <c r="C2104" s="3">
        <v>9.99</v>
      </c>
      <c r="D2104" s="3">
        <v>78</v>
      </c>
      <c r="E2104" s="3">
        <v>779.22</v>
      </c>
      <c r="F2104" t="str">
        <f t="shared" si="162"/>
        <v>net sales</v>
      </c>
      <c r="G2104" s="7" t="str">
        <f t="shared" si="165"/>
        <v>product 1</v>
      </c>
      <c r="H2104">
        <f t="shared" si="163"/>
        <v>2024</v>
      </c>
      <c r="I2104">
        <f t="shared" si="164"/>
        <v>10</v>
      </c>
      <c r="J2104">
        <f t="shared" si="166"/>
        <v>-99.95</v>
      </c>
    </row>
    <row r="2105" spans="1:10" ht="12.5" x14ac:dyDescent="0.25">
      <c r="A2105" s="1">
        <v>45583</v>
      </c>
      <c r="B2105" s="2" t="s">
        <v>12</v>
      </c>
      <c r="C2105" s="3">
        <v>24.99</v>
      </c>
      <c r="D2105" s="3">
        <v>6</v>
      </c>
      <c r="E2105" s="3">
        <v>149.94</v>
      </c>
      <c r="F2105" t="str">
        <f t="shared" si="162"/>
        <v>net sales</v>
      </c>
      <c r="G2105" s="7" t="str">
        <f t="shared" si="165"/>
        <v>product 2</v>
      </c>
      <c r="H2105">
        <f t="shared" si="163"/>
        <v>2024</v>
      </c>
      <c r="I2105">
        <f t="shared" si="164"/>
        <v>10</v>
      </c>
      <c r="J2105">
        <f t="shared" si="166"/>
        <v>49.95</v>
      </c>
    </row>
    <row r="2106" spans="1:10" ht="12.5" x14ac:dyDescent="0.25">
      <c r="A2106" s="1">
        <v>45583</v>
      </c>
      <c r="B2106" s="2" t="s">
        <v>13</v>
      </c>
      <c r="C2106" s="3">
        <v>12.49</v>
      </c>
      <c r="D2106" s="3">
        <v>18</v>
      </c>
      <c r="E2106" s="3">
        <v>224.82</v>
      </c>
      <c r="F2106" t="str">
        <f t="shared" si="162"/>
        <v>net sales</v>
      </c>
      <c r="G2106" s="7" t="str">
        <f t="shared" si="165"/>
        <v>product 3</v>
      </c>
      <c r="H2106">
        <f t="shared" si="163"/>
        <v>2024</v>
      </c>
      <c r="I2106">
        <f t="shared" si="164"/>
        <v>10</v>
      </c>
      <c r="J2106">
        <f t="shared" si="166"/>
        <v>49.98</v>
      </c>
    </row>
    <row r="2107" spans="1:10" ht="12.5" x14ac:dyDescent="0.25">
      <c r="A2107" s="1">
        <v>45584</v>
      </c>
      <c r="B2107" s="2" t="s">
        <v>7</v>
      </c>
      <c r="C2107" s="3">
        <v>5.99</v>
      </c>
      <c r="D2107" s="3">
        <v>75</v>
      </c>
      <c r="E2107" s="3">
        <v>449.25</v>
      </c>
      <c r="F2107" t="str">
        <f t="shared" si="162"/>
        <v>cogs</v>
      </c>
      <c r="G2107" s="7" t="str">
        <f t="shared" si="165"/>
        <v>product 1</v>
      </c>
      <c r="H2107">
        <f t="shared" si="163"/>
        <v>2024</v>
      </c>
      <c r="I2107">
        <f t="shared" si="164"/>
        <v>10</v>
      </c>
      <c r="J2107">
        <f t="shared" si="166"/>
        <v>2410.5700000000002</v>
      </c>
    </row>
    <row r="2108" spans="1:10" ht="12.5" x14ac:dyDescent="0.25">
      <c r="A2108" s="1">
        <v>45584</v>
      </c>
      <c r="B2108" s="2" t="s">
        <v>8</v>
      </c>
      <c r="C2108" s="3">
        <v>16.989999999999998</v>
      </c>
      <c r="D2108" s="3">
        <v>8</v>
      </c>
      <c r="E2108" s="3">
        <v>135.91999999999999</v>
      </c>
      <c r="F2108" t="str">
        <f t="shared" si="162"/>
        <v>cogs</v>
      </c>
      <c r="G2108" s="7" t="str">
        <f t="shared" si="165"/>
        <v>product 2</v>
      </c>
      <c r="H2108">
        <f t="shared" si="163"/>
        <v>2024</v>
      </c>
      <c r="I2108">
        <f t="shared" si="164"/>
        <v>10</v>
      </c>
      <c r="J2108">
        <f t="shared" si="166"/>
        <v>-41.93</v>
      </c>
    </row>
    <row r="2109" spans="1:10" ht="12.5" x14ac:dyDescent="0.25">
      <c r="A2109" s="1">
        <v>45584</v>
      </c>
      <c r="B2109" s="2" t="s">
        <v>9</v>
      </c>
      <c r="C2109" s="3">
        <v>8.49</v>
      </c>
      <c r="D2109" s="3">
        <v>171</v>
      </c>
      <c r="E2109" s="3">
        <v>1451.79</v>
      </c>
      <c r="F2109" t="str">
        <f t="shared" si="162"/>
        <v>cogs</v>
      </c>
      <c r="G2109" s="7" t="str">
        <f t="shared" si="165"/>
        <v>product 3</v>
      </c>
      <c r="H2109">
        <f t="shared" si="163"/>
        <v>2024</v>
      </c>
      <c r="I2109">
        <f t="shared" si="164"/>
        <v>10</v>
      </c>
      <c r="J2109">
        <f t="shared" si="166"/>
        <v>-101.94</v>
      </c>
    </row>
    <row r="2110" spans="1:10" ht="12.5" x14ac:dyDescent="0.25">
      <c r="A2110" s="1">
        <v>45584</v>
      </c>
      <c r="B2110" s="2" t="s">
        <v>10</v>
      </c>
      <c r="C2110" s="2" t="s">
        <v>6</v>
      </c>
      <c r="D2110" s="2" t="s">
        <v>6</v>
      </c>
      <c r="E2110" s="3">
        <v>100.05</v>
      </c>
      <c r="F2110" t="str">
        <f t="shared" si="162"/>
        <v>marketing</v>
      </c>
      <c r="G2110" s="7" t="s">
        <v>6</v>
      </c>
      <c r="H2110">
        <f t="shared" si="163"/>
        <v>2024</v>
      </c>
      <c r="I2110">
        <f t="shared" si="164"/>
        <v>10</v>
      </c>
      <c r="J2110">
        <f t="shared" si="166"/>
        <v>-1859.31</v>
      </c>
    </row>
    <row r="2111" spans="1:10" ht="12.5" x14ac:dyDescent="0.25">
      <c r="A2111" s="1">
        <v>45584</v>
      </c>
      <c r="B2111" s="2" t="s">
        <v>11</v>
      </c>
      <c r="C2111" s="3">
        <v>9.99</v>
      </c>
      <c r="D2111" s="3">
        <v>75</v>
      </c>
      <c r="E2111" s="3">
        <v>749.25</v>
      </c>
      <c r="F2111" t="str">
        <f t="shared" si="162"/>
        <v>net sales</v>
      </c>
      <c r="G2111" s="7" t="str">
        <f t="shared" si="165"/>
        <v>product 1</v>
      </c>
      <c r="H2111">
        <f t="shared" si="163"/>
        <v>2024</v>
      </c>
      <c r="I2111">
        <f t="shared" si="164"/>
        <v>10</v>
      </c>
      <c r="J2111">
        <f t="shared" si="166"/>
        <v>-100.03</v>
      </c>
    </row>
    <row r="2112" spans="1:10" ht="12.5" x14ac:dyDescent="0.25">
      <c r="A2112" s="1">
        <v>45584</v>
      </c>
      <c r="B2112" s="2" t="s">
        <v>12</v>
      </c>
      <c r="C2112" s="3">
        <v>24.99</v>
      </c>
      <c r="D2112" s="3">
        <v>8</v>
      </c>
      <c r="E2112" s="3">
        <v>199.92</v>
      </c>
      <c r="F2112" t="str">
        <f t="shared" si="162"/>
        <v>net sales</v>
      </c>
      <c r="G2112" s="7" t="str">
        <f t="shared" si="165"/>
        <v>product 2</v>
      </c>
      <c r="H2112">
        <f t="shared" si="163"/>
        <v>2024</v>
      </c>
      <c r="I2112">
        <f t="shared" si="164"/>
        <v>10</v>
      </c>
      <c r="J2112">
        <f t="shared" si="166"/>
        <v>69.930000000000007</v>
      </c>
    </row>
    <row r="2113" spans="1:10" ht="12.5" x14ac:dyDescent="0.25">
      <c r="A2113" s="1">
        <v>45584</v>
      </c>
      <c r="B2113" s="2" t="s">
        <v>13</v>
      </c>
      <c r="C2113" s="3">
        <v>12.49</v>
      </c>
      <c r="D2113" s="3">
        <v>171</v>
      </c>
      <c r="E2113" s="3">
        <v>2135.79</v>
      </c>
      <c r="F2113" t="str">
        <f t="shared" si="162"/>
        <v>net sales</v>
      </c>
      <c r="G2113" s="7" t="str">
        <f t="shared" si="165"/>
        <v>product 3</v>
      </c>
      <c r="H2113">
        <f t="shared" si="163"/>
        <v>2024</v>
      </c>
      <c r="I2113">
        <f t="shared" si="164"/>
        <v>10</v>
      </c>
      <c r="J2113">
        <f t="shared" si="166"/>
        <v>149.94</v>
      </c>
    </row>
    <row r="2114" spans="1:10" ht="12.5" x14ac:dyDescent="0.25">
      <c r="A2114" s="1">
        <v>45585</v>
      </c>
      <c r="B2114" s="2" t="s">
        <v>7</v>
      </c>
      <c r="C2114" s="3">
        <v>5.99</v>
      </c>
      <c r="D2114" s="3">
        <v>48</v>
      </c>
      <c r="E2114" s="3">
        <v>287.52</v>
      </c>
      <c r="F2114" t="str">
        <f t="shared" si="162"/>
        <v>cogs</v>
      </c>
      <c r="G2114" s="7" t="str">
        <f t="shared" si="165"/>
        <v>product 1</v>
      </c>
      <c r="H2114">
        <f t="shared" si="163"/>
        <v>2024</v>
      </c>
      <c r="I2114">
        <f t="shared" si="164"/>
        <v>10</v>
      </c>
      <c r="J2114">
        <f t="shared" si="166"/>
        <v>2735.31</v>
      </c>
    </row>
    <row r="2115" spans="1:10" ht="12.5" x14ac:dyDescent="0.25">
      <c r="A2115" s="1">
        <v>45585</v>
      </c>
      <c r="B2115" s="2" t="s">
        <v>8</v>
      </c>
      <c r="C2115" s="3">
        <v>16.989999999999998</v>
      </c>
      <c r="D2115" s="3">
        <v>7</v>
      </c>
      <c r="E2115" s="3">
        <v>118.92999999999999</v>
      </c>
      <c r="F2115" t="str">
        <f t="shared" ref="F2115:F2178" si="167">IFERROR(LEFT(B2115,FIND(":",B2115)-1),B2115)</f>
        <v>cogs</v>
      </c>
      <c r="G2115" s="7" t="str">
        <f t="shared" ref="G2115:G2178" si="168">IFERROR(RIGHT(B2115,LEN(B2115)-FIND(":",B2115)),"")</f>
        <v>product 2</v>
      </c>
      <c r="H2115">
        <f t="shared" ref="H2115:H2178" si="169">YEAR(A2115)</f>
        <v>2024</v>
      </c>
      <c r="I2115">
        <f t="shared" ref="I2115:I2178" si="170">MONTH(A2115)</f>
        <v>10</v>
      </c>
      <c r="J2115">
        <f t="shared" si="166"/>
        <v>-41.93</v>
      </c>
    </row>
    <row r="2116" spans="1:10" ht="12.5" x14ac:dyDescent="0.25">
      <c r="A2116" s="1">
        <v>45585</v>
      </c>
      <c r="B2116" s="2" t="s">
        <v>9</v>
      </c>
      <c r="C2116" s="3">
        <v>8.49</v>
      </c>
      <c r="D2116" s="3">
        <v>52</v>
      </c>
      <c r="E2116" s="3">
        <v>441.48</v>
      </c>
      <c r="F2116" t="str">
        <f t="shared" si="167"/>
        <v>cogs</v>
      </c>
      <c r="G2116" s="7" t="str">
        <f t="shared" si="168"/>
        <v>product 3</v>
      </c>
      <c r="H2116">
        <f t="shared" si="169"/>
        <v>2024</v>
      </c>
      <c r="I2116">
        <f t="shared" si="170"/>
        <v>10</v>
      </c>
      <c r="J2116">
        <f t="shared" si="166"/>
        <v>-135.91999999999999</v>
      </c>
    </row>
    <row r="2117" spans="1:10" ht="12.5" x14ac:dyDescent="0.25">
      <c r="A2117" s="1">
        <v>45585</v>
      </c>
      <c r="B2117" s="2" t="s">
        <v>10</v>
      </c>
      <c r="C2117" s="2" t="s">
        <v>6</v>
      </c>
      <c r="D2117" s="2" t="s">
        <v>6</v>
      </c>
      <c r="E2117" s="3">
        <v>99.93</v>
      </c>
      <c r="F2117" t="str">
        <f t="shared" si="167"/>
        <v>marketing</v>
      </c>
      <c r="G2117" s="7" t="s">
        <v>6</v>
      </c>
      <c r="H2117">
        <f t="shared" si="169"/>
        <v>2024</v>
      </c>
      <c r="I2117">
        <f t="shared" si="170"/>
        <v>10</v>
      </c>
      <c r="J2117">
        <f t="shared" si="166"/>
        <v>-679.2</v>
      </c>
    </row>
    <row r="2118" spans="1:10" ht="12.5" x14ac:dyDescent="0.25">
      <c r="A2118" s="1">
        <v>45585</v>
      </c>
      <c r="B2118" s="2" t="s">
        <v>11</v>
      </c>
      <c r="C2118" s="3">
        <v>9.99</v>
      </c>
      <c r="D2118" s="3">
        <v>48</v>
      </c>
      <c r="E2118" s="3">
        <v>479.52</v>
      </c>
      <c r="F2118" t="str">
        <f t="shared" si="167"/>
        <v>net sales</v>
      </c>
      <c r="G2118" s="7" t="str">
        <f t="shared" si="168"/>
        <v>product 1</v>
      </c>
      <c r="H2118">
        <f t="shared" si="169"/>
        <v>2024</v>
      </c>
      <c r="I2118">
        <f t="shared" si="170"/>
        <v>10</v>
      </c>
      <c r="J2118">
        <f t="shared" si="166"/>
        <v>-100.10000000000001</v>
      </c>
    </row>
    <row r="2119" spans="1:10" ht="12.5" x14ac:dyDescent="0.25">
      <c r="A2119" s="1">
        <v>45585</v>
      </c>
      <c r="B2119" s="2" t="s">
        <v>12</v>
      </c>
      <c r="C2119" s="3">
        <v>24.99</v>
      </c>
      <c r="D2119" s="3">
        <v>7</v>
      </c>
      <c r="E2119" s="3">
        <v>174.92999999999998</v>
      </c>
      <c r="F2119" t="str">
        <f t="shared" si="167"/>
        <v>net sales</v>
      </c>
      <c r="G2119" s="7" t="str">
        <f t="shared" si="168"/>
        <v>product 2</v>
      </c>
      <c r="H2119">
        <f t="shared" si="169"/>
        <v>2024</v>
      </c>
      <c r="I2119">
        <f t="shared" si="170"/>
        <v>10</v>
      </c>
      <c r="J2119">
        <f t="shared" si="166"/>
        <v>69.930000000000007</v>
      </c>
    </row>
    <row r="2120" spans="1:10" ht="12.5" x14ac:dyDescent="0.25">
      <c r="A2120" s="1">
        <v>45585</v>
      </c>
      <c r="B2120" s="2" t="s">
        <v>13</v>
      </c>
      <c r="C2120" s="3">
        <v>12.49</v>
      </c>
      <c r="D2120" s="3">
        <v>52</v>
      </c>
      <c r="E2120" s="3">
        <v>649.48</v>
      </c>
      <c r="F2120" t="str">
        <f t="shared" si="167"/>
        <v>net sales</v>
      </c>
      <c r="G2120" s="7" t="str">
        <f t="shared" si="168"/>
        <v>product 3</v>
      </c>
      <c r="H2120">
        <f t="shared" si="169"/>
        <v>2024</v>
      </c>
      <c r="I2120">
        <f t="shared" si="170"/>
        <v>10</v>
      </c>
      <c r="J2120">
        <f t="shared" si="166"/>
        <v>199.92</v>
      </c>
    </row>
    <row r="2121" spans="1:10" ht="12.5" x14ac:dyDescent="0.25">
      <c r="A2121" s="1">
        <v>45586</v>
      </c>
      <c r="B2121" s="2" t="s">
        <v>7</v>
      </c>
      <c r="C2121" s="3">
        <v>5.99</v>
      </c>
      <c r="D2121" s="3">
        <v>71</v>
      </c>
      <c r="E2121" s="3">
        <v>425.29</v>
      </c>
      <c r="F2121" t="str">
        <f t="shared" si="167"/>
        <v>cogs</v>
      </c>
      <c r="G2121" s="7" t="str">
        <f t="shared" si="168"/>
        <v>product 1</v>
      </c>
      <c r="H2121">
        <f t="shared" si="169"/>
        <v>2024</v>
      </c>
      <c r="I2121">
        <f t="shared" si="170"/>
        <v>10</v>
      </c>
      <c r="J2121">
        <f t="shared" si="166"/>
        <v>999.2</v>
      </c>
    </row>
    <row r="2122" spans="1:10" ht="12.5" x14ac:dyDescent="0.25">
      <c r="A2122" s="1">
        <v>45586</v>
      </c>
      <c r="B2122" s="2" t="s">
        <v>8</v>
      </c>
      <c r="C2122" s="3">
        <v>16.989999999999998</v>
      </c>
      <c r="D2122" s="3">
        <v>6</v>
      </c>
      <c r="E2122" s="3">
        <v>101.94</v>
      </c>
      <c r="F2122" t="str">
        <f t="shared" si="167"/>
        <v>cogs</v>
      </c>
      <c r="G2122" s="7" t="str">
        <f t="shared" si="168"/>
        <v>product 2</v>
      </c>
      <c r="H2122">
        <f t="shared" si="169"/>
        <v>2024</v>
      </c>
      <c r="I2122">
        <f t="shared" si="170"/>
        <v>10</v>
      </c>
      <c r="J2122">
        <f t="shared" si="166"/>
        <v>-35.94</v>
      </c>
    </row>
    <row r="2123" spans="1:10" ht="12.5" x14ac:dyDescent="0.25">
      <c r="A2123" s="1">
        <v>45586</v>
      </c>
      <c r="B2123" s="2" t="s">
        <v>9</v>
      </c>
      <c r="C2123" s="3">
        <v>8.49</v>
      </c>
      <c r="D2123" s="3">
        <v>215</v>
      </c>
      <c r="E2123" s="3">
        <v>1825.3500000000001</v>
      </c>
      <c r="F2123" t="str">
        <f t="shared" si="167"/>
        <v>cogs</v>
      </c>
      <c r="G2123" s="7" t="str">
        <f t="shared" si="168"/>
        <v>product 3</v>
      </c>
      <c r="H2123">
        <f t="shared" si="169"/>
        <v>2024</v>
      </c>
      <c r="I2123">
        <f t="shared" si="170"/>
        <v>10</v>
      </c>
      <c r="J2123">
        <f t="shared" si="166"/>
        <v>0</v>
      </c>
    </row>
    <row r="2124" spans="1:10" ht="12.5" x14ac:dyDescent="0.25">
      <c r="A2124" s="1">
        <v>45586</v>
      </c>
      <c r="B2124" s="2" t="s">
        <v>10</v>
      </c>
      <c r="C2124" s="2" t="s">
        <v>6</v>
      </c>
      <c r="D2124" s="2" t="s">
        <v>6</v>
      </c>
      <c r="E2124" s="3">
        <v>99.92</v>
      </c>
      <c r="F2124" t="str">
        <f t="shared" si="167"/>
        <v>marketing</v>
      </c>
      <c r="G2124" s="7" t="s">
        <v>6</v>
      </c>
      <c r="H2124">
        <f t="shared" si="169"/>
        <v>2024</v>
      </c>
      <c r="I2124">
        <f t="shared" si="170"/>
        <v>10</v>
      </c>
      <c r="J2124">
        <f t="shared" si="166"/>
        <v>-339.6</v>
      </c>
    </row>
    <row r="2125" spans="1:10" ht="12.5" x14ac:dyDescent="0.25">
      <c r="A2125" s="1">
        <v>45586</v>
      </c>
      <c r="B2125" s="2" t="s">
        <v>11</v>
      </c>
      <c r="C2125" s="3">
        <v>9.99</v>
      </c>
      <c r="D2125" s="3">
        <v>71</v>
      </c>
      <c r="E2125" s="3">
        <v>709.29</v>
      </c>
      <c r="F2125" t="str">
        <f t="shared" si="167"/>
        <v>net sales</v>
      </c>
      <c r="G2125" s="7" t="str">
        <f t="shared" si="168"/>
        <v>product 1</v>
      </c>
      <c r="H2125">
        <f t="shared" si="169"/>
        <v>2024</v>
      </c>
      <c r="I2125">
        <f t="shared" si="170"/>
        <v>10</v>
      </c>
      <c r="J2125">
        <f t="shared" si="166"/>
        <v>-99.94</v>
      </c>
    </row>
    <row r="2126" spans="1:10" ht="12.5" x14ac:dyDescent="0.25">
      <c r="A2126" s="1">
        <v>45586</v>
      </c>
      <c r="B2126" s="2" t="s">
        <v>12</v>
      </c>
      <c r="C2126" s="3">
        <v>24.99</v>
      </c>
      <c r="D2126" s="3">
        <v>6</v>
      </c>
      <c r="E2126" s="3">
        <v>149.94</v>
      </c>
      <c r="F2126" t="str">
        <f t="shared" si="167"/>
        <v>net sales</v>
      </c>
      <c r="G2126" s="7" t="str">
        <f t="shared" si="168"/>
        <v>product 2</v>
      </c>
      <c r="H2126">
        <f t="shared" si="169"/>
        <v>2024</v>
      </c>
      <c r="I2126">
        <f t="shared" si="170"/>
        <v>10</v>
      </c>
      <c r="J2126">
        <f t="shared" si="166"/>
        <v>59.94</v>
      </c>
    </row>
    <row r="2127" spans="1:10" ht="12.5" x14ac:dyDescent="0.25">
      <c r="A2127" s="1">
        <v>45586</v>
      </c>
      <c r="B2127" s="2" t="s">
        <v>13</v>
      </c>
      <c r="C2127" s="3">
        <v>12.49</v>
      </c>
      <c r="D2127" s="3">
        <v>215</v>
      </c>
      <c r="E2127" s="3">
        <v>2685.35</v>
      </c>
      <c r="F2127" t="str">
        <f t="shared" si="167"/>
        <v>net sales</v>
      </c>
      <c r="G2127" s="7" t="str">
        <f t="shared" si="168"/>
        <v>product 3</v>
      </c>
      <c r="H2127">
        <f t="shared" si="169"/>
        <v>2024</v>
      </c>
      <c r="I2127">
        <f t="shared" si="170"/>
        <v>10</v>
      </c>
      <c r="J2127">
        <f t="shared" si="166"/>
        <v>0</v>
      </c>
    </row>
    <row r="2128" spans="1:10" ht="12.5" x14ac:dyDescent="0.25">
      <c r="A2128" s="1">
        <v>45587</v>
      </c>
      <c r="B2128" s="2" t="s">
        <v>7</v>
      </c>
      <c r="C2128" s="3">
        <v>5.99</v>
      </c>
      <c r="D2128" s="3">
        <v>25</v>
      </c>
      <c r="E2128" s="3">
        <v>149.75</v>
      </c>
      <c r="F2128" t="str">
        <f t="shared" si="167"/>
        <v>cogs</v>
      </c>
      <c r="G2128" s="7" t="str">
        <f t="shared" si="168"/>
        <v>product 1</v>
      </c>
      <c r="H2128">
        <f t="shared" si="169"/>
        <v>2024</v>
      </c>
      <c r="I2128">
        <f t="shared" si="170"/>
        <v>10</v>
      </c>
      <c r="J2128">
        <f t="shared" si="166"/>
        <v>499.6</v>
      </c>
    </row>
    <row r="2129" spans="1:10" ht="12.5" x14ac:dyDescent="0.25">
      <c r="A2129" s="1">
        <v>45587</v>
      </c>
      <c r="B2129" s="2" t="s">
        <v>8</v>
      </c>
      <c r="C2129" s="3">
        <v>16.989999999999998</v>
      </c>
      <c r="D2129" s="3">
        <v>3</v>
      </c>
      <c r="E2129" s="3">
        <v>50.97</v>
      </c>
      <c r="F2129" t="str">
        <f t="shared" si="167"/>
        <v>cogs</v>
      </c>
      <c r="G2129" s="7" t="str">
        <f t="shared" si="168"/>
        <v>product 2</v>
      </c>
      <c r="H2129">
        <f t="shared" si="169"/>
        <v>2024</v>
      </c>
      <c r="I2129">
        <f t="shared" si="170"/>
        <v>10</v>
      </c>
      <c r="J2129">
        <f t="shared" si="166"/>
        <v>-365.39</v>
      </c>
    </row>
    <row r="2130" spans="1:10" ht="12.5" x14ac:dyDescent="0.25">
      <c r="A2130" s="1">
        <v>45587</v>
      </c>
      <c r="B2130" s="2" t="s">
        <v>9</v>
      </c>
      <c r="C2130" s="3">
        <v>8.49</v>
      </c>
      <c r="D2130" s="3">
        <v>158</v>
      </c>
      <c r="E2130" s="3">
        <v>1341.42</v>
      </c>
      <c r="F2130" t="str">
        <f t="shared" si="167"/>
        <v>cogs</v>
      </c>
      <c r="G2130" s="7" t="str">
        <f t="shared" si="168"/>
        <v>product 3</v>
      </c>
      <c r="H2130">
        <f t="shared" si="169"/>
        <v>2024</v>
      </c>
      <c r="I2130">
        <f t="shared" si="170"/>
        <v>10</v>
      </c>
      <c r="J2130">
        <f t="shared" si="166"/>
        <v>-50.97</v>
      </c>
    </row>
    <row r="2131" spans="1:10" ht="12.5" x14ac:dyDescent="0.25">
      <c r="A2131" s="1">
        <v>45587</v>
      </c>
      <c r="B2131" s="2" t="s">
        <v>10</v>
      </c>
      <c r="C2131" s="2" t="s">
        <v>6</v>
      </c>
      <c r="D2131" s="2" t="s">
        <v>6</v>
      </c>
      <c r="E2131" s="3">
        <v>99.98</v>
      </c>
      <c r="F2131" t="str">
        <f t="shared" si="167"/>
        <v>marketing</v>
      </c>
      <c r="G2131" s="7" t="s">
        <v>6</v>
      </c>
      <c r="H2131">
        <f t="shared" si="169"/>
        <v>2024</v>
      </c>
      <c r="I2131">
        <f t="shared" si="170"/>
        <v>10</v>
      </c>
      <c r="J2131">
        <f t="shared" si="166"/>
        <v>-619.77</v>
      </c>
    </row>
    <row r="2132" spans="1:10" ht="12.5" x14ac:dyDescent="0.25">
      <c r="A2132" s="1">
        <v>45587</v>
      </c>
      <c r="B2132" s="2" t="s">
        <v>11</v>
      </c>
      <c r="C2132" s="3">
        <v>9.99</v>
      </c>
      <c r="D2132" s="3">
        <v>25</v>
      </c>
      <c r="E2132" s="3">
        <v>249.75</v>
      </c>
      <c r="F2132" t="str">
        <f t="shared" si="167"/>
        <v>net sales</v>
      </c>
      <c r="G2132" s="7" t="str">
        <f t="shared" si="168"/>
        <v>product 1</v>
      </c>
      <c r="H2132">
        <f t="shared" si="169"/>
        <v>2024</v>
      </c>
      <c r="I2132">
        <f t="shared" si="170"/>
        <v>10</v>
      </c>
      <c r="J2132">
        <f t="shared" si="166"/>
        <v>-99.960000000000008</v>
      </c>
    </row>
    <row r="2133" spans="1:10" ht="12.5" x14ac:dyDescent="0.25">
      <c r="A2133" s="1">
        <v>45587</v>
      </c>
      <c r="B2133" s="2" t="s">
        <v>12</v>
      </c>
      <c r="C2133" s="3">
        <v>24.99</v>
      </c>
      <c r="D2133" s="3">
        <v>3</v>
      </c>
      <c r="E2133" s="3">
        <v>74.97</v>
      </c>
      <c r="F2133" t="str">
        <f t="shared" si="167"/>
        <v>net sales</v>
      </c>
      <c r="G2133" s="7" t="str">
        <f t="shared" si="168"/>
        <v>product 2</v>
      </c>
      <c r="H2133">
        <f t="shared" si="169"/>
        <v>2024</v>
      </c>
      <c r="I2133">
        <f t="shared" si="170"/>
        <v>10</v>
      </c>
      <c r="J2133">
        <f t="shared" si="166"/>
        <v>609.39</v>
      </c>
    </row>
    <row r="2134" spans="1:10" ht="12.5" x14ac:dyDescent="0.25">
      <c r="A2134" s="1">
        <v>45587</v>
      </c>
      <c r="B2134" s="2" t="s">
        <v>13</v>
      </c>
      <c r="C2134" s="3">
        <v>12.49</v>
      </c>
      <c r="D2134" s="3">
        <v>158</v>
      </c>
      <c r="E2134" s="3">
        <v>1973.42</v>
      </c>
      <c r="F2134" t="str">
        <f t="shared" si="167"/>
        <v>net sales</v>
      </c>
      <c r="G2134" s="7" t="str">
        <f t="shared" si="168"/>
        <v>product 3</v>
      </c>
      <c r="H2134">
        <f t="shared" si="169"/>
        <v>2024</v>
      </c>
      <c r="I2134">
        <f t="shared" si="170"/>
        <v>10</v>
      </c>
      <c r="J2134">
        <f t="shared" si="166"/>
        <v>74.97</v>
      </c>
    </row>
    <row r="2135" spans="1:10" ht="12.5" x14ac:dyDescent="0.25">
      <c r="A2135" s="1">
        <v>45588</v>
      </c>
      <c r="B2135" s="2" t="s">
        <v>7</v>
      </c>
      <c r="C2135" s="3">
        <v>5.99</v>
      </c>
      <c r="D2135" s="3">
        <v>60</v>
      </c>
      <c r="E2135" s="3">
        <v>359.40000000000003</v>
      </c>
      <c r="F2135" t="str">
        <f t="shared" si="167"/>
        <v>cogs</v>
      </c>
      <c r="G2135" s="7" t="str">
        <f t="shared" si="168"/>
        <v>product 1</v>
      </c>
      <c r="H2135">
        <f t="shared" si="169"/>
        <v>2024</v>
      </c>
      <c r="I2135">
        <f t="shared" si="170"/>
        <v>10</v>
      </c>
      <c r="J2135">
        <f t="shared" si="166"/>
        <v>911.77</v>
      </c>
    </row>
    <row r="2136" spans="1:10" ht="12.5" x14ac:dyDescent="0.25">
      <c r="A2136" s="1">
        <v>45588</v>
      </c>
      <c r="B2136" s="2" t="s">
        <v>8</v>
      </c>
      <c r="C2136" s="3">
        <v>16.989999999999998</v>
      </c>
      <c r="D2136" s="3">
        <v>6</v>
      </c>
      <c r="E2136" s="3">
        <v>101.94</v>
      </c>
      <c r="F2136" t="str">
        <f t="shared" si="167"/>
        <v>cogs</v>
      </c>
      <c r="G2136" s="7" t="str">
        <f t="shared" si="168"/>
        <v>product 2</v>
      </c>
      <c r="H2136">
        <f t="shared" si="169"/>
        <v>2024</v>
      </c>
      <c r="I2136">
        <f t="shared" si="170"/>
        <v>10</v>
      </c>
      <c r="J2136">
        <f t="shared" si="166"/>
        <v>-23.96</v>
      </c>
    </row>
    <row r="2137" spans="1:10" ht="12.5" x14ac:dyDescent="0.25">
      <c r="A2137" s="1">
        <v>45588</v>
      </c>
      <c r="B2137" s="2" t="s">
        <v>9</v>
      </c>
      <c r="C2137" s="3">
        <v>8.49</v>
      </c>
      <c r="D2137" s="3">
        <v>240</v>
      </c>
      <c r="E2137" s="3">
        <v>2037.6000000000001</v>
      </c>
      <c r="F2137" t="str">
        <f t="shared" si="167"/>
        <v>cogs</v>
      </c>
      <c r="G2137" s="7" t="str">
        <f t="shared" si="168"/>
        <v>product 3</v>
      </c>
      <c r="H2137">
        <f t="shared" si="169"/>
        <v>2024</v>
      </c>
      <c r="I2137">
        <f t="shared" si="170"/>
        <v>10</v>
      </c>
      <c r="J2137">
        <f t="shared" si="166"/>
        <v>-152.91</v>
      </c>
    </row>
    <row r="2138" spans="1:10" ht="12.5" x14ac:dyDescent="0.25">
      <c r="A2138" s="1">
        <v>45588</v>
      </c>
      <c r="B2138" s="2" t="s">
        <v>10</v>
      </c>
      <c r="C2138" s="2" t="s">
        <v>6</v>
      </c>
      <c r="D2138" s="2" t="s">
        <v>6</v>
      </c>
      <c r="E2138" s="3">
        <v>100.06</v>
      </c>
      <c r="F2138" t="str">
        <f t="shared" si="167"/>
        <v>marketing</v>
      </c>
      <c r="G2138" s="7" t="s">
        <v>6</v>
      </c>
      <c r="H2138">
        <f t="shared" si="169"/>
        <v>2024</v>
      </c>
      <c r="I2138">
        <f t="shared" si="170"/>
        <v>10</v>
      </c>
      <c r="J2138">
        <f t="shared" si="166"/>
        <v>-1867.8</v>
      </c>
    </row>
    <row r="2139" spans="1:10" ht="12.5" x14ac:dyDescent="0.25">
      <c r="A2139" s="1">
        <v>45588</v>
      </c>
      <c r="B2139" s="2" t="s">
        <v>11</v>
      </c>
      <c r="C2139" s="3">
        <v>9.99</v>
      </c>
      <c r="D2139" s="3">
        <v>60</v>
      </c>
      <c r="E2139" s="3">
        <v>599.4</v>
      </c>
      <c r="F2139" t="str">
        <f t="shared" si="167"/>
        <v>net sales</v>
      </c>
      <c r="G2139" s="7" t="str">
        <f t="shared" si="168"/>
        <v>product 1</v>
      </c>
      <c r="H2139">
        <f t="shared" si="169"/>
        <v>2024</v>
      </c>
      <c r="I2139">
        <f t="shared" si="170"/>
        <v>10</v>
      </c>
      <c r="J2139">
        <f t="shared" si="166"/>
        <v>-100.04</v>
      </c>
    </row>
    <row r="2140" spans="1:10" ht="12.5" x14ac:dyDescent="0.25">
      <c r="A2140" s="1">
        <v>45588</v>
      </c>
      <c r="B2140" s="2" t="s">
        <v>12</v>
      </c>
      <c r="C2140" s="3">
        <v>24.99</v>
      </c>
      <c r="D2140" s="3">
        <v>6</v>
      </c>
      <c r="E2140" s="3">
        <v>149.94</v>
      </c>
      <c r="F2140" t="str">
        <f t="shared" si="167"/>
        <v>net sales</v>
      </c>
      <c r="G2140" s="7" t="str">
        <f t="shared" si="168"/>
        <v>product 2</v>
      </c>
      <c r="H2140">
        <f t="shared" si="169"/>
        <v>2024</v>
      </c>
      <c r="I2140">
        <f t="shared" si="170"/>
        <v>10</v>
      </c>
      <c r="J2140">
        <f t="shared" ref="J2140:J2203" si="171">IF(F1923="net sales",E1923,
IF(F1923="cogs",-E1923,
IF(OR(F1923="marketing",F1923="overhead",F1923="payroll",F1923="interest","amortization"),-E1923,0)))</f>
        <v>39.96</v>
      </c>
    </row>
    <row r="2141" spans="1:10" ht="12.5" x14ac:dyDescent="0.25">
      <c r="A2141" s="1">
        <v>45588</v>
      </c>
      <c r="B2141" s="2" t="s">
        <v>13</v>
      </c>
      <c r="C2141" s="3">
        <v>12.49</v>
      </c>
      <c r="D2141" s="3">
        <v>240</v>
      </c>
      <c r="E2141" s="3">
        <v>2997.6</v>
      </c>
      <c r="F2141" t="str">
        <f t="shared" si="167"/>
        <v>net sales</v>
      </c>
      <c r="G2141" s="7" t="str">
        <f t="shared" si="168"/>
        <v>product 3</v>
      </c>
      <c r="H2141">
        <f t="shared" si="169"/>
        <v>2024</v>
      </c>
      <c r="I2141">
        <f t="shared" si="170"/>
        <v>10</v>
      </c>
      <c r="J2141">
        <f t="shared" si="171"/>
        <v>224.91</v>
      </c>
    </row>
    <row r="2142" spans="1:10" ht="12.5" x14ac:dyDescent="0.25">
      <c r="A2142" s="1">
        <v>45589</v>
      </c>
      <c r="B2142" s="2" t="s">
        <v>7</v>
      </c>
      <c r="C2142" s="3">
        <v>5.99</v>
      </c>
      <c r="D2142" s="3">
        <v>19</v>
      </c>
      <c r="E2142" s="3">
        <v>113.81</v>
      </c>
      <c r="F2142" t="str">
        <f t="shared" si="167"/>
        <v>cogs</v>
      </c>
      <c r="G2142" s="7" t="str">
        <f t="shared" si="168"/>
        <v>product 1</v>
      </c>
      <c r="H2142">
        <f t="shared" si="169"/>
        <v>2024</v>
      </c>
      <c r="I2142">
        <f t="shared" si="170"/>
        <v>10</v>
      </c>
      <c r="J2142">
        <f t="shared" si="171"/>
        <v>2747.8</v>
      </c>
    </row>
    <row r="2143" spans="1:10" ht="12.5" x14ac:dyDescent="0.25">
      <c r="A2143" s="1">
        <v>45589</v>
      </c>
      <c r="B2143" s="2" t="s">
        <v>8</v>
      </c>
      <c r="C2143" s="3">
        <v>16.989999999999998</v>
      </c>
      <c r="D2143" s="3">
        <v>5</v>
      </c>
      <c r="E2143" s="3">
        <v>84.949999999999989</v>
      </c>
      <c r="F2143" t="str">
        <f t="shared" si="167"/>
        <v>cogs</v>
      </c>
      <c r="G2143" s="7" t="str">
        <f t="shared" si="168"/>
        <v>product 2</v>
      </c>
      <c r="H2143">
        <f t="shared" si="169"/>
        <v>2024</v>
      </c>
      <c r="I2143">
        <f t="shared" si="170"/>
        <v>10</v>
      </c>
      <c r="J2143">
        <f t="shared" si="171"/>
        <v>-23.96</v>
      </c>
    </row>
    <row r="2144" spans="1:10" ht="12.5" x14ac:dyDescent="0.25">
      <c r="A2144" s="1">
        <v>45589</v>
      </c>
      <c r="B2144" s="2" t="s">
        <v>9</v>
      </c>
      <c r="C2144" s="3">
        <v>8.49</v>
      </c>
      <c r="D2144" s="3">
        <v>246</v>
      </c>
      <c r="E2144" s="3">
        <v>2088.54</v>
      </c>
      <c r="F2144" t="str">
        <f t="shared" si="167"/>
        <v>cogs</v>
      </c>
      <c r="G2144" s="7" t="str">
        <f t="shared" si="168"/>
        <v>product 3</v>
      </c>
      <c r="H2144">
        <f t="shared" si="169"/>
        <v>2024</v>
      </c>
      <c r="I2144">
        <f t="shared" si="170"/>
        <v>10</v>
      </c>
      <c r="J2144">
        <f t="shared" si="171"/>
        <v>-50.97</v>
      </c>
    </row>
    <row r="2145" spans="1:10" ht="12.5" x14ac:dyDescent="0.25">
      <c r="A2145" s="1">
        <v>45589</v>
      </c>
      <c r="B2145" s="2" t="s">
        <v>10</v>
      </c>
      <c r="C2145" s="2" t="s">
        <v>6</v>
      </c>
      <c r="D2145" s="2" t="s">
        <v>6</v>
      </c>
      <c r="E2145" s="3">
        <v>100.02</v>
      </c>
      <c r="F2145" t="str">
        <f t="shared" si="167"/>
        <v>marketing</v>
      </c>
      <c r="G2145" s="7" t="s">
        <v>6</v>
      </c>
      <c r="H2145">
        <f t="shared" si="169"/>
        <v>2024</v>
      </c>
      <c r="I2145">
        <f t="shared" si="170"/>
        <v>10</v>
      </c>
      <c r="J2145">
        <f t="shared" si="171"/>
        <v>-1825.3500000000001</v>
      </c>
    </row>
    <row r="2146" spans="1:10" ht="12.5" x14ac:dyDescent="0.25">
      <c r="A2146" s="1">
        <v>45589</v>
      </c>
      <c r="B2146" s="2" t="s">
        <v>11</v>
      </c>
      <c r="C2146" s="3">
        <v>9.99</v>
      </c>
      <c r="D2146" s="3">
        <v>19</v>
      </c>
      <c r="E2146" s="3">
        <v>189.81</v>
      </c>
      <c r="F2146" t="str">
        <f t="shared" si="167"/>
        <v>net sales</v>
      </c>
      <c r="G2146" s="7" t="str">
        <f t="shared" si="168"/>
        <v>product 1</v>
      </c>
      <c r="H2146">
        <f t="shared" si="169"/>
        <v>2024</v>
      </c>
      <c r="I2146">
        <f t="shared" si="170"/>
        <v>10</v>
      </c>
      <c r="J2146">
        <f t="shared" si="171"/>
        <v>-100.04</v>
      </c>
    </row>
    <row r="2147" spans="1:10" ht="12.5" x14ac:dyDescent="0.25">
      <c r="A2147" s="1">
        <v>45589</v>
      </c>
      <c r="B2147" s="2" t="s">
        <v>12</v>
      </c>
      <c r="C2147" s="3">
        <v>24.99</v>
      </c>
      <c r="D2147" s="3">
        <v>5</v>
      </c>
      <c r="E2147" s="3">
        <v>124.94999999999999</v>
      </c>
      <c r="F2147" t="str">
        <f t="shared" si="167"/>
        <v>net sales</v>
      </c>
      <c r="G2147" s="7" t="str">
        <f t="shared" si="168"/>
        <v>product 2</v>
      </c>
      <c r="H2147">
        <f t="shared" si="169"/>
        <v>2024</v>
      </c>
      <c r="I2147">
        <f t="shared" si="170"/>
        <v>10</v>
      </c>
      <c r="J2147">
        <f t="shared" si="171"/>
        <v>39.96</v>
      </c>
    </row>
    <row r="2148" spans="1:10" ht="12.5" x14ac:dyDescent="0.25">
      <c r="A2148" s="1">
        <v>45589</v>
      </c>
      <c r="B2148" s="2" t="s">
        <v>13</v>
      </c>
      <c r="C2148" s="3">
        <v>12.49</v>
      </c>
      <c r="D2148" s="3">
        <v>246</v>
      </c>
      <c r="E2148" s="3">
        <v>3072.54</v>
      </c>
      <c r="F2148" t="str">
        <f t="shared" si="167"/>
        <v>net sales</v>
      </c>
      <c r="G2148" s="7" t="str">
        <f t="shared" si="168"/>
        <v>product 3</v>
      </c>
      <c r="H2148">
        <f t="shared" si="169"/>
        <v>2024</v>
      </c>
      <c r="I2148">
        <f t="shared" si="170"/>
        <v>10</v>
      </c>
      <c r="J2148">
        <f t="shared" si="171"/>
        <v>74.97</v>
      </c>
    </row>
    <row r="2149" spans="1:10" ht="12.5" x14ac:dyDescent="0.25">
      <c r="A2149" s="1">
        <v>45590</v>
      </c>
      <c r="B2149" s="2" t="s">
        <v>7</v>
      </c>
      <c r="C2149" s="3">
        <v>5.99</v>
      </c>
      <c r="D2149" s="3">
        <v>14</v>
      </c>
      <c r="E2149" s="3">
        <v>83.86</v>
      </c>
      <c r="F2149" t="str">
        <f t="shared" si="167"/>
        <v>cogs</v>
      </c>
      <c r="G2149" s="7" t="str">
        <f t="shared" si="168"/>
        <v>product 1</v>
      </c>
      <c r="H2149">
        <f t="shared" si="169"/>
        <v>2024</v>
      </c>
      <c r="I2149">
        <f t="shared" si="170"/>
        <v>10</v>
      </c>
      <c r="J2149">
        <f t="shared" si="171"/>
        <v>2685.35</v>
      </c>
    </row>
    <row r="2150" spans="1:10" ht="12.5" x14ac:dyDescent="0.25">
      <c r="A2150" s="1">
        <v>45590</v>
      </c>
      <c r="B2150" s="2" t="s">
        <v>8</v>
      </c>
      <c r="C2150" s="3">
        <v>16.989999999999998</v>
      </c>
      <c r="D2150" s="3">
        <v>2</v>
      </c>
      <c r="E2150" s="3">
        <v>33.979999999999997</v>
      </c>
      <c r="F2150" t="str">
        <f t="shared" si="167"/>
        <v>cogs</v>
      </c>
      <c r="G2150" s="7" t="str">
        <f t="shared" si="168"/>
        <v>product 2</v>
      </c>
      <c r="H2150">
        <f t="shared" si="169"/>
        <v>2024</v>
      </c>
      <c r="I2150">
        <f t="shared" si="170"/>
        <v>10</v>
      </c>
      <c r="J2150">
        <f t="shared" si="171"/>
        <v>-311.48</v>
      </c>
    </row>
    <row r="2151" spans="1:10" ht="12.5" x14ac:dyDescent="0.25">
      <c r="A2151" s="1">
        <v>45590</v>
      </c>
      <c r="B2151" s="2" t="s">
        <v>9</v>
      </c>
      <c r="C2151" s="3">
        <v>8.49</v>
      </c>
      <c r="D2151" s="3">
        <v>83</v>
      </c>
      <c r="E2151" s="3">
        <v>704.67000000000007</v>
      </c>
      <c r="F2151" t="str">
        <f t="shared" si="167"/>
        <v>cogs</v>
      </c>
      <c r="G2151" s="7" t="str">
        <f t="shared" si="168"/>
        <v>product 3</v>
      </c>
      <c r="H2151">
        <f t="shared" si="169"/>
        <v>2024</v>
      </c>
      <c r="I2151">
        <f t="shared" si="170"/>
        <v>10</v>
      </c>
      <c r="J2151">
        <f t="shared" si="171"/>
        <v>-33.979999999999997</v>
      </c>
    </row>
    <row r="2152" spans="1:10" ht="12.5" x14ac:dyDescent="0.25">
      <c r="A2152" s="1">
        <v>45590</v>
      </c>
      <c r="B2152" s="2" t="s">
        <v>10</v>
      </c>
      <c r="C2152" s="2" t="s">
        <v>6</v>
      </c>
      <c r="D2152" s="2" t="s">
        <v>6</v>
      </c>
      <c r="E2152" s="3">
        <v>100.09</v>
      </c>
      <c r="F2152" t="str">
        <f t="shared" si="167"/>
        <v>marketing</v>
      </c>
      <c r="G2152" s="7" t="s">
        <v>6</v>
      </c>
      <c r="H2152">
        <f t="shared" si="169"/>
        <v>2024</v>
      </c>
      <c r="I2152">
        <f t="shared" si="170"/>
        <v>10</v>
      </c>
      <c r="J2152">
        <f t="shared" si="171"/>
        <v>-772.59</v>
      </c>
    </row>
    <row r="2153" spans="1:10" ht="12.5" x14ac:dyDescent="0.25">
      <c r="A2153" s="1">
        <v>45590</v>
      </c>
      <c r="B2153" s="2" t="s">
        <v>11</v>
      </c>
      <c r="C2153" s="3">
        <v>9.99</v>
      </c>
      <c r="D2153" s="3">
        <v>14</v>
      </c>
      <c r="E2153" s="3">
        <v>139.86000000000001</v>
      </c>
      <c r="F2153" t="str">
        <f t="shared" si="167"/>
        <v>net sales</v>
      </c>
      <c r="G2153" s="7" t="str">
        <f t="shared" si="168"/>
        <v>product 1</v>
      </c>
      <c r="H2153">
        <f t="shared" si="169"/>
        <v>2024</v>
      </c>
      <c r="I2153">
        <f t="shared" si="170"/>
        <v>10</v>
      </c>
      <c r="J2153">
        <f t="shared" si="171"/>
        <v>-99.93</v>
      </c>
    </row>
    <row r="2154" spans="1:10" ht="12.5" x14ac:dyDescent="0.25">
      <c r="A2154" s="1">
        <v>45590</v>
      </c>
      <c r="B2154" s="2" t="s">
        <v>12</v>
      </c>
      <c r="C2154" s="3">
        <v>24.99</v>
      </c>
      <c r="D2154" s="3">
        <v>2</v>
      </c>
      <c r="E2154" s="3">
        <v>49.98</v>
      </c>
      <c r="F2154" t="str">
        <f t="shared" si="167"/>
        <v>net sales</v>
      </c>
      <c r="G2154" s="7" t="str">
        <f t="shared" si="168"/>
        <v>product 2</v>
      </c>
      <c r="H2154">
        <f t="shared" si="169"/>
        <v>2024</v>
      </c>
      <c r="I2154">
        <f t="shared" si="170"/>
        <v>10</v>
      </c>
      <c r="J2154">
        <f t="shared" si="171"/>
        <v>519.48</v>
      </c>
    </row>
    <row r="2155" spans="1:10" ht="12.5" x14ac:dyDescent="0.25">
      <c r="A2155" s="1">
        <v>45590</v>
      </c>
      <c r="B2155" s="2" t="s">
        <v>13</v>
      </c>
      <c r="C2155" s="3">
        <v>12.49</v>
      </c>
      <c r="D2155" s="3">
        <v>83</v>
      </c>
      <c r="E2155" s="3">
        <v>1036.67</v>
      </c>
      <c r="F2155" t="str">
        <f t="shared" si="167"/>
        <v>net sales</v>
      </c>
      <c r="G2155" s="7" t="str">
        <f t="shared" si="168"/>
        <v>product 3</v>
      </c>
      <c r="H2155">
        <f t="shared" si="169"/>
        <v>2024</v>
      </c>
      <c r="I2155">
        <f t="shared" si="170"/>
        <v>10</v>
      </c>
      <c r="J2155">
        <f t="shared" si="171"/>
        <v>49.98</v>
      </c>
    </row>
    <row r="2156" spans="1:10" ht="12.5" x14ac:dyDescent="0.25">
      <c r="A2156" s="1">
        <v>45590</v>
      </c>
      <c r="B2156" s="2" t="s">
        <v>15</v>
      </c>
      <c r="C2156" s="2" t="s">
        <v>6</v>
      </c>
      <c r="D2156" s="2" t="s">
        <v>6</v>
      </c>
      <c r="E2156" s="3">
        <v>1200</v>
      </c>
      <c r="F2156" t="str">
        <f t="shared" si="167"/>
        <v>payroll</v>
      </c>
      <c r="G2156" s="7" t="s">
        <v>6</v>
      </c>
      <c r="H2156">
        <f t="shared" si="169"/>
        <v>2024</v>
      </c>
      <c r="I2156">
        <f t="shared" si="170"/>
        <v>10</v>
      </c>
      <c r="J2156">
        <f t="shared" si="171"/>
        <v>1136.5899999999999</v>
      </c>
    </row>
    <row r="2157" spans="1:10" ht="12.5" x14ac:dyDescent="0.25">
      <c r="A2157" s="1">
        <v>45591</v>
      </c>
      <c r="B2157" s="2" t="s">
        <v>7</v>
      </c>
      <c r="C2157" s="3">
        <v>5.99</v>
      </c>
      <c r="D2157" s="3">
        <v>55</v>
      </c>
      <c r="E2157" s="3">
        <v>329.45</v>
      </c>
      <c r="F2157" t="str">
        <f t="shared" si="167"/>
        <v>cogs</v>
      </c>
      <c r="G2157" s="7" t="str">
        <f t="shared" si="168"/>
        <v>product 1</v>
      </c>
      <c r="H2157">
        <f t="shared" si="169"/>
        <v>2024</v>
      </c>
      <c r="I2157">
        <f t="shared" si="170"/>
        <v>10</v>
      </c>
      <c r="J2157">
        <f t="shared" si="171"/>
        <v>-89.850000000000009</v>
      </c>
    </row>
    <row r="2158" spans="1:10" ht="12.5" x14ac:dyDescent="0.25">
      <c r="A2158" s="1">
        <v>45591</v>
      </c>
      <c r="B2158" s="2" t="s">
        <v>8</v>
      </c>
      <c r="C2158" s="3">
        <v>16.989999999999998</v>
      </c>
      <c r="D2158" s="3">
        <v>6</v>
      </c>
      <c r="E2158" s="3">
        <v>101.94</v>
      </c>
      <c r="F2158" t="str">
        <f t="shared" si="167"/>
        <v>cogs</v>
      </c>
      <c r="G2158" s="7" t="str">
        <f t="shared" si="168"/>
        <v>product 2</v>
      </c>
      <c r="H2158">
        <f t="shared" si="169"/>
        <v>2024</v>
      </c>
      <c r="I2158">
        <f t="shared" si="170"/>
        <v>10</v>
      </c>
      <c r="J2158">
        <f t="shared" si="171"/>
        <v>-16.989999999999998</v>
      </c>
    </row>
    <row r="2159" spans="1:10" ht="12.5" x14ac:dyDescent="0.25">
      <c r="A2159" s="1">
        <v>45591</v>
      </c>
      <c r="B2159" s="2" t="s">
        <v>9</v>
      </c>
      <c r="C2159" s="3">
        <v>8.49</v>
      </c>
      <c r="D2159" s="3">
        <v>182</v>
      </c>
      <c r="E2159" s="3">
        <v>1545.18</v>
      </c>
      <c r="F2159" t="str">
        <f t="shared" si="167"/>
        <v>cogs</v>
      </c>
      <c r="G2159" s="7" t="str">
        <f t="shared" si="168"/>
        <v>product 3</v>
      </c>
      <c r="H2159">
        <f t="shared" si="169"/>
        <v>2024</v>
      </c>
      <c r="I2159">
        <f t="shared" si="170"/>
        <v>10</v>
      </c>
      <c r="J2159">
        <f t="shared" si="171"/>
        <v>-1018.8000000000001</v>
      </c>
    </row>
    <row r="2160" spans="1:10" ht="12.5" x14ac:dyDescent="0.25">
      <c r="A2160" s="1">
        <v>45591</v>
      </c>
      <c r="B2160" s="2" t="s">
        <v>10</v>
      </c>
      <c r="C2160" s="2" t="s">
        <v>6</v>
      </c>
      <c r="D2160" s="2" t="s">
        <v>6</v>
      </c>
      <c r="E2160" s="3">
        <v>99.94</v>
      </c>
      <c r="F2160" t="str">
        <f t="shared" si="167"/>
        <v>marketing</v>
      </c>
      <c r="G2160" s="7" t="s">
        <v>6</v>
      </c>
      <c r="H2160">
        <f t="shared" si="169"/>
        <v>2024</v>
      </c>
      <c r="I2160">
        <f t="shared" si="170"/>
        <v>10</v>
      </c>
      <c r="J2160">
        <f t="shared" si="171"/>
        <v>-100.04</v>
      </c>
    </row>
    <row r="2161" spans="1:10" ht="12.5" x14ac:dyDescent="0.25">
      <c r="A2161" s="1">
        <v>45591</v>
      </c>
      <c r="B2161" s="2" t="s">
        <v>11</v>
      </c>
      <c r="C2161" s="3">
        <v>9.99</v>
      </c>
      <c r="D2161" s="3">
        <v>55</v>
      </c>
      <c r="E2161" s="3">
        <v>549.45000000000005</v>
      </c>
      <c r="F2161" t="str">
        <f t="shared" si="167"/>
        <v>net sales</v>
      </c>
      <c r="G2161" s="7" t="str">
        <f t="shared" si="168"/>
        <v>product 1</v>
      </c>
      <c r="H2161">
        <f t="shared" si="169"/>
        <v>2024</v>
      </c>
      <c r="I2161">
        <f t="shared" si="170"/>
        <v>10</v>
      </c>
      <c r="J2161">
        <f t="shared" si="171"/>
        <v>149.85</v>
      </c>
    </row>
    <row r="2162" spans="1:10" ht="12.5" x14ac:dyDescent="0.25">
      <c r="A2162" s="1">
        <v>45591</v>
      </c>
      <c r="B2162" s="2" t="s">
        <v>12</v>
      </c>
      <c r="C2162" s="3">
        <v>24.99</v>
      </c>
      <c r="D2162" s="3">
        <v>6</v>
      </c>
      <c r="E2162" s="3">
        <v>149.94</v>
      </c>
      <c r="F2162" t="str">
        <f t="shared" si="167"/>
        <v>net sales</v>
      </c>
      <c r="G2162" s="7" t="str">
        <f t="shared" si="168"/>
        <v>product 2</v>
      </c>
      <c r="H2162">
        <f t="shared" si="169"/>
        <v>2024</v>
      </c>
      <c r="I2162">
        <f t="shared" si="170"/>
        <v>10</v>
      </c>
      <c r="J2162">
        <f t="shared" si="171"/>
        <v>24.99</v>
      </c>
    </row>
    <row r="2163" spans="1:10" ht="12.5" x14ac:dyDescent="0.25">
      <c r="A2163" s="1">
        <v>45591</v>
      </c>
      <c r="B2163" s="2" t="s">
        <v>13</v>
      </c>
      <c r="C2163" s="3">
        <v>12.49</v>
      </c>
      <c r="D2163" s="3">
        <v>182</v>
      </c>
      <c r="E2163" s="3">
        <v>2273.1799999999998</v>
      </c>
      <c r="F2163" t="str">
        <f t="shared" si="167"/>
        <v>net sales</v>
      </c>
      <c r="G2163" s="7" t="str">
        <f t="shared" si="168"/>
        <v>product 3</v>
      </c>
      <c r="H2163">
        <f t="shared" si="169"/>
        <v>2024</v>
      </c>
      <c r="I2163">
        <f t="shared" si="170"/>
        <v>10</v>
      </c>
      <c r="J2163">
        <f t="shared" si="171"/>
        <v>1498.8</v>
      </c>
    </row>
    <row r="2164" spans="1:10" ht="12.5" x14ac:dyDescent="0.25">
      <c r="A2164" s="1">
        <v>45592</v>
      </c>
      <c r="B2164" s="2" t="s">
        <v>7</v>
      </c>
      <c r="C2164" s="3">
        <v>5.99</v>
      </c>
      <c r="D2164" s="3">
        <v>62</v>
      </c>
      <c r="E2164" s="3">
        <v>371.38</v>
      </c>
      <c r="F2164" t="str">
        <f t="shared" si="167"/>
        <v>cogs</v>
      </c>
      <c r="G2164" s="7" t="str">
        <f t="shared" si="168"/>
        <v>product 1</v>
      </c>
      <c r="H2164">
        <f t="shared" si="169"/>
        <v>2024</v>
      </c>
      <c r="I2164">
        <f t="shared" si="170"/>
        <v>10</v>
      </c>
      <c r="J2164">
        <f t="shared" si="171"/>
        <v>-377.37</v>
      </c>
    </row>
    <row r="2165" spans="1:10" ht="12.5" x14ac:dyDescent="0.25">
      <c r="A2165" s="1">
        <v>45592</v>
      </c>
      <c r="B2165" s="2" t="s">
        <v>8</v>
      </c>
      <c r="C2165" s="3">
        <v>16.989999999999998</v>
      </c>
      <c r="D2165" s="3">
        <v>5</v>
      </c>
      <c r="E2165" s="3">
        <v>84.949999999999989</v>
      </c>
      <c r="F2165" t="str">
        <f t="shared" si="167"/>
        <v>cogs</v>
      </c>
      <c r="G2165" s="7" t="str">
        <f t="shared" si="168"/>
        <v>product 2</v>
      </c>
      <c r="H2165">
        <f t="shared" si="169"/>
        <v>2024</v>
      </c>
      <c r="I2165">
        <f t="shared" si="170"/>
        <v>10</v>
      </c>
      <c r="J2165">
        <f t="shared" si="171"/>
        <v>-118.92999999999999</v>
      </c>
    </row>
    <row r="2166" spans="1:10" ht="12.5" x14ac:dyDescent="0.25">
      <c r="A2166" s="1">
        <v>45592</v>
      </c>
      <c r="B2166" s="2" t="s">
        <v>9</v>
      </c>
      <c r="C2166" s="3">
        <v>8.49</v>
      </c>
      <c r="D2166" s="3">
        <v>69</v>
      </c>
      <c r="E2166" s="3">
        <v>585.81000000000006</v>
      </c>
      <c r="F2166" t="str">
        <f t="shared" si="167"/>
        <v>cogs</v>
      </c>
      <c r="G2166" s="7" t="str">
        <f t="shared" si="168"/>
        <v>product 3</v>
      </c>
      <c r="H2166">
        <f t="shared" si="169"/>
        <v>2024</v>
      </c>
      <c r="I2166">
        <f t="shared" si="170"/>
        <v>10</v>
      </c>
      <c r="J2166">
        <f t="shared" si="171"/>
        <v>-755.61</v>
      </c>
    </row>
    <row r="2167" spans="1:10" ht="12.5" x14ac:dyDescent="0.25">
      <c r="A2167" s="1">
        <v>45592</v>
      </c>
      <c r="B2167" s="2" t="s">
        <v>10</v>
      </c>
      <c r="C2167" s="2" t="s">
        <v>6</v>
      </c>
      <c r="D2167" s="2" t="s">
        <v>6</v>
      </c>
      <c r="E2167" s="3">
        <v>100</v>
      </c>
      <c r="F2167" t="str">
        <f t="shared" si="167"/>
        <v>marketing</v>
      </c>
      <c r="G2167" s="7" t="s">
        <v>6</v>
      </c>
      <c r="H2167">
        <f t="shared" si="169"/>
        <v>2024</v>
      </c>
      <c r="I2167">
        <f t="shared" si="170"/>
        <v>10</v>
      </c>
      <c r="J2167">
        <f t="shared" si="171"/>
        <v>-100.07000000000001</v>
      </c>
    </row>
    <row r="2168" spans="1:10" ht="12.5" x14ac:dyDescent="0.25">
      <c r="A2168" s="1">
        <v>45592</v>
      </c>
      <c r="B2168" s="2" t="s">
        <v>11</v>
      </c>
      <c r="C2168" s="3">
        <v>9.99</v>
      </c>
      <c r="D2168" s="3">
        <v>62</v>
      </c>
      <c r="E2168" s="3">
        <v>619.38</v>
      </c>
      <c r="F2168" t="str">
        <f t="shared" si="167"/>
        <v>net sales</v>
      </c>
      <c r="G2168" s="7" t="str">
        <f t="shared" si="168"/>
        <v>product 1</v>
      </c>
      <c r="H2168">
        <f t="shared" si="169"/>
        <v>2024</v>
      </c>
      <c r="I2168">
        <f t="shared" si="170"/>
        <v>10</v>
      </c>
      <c r="J2168">
        <f t="shared" si="171"/>
        <v>629.37</v>
      </c>
    </row>
    <row r="2169" spans="1:10" ht="12.5" x14ac:dyDescent="0.25">
      <c r="A2169" s="1">
        <v>45592</v>
      </c>
      <c r="B2169" s="2" t="s">
        <v>12</v>
      </c>
      <c r="C2169" s="3">
        <v>24.99</v>
      </c>
      <c r="D2169" s="3">
        <v>5</v>
      </c>
      <c r="E2169" s="3">
        <v>124.94999999999999</v>
      </c>
      <c r="F2169" t="str">
        <f t="shared" si="167"/>
        <v>net sales</v>
      </c>
      <c r="G2169" s="7" t="str">
        <f t="shared" si="168"/>
        <v>product 2</v>
      </c>
      <c r="H2169">
        <f t="shared" si="169"/>
        <v>2024</v>
      </c>
      <c r="I2169">
        <f t="shared" si="170"/>
        <v>10</v>
      </c>
      <c r="J2169">
        <f t="shared" si="171"/>
        <v>174.92999999999998</v>
      </c>
    </row>
    <row r="2170" spans="1:10" ht="12.5" x14ac:dyDescent="0.25">
      <c r="A2170" s="1">
        <v>45592</v>
      </c>
      <c r="B2170" s="2" t="s">
        <v>13</v>
      </c>
      <c r="C2170" s="3">
        <v>12.49</v>
      </c>
      <c r="D2170" s="3">
        <v>69</v>
      </c>
      <c r="E2170" s="3">
        <v>861.81000000000006</v>
      </c>
      <c r="F2170" t="str">
        <f t="shared" si="167"/>
        <v>net sales</v>
      </c>
      <c r="G2170" s="7" t="str">
        <f t="shared" si="168"/>
        <v>product 3</v>
      </c>
      <c r="H2170">
        <f t="shared" si="169"/>
        <v>2024</v>
      </c>
      <c r="I2170">
        <f t="shared" si="170"/>
        <v>10</v>
      </c>
      <c r="J2170">
        <f t="shared" si="171"/>
        <v>1111.6100000000001</v>
      </c>
    </row>
    <row r="2171" spans="1:10" ht="12.5" x14ac:dyDescent="0.25">
      <c r="A2171" s="1">
        <v>45593</v>
      </c>
      <c r="B2171" s="2" t="s">
        <v>7</v>
      </c>
      <c r="C2171" s="3">
        <v>5.99</v>
      </c>
      <c r="D2171" s="3">
        <v>15</v>
      </c>
      <c r="E2171" s="3">
        <v>89.850000000000009</v>
      </c>
      <c r="F2171" t="str">
        <f t="shared" si="167"/>
        <v>cogs</v>
      </c>
      <c r="G2171" s="7" t="str">
        <f t="shared" si="168"/>
        <v>product 1</v>
      </c>
      <c r="H2171">
        <f t="shared" si="169"/>
        <v>2024</v>
      </c>
      <c r="I2171">
        <f t="shared" si="170"/>
        <v>10</v>
      </c>
      <c r="J2171">
        <f t="shared" si="171"/>
        <v>-1200</v>
      </c>
    </row>
    <row r="2172" spans="1:10" ht="12.5" x14ac:dyDescent="0.25">
      <c r="A2172" s="1">
        <v>45593</v>
      </c>
      <c r="B2172" s="2" t="s">
        <v>8</v>
      </c>
      <c r="C2172" s="3">
        <v>16.989999999999998</v>
      </c>
      <c r="D2172" s="3">
        <v>2</v>
      </c>
      <c r="E2172" s="3">
        <v>33.979999999999997</v>
      </c>
      <c r="F2172" t="str">
        <f t="shared" si="167"/>
        <v>cogs</v>
      </c>
      <c r="G2172" s="7" t="str">
        <f t="shared" si="168"/>
        <v>product 2</v>
      </c>
      <c r="H2172">
        <f t="shared" si="169"/>
        <v>2024</v>
      </c>
      <c r="I2172">
        <f t="shared" si="170"/>
        <v>10</v>
      </c>
      <c r="J2172">
        <f t="shared" si="171"/>
        <v>-197.67000000000002</v>
      </c>
    </row>
    <row r="2173" spans="1:10" ht="12.5" x14ac:dyDescent="0.25">
      <c r="A2173" s="1">
        <v>45593</v>
      </c>
      <c r="B2173" s="2" t="s">
        <v>9</v>
      </c>
      <c r="C2173" s="3">
        <v>8.49</v>
      </c>
      <c r="D2173" s="3">
        <v>72</v>
      </c>
      <c r="E2173" s="3">
        <v>611.28</v>
      </c>
      <c r="F2173" t="str">
        <f t="shared" si="167"/>
        <v>cogs</v>
      </c>
      <c r="G2173" s="7" t="str">
        <f t="shared" si="168"/>
        <v>product 3</v>
      </c>
      <c r="H2173">
        <f t="shared" si="169"/>
        <v>2024</v>
      </c>
      <c r="I2173">
        <f t="shared" si="170"/>
        <v>10</v>
      </c>
      <c r="J2173">
        <f t="shared" si="171"/>
        <v>-50.97</v>
      </c>
    </row>
    <row r="2174" spans="1:10" ht="12.5" x14ac:dyDescent="0.25">
      <c r="A2174" s="1">
        <v>45593</v>
      </c>
      <c r="B2174" s="2" t="s">
        <v>10</v>
      </c>
      <c r="C2174" s="2" t="s">
        <v>6</v>
      </c>
      <c r="D2174" s="2" t="s">
        <v>6</v>
      </c>
      <c r="E2174" s="3">
        <v>100</v>
      </c>
      <c r="F2174" t="str">
        <f t="shared" si="167"/>
        <v>marketing</v>
      </c>
      <c r="G2174" s="7" t="s">
        <v>6</v>
      </c>
      <c r="H2174">
        <f t="shared" si="169"/>
        <v>2024</v>
      </c>
      <c r="I2174">
        <f t="shared" si="170"/>
        <v>10</v>
      </c>
      <c r="J2174">
        <f t="shared" si="171"/>
        <v>-2054.58</v>
      </c>
    </row>
    <row r="2175" spans="1:10" ht="12.5" x14ac:dyDescent="0.25">
      <c r="A2175" s="1">
        <v>45593</v>
      </c>
      <c r="B2175" s="2" t="s">
        <v>11</v>
      </c>
      <c r="C2175" s="3">
        <v>9.99</v>
      </c>
      <c r="D2175" s="3">
        <v>15</v>
      </c>
      <c r="E2175" s="3">
        <v>149.85</v>
      </c>
      <c r="F2175" t="str">
        <f t="shared" si="167"/>
        <v>net sales</v>
      </c>
      <c r="G2175" s="7" t="str">
        <f t="shared" si="168"/>
        <v>product 1</v>
      </c>
      <c r="H2175">
        <f t="shared" si="169"/>
        <v>2024</v>
      </c>
      <c r="I2175">
        <f t="shared" si="170"/>
        <v>10</v>
      </c>
      <c r="J2175">
        <f t="shared" si="171"/>
        <v>-100.05</v>
      </c>
    </row>
    <row r="2176" spans="1:10" ht="12.5" x14ac:dyDescent="0.25">
      <c r="A2176" s="1">
        <v>45593</v>
      </c>
      <c r="B2176" s="2" t="s">
        <v>12</v>
      </c>
      <c r="C2176" s="3">
        <v>24.99</v>
      </c>
      <c r="D2176" s="3">
        <v>2</v>
      </c>
      <c r="E2176" s="3">
        <v>49.98</v>
      </c>
      <c r="F2176" t="str">
        <f t="shared" si="167"/>
        <v>net sales</v>
      </c>
      <c r="G2176" s="7" t="str">
        <f t="shared" si="168"/>
        <v>product 2</v>
      </c>
      <c r="H2176">
        <f t="shared" si="169"/>
        <v>2024</v>
      </c>
      <c r="I2176">
        <f t="shared" si="170"/>
        <v>10</v>
      </c>
      <c r="J2176">
        <f t="shared" si="171"/>
        <v>329.67</v>
      </c>
    </row>
    <row r="2177" spans="1:10" ht="12.5" x14ac:dyDescent="0.25">
      <c r="A2177" s="1">
        <v>45593</v>
      </c>
      <c r="B2177" s="2" t="s">
        <v>13</v>
      </c>
      <c r="C2177" s="3">
        <v>12.49</v>
      </c>
      <c r="D2177" s="3">
        <v>72</v>
      </c>
      <c r="E2177" s="3">
        <v>899.28</v>
      </c>
      <c r="F2177" t="str">
        <f t="shared" si="167"/>
        <v>net sales</v>
      </c>
      <c r="G2177" s="7" t="str">
        <f t="shared" si="168"/>
        <v>product 3</v>
      </c>
      <c r="H2177">
        <f t="shared" si="169"/>
        <v>2024</v>
      </c>
      <c r="I2177">
        <f t="shared" si="170"/>
        <v>10</v>
      </c>
      <c r="J2177">
        <f t="shared" si="171"/>
        <v>74.97</v>
      </c>
    </row>
    <row r="2178" spans="1:10" ht="12.5" x14ac:dyDescent="0.25">
      <c r="A2178" s="1">
        <v>45594</v>
      </c>
      <c r="B2178" s="2" t="s">
        <v>7</v>
      </c>
      <c r="C2178" s="3">
        <v>5.99</v>
      </c>
      <c r="D2178" s="3">
        <v>54</v>
      </c>
      <c r="E2178" s="3">
        <v>323.46000000000004</v>
      </c>
      <c r="F2178" t="str">
        <f t="shared" si="167"/>
        <v>cogs</v>
      </c>
      <c r="G2178" s="7" t="str">
        <f t="shared" si="168"/>
        <v>product 1</v>
      </c>
      <c r="H2178">
        <f t="shared" si="169"/>
        <v>2024</v>
      </c>
      <c r="I2178">
        <f t="shared" si="170"/>
        <v>10</v>
      </c>
      <c r="J2178">
        <f t="shared" si="171"/>
        <v>3022.58</v>
      </c>
    </row>
    <row r="2179" spans="1:10" ht="12.5" x14ac:dyDescent="0.25">
      <c r="A2179" s="1">
        <v>45594</v>
      </c>
      <c r="B2179" s="2" t="s">
        <v>8</v>
      </c>
      <c r="C2179" s="3">
        <v>16.989999999999998</v>
      </c>
      <c r="D2179" s="3">
        <v>2</v>
      </c>
      <c r="E2179" s="3">
        <v>33.979999999999997</v>
      </c>
      <c r="F2179" t="str">
        <f t="shared" ref="F2179:F2242" si="172">IFERROR(LEFT(B2179,FIND(":",B2179)-1),B2179)</f>
        <v>cogs</v>
      </c>
      <c r="G2179" s="7" t="str">
        <f t="shared" ref="G2179:G2242" si="173">IFERROR(RIGHT(B2179,LEN(B2179)-FIND(":",B2179)),"")</f>
        <v>product 2</v>
      </c>
      <c r="H2179">
        <f t="shared" ref="H2179:H2242" si="174">YEAR(A2179)</f>
        <v>2024</v>
      </c>
      <c r="I2179">
        <f t="shared" ref="I2179:I2242" si="175">MONTH(A2179)</f>
        <v>10</v>
      </c>
      <c r="J2179">
        <f t="shared" si="171"/>
        <v>-335.44</v>
      </c>
    </row>
    <row r="2180" spans="1:10" ht="12.5" x14ac:dyDescent="0.25">
      <c r="A2180" s="1">
        <v>45594</v>
      </c>
      <c r="B2180" s="2" t="s">
        <v>9</v>
      </c>
      <c r="C2180" s="3">
        <v>8.49</v>
      </c>
      <c r="D2180" s="3">
        <v>28</v>
      </c>
      <c r="E2180" s="3">
        <v>237.72</v>
      </c>
      <c r="F2180" t="str">
        <f t="shared" si="172"/>
        <v>cogs</v>
      </c>
      <c r="G2180" s="7" t="str">
        <f t="shared" si="173"/>
        <v>product 3</v>
      </c>
      <c r="H2180">
        <f t="shared" si="174"/>
        <v>2024</v>
      </c>
      <c r="I2180">
        <f t="shared" si="175"/>
        <v>10</v>
      </c>
      <c r="J2180">
        <f t="shared" si="171"/>
        <v>-33.979999999999997</v>
      </c>
    </row>
    <row r="2181" spans="1:10" ht="12.5" x14ac:dyDescent="0.25">
      <c r="A2181" s="1">
        <v>45594</v>
      </c>
      <c r="B2181" s="2" t="s">
        <v>10</v>
      </c>
      <c r="C2181" s="2" t="s">
        <v>6</v>
      </c>
      <c r="D2181" s="2" t="s">
        <v>6</v>
      </c>
      <c r="E2181" s="3">
        <v>99.93</v>
      </c>
      <c r="F2181" t="str">
        <f t="shared" si="172"/>
        <v>marketing</v>
      </c>
      <c r="G2181" s="7" t="s">
        <v>6</v>
      </c>
      <c r="H2181">
        <f t="shared" si="174"/>
        <v>2024</v>
      </c>
      <c r="I2181">
        <f t="shared" si="175"/>
        <v>10</v>
      </c>
      <c r="J2181">
        <f t="shared" si="171"/>
        <v>-407.52</v>
      </c>
    </row>
    <row r="2182" spans="1:10" ht="12.5" x14ac:dyDescent="0.25">
      <c r="A2182" s="1">
        <v>45594</v>
      </c>
      <c r="B2182" s="2" t="s">
        <v>11</v>
      </c>
      <c r="C2182" s="3">
        <v>9.99</v>
      </c>
      <c r="D2182" s="3">
        <v>54</v>
      </c>
      <c r="E2182" s="3">
        <v>539.46</v>
      </c>
      <c r="F2182" t="str">
        <f t="shared" si="172"/>
        <v>net sales</v>
      </c>
      <c r="G2182" s="7" t="str">
        <f t="shared" si="173"/>
        <v>product 1</v>
      </c>
      <c r="H2182">
        <f t="shared" si="174"/>
        <v>2024</v>
      </c>
      <c r="I2182">
        <f t="shared" si="175"/>
        <v>10</v>
      </c>
      <c r="J2182">
        <f t="shared" si="171"/>
        <v>-100</v>
      </c>
    </row>
    <row r="2183" spans="1:10" ht="12.5" x14ac:dyDescent="0.25">
      <c r="A2183" s="1">
        <v>45594</v>
      </c>
      <c r="B2183" s="2" t="s">
        <v>12</v>
      </c>
      <c r="C2183" s="3">
        <v>24.99</v>
      </c>
      <c r="D2183" s="3">
        <v>2</v>
      </c>
      <c r="E2183" s="3">
        <v>49.98</v>
      </c>
      <c r="F2183" t="str">
        <f t="shared" si="172"/>
        <v>net sales</v>
      </c>
      <c r="G2183" s="7" t="str">
        <f t="shared" si="173"/>
        <v>product 2</v>
      </c>
      <c r="H2183">
        <f t="shared" si="174"/>
        <v>2024</v>
      </c>
      <c r="I2183">
        <f t="shared" si="175"/>
        <v>10</v>
      </c>
      <c r="J2183">
        <f t="shared" si="171"/>
        <v>559.44000000000005</v>
      </c>
    </row>
    <row r="2184" spans="1:10" ht="12.5" x14ac:dyDescent="0.25">
      <c r="A2184" s="1">
        <v>45594</v>
      </c>
      <c r="B2184" s="2" t="s">
        <v>13</v>
      </c>
      <c r="C2184" s="3">
        <v>12.49</v>
      </c>
      <c r="D2184" s="3">
        <v>28</v>
      </c>
      <c r="E2184" s="3">
        <v>349.72</v>
      </c>
      <c r="F2184" t="str">
        <f t="shared" si="172"/>
        <v>net sales</v>
      </c>
      <c r="G2184" s="7" t="str">
        <f t="shared" si="173"/>
        <v>product 3</v>
      </c>
      <c r="H2184">
        <f t="shared" si="174"/>
        <v>2024</v>
      </c>
      <c r="I2184">
        <f t="shared" si="175"/>
        <v>10</v>
      </c>
      <c r="J2184">
        <f t="shared" si="171"/>
        <v>49.98</v>
      </c>
    </row>
    <row r="2185" spans="1:10" ht="12.5" x14ac:dyDescent="0.25">
      <c r="A2185" s="1">
        <v>45595</v>
      </c>
      <c r="B2185" s="2" t="s">
        <v>7</v>
      </c>
      <c r="C2185" s="3">
        <v>5.99</v>
      </c>
      <c r="D2185" s="3">
        <v>12</v>
      </c>
      <c r="E2185" s="3">
        <v>71.88</v>
      </c>
      <c r="F2185" t="str">
        <f t="shared" si="172"/>
        <v>cogs</v>
      </c>
      <c r="G2185" s="7" t="str">
        <f t="shared" si="173"/>
        <v>product 1</v>
      </c>
      <c r="H2185">
        <f t="shared" si="174"/>
        <v>2024</v>
      </c>
      <c r="I2185">
        <f t="shared" si="175"/>
        <v>10</v>
      </c>
      <c r="J2185">
        <f t="shared" si="171"/>
        <v>599.52</v>
      </c>
    </row>
    <row r="2186" spans="1:10" ht="12.5" x14ac:dyDescent="0.25">
      <c r="A2186" s="1">
        <v>45595</v>
      </c>
      <c r="B2186" s="2" t="s">
        <v>8</v>
      </c>
      <c r="C2186" s="3">
        <v>16.989999999999998</v>
      </c>
      <c r="D2186" s="3">
        <v>4</v>
      </c>
      <c r="E2186" s="3">
        <v>67.959999999999994</v>
      </c>
      <c r="F2186" t="str">
        <f t="shared" si="172"/>
        <v>cogs</v>
      </c>
      <c r="G2186" s="7" t="str">
        <f t="shared" si="173"/>
        <v>product 2</v>
      </c>
      <c r="H2186">
        <f t="shared" si="174"/>
        <v>2024</v>
      </c>
      <c r="I2186">
        <f t="shared" si="175"/>
        <v>10</v>
      </c>
      <c r="J2186">
        <f t="shared" si="171"/>
        <v>-455.24</v>
      </c>
    </row>
    <row r="2187" spans="1:10" ht="12.5" x14ac:dyDescent="0.25">
      <c r="A2187" s="1">
        <v>45595</v>
      </c>
      <c r="B2187" s="2" t="s">
        <v>9</v>
      </c>
      <c r="C2187" s="3">
        <v>8.49</v>
      </c>
      <c r="D2187" s="3">
        <v>3</v>
      </c>
      <c r="E2187" s="3">
        <v>25.47</v>
      </c>
      <c r="F2187" t="str">
        <f t="shared" si="172"/>
        <v>cogs</v>
      </c>
      <c r="G2187" s="7" t="str">
        <f t="shared" si="173"/>
        <v>product 3</v>
      </c>
      <c r="H2187">
        <f t="shared" si="174"/>
        <v>2024</v>
      </c>
      <c r="I2187">
        <f t="shared" si="175"/>
        <v>10</v>
      </c>
      <c r="J2187">
        <f t="shared" si="171"/>
        <v>-16.989999999999998</v>
      </c>
    </row>
    <row r="2188" spans="1:10" ht="12.5" x14ac:dyDescent="0.25">
      <c r="A2188" s="1">
        <v>45595</v>
      </c>
      <c r="B2188" s="2" t="s">
        <v>10</v>
      </c>
      <c r="C2188" s="2" t="s">
        <v>6</v>
      </c>
      <c r="D2188" s="2" t="s">
        <v>6</v>
      </c>
      <c r="E2188" s="3">
        <v>100.05</v>
      </c>
      <c r="F2188" t="str">
        <f t="shared" si="172"/>
        <v>marketing</v>
      </c>
      <c r="G2188" s="7" t="s">
        <v>6</v>
      </c>
      <c r="H2188">
        <f t="shared" si="174"/>
        <v>2024</v>
      </c>
      <c r="I2188">
        <f t="shared" si="175"/>
        <v>10</v>
      </c>
      <c r="J2188">
        <f t="shared" si="171"/>
        <v>-1392.3600000000001</v>
      </c>
    </row>
    <row r="2189" spans="1:10" ht="12.5" x14ac:dyDescent="0.25">
      <c r="A2189" s="1">
        <v>45595</v>
      </c>
      <c r="B2189" s="2" t="s">
        <v>11</v>
      </c>
      <c r="C2189" s="3">
        <v>9.99</v>
      </c>
      <c r="D2189" s="3">
        <v>12</v>
      </c>
      <c r="E2189" s="3">
        <v>119.88</v>
      </c>
      <c r="F2189" t="str">
        <f t="shared" si="172"/>
        <v>net sales</v>
      </c>
      <c r="G2189" s="7" t="str">
        <f t="shared" si="173"/>
        <v>product 1</v>
      </c>
      <c r="H2189">
        <f t="shared" si="174"/>
        <v>2024</v>
      </c>
      <c r="I2189">
        <f t="shared" si="175"/>
        <v>10</v>
      </c>
      <c r="J2189">
        <f t="shared" si="171"/>
        <v>-100.09</v>
      </c>
    </row>
    <row r="2190" spans="1:10" ht="12.5" x14ac:dyDescent="0.25">
      <c r="A2190" s="1">
        <v>45595</v>
      </c>
      <c r="B2190" s="2" t="s">
        <v>12</v>
      </c>
      <c r="C2190" s="3">
        <v>24.99</v>
      </c>
      <c r="D2190" s="3">
        <v>4</v>
      </c>
      <c r="E2190" s="3">
        <v>99.96</v>
      </c>
      <c r="F2190" t="str">
        <f t="shared" si="172"/>
        <v>net sales</v>
      </c>
      <c r="G2190" s="7" t="str">
        <f t="shared" si="173"/>
        <v>product 2</v>
      </c>
      <c r="H2190">
        <f t="shared" si="174"/>
        <v>2024</v>
      </c>
      <c r="I2190">
        <f t="shared" si="175"/>
        <v>10</v>
      </c>
      <c r="J2190">
        <f t="shared" si="171"/>
        <v>759.24</v>
      </c>
    </row>
    <row r="2191" spans="1:10" ht="12.5" x14ac:dyDescent="0.25">
      <c r="A2191" s="1">
        <v>45595</v>
      </c>
      <c r="B2191" s="2" t="s">
        <v>13</v>
      </c>
      <c r="C2191" s="3">
        <v>12.49</v>
      </c>
      <c r="D2191" s="3">
        <v>3</v>
      </c>
      <c r="E2191" s="3">
        <v>37.47</v>
      </c>
      <c r="F2191" t="str">
        <f t="shared" si="172"/>
        <v>net sales</v>
      </c>
      <c r="G2191" s="7" t="str">
        <f t="shared" si="173"/>
        <v>product 3</v>
      </c>
      <c r="H2191">
        <f t="shared" si="174"/>
        <v>2024</v>
      </c>
      <c r="I2191">
        <f t="shared" si="175"/>
        <v>10</v>
      </c>
      <c r="J2191">
        <f t="shared" si="171"/>
        <v>24.99</v>
      </c>
    </row>
    <row r="2192" spans="1:10" ht="12.5" x14ac:dyDescent="0.25">
      <c r="A2192" s="1">
        <v>45596</v>
      </c>
      <c r="B2192" s="2" t="s">
        <v>7</v>
      </c>
      <c r="C2192" s="3">
        <v>5.99</v>
      </c>
      <c r="D2192" s="3">
        <v>44</v>
      </c>
      <c r="E2192" s="3">
        <v>263.56</v>
      </c>
      <c r="F2192" t="str">
        <f t="shared" si="172"/>
        <v>cogs</v>
      </c>
      <c r="G2192" s="7" t="str">
        <f t="shared" si="173"/>
        <v>product 1</v>
      </c>
      <c r="H2192">
        <f t="shared" si="174"/>
        <v>2024</v>
      </c>
      <c r="I2192">
        <f t="shared" si="175"/>
        <v>10</v>
      </c>
      <c r="J2192">
        <f t="shared" si="171"/>
        <v>2048.36</v>
      </c>
    </row>
    <row r="2193" spans="1:10" ht="12.5" x14ac:dyDescent="0.25">
      <c r="A2193" s="1">
        <v>45596</v>
      </c>
      <c r="B2193" s="2" t="s">
        <v>8</v>
      </c>
      <c r="C2193" s="3">
        <v>16.989999999999998</v>
      </c>
      <c r="D2193" s="3">
        <v>9</v>
      </c>
      <c r="E2193" s="3">
        <v>152.91</v>
      </c>
      <c r="F2193" t="str">
        <f t="shared" si="172"/>
        <v>cogs</v>
      </c>
      <c r="G2193" s="7" t="str">
        <f t="shared" si="173"/>
        <v>product 2</v>
      </c>
      <c r="H2193">
        <f t="shared" si="174"/>
        <v>2024</v>
      </c>
      <c r="I2193">
        <f t="shared" si="175"/>
        <v>10</v>
      </c>
      <c r="J2193">
        <f t="shared" si="171"/>
        <v>0</v>
      </c>
    </row>
    <row r="2194" spans="1:10" ht="12.5" x14ac:dyDescent="0.25">
      <c r="A2194" s="1">
        <v>45596</v>
      </c>
      <c r="B2194" s="2" t="s">
        <v>9</v>
      </c>
      <c r="C2194" s="3">
        <v>8.49</v>
      </c>
      <c r="D2194" s="3">
        <v>246</v>
      </c>
      <c r="E2194" s="3">
        <v>2088.54</v>
      </c>
      <c r="F2194" t="str">
        <f t="shared" si="172"/>
        <v>cogs</v>
      </c>
      <c r="G2194" s="7" t="str">
        <f t="shared" si="173"/>
        <v>product 3</v>
      </c>
      <c r="H2194">
        <f t="shared" si="174"/>
        <v>2024</v>
      </c>
      <c r="I2194">
        <f t="shared" si="175"/>
        <v>10</v>
      </c>
      <c r="J2194">
        <f t="shared" si="171"/>
        <v>-311.48</v>
      </c>
    </row>
    <row r="2195" spans="1:10" ht="12.5" x14ac:dyDescent="0.25">
      <c r="A2195" s="1">
        <v>45596</v>
      </c>
      <c r="B2195" s="2" t="s">
        <v>10</v>
      </c>
      <c r="C2195" s="2" t="s">
        <v>6</v>
      </c>
      <c r="D2195" s="2" t="s">
        <v>6</v>
      </c>
      <c r="E2195" s="3">
        <v>100.08</v>
      </c>
      <c r="F2195" t="str">
        <f t="shared" si="172"/>
        <v>marketing</v>
      </c>
      <c r="G2195" s="7" t="s">
        <v>6</v>
      </c>
      <c r="H2195">
        <f t="shared" si="174"/>
        <v>2024</v>
      </c>
      <c r="I2195">
        <f t="shared" si="175"/>
        <v>10</v>
      </c>
      <c r="J2195">
        <f t="shared" si="171"/>
        <v>-135.91999999999999</v>
      </c>
    </row>
    <row r="2196" spans="1:10" ht="12.5" x14ac:dyDescent="0.25">
      <c r="A2196" s="1">
        <v>45596</v>
      </c>
      <c r="B2196" s="2" t="s">
        <v>11</v>
      </c>
      <c r="C2196" s="3">
        <v>9.99</v>
      </c>
      <c r="D2196" s="3">
        <v>44</v>
      </c>
      <c r="E2196" s="3">
        <v>439.56</v>
      </c>
      <c r="F2196" t="str">
        <f t="shared" si="172"/>
        <v>net sales</v>
      </c>
      <c r="G2196" s="7" t="str">
        <f t="shared" si="173"/>
        <v>product 1</v>
      </c>
      <c r="H2196">
        <f t="shared" si="174"/>
        <v>2024</v>
      </c>
      <c r="I2196">
        <f t="shared" si="175"/>
        <v>10</v>
      </c>
      <c r="J2196">
        <f t="shared" si="171"/>
        <v>-1239.54</v>
      </c>
    </row>
    <row r="2197" spans="1:10" ht="12.5" x14ac:dyDescent="0.25">
      <c r="A2197" s="1">
        <v>45596</v>
      </c>
      <c r="B2197" s="2" t="s">
        <v>12</v>
      </c>
      <c r="C2197" s="3">
        <v>24.99</v>
      </c>
      <c r="D2197" s="3">
        <v>9</v>
      </c>
      <c r="E2197" s="3">
        <v>224.91</v>
      </c>
      <c r="F2197" t="str">
        <f t="shared" si="172"/>
        <v>net sales</v>
      </c>
      <c r="G2197" s="7" t="str">
        <f t="shared" si="173"/>
        <v>product 2</v>
      </c>
      <c r="H2197">
        <f t="shared" si="174"/>
        <v>2024</v>
      </c>
      <c r="I2197">
        <f t="shared" si="175"/>
        <v>10</v>
      </c>
      <c r="J2197">
        <f t="shared" si="171"/>
        <v>-99.92</v>
      </c>
    </row>
    <row r="2198" spans="1:10" ht="12.5" x14ac:dyDescent="0.25">
      <c r="A2198" s="1">
        <v>45596</v>
      </c>
      <c r="B2198" s="2" t="s">
        <v>13</v>
      </c>
      <c r="C2198" s="3">
        <v>12.49</v>
      </c>
      <c r="D2198" s="3">
        <v>246</v>
      </c>
      <c r="E2198" s="3">
        <v>3072.54</v>
      </c>
      <c r="F2198" t="str">
        <f t="shared" si="172"/>
        <v>net sales</v>
      </c>
      <c r="G2198" s="7" t="str">
        <f t="shared" si="173"/>
        <v>product 3</v>
      </c>
      <c r="H2198">
        <f t="shared" si="174"/>
        <v>2024</v>
      </c>
      <c r="I2198">
        <f t="shared" si="175"/>
        <v>10</v>
      </c>
      <c r="J2198">
        <f t="shared" si="171"/>
        <v>519.48</v>
      </c>
    </row>
    <row r="2199" spans="1:10" ht="12.5" x14ac:dyDescent="0.25">
      <c r="A2199" s="1">
        <v>45597</v>
      </c>
      <c r="B2199" s="2" t="s">
        <v>5</v>
      </c>
      <c r="C2199" s="2" t="s">
        <v>6</v>
      </c>
      <c r="D2199" s="2" t="s">
        <v>6</v>
      </c>
      <c r="E2199" s="3">
        <v>50</v>
      </c>
      <c r="F2199" t="str">
        <f t="shared" si="172"/>
        <v>amortization</v>
      </c>
      <c r="G2199" s="7" t="s">
        <v>6</v>
      </c>
      <c r="H2199">
        <f t="shared" si="174"/>
        <v>2024</v>
      </c>
      <c r="I2199">
        <f t="shared" si="175"/>
        <v>11</v>
      </c>
      <c r="J2199">
        <f t="shared" si="171"/>
        <v>199.92</v>
      </c>
    </row>
    <row r="2200" spans="1:10" ht="12.5" x14ac:dyDescent="0.25">
      <c r="A2200" s="1">
        <v>45597</v>
      </c>
      <c r="B2200" s="2" t="s">
        <v>7</v>
      </c>
      <c r="C2200" s="3">
        <v>5.99</v>
      </c>
      <c r="D2200" s="3">
        <v>11</v>
      </c>
      <c r="E2200" s="3">
        <v>65.89</v>
      </c>
      <c r="F2200" t="str">
        <f t="shared" si="172"/>
        <v>cogs</v>
      </c>
      <c r="G2200" s="7" t="str">
        <f t="shared" si="173"/>
        <v>product 1</v>
      </c>
      <c r="H2200">
        <f t="shared" si="174"/>
        <v>2024</v>
      </c>
      <c r="I2200">
        <f t="shared" si="175"/>
        <v>11</v>
      </c>
      <c r="J2200">
        <f t="shared" si="171"/>
        <v>1823.54</v>
      </c>
    </row>
    <row r="2201" spans="1:10" ht="12.5" x14ac:dyDescent="0.25">
      <c r="A2201" s="1">
        <v>45597</v>
      </c>
      <c r="B2201" s="2" t="s">
        <v>8</v>
      </c>
      <c r="C2201" s="3">
        <v>16.989999999999998</v>
      </c>
      <c r="D2201" s="3">
        <v>3</v>
      </c>
      <c r="E2201" s="3">
        <v>50.97</v>
      </c>
      <c r="F2201" t="str">
        <f t="shared" si="172"/>
        <v>cogs</v>
      </c>
      <c r="G2201" s="7" t="str">
        <f t="shared" si="173"/>
        <v>product 2</v>
      </c>
      <c r="H2201">
        <f t="shared" si="174"/>
        <v>2024</v>
      </c>
      <c r="I2201">
        <f t="shared" si="175"/>
        <v>11</v>
      </c>
      <c r="J2201">
        <f t="shared" si="171"/>
        <v>-2000</v>
      </c>
    </row>
    <row r="2202" spans="1:10" ht="12.5" x14ac:dyDescent="0.25">
      <c r="A2202" s="1">
        <v>45597</v>
      </c>
      <c r="B2202" s="2" t="s">
        <v>9</v>
      </c>
      <c r="C2202" s="3">
        <v>8.49</v>
      </c>
      <c r="D2202" s="3">
        <v>58</v>
      </c>
      <c r="E2202" s="3">
        <v>492.42</v>
      </c>
      <c r="F2202" t="str">
        <f t="shared" si="172"/>
        <v>cogs</v>
      </c>
      <c r="G2202" s="7" t="str">
        <f t="shared" si="173"/>
        <v>product 3</v>
      </c>
      <c r="H2202">
        <f t="shared" si="174"/>
        <v>2024</v>
      </c>
      <c r="I2202">
        <f t="shared" si="175"/>
        <v>11</v>
      </c>
      <c r="J2202">
        <f t="shared" si="171"/>
        <v>-143.76</v>
      </c>
    </row>
    <row r="2203" spans="1:10" ht="12.5" x14ac:dyDescent="0.25">
      <c r="A2203" s="1">
        <v>45597</v>
      </c>
      <c r="B2203" s="2" t="s">
        <v>10</v>
      </c>
      <c r="C2203" s="2" t="s">
        <v>6</v>
      </c>
      <c r="D2203" s="2" t="s">
        <v>6</v>
      </c>
      <c r="E2203" s="3">
        <v>99.97</v>
      </c>
      <c r="F2203" t="str">
        <f t="shared" si="172"/>
        <v>marketing</v>
      </c>
      <c r="G2203" s="7" t="s">
        <v>6</v>
      </c>
      <c r="H2203">
        <f t="shared" si="174"/>
        <v>2024</v>
      </c>
      <c r="I2203">
        <f t="shared" si="175"/>
        <v>11</v>
      </c>
      <c r="J2203">
        <f t="shared" si="171"/>
        <v>-50.97</v>
      </c>
    </row>
    <row r="2204" spans="1:10" ht="12.5" x14ac:dyDescent="0.25">
      <c r="A2204" s="1">
        <v>45597</v>
      </c>
      <c r="B2204" s="2" t="s">
        <v>11</v>
      </c>
      <c r="C2204" s="3">
        <v>9.99</v>
      </c>
      <c r="D2204" s="3">
        <v>11</v>
      </c>
      <c r="E2204" s="3">
        <v>109.89</v>
      </c>
      <c r="F2204" t="str">
        <f t="shared" si="172"/>
        <v>net sales</v>
      </c>
      <c r="G2204" s="7" t="str">
        <f t="shared" si="173"/>
        <v>product 1</v>
      </c>
      <c r="H2204">
        <f t="shared" si="174"/>
        <v>2024</v>
      </c>
      <c r="I2204">
        <f t="shared" si="175"/>
        <v>11</v>
      </c>
      <c r="J2204">
        <f t="shared" ref="J2204:J2267" si="176">IF(F1987="net sales",E1987,
IF(F1987="cogs",-E1987,
IF(OR(F1987="marketing",F1987="overhead",F1987="payroll",F1987="interest","amortization"),-E1987,0)))</f>
        <v>-1918.74</v>
      </c>
    </row>
    <row r="2205" spans="1:10" ht="12.5" x14ac:dyDescent="0.25">
      <c r="A2205" s="1">
        <v>45597</v>
      </c>
      <c r="B2205" s="2" t="s">
        <v>12</v>
      </c>
      <c r="C2205" s="3">
        <v>24.99</v>
      </c>
      <c r="D2205" s="3">
        <v>3</v>
      </c>
      <c r="E2205" s="3">
        <v>74.97</v>
      </c>
      <c r="F2205" t="str">
        <f t="shared" si="172"/>
        <v>net sales</v>
      </c>
      <c r="G2205" s="7" t="str">
        <f t="shared" si="173"/>
        <v>product 2</v>
      </c>
      <c r="H2205">
        <f t="shared" si="174"/>
        <v>2024</v>
      </c>
      <c r="I2205">
        <f t="shared" si="175"/>
        <v>11</v>
      </c>
      <c r="J2205">
        <f t="shared" si="176"/>
        <v>-100.03</v>
      </c>
    </row>
    <row r="2206" spans="1:10" ht="12.5" x14ac:dyDescent="0.25">
      <c r="A2206" s="1">
        <v>45597</v>
      </c>
      <c r="B2206" s="2" t="s">
        <v>13</v>
      </c>
      <c r="C2206" s="3">
        <v>12.49</v>
      </c>
      <c r="D2206" s="3">
        <v>58</v>
      </c>
      <c r="E2206" s="3">
        <v>724.42</v>
      </c>
      <c r="F2206" t="str">
        <f t="shared" si="172"/>
        <v>net sales</v>
      </c>
      <c r="G2206" s="7" t="str">
        <f t="shared" si="173"/>
        <v>product 3</v>
      </c>
      <c r="H2206">
        <f t="shared" si="174"/>
        <v>2024</v>
      </c>
      <c r="I2206">
        <f t="shared" si="175"/>
        <v>11</v>
      </c>
      <c r="J2206">
        <f t="shared" si="176"/>
        <v>239.76</v>
      </c>
    </row>
    <row r="2207" spans="1:10" ht="12.5" x14ac:dyDescent="0.25">
      <c r="A2207" s="1">
        <v>45597</v>
      </c>
      <c r="B2207" s="2" t="s">
        <v>14</v>
      </c>
      <c r="C2207" s="2" t="s">
        <v>6</v>
      </c>
      <c r="D2207" s="2" t="s">
        <v>6</v>
      </c>
      <c r="E2207" s="3">
        <v>2000</v>
      </c>
      <c r="F2207" t="str">
        <f t="shared" si="172"/>
        <v>overhead</v>
      </c>
      <c r="G2207" s="7" t="s">
        <v>6</v>
      </c>
      <c r="H2207">
        <f t="shared" si="174"/>
        <v>2024</v>
      </c>
      <c r="I2207">
        <f t="shared" si="175"/>
        <v>11</v>
      </c>
      <c r="J2207">
        <f t="shared" si="176"/>
        <v>74.97</v>
      </c>
    </row>
    <row r="2208" spans="1:10" ht="12.5" x14ac:dyDescent="0.25">
      <c r="A2208" s="1">
        <v>45598</v>
      </c>
      <c r="B2208" s="2" t="s">
        <v>7</v>
      </c>
      <c r="C2208" s="3">
        <v>5.99</v>
      </c>
      <c r="D2208" s="3">
        <v>40</v>
      </c>
      <c r="E2208" s="3">
        <v>239.60000000000002</v>
      </c>
      <c r="F2208" t="str">
        <f t="shared" si="172"/>
        <v>cogs</v>
      </c>
      <c r="G2208" s="7" t="str">
        <f t="shared" si="173"/>
        <v>product 1</v>
      </c>
      <c r="H2208">
        <f t="shared" si="174"/>
        <v>2024</v>
      </c>
      <c r="I2208">
        <f t="shared" si="175"/>
        <v>11</v>
      </c>
      <c r="J2208">
        <f t="shared" si="176"/>
        <v>2822.7400000000002</v>
      </c>
    </row>
    <row r="2209" spans="1:10" ht="12.5" x14ac:dyDescent="0.25">
      <c r="A2209" s="1">
        <v>45598</v>
      </c>
      <c r="B2209" s="2" t="s">
        <v>8</v>
      </c>
      <c r="C2209" s="3">
        <v>16.989999999999998</v>
      </c>
      <c r="D2209" s="3">
        <v>5</v>
      </c>
      <c r="E2209" s="3">
        <v>84.949999999999989</v>
      </c>
      <c r="F2209" t="str">
        <f t="shared" si="172"/>
        <v>cogs</v>
      </c>
      <c r="G2209" s="7" t="str">
        <f t="shared" si="173"/>
        <v>product 2</v>
      </c>
      <c r="H2209">
        <f t="shared" si="174"/>
        <v>2024</v>
      </c>
      <c r="I2209">
        <f t="shared" si="175"/>
        <v>11</v>
      </c>
      <c r="J2209">
        <f t="shared" si="176"/>
        <v>-353.41</v>
      </c>
    </row>
    <row r="2210" spans="1:10" ht="12.5" x14ac:dyDescent="0.25">
      <c r="A2210" s="1">
        <v>45598</v>
      </c>
      <c r="B2210" s="2" t="s">
        <v>9</v>
      </c>
      <c r="C2210" s="3">
        <v>8.49</v>
      </c>
      <c r="D2210" s="3">
        <v>77</v>
      </c>
      <c r="E2210" s="3">
        <v>653.73</v>
      </c>
      <c r="F2210" t="str">
        <f t="shared" si="172"/>
        <v>cogs</v>
      </c>
      <c r="G2210" s="7" t="str">
        <f t="shared" si="173"/>
        <v>product 3</v>
      </c>
      <c r="H2210">
        <f t="shared" si="174"/>
        <v>2024</v>
      </c>
      <c r="I2210">
        <f t="shared" si="175"/>
        <v>11</v>
      </c>
      <c r="J2210">
        <f t="shared" si="176"/>
        <v>-101.94</v>
      </c>
    </row>
    <row r="2211" spans="1:10" ht="12.5" x14ac:dyDescent="0.25">
      <c r="A2211" s="1">
        <v>45598</v>
      </c>
      <c r="B2211" s="2" t="s">
        <v>10</v>
      </c>
      <c r="C2211" s="2" t="s">
        <v>6</v>
      </c>
      <c r="D2211" s="2" t="s">
        <v>6</v>
      </c>
      <c r="E2211" s="3">
        <v>100.03</v>
      </c>
      <c r="F2211" t="str">
        <f t="shared" si="172"/>
        <v>marketing</v>
      </c>
      <c r="G2211" s="7" t="s">
        <v>6</v>
      </c>
      <c r="H2211">
        <f t="shared" si="174"/>
        <v>2024</v>
      </c>
      <c r="I2211">
        <f t="shared" si="175"/>
        <v>11</v>
      </c>
      <c r="J2211">
        <f t="shared" si="176"/>
        <v>-1018.8000000000001</v>
      </c>
    </row>
    <row r="2212" spans="1:10" ht="12.5" x14ac:dyDescent="0.25">
      <c r="A2212" s="1">
        <v>45598</v>
      </c>
      <c r="B2212" s="2" t="s">
        <v>11</v>
      </c>
      <c r="C2212" s="3">
        <v>9.99</v>
      </c>
      <c r="D2212" s="3">
        <v>40</v>
      </c>
      <c r="E2212" s="3">
        <v>399.6</v>
      </c>
      <c r="F2212" t="str">
        <f t="shared" si="172"/>
        <v>net sales</v>
      </c>
      <c r="G2212" s="7" t="str">
        <f t="shared" si="173"/>
        <v>product 1</v>
      </c>
      <c r="H2212">
        <f t="shared" si="174"/>
        <v>2024</v>
      </c>
      <c r="I2212">
        <f t="shared" si="175"/>
        <v>11</v>
      </c>
      <c r="J2212">
        <f t="shared" si="176"/>
        <v>-99.91</v>
      </c>
    </row>
    <row r="2213" spans="1:10" ht="12.5" x14ac:dyDescent="0.25">
      <c r="A2213" s="1">
        <v>45598</v>
      </c>
      <c r="B2213" s="2" t="s">
        <v>12</v>
      </c>
      <c r="C2213" s="3">
        <v>24.99</v>
      </c>
      <c r="D2213" s="3">
        <v>5</v>
      </c>
      <c r="E2213" s="3">
        <v>124.94999999999999</v>
      </c>
      <c r="F2213" t="str">
        <f t="shared" si="172"/>
        <v>net sales</v>
      </c>
      <c r="G2213" s="7" t="str">
        <f t="shared" si="173"/>
        <v>product 2</v>
      </c>
      <c r="H2213">
        <f t="shared" si="174"/>
        <v>2024</v>
      </c>
      <c r="I2213">
        <f t="shared" si="175"/>
        <v>11</v>
      </c>
      <c r="J2213">
        <f t="shared" si="176"/>
        <v>589.41</v>
      </c>
    </row>
    <row r="2214" spans="1:10" ht="12.5" x14ac:dyDescent="0.25">
      <c r="A2214" s="1">
        <v>45598</v>
      </c>
      <c r="B2214" s="2" t="s">
        <v>13</v>
      </c>
      <c r="C2214" s="3">
        <v>12.49</v>
      </c>
      <c r="D2214" s="3">
        <v>77</v>
      </c>
      <c r="E2214" s="3">
        <v>961.73</v>
      </c>
      <c r="F2214" t="str">
        <f t="shared" si="172"/>
        <v>net sales</v>
      </c>
      <c r="G2214" s="7" t="str">
        <f t="shared" si="173"/>
        <v>product 3</v>
      </c>
      <c r="H2214">
        <f t="shared" si="174"/>
        <v>2024</v>
      </c>
      <c r="I2214">
        <f t="shared" si="175"/>
        <v>11</v>
      </c>
      <c r="J2214">
        <f t="shared" si="176"/>
        <v>149.94</v>
      </c>
    </row>
    <row r="2215" spans="1:10" ht="12.5" x14ac:dyDescent="0.25">
      <c r="A2215" s="1">
        <v>45599</v>
      </c>
      <c r="B2215" s="2" t="s">
        <v>7</v>
      </c>
      <c r="C2215" s="3">
        <v>5.99</v>
      </c>
      <c r="D2215" s="3">
        <v>7</v>
      </c>
      <c r="E2215" s="3">
        <v>41.93</v>
      </c>
      <c r="F2215" t="str">
        <f t="shared" si="172"/>
        <v>cogs</v>
      </c>
      <c r="G2215" s="7" t="str">
        <f t="shared" si="173"/>
        <v>product 1</v>
      </c>
      <c r="H2215">
        <f t="shared" si="174"/>
        <v>2024</v>
      </c>
      <c r="I2215">
        <f t="shared" si="175"/>
        <v>11</v>
      </c>
      <c r="J2215">
        <f t="shared" si="176"/>
        <v>1498.8</v>
      </c>
    </row>
    <row r="2216" spans="1:10" ht="12.5" x14ac:dyDescent="0.25">
      <c r="A2216" s="1">
        <v>45599</v>
      </c>
      <c r="B2216" s="2" t="s">
        <v>8</v>
      </c>
      <c r="C2216" s="3">
        <v>16.989999999999998</v>
      </c>
      <c r="D2216" s="3">
        <v>1</v>
      </c>
      <c r="E2216" s="3">
        <v>16.989999999999998</v>
      </c>
      <c r="F2216" t="str">
        <f t="shared" si="172"/>
        <v>cogs</v>
      </c>
      <c r="G2216" s="7" t="str">
        <f t="shared" si="173"/>
        <v>product 2</v>
      </c>
      <c r="H2216">
        <f t="shared" si="174"/>
        <v>2024</v>
      </c>
      <c r="I2216">
        <f t="shared" si="175"/>
        <v>11</v>
      </c>
      <c r="J2216">
        <f t="shared" si="176"/>
        <v>-545.09</v>
      </c>
    </row>
    <row r="2217" spans="1:10" ht="12.5" x14ac:dyDescent="0.25">
      <c r="A2217" s="1">
        <v>45599</v>
      </c>
      <c r="B2217" s="2" t="s">
        <v>9</v>
      </c>
      <c r="C2217" s="3">
        <v>8.49</v>
      </c>
      <c r="D2217" s="3">
        <v>75</v>
      </c>
      <c r="E2217" s="3">
        <v>636.75</v>
      </c>
      <c r="F2217" t="str">
        <f t="shared" si="172"/>
        <v>cogs</v>
      </c>
      <c r="G2217" s="7" t="str">
        <f t="shared" si="173"/>
        <v>product 3</v>
      </c>
      <c r="H2217">
        <f t="shared" si="174"/>
        <v>2024</v>
      </c>
      <c r="I2217">
        <f t="shared" si="175"/>
        <v>11</v>
      </c>
      <c r="J2217">
        <f t="shared" si="176"/>
        <v>-16.989999999999998</v>
      </c>
    </row>
    <row r="2218" spans="1:10" ht="12.5" x14ac:dyDescent="0.25">
      <c r="A2218" s="1">
        <v>45599</v>
      </c>
      <c r="B2218" s="2" t="s">
        <v>10</v>
      </c>
      <c r="C2218" s="2" t="s">
        <v>6</v>
      </c>
      <c r="D2218" s="2" t="s">
        <v>6</v>
      </c>
      <c r="E2218" s="3">
        <v>99.94</v>
      </c>
      <c r="F2218" t="str">
        <f t="shared" si="172"/>
        <v>marketing</v>
      </c>
      <c r="G2218" s="7" t="s">
        <v>6</v>
      </c>
      <c r="H2218">
        <f t="shared" si="174"/>
        <v>2024</v>
      </c>
      <c r="I2218">
        <f t="shared" si="175"/>
        <v>11</v>
      </c>
      <c r="J2218">
        <f t="shared" si="176"/>
        <v>-1392.3600000000001</v>
      </c>
    </row>
    <row r="2219" spans="1:10" ht="12.5" x14ac:dyDescent="0.25">
      <c r="A2219" s="1">
        <v>45599</v>
      </c>
      <c r="B2219" s="2" t="s">
        <v>11</v>
      </c>
      <c r="C2219" s="3">
        <v>9.99</v>
      </c>
      <c r="D2219" s="3">
        <v>7</v>
      </c>
      <c r="E2219" s="3">
        <v>69.930000000000007</v>
      </c>
      <c r="F2219" t="str">
        <f t="shared" si="172"/>
        <v>net sales</v>
      </c>
      <c r="G2219" s="7" t="str">
        <f t="shared" si="173"/>
        <v>product 1</v>
      </c>
      <c r="H2219">
        <f t="shared" si="174"/>
        <v>2024</v>
      </c>
      <c r="I2219">
        <f t="shared" si="175"/>
        <v>11</v>
      </c>
      <c r="J2219">
        <f t="shared" si="176"/>
        <v>-100.09</v>
      </c>
    </row>
    <row r="2220" spans="1:10" ht="12.5" x14ac:dyDescent="0.25">
      <c r="A2220" s="1">
        <v>45599</v>
      </c>
      <c r="B2220" s="2" t="s">
        <v>12</v>
      </c>
      <c r="C2220" s="3">
        <v>24.99</v>
      </c>
      <c r="D2220" s="3">
        <v>1</v>
      </c>
      <c r="E2220" s="3">
        <v>24.99</v>
      </c>
      <c r="F2220" t="str">
        <f t="shared" si="172"/>
        <v>net sales</v>
      </c>
      <c r="G2220" s="7" t="str">
        <f t="shared" si="173"/>
        <v>product 2</v>
      </c>
      <c r="H2220">
        <f t="shared" si="174"/>
        <v>2024</v>
      </c>
      <c r="I2220">
        <f t="shared" si="175"/>
        <v>11</v>
      </c>
      <c r="J2220">
        <f t="shared" si="176"/>
        <v>909.09</v>
      </c>
    </row>
    <row r="2221" spans="1:10" ht="12.5" x14ac:dyDescent="0.25">
      <c r="A2221" s="1">
        <v>45599</v>
      </c>
      <c r="B2221" s="2" t="s">
        <v>13</v>
      </c>
      <c r="C2221" s="3">
        <v>12.49</v>
      </c>
      <c r="D2221" s="3">
        <v>75</v>
      </c>
      <c r="E2221" s="3">
        <v>936.75</v>
      </c>
      <c r="F2221" t="str">
        <f t="shared" si="172"/>
        <v>net sales</v>
      </c>
      <c r="G2221" s="7" t="str">
        <f t="shared" si="173"/>
        <v>product 3</v>
      </c>
      <c r="H2221">
        <f t="shared" si="174"/>
        <v>2024</v>
      </c>
      <c r="I2221">
        <f t="shared" si="175"/>
        <v>11</v>
      </c>
      <c r="J2221">
        <f t="shared" si="176"/>
        <v>24.99</v>
      </c>
    </row>
    <row r="2222" spans="1:10" ht="12.5" x14ac:dyDescent="0.25">
      <c r="A2222" s="1">
        <v>45600</v>
      </c>
      <c r="B2222" s="2" t="s">
        <v>7</v>
      </c>
      <c r="C2222" s="3">
        <v>5.99</v>
      </c>
      <c r="D2222" s="3">
        <v>20</v>
      </c>
      <c r="E2222" s="3">
        <v>119.80000000000001</v>
      </c>
      <c r="F2222" t="str">
        <f t="shared" si="172"/>
        <v>cogs</v>
      </c>
      <c r="G2222" s="7" t="str">
        <f t="shared" si="173"/>
        <v>product 1</v>
      </c>
      <c r="H2222">
        <f t="shared" si="174"/>
        <v>2024</v>
      </c>
      <c r="I2222">
        <f t="shared" si="175"/>
        <v>11</v>
      </c>
      <c r="J2222">
        <f t="shared" si="176"/>
        <v>2048.36</v>
      </c>
    </row>
    <row r="2223" spans="1:10" ht="12.5" x14ac:dyDescent="0.25">
      <c r="A2223" s="1">
        <v>45600</v>
      </c>
      <c r="B2223" s="2" t="s">
        <v>8</v>
      </c>
      <c r="C2223" s="3">
        <v>16.989999999999998</v>
      </c>
      <c r="D2223" s="3">
        <v>7</v>
      </c>
      <c r="E2223" s="3">
        <v>118.92999999999999</v>
      </c>
      <c r="F2223" t="str">
        <f t="shared" si="172"/>
        <v>cogs</v>
      </c>
      <c r="G2223" s="7" t="str">
        <f t="shared" si="173"/>
        <v>product 2</v>
      </c>
      <c r="H2223">
        <f t="shared" si="174"/>
        <v>2024</v>
      </c>
      <c r="I2223">
        <f t="shared" si="175"/>
        <v>11</v>
      </c>
      <c r="J2223">
        <f t="shared" si="176"/>
        <v>-539.1</v>
      </c>
    </row>
    <row r="2224" spans="1:10" ht="12.5" x14ac:dyDescent="0.25">
      <c r="A2224" s="1">
        <v>45600</v>
      </c>
      <c r="B2224" s="2" t="s">
        <v>9</v>
      </c>
      <c r="C2224" s="3">
        <v>8.49</v>
      </c>
      <c r="D2224" s="3">
        <v>181</v>
      </c>
      <c r="E2224" s="3">
        <v>1536.69</v>
      </c>
      <c r="F2224" t="str">
        <f t="shared" si="172"/>
        <v>cogs</v>
      </c>
      <c r="G2224" s="7" t="str">
        <f t="shared" si="173"/>
        <v>product 3</v>
      </c>
      <c r="H2224">
        <f t="shared" si="174"/>
        <v>2024</v>
      </c>
      <c r="I2224">
        <f t="shared" si="175"/>
        <v>11</v>
      </c>
      <c r="J2224">
        <f t="shared" si="176"/>
        <v>-135.91999999999999</v>
      </c>
    </row>
    <row r="2225" spans="1:10" ht="12.5" x14ac:dyDescent="0.25">
      <c r="A2225" s="1">
        <v>45600</v>
      </c>
      <c r="B2225" s="2" t="s">
        <v>10</v>
      </c>
      <c r="C2225" s="2" t="s">
        <v>6</v>
      </c>
      <c r="D2225" s="2" t="s">
        <v>6</v>
      </c>
      <c r="E2225" s="3">
        <v>99.92</v>
      </c>
      <c r="F2225" t="str">
        <f t="shared" si="172"/>
        <v>marketing</v>
      </c>
      <c r="G2225" s="7" t="s">
        <v>6</v>
      </c>
      <c r="H2225">
        <f t="shared" si="174"/>
        <v>2024</v>
      </c>
      <c r="I2225">
        <f t="shared" si="175"/>
        <v>11</v>
      </c>
      <c r="J2225">
        <f t="shared" si="176"/>
        <v>-1748.94</v>
      </c>
    </row>
    <row r="2226" spans="1:10" ht="12.5" x14ac:dyDescent="0.25">
      <c r="A2226" s="1">
        <v>45600</v>
      </c>
      <c r="B2226" s="2" t="s">
        <v>11</v>
      </c>
      <c r="C2226" s="3">
        <v>9.99</v>
      </c>
      <c r="D2226" s="3">
        <v>20</v>
      </c>
      <c r="E2226" s="3">
        <v>199.8</v>
      </c>
      <c r="F2226" t="str">
        <f t="shared" si="172"/>
        <v>net sales</v>
      </c>
      <c r="G2226" s="7" t="str">
        <f t="shared" si="173"/>
        <v>product 1</v>
      </c>
      <c r="H2226">
        <f t="shared" si="174"/>
        <v>2024</v>
      </c>
      <c r="I2226">
        <f t="shared" si="175"/>
        <v>11</v>
      </c>
      <c r="J2226">
        <f t="shared" si="176"/>
        <v>-100</v>
      </c>
    </row>
    <row r="2227" spans="1:10" ht="12.5" x14ac:dyDescent="0.25">
      <c r="A2227" s="1">
        <v>45600</v>
      </c>
      <c r="B2227" s="2" t="s">
        <v>12</v>
      </c>
      <c r="C2227" s="3">
        <v>24.99</v>
      </c>
      <c r="D2227" s="3">
        <v>7</v>
      </c>
      <c r="E2227" s="3">
        <v>174.92999999999998</v>
      </c>
      <c r="F2227" t="str">
        <f t="shared" si="172"/>
        <v>net sales</v>
      </c>
      <c r="G2227" s="7" t="str">
        <f t="shared" si="173"/>
        <v>product 2</v>
      </c>
      <c r="H2227">
        <f t="shared" si="174"/>
        <v>2024</v>
      </c>
      <c r="I2227">
        <f t="shared" si="175"/>
        <v>11</v>
      </c>
      <c r="J2227">
        <f t="shared" si="176"/>
        <v>899.1</v>
      </c>
    </row>
    <row r="2228" spans="1:10" ht="12.5" x14ac:dyDescent="0.25">
      <c r="A2228" s="1">
        <v>45600</v>
      </c>
      <c r="B2228" s="2" t="s">
        <v>13</v>
      </c>
      <c r="C2228" s="3">
        <v>12.49</v>
      </c>
      <c r="D2228" s="3">
        <v>181</v>
      </c>
      <c r="E2228" s="3">
        <v>2260.69</v>
      </c>
      <c r="F2228" t="str">
        <f t="shared" si="172"/>
        <v>net sales</v>
      </c>
      <c r="G2228" s="7" t="str">
        <f t="shared" si="173"/>
        <v>product 3</v>
      </c>
      <c r="H2228">
        <f t="shared" si="174"/>
        <v>2024</v>
      </c>
      <c r="I2228">
        <f t="shared" si="175"/>
        <v>11</v>
      </c>
      <c r="J2228">
        <f t="shared" si="176"/>
        <v>199.92</v>
      </c>
    </row>
    <row r="2229" spans="1:10" ht="12.5" x14ac:dyDescent="0.25">
      <c r="A2229" s="1">
        <v>45601</v>
      </c>
      <c r="B2229" s="2" t="s">
        <v>7</v>
      </c>
      <c r="C2229" s="3">
        <v>5.99</v>
      </c>
      <c r="D2229" s="3">
        <v>59</v>
      </c>
      <c r="E2229" s="3">
        <v>353.41</v>
      </c>
      <c r="F2229" t="str">
        <f t="shared" si="172"/>
        <v>cogs</v>
      </c>
      <c r="G2229" s="7" t="str">
        <f t="shared" si="173"/>
        <v>product 1</v>
      </c>
      <c r="H2229">
        <f t="shared" si="174"/>
        <v>2024</v>
      </c>
      <c r="I2229">
        <f t="shared" si="175"/>
        <v>11</v>
      </c>
      <c r="J2229">
        <f t="shared" si="176"/>
        <v>2572.94</v>
      </c>
    </row>
    <row r="2230" spans="1:10" ht="12.5" x14ac:dyDescent="0.25">
      <c r="A2230" s="1">
        <v>45601</v>
      </c>
      <c r="B2230" s="2" t="s">
        <v>8</v>
      </c>
      <c r="C2230" s="3">
        <v>16.989999999999998</v>
      </c>
      <c r="D2230" s="3">
        <v>4</v>
      </c>
      <c r="E2230" s="3">
        <v>67.959999999999994</v>
      </c>
      <c r="F2230" t="str">
        <f t="shared" si="172"/>
        <v>cogs</v>
      </c>
      <c r="G2230" s="7" t="str">
        <f t="shared" si="173"/>
        <v>product 2</v>
      </c>
      <c r="H2230">
        <f t="shared" si="174"/>
        <v>2024</v>
      </c>
      <c r="I2230">
        <f t="shared" si="175"/>
        <v>11</v>
      </c>
      <c r="J2230">
        <f t="shared" si="176"/>
        <v>-23.96</v>
      </c>
    </row>
    <row r="2231" spans="1:10" ht="12.5" x14ac:dyDescent="0.25">
      <c r="A2231" s="1">
        <v>45601</v>
      </c>
      <c r="B2231" s="2" t="s">
        <v>9</v>
      </c>
      <c r="C2231" s="3">
        <v>8.49</v>
      </c>
      <c r="D2231" s="3">
        <v>98</v>
      </c>
      <c r="E2231" s="3">
        <v>832.02</v>
      </c>
      <c r="F2231" t="str">
        <f t="shared" si="172"/>
        <v>cogs</v>
      </c>
      <c r="G2231" s="7" t="str">
        <f t="shared" si="173"/>
        <v>product 3</v>
      </c>
      <c r="H2231">
        <f t="shared" si="174"/>
        <v>2024</v>
      </c>
      <c r="I2231">
        <f t="shared" si="175"/>
        <v>11</v>
      </c>
      <c r="J2231">
        <f t="shared" si="176"/>
        <v>-16.989999999999998</v>
      </c>
    </row>
    <row r="2232" spans="1:10" ht="12.5" x14ac:dyDescent="0.25">
      <c r="A2232" s="1">
        <v>45601</v>
      </c>
      <c r="B2232" s="2" t="s">
        <v>10</v>
      </c>
      <c r="C2232" s="2" t="s">
        <v>6</v>
      </c>
      <c r="D2232" s="2" t="s">
        <v>6</v>
      </c>
      <c r="E2232" s="3">
        <v>100</v>
      </c>
      <c r="F2232" t="str">
        <f t="shared" si="172"/>
        <v>marketing</v>
      </c>
      <c r="G2232" s="7" t="s">
        <v>6</v>
      </c>
      <c r="H2232">
        <f t="shared" si="174"/>
        <v>2024</v>
      </c>
      <c r="I2232">
        <f t="shared" si="175"/>
        <v>11</v>
      </c>
      <c r="J2232">
        <f t="shared" si="176"/>
        <v>-984.84</v>
      </c>
    </row>
    <row r="2233" spans="1:10" ht="12.5" x14ac:dyDescent="0.25">
      <c r="A2233" s="1">
        <v>45601</v>
      </c>
      <c r="B2233" s="2" t="s">
        <v>11</v>
      </c>
      <c r="C2233" s="3">
        <v>9.99</v>
      </c>
      <c r="D2233" s="3">
        <v>59</v>
      </c>
      <c r="E2233" s="3">
        <v>589.41</v>
      </c>
      <c r="F2233" t="str">
        <f t="shared" si="172"/>
        <v>net sales</v>
      </c>
      <c r="G2233" s="7" t="str">
        <f t="shared" si="173"/>
        <v>product 1</v>
      </c>
      <c r="H2233">
        <f t="shared" si="174"/>
        <v>2024</v>
      </c>
      <c r="I2233">
        <f t="shared" si="175"/>
        <v>11</v>
      </c>
      <c r="J2233">
        <f t="shared" si="176"/>
        <v>-99.97</v>
      </c>
    </row>
    <row r="2234" spans="1:10" ht="12.5" x14ac:dyDescent="0.25">
      <c r="A2234" s="1">
        <v>45601</v>
      </c>
      <c r="B2234" s="2" t="s">
        <v>12</v>
      </c>
      <c r="C2234" s="3">
        <v>24.99</v>
      </c>
      <c r="D2234" s="3">
        <v>4</v>
      </c>
      <c r="E2234" s="3">
        <v>99.96</v>
      </c>
      <c r="F2234" t="str">
        <f t="shared" si="172"/>
        <v>net sales</v>
      </c>
      <c r="G2234" s="7" t="str">
        <f t="shared" si="173"/>
        <v>product 2</v>
      </c>
      <c r="H2234">
        <f t="shared" si="174"/>
        <v>2024</v>
      </c>
      <c r="I2234">
        <f t="shared" si="175"/>
        <v>11</v>
      </c>
      <c r="J2234">
        <f t="shared" si="176"/>
        <v>39.96</v>
      </c>
    </row>
    <row r="2235" spans="1:10" ht="12.5" x14ac:dyDescent="0.25">
      <c r="A2235" s="1">
        <v>45601</v>
      </c>
      <c r="B2235" s="2" t="s">
        <v>13</v>
      </c>
      <c r="C2235" s="3">
        <v>12.49</v>
      </c>
      <c r="D2235" s="3">
        <v>98</v>
      </c>
      <c r="E2235" s="3">
        <v>1224.02</v>
      </c>
      <c r="F2235" t="str">
        <f t="shared" si="172"/>
        <v>net sales</v>
      </c>
      <c r="G2235" s="7" t="str">
        <f t="shared" si="173"/>
        <v>product 3</v>
      </c>
      <c r="H2235">
        <f t="shared" si="174"/>
        <v>2024</v>
      </c>
      <c r="I2235">
        <f t="shared" si="175"/>
        <v>11</v>
      </c>
      <c r="J2235">
        <f t="shared" si="176"/>
        <v>24.99</v>
      </c>
    </row>
    <row r="2236" spans="1:10" ht="12.5" x14ac:dyDescent="0.25">
      <c r="A2236" s="1">
        <v>45602</v>
      </c>
      <c r="B2236" s="2" t="s">
        <v>7</v>
      </c>
      <c r="C2236" s="3">
        <v>5.99</v>
      </c>
      <c r="D2236" s="3">
        <v>81</v>
      </c>
      <c r="E2236" s="3">
        <v>485.19</v>
      </c>
      <c r="F2236" t="str">
        <f t="shared" si="172"/>
        <v>cogs</v>
      </c>
      <c r="G2236" s="7" t="str">
        <f t="shared" si="173"/>
        <v>product 1</v>
      </c>
      <c r="H2236">
        <f t="shared" si="174"/>
        <v>2024</v>
      </c>
      <c r="I2236">
        <f t="shared" si="175"/>
        <v>11</v>
      </c>
      <c r="J2236">
        <f t="shared" si="176"/>
        <v>1448.84</v>
      </c>
    </row>
    <row r="2237" spans="1:10" ht="12.5" x14ac:dyDescent="0.25">
      <c r="A2237" s="1">
        <v>45602</v>
      </c>
      <c r="B2237" s="2" t="s">
        <v>8</v>
      </c>
      <c r="C2237" s="3">
        <v>16.989999999999998</v>
      </c>
      <c r="D2237" s="3">
        <v>2</v>
      </c>
      <c r="E2237" s="3">
        <v>33.979999999999997</v>
      </c>
      <c r="F2237" t="str">
        <f t="shared" si="172"/>
        <v>cogs</v>
      </c>
      <c r="G2237" s="7" t="str">
        <f t="shared" si="173"/>
        <v>product 2</v>
      </c>
      <c r="H2237">
        <f t="shared" si="174"/>
        <v>2024</v>
      </c>
      <c r="I2237">
        <f t="shared" si="175"/>
        <v>11</v>
      </c>
      <c r="J2237">
        <f t="shared" si="176"/>
        <v>-347.42</v>
      </c>
    </row>
    <row r="2238" spans="1:10" ht="12.5" x14ac:dyDescent="0.25">
      <c r="A2238" s="1">
        <v>45602</v>
      </c>
      <c r="B2238" s="2" t="s">
        <v>9</v>
      </c>
      <c r="C2238" s="3">
        <v>8.49</v>
      </c>
      <c r="D2238" s="3">
        <v>55</v>
      </c>
      <c r="E2238" s="3">
        <v>466.95</v>
      </c>
      <c r="F2238" t="str">
        <f t="shared" si="172"/>
        <v>cogs</v>
      </c>
      <c r="G2238" s="7" t="str">
        <f t="shared" si="173"/>
        <v>product 3</v>
      </c>
      <c r="H2238">
        <f t="shared" si="174"/>
        <v>2024</v>
      </c>
      <c r="I2238">
        <f t="shared" si="175"/>
        <v>11</v>
      </c>
      <c r="J2238">
        <f t="shared" si="176"/>
        <v>-135.91999999999999</v>
      </c>
    </row>
    <row r="2239" spans="1:10" ht="12.5" x14ac:dyDescent="0.25">
      <c r="A2239" s="1">
        <v>45602</v>
      </c>
      <c r="B2239" s="2" t="s">
        <v>10</v>
      </c>
      <c r="C2239" s="2" t="s">
        <v>6</v>
      </c>
      <c r="D2239" s="2" t="s">
        <v>6</v>
      </c>
      <c r="E2239" s="3">
        <v>100.10000000000001</v>
      </c>
      <c r="F2239" t="str">
        <f t="shared" si="172"/>
        <v>marketing</v>
      </c>
      <c r="G2239" s="7" t="s">
        <v>6</v>
      </c>
      <c r="H2239">
        <f t="shared" si="174"/>
        <v>2024</v>
      </c>
      <c r="I2239">
        <f t="shared" si="175"/>
        <v>11</v>
      </c>
      <c r="J2239">
        <f t="shared" si="176"/>
        <v>-1681.02</v>
      </c>
    </row>
    <row r="2240" spans="1:10" ht="12.5" x14ac:dyDescent="0.25">
      <c r="A2240" s="1">
        <v>45602</v>
      </c>
      <c r="B2240" s="2" t="s">
        <v>11</v>
      </c>
      <c r="C2240" s="3">
        <v>9.99</v>
      </c>
      <c r="D2240" s="3">
        <v>81</v>
      </c>
      <c r="E2240" s="3">
        <v>809.19</v>
      </c>
      <c r="F2240" t="str">
        <f t="shared" si="172"/>
        <v>net sales</v>
      </c>
      <c r="G2240" s="7" t="str">
        <f t="shared" si="173"/>
        <v>product 1</v>
      </c>
      <c r="H2240">
        <f t="shared" si="174"/>
        <v>2024</v>
      </c>
      <c r="I2240">
        <f t="shared" si="175"/>
        <v>11</v>
      </c>
      <c r="J2240">
        <f t="shared" si="176"/>
        <v>-100.08</v>
      </c>
    </row>
    <row r="2241" spans="1:10" ht="12.5" x14ac:dyDescent="0.25">
      <c r="A2241" s="1">
        <v>45602</v>
      </c>
      <c r="B2241" s="2" t="s">
        <v>12</v>
      </c>
      <c r="C2241" s="3">
        <v>24.99</v>
      </c>
      <c r="D2241" s="3">
        <v>2</v>
      </c>
      <c r="E2241" s="3">
        <v>49.98</v>
      </c>
      <c r="F2241" t="str">
        <f t="shared" si="172"/>
        <v>net sales</v>
      </c>
      <c r="G2241" s="7" t="str">
        <f t="shared" si="173"/>
        <v>product 2</v>
      </c>
      <c r="H2241">
        <f t="shared" si="174"/>
        <v>2024</v>
      </c>
      <c r="I2241">
        <f t="shared" si="175"/>
        <v>11</v>
      </c>
      <c r="J2241">
        <f t="shared" si="176"/>
        <v>579.41999999999996</v>
      </c>
    </row>
    <row r="2242" spans="1:10" ht="12.5" x14ac:dyDescent="0.25">
      <c r="A2242" s="1">
        <v>45602</v>
      </c>
      <c r="B2242" s="2" t="s">
        <v>13</v>
      </c>
      <c r="C2242" s="3">
        <v>12.49</v>
      </c>
      <c r="D2242" s="3">
        <v>55</v>
      </c>
      <c r="E2242" s="3">
        <v>686.95</v>
      </c>
      <c r="F2242" t="str">
        <f t="shared" si="172"/>
        <v>net sales</v>
      </c>
      <c r="G2242" s="7" t="str">
        <f t="shared" si="173"/>
        <v>product 3</v>
      </c>
      <c r="H2242">
        <f t="shared" si="174"/>
        <v>2024</v>
      </c>
      <c r="I2242">
        <f t="shared" si="175"/>
        <v>11</v>
      </c>
      <c r="J2242">
        <f t="shared" si="176"/>
        <v>199.92</v>
      </c>
    </row>
    <row r="2243" spans="1:10" ht="12.5" x14ac:dyDescent="0.25">
      <c r="A2243" s="1">
        <v>45603</v>
      </c>
      <c r="B2243" s="2" t="s">
        <v>7</v>
      </c>
      <c r="C2243" s="3">
        <v>5.99</v>
      </c>
      <c r="D2243" s="3">
        <v>13</v>
      </c>
      <c r="E2243" s="3">
        <v>77.87</v>
      </c>
      <c r="F2243" t="str">
        <f t="shared" ref="F2243:F2306" si="177">IFERROR(LEFT(B2243,FIND(":",B2243)-1),B2243)</f>
        <v>cogs</v>
      </c>
      <c r="G2243" s="7" t="str">
        <f t="shared" ref="G2243:G2306" si="178">IFERROR(RIGHT(B2243,LEN(B2243)-FIND(":",B2243)),"")</f>
        <v>product 1</v>
      </c>
      <c r="H2243">
        <f t="shared" ref="H2243:H2306" si="179">YEAR(A2243)</f>
        <v>2024</v>
      </c>
      <c r="I2243">
        <f t="shared" ref="I2243:I2306" si="180">MONTH(A2243)</f>
        <v>11</v>
      </c>
      <c r="J2243">
        <f t="shared" si="176"/>
        <v>2473.02</v>
      </c>
    </row>
    <row r="2244" spans="1:10" ht="12.5" x14ac:dyDescent="0.25">
      <c r="A2244" s="1">
        <v>45603</v>
      </c>
      <c r="B2244" s="2" t="s">
        <v>8</v>
      </c>
      <c r="C2244" s="3">
        <v>16.989999999999998</v>
      </c>
      <c r="D2244" s="3">
        <v>6</v>
      </c>
      <c r="E2244" s="3">
        <v>101.94</v>
      </c>
      <c r="F2244" t="str">
        <f t="shared" si="177"/>
        <v>cogs</v>
      </c>
      <c r="G2244" s="7" t="str">
        <f t="shared" si="178"/>
        <v>product 2</v>
      </c>
      <c r="H2244">
        <f t="shared" si="179"/>
        <v>2024</v>
      </c>
      <c r="I2244">
        <f t="shared" si="180"/>
        <v>11</v>
      </c>
      <c r="J2244">
        <f t="shared" si="176"/>
        <v>-359.40000000000003</v>
      </c>
    </row>
    <row r="2245" spans="1:10" ht="12.5" x14ac:dyDescent="0.25">
      <c r="A2245" s="1">
        <v>45603</v>
      </c>
      <c r="B2245" s="2" t="s">
        <v>9</v>
      </c>
      <c r="C2245" s="3">
        <v>8.49</v>
      </c>
      <c r="D2245" s="3">
        <v>168</v>
      </c>
      <c r="E2245" s="3">
        <v>1426.32</v>
      </c>
      <c r="F2245" t="str">
        <f t="shared" si="177"/>
        <v>cogs</v>
      </c>
      <c r="G2245" s="7" t="str">
        <f t="shared" si="178"/>
        <v>product 3</v>
      </c>
      <c r="H2245">
        <f t="shared" si="179"/>
        <v>2024</v>
      </c>
      <c r="I2245">
        <f t="shared" si="180"/>
        <v>11</v>
      </c>
      <c r="J2245">
        <f t="shared" si="176"/>
        <v>-50.97</v>
      </c>
    </row>
    <row r="2246" spans="1:10" ht="12.5" x14ac:dyDescent="0.25">
      <c r="A2246" s="1">
        <v>45603</v>
      </c>
      <c r="B2246" s="2" t="s">
        <v>10</v>
      </c>
      <c r="C2246" s="2" t="s">
        <v>6</v>
      </c>
      <c r="D2246" s="2" t="s">
        <v>6</v>
      </c>
      <c r="E2246" s="3">
        <v>99.98</v>
      </c>
      <c r="F2246" t="str">
        <f t="shared" si="177"/>
        <v>marketing</v>
      </c>
      <c r="G2246" s="7" t="s">
        <v>6</v>
      </c>
      <c r="H2246">
        <f t="shared" si="179"/>
        <v>2024</v>
      </c>
      <c r="I2246">
        <f t="shared" si="180"/>
        <v>11</v>
      </c>
      <c r="J2246">
        <f t="shared" si="176"/>
        <v>-882.96</v>
      </c>
    </row>
    <row r="2247" spans="1:10" ht="12.5" x14ac:dyDescent="0.25">
      <c r="A2247" s="1">
        <v>45603</v>
      </c>
      <c r="B2247" s="2" t="s">
        <v>11</v>
      </c>
      <c r="C2247" s="3">
        <v>9.99</v>
      </c>
      <c r="D2247" s="3">
        <v>13</v>
      </c>
      <c r="E2247" s="3">
        <v>129.87</v>
      </c>
      <c r="F2247" t="str">
        <f t="shared" si="177"/>
        <v>net sales</v>
      </c>
      <c r="G2247" s="7" t="str">
        <f t="shared" si="178"/>
        <v>product 1</v>
      </c>
      <c r="H2247">
        <f t="shared" si="179"/>
        <v>2024</v>
      </c>
      <c r="I2247">
        <f t="shared" si="180"/>
        <v>11</v>
      </c>
      <c r="J2247">
        <f t="shared" si="176"/>
        <v>-100.04</v>
      </c>
    </row>
    <row r="2248" spans="1:10" ht="12.5" x14ac:dyDescent="0.25">
      <c r="A2248" s="1">
        <v>45603</v>
      </c>
      <c r="B2248" s="2" t="s">
        <v>12</v>
      </c>
      <c r="C2248" s="3">
        <v>24.99</v>
      </c>
      <c r="D2248" s="3">
        <v>6</v>
      </c>
      <c r="E2248" s="3">
        <v>149.94</v>
      </c>
      <c r="F2248" t="str">
        <f t="shared" si="177"/>
        <v>net sales</v>
      </c>
      <c r="G2248" s="7" t="str">
        <f t="shared" si="178"/>
        <v>product 2</v>
      </c>
      <c r="H2248">
        <f t="shared" si="179"/>
        <v>2024</v>
      </c>
      <c r="I2248">
        <f t="shared" si="180"/>
        <v>11</v>
      </c>
      <c r="J2248">
        <f t="shared" si="176"/>
        <v>599.4</v>
      </c>
    </row>
    <row r="2249" spans="1:10" ht="12.5" x14ac:dyDescent="0.25">
      <c r="A2249" s="1">
        <v>45603</v>
      </c>
      <c r="B2249" s="2" t="s">
        <v>13</v>
      </c>
      <c r="C2249" s="3">
        <v>12.49</v>
      </c>
      <c r="D2249" s="3">
        <v>168</v>
      </c>
      <c r="E2249" s="3">
        <v>2098.3200000000002</v>
      </c>
      <c r="F2249" t="str">
        <f t="shared" si="177"/>
        <v>net sales</v>
      </c>
      <c r="G2249" s="7" t="str">
        <f t="shared" si="178"/>
        <v>product 3</v>
      </c>
      <c r="H2249">
        <f t="shared" si="179"/>
        <v>2024</v>
      </c>
      <c r="I2249">
        <f t="shared" si="180"/>
        <v>11</v>
      </c>
      <c r="J2249">
        <f t="shared" si="176"/>
        <v>74.97</v>
      </c>
    </row>
    <row r="2250" spans="1:10" ht="12.5" x14ac:dyDescent="0.25">
      <c r="A2250" s="1">
        <v>45604</v>
      </c>
      <c r="B2250" s="2" t="s">
        <v>7</v>
      </c>
      <c r="C2250" s="3">
        <v>5.99</v>
      </c>
      <c r="D2250" s="3">
        <v>18</v>
      </c>
      <c r="E2250" s="3">
        <v>107.82000000000001</v>
      </c>
      <c r="F2250" t="str">
        <f t="shared" si="177"/>
        <v>cogs</v>
      </c>
      <c r="G2250" s="7" t="str">
        <f t="shared" si="178"/>
        <v>product 1</v>
      </c>
      <c r="H2250">
        <f t="shared" si="179"/>
        <v>2024</v>
      </c>
      <c r="I2250">
        <f t="shared" si="180"/>
        <v>11</v>
      </c>
      <c r="J2250">
        <f t="shared" si="176"/>
        <v>1298.96</v>
      </c>
    </row>
    <row r="2251" spans="1:10" ht="12.5" x14ac:dyDescent="0.25">
      <c r="A2251" s="1">
        <v>45604</v>
      </c>
      <c r="B2251" s="2" t="s">
        <v>8</v>
      </c>
      <c r="C2251" s="3">
        <v>16.989999999999998</v>
      </c>
      <c r="D2251" s="3">
        <v>2</v>
      </c>
      <c r="E2251" s="3">
        <v>33.979999999999997</v>
      </c>
      <c r="F2251" t="str">
        <f t="shared" si="177"/>
        <v>cogs</v>
      </c>
      <c r="G2251" s="7" t="str">
        <f t="shared" si="178"/>
        <v>product 2</v>
      </c>
      <c r="H2251">
        <f t="shared" si="179"/>
        <v>2024</v>
      </c>
      <c r="I2251">
        <f t="shared" si="180"/>
        <v>11</v>
      </c>
      <c r="J2251">
        <f t="shared" si="176"/>
        <v>-113.81</v>
      </c>
    </row>
    <row r="2252" spans="1:10" ht="12.5" x14ac:dyDescent="0.25">
      <c r="A2252" s="1">
        <v>45604</v>
      </c>
      <c r="B2252" s="2" t="s">
        <v>9</v>
      </c>
      <c r="C2252" s="3">
        <v>8.49</v>
      </c>
      <c r="D2252" s="3">
        <v>125</v>
      </c>
      <c r="E2252" s="3">
        <v>1061.25</v>
      </c>
      <c r="F2252" t="str">
        <f t="shared" si="177"/>
        <v>cogs</v>
      </c>
      <c r="G2252" s="7" t="str">
        <f t="shared" si="178"/>
        <v>product 3</v>
      </c>
      <c r="H2252">
        <f t="shared" si="179"/>
        <v>2024</v>
      </c>
      <c r="I2252">
        <f t="shared" si="180"/>
        <v>11</v>
      </c>
      <c r="J2252">
        <f t="shared" si="176"/>
        <v>-118.92999999999999</v>
      </c>
    </row>
    <row r="2253" spans="1:10" ht="12.5" x14ac:dyDescent="0.25">
      <c r="A2253" s="1">
        <v>45604</v>
      </c>
      <c r="B2253" s="2" t="s">
        <v>10</v>
      </c>
      <c r="C2253" s="2" t="s">
        <v>6</v>
      </c>
      <c r="D2253" s="2" t="s">
        <v>6</v>
      </c>
      <c r="E2253" s="3">
        <v>100.01</v>
      </c>
      <c r="F2253" t="str">
        <f t="shared" si="177"/>
        <v>marketing</v>
      </c>
      <c r="G2253" s="7" t="s">
        <v>6</v>
      </c>
      <c r="H2253">
        <f t="shared" si="179"/>
        <v>2024</v>
      </c>
      <c r="I2253">
        <f t="shared" si="180"/>
        <v>11</v>
      </c>
      <c r="J2253">
        <f t="shared" si="176"/>
        <v>-390.54</v>
      </c>
    </row>
    <row r="2254" spans="1:10" ht="12.5" x14ac:dyDescent="0.25">
      <c r="A2254" s="1">
        <v>45604</v>
      </c>
      <c r="B2254" s="2" t="s">
        <v>11</v>
      </c>
      <c r="C2254" s="3">
        <v>9.99</v>
      </c>
      <c r="D2254" s="3">
        <v>18</v>
      </c>
      <c r="E2254" s="3">
        <v>179.82</v>
      </c>
      <c r="F2254" t="str">
        <f t="shared" si="177"/>
        <v>net sales</v>
      </c>
      <c r="G2254" s="7" t="str">
        <f t="shared" si="178"/>
        <v>product 1</v>
      </c>
      <c r="H2254">
        <f t="shared" si="179"/>
        <v>2024</v>
      </c>
      <c r="I2254">
        <f t="shared" si="180"/>
        <v>11</v>
      </c>
      <c r="J2254">
        <f t="shared" si="176"/>
        <v>-99.97</v>
      </c>
    </row>
    <row r="2255" spans="1:10" ht="12.5" x14ac:dyDescent="0.25">
      <c r="A2255" s="1">
        <v>45604</v>
      </c>
      <c r="B2255" s="2" t="s">
        <v>12</v>
      </c>
      <c r="C2255" s="3">
        <v>24.99</v>
      </c>
      <c r="D2255" s="3">
        <v>2</v>
      </c>
      <c r="E2255" s="3">
        <v>49.98</v>
      </c>
      <c r="F2255" t="str">
        <f t="shared" si="177"/>
        <v>net sales</v>
      </c>
      <c r="G2255" s="7" t="str">
        <f t="shared" si="178"/>
        <v>product 2</v>
      </c>
      <c r="H2255">
        <f t="shared" si="179"/>
        <v>2024</v>
      </c>
      <c r="I2255">
        <f t="shared" si="180"/>
        <v>11</v>
      </c>
      <c r="J2255">
        <f t="shared" si="176"/>
        <v>189.81</v>
      </c>
    </row>
    <row r="2256" spans="1:10" ht="12.5" x14ac:dyDescent="0.25">
      <c r="A2256" s="1">
        <v>45604</v>
      </c>
      <c r="B2256" s="2" t="s">
        <v>13</v>
      </c>
      <c r="C2256" s="3">
        <v>12.49</v>
      </c>
      <c r="D2256" s="3">
        <v>125</v>
      </c>
      <c r="E2256" s="3">
        <v>1561.25</v>
      </c>
      <c r="F2256" t="str">
        <f t="shared" si="177"/>
        <v>net sales</v>
      </c>
      <c r="G2256" s="7" t="str">
        <f t="shared" si="178"/>
        <v>product 3</v>
      </c>
      <c r="H2256">
        <f t="shared" si="179"/>
        <v>2024</v>
      </c>
      <c r="I2256">
        <f t="shared" si="180"/>
        <v>11</v>
      </c>
      <c r="J2256">
        <f t="shared" si="176"/>
        <v>174.92999999999998</v>
      </c>
    </row>
    <row r="2257" spans="1:10" ht="12.5" x14ac:dyDescent="0.25">
      <c r="A2257" s="1">
        <v>45604</v>
      </c>
      <c r="B2257" s="2" t="s">
        <v>15</v>
      </c>
      <c r="C2257" s="2" t="s">
        <v>6</v>
      </c>
      <c r="D2257" s="2" t="s">
        <v>6</v>
      </c>
      <c r="E2257" s="3">
        <v>1200</v>
      </c>
      <c r="F2257" t="str">
        <f t="shared" si="177"/>
        <v>payroll</v>
      </c>
      <c r="G2257" s="7" t="s">
        <v>6</v>
      </c>
      <c r="H2257">
        <f t="shared" si="179"/>
        <v>2024</v>
      </c>
      <c r="I2257">
        <f t="shared" si="180"/>
        <v>11</v>
      </c>
      <c r="J2257">
        <f t="shared" si="176"/>
        <v>574.54</v>
      </c>
    </row>
    <row r="2258" spans="1:10" ht="12.5" x14ac:dyDescent="0.25">
      <c r="A2258" s="1">
        <v>45605</v>
      </c>
      <c r="B2258" s="2" t="s">
        <v>7</v>
      </c>
      <c r="C2258" s="3">
        <v>5.99</v>
      </c>
      <c r="D2258" s="3">
        <v>95</v>
      </c>
      <c r="E2258" s="3">
        <v>569.05000000000007</v>
      </c>
      <c r="F2258" t="str">
        <f t="shared" si="177"/>
        <v>cogs</v>
      </c>
      <c r="G2258" s="7" t="str">
        <f t="shared" si="178"/>
        <v>product 1</v>
      </c>
      <c r="H2258">
        <f t="shared" si="179"/>
        <v>2024</v>
      </c>
      <c r="I2258">
        <f t="shared" si="180"/>
        <v>11</v>
      </c>
      <c r="J2258">
        <f t="shared" si="176"/>
        <v>-65.89</v>
      </c>
    </row>
    <row r="2259" spans="1:10" ht="12.5" x14ac:dyDescent="0.25">
      <c r="A2259" s="1">
        <v>45605</v>
      </c>
      <c r="B2259" s="2" t="s">
        <v>8</v>
      </c>
      <c r="C2259" s="3">
        <v>16.989999999999998</v>
      </c>
      <c r="D2259" s="3">
        <v>3</v>
      </c>
      <c r="E2259" s="3">
        <v>50.97</v>
      </c>
      <c r="F2259" t="str">
        <f t="shared" si="177"/>
        <v>cogs</v>
      </c>
      <c r="G2259" s="7" t="str">
        <f t="shared" si="178"/>
        <v>product 2</v>
      </c>
      <c r="H2259">
        <f t="shared" si="179"/>
        <v>2024</v>
      </c>
      <c r="I2259">
        <f t="shared" si="180"/>
        <v>11</v>
      </c>
      <c r="J2259">
        <f t="shared" si="176"/>
        <v>-101.94</v>
      </c>
    </row>
    <row r="2260" spans="1:10" ht="12.5" x14ac:dyDescent="0.25">
      <c r="A2260" s="1">
        <v>45605</v>
      </c>
      <c r="B2260" s="2" t="s">
        <v>9</v>
      </c>
      <c r="C2260" s="3">
        <v>8.49</v>
      </c>
      <c r="D2260" s="3">
        <v>0</v>
      </c>
      <c r="E2260" s="2">
        <f>C2260*D2260</f>
        <v>0</v>
      </c>
      <c r="F2260" t="str">
        <f t="shared" si="177"/>
        <v>cogs</v>
      </c>
      <c r="G2260" s="7" t="str">
        <f t="shared" si="178"/>
        <v>product 3</v>
      </c>
      <c r="H2260">
        <f t="shared" si="179"/>
        <v>2024</v>
      </c>
      <c r="I2260">
        <f t="shared" si="180"/>
        <v>11</v>
      </c>
      <c r="J2260">
        <f t="shared" si="176"/>
        <v>-33.96</v>
      </c>
    </row>
    <row r="2261" spans="1:10" ht="12.5" x14ac:dyDescent="0.25">
      <c r="A2261" s="1">
        <v>45605</v>
      </c>
      <c r="B2261" s="2" t="s">
        <v>10</v>
      </c>
      <c r="C2261" s="2" t="s">
        <v>6</v>
      </c>
      <c r="D2261" s="2" t="s">
        <v>6</v>
      </c>
      <c r="E2261" s="3">
        <v>99.94</v>
      </c>
      <c r="F2261" t="str">
        <f t="shared" si="177"/>
        <v>marketing</v>
      </c>
      <c r="G2261" s="7" t="s">
        <v>6</v>
      </c>
      <c r="H2261">
        <f t="shared" si="179"/>
        <v>2024</v>
      </c>
      <c r="I2261">
        <f t="shared" si="180"/>
        <v>11</v>
      </c>
      <c r="J2261">
        <f t="shared" si="176"/>
        <v>-100.07000000000001</v>
      </c>
    </row>
    <row r="2262" spans="1:10" ht="12.5" x14ac:dyDescent="0.25">
      <c r="A2262" s="1">
        <v>45605</v>
      </c>
      <c r="B2262" s="2" t="s">
        <v>11</v>
      </c>
      <c r="C2262" s="3">
        <v>9.99</v>
      </c>
      <c r="D2262" s="3">
        <v>95</v>
      </c>
      <c r="E2262" s="3">
        <v>949.05000000000007</v>
      </c>
      <c r="F2262" t="str">
        <f t="shared" si="177"/>
        <v>net sales</v>
      </c>
      <c r="G2262" s="7" t="str">
        <f t="shared" si="178"/>
        <v>product 1</v>
      </c>
      <c r="H2262">
        <f t="shared" si="179"/>
        <v>2024</v>
      </c>
      <c r="I2262">
        <f t="shared" si="180"/>
        <v>11</v>
      </c>
      <c r="J2262">
        <f t="shared" si="176"/>
        <v>109.89</v>
      </c>
    </row>
    <row r="2263" spans="1:10" ht="12.5" x14ac:dyDescent="0.25">
      <c r="A2263" s="1">
        <v>45605</v>
      </c>
      <c r="B2263" s="2" t="s">
        <v>12</v>
      </c>
      <c r="C2263" s="3">
        <v>24.99</v>
      </c>
      <c r="D2263" s="3">
        <v>3</v>
      </c>
      <c r="E2263" s="3">
        <v>74.97</v>
      </c>
      <c r="F2263" t="str">
        <f t="shared" si="177"/>
        <v>net sales</v>
      </c>
      <c r="G2263" s="7" t="str">
        <f t="shared" si="178"/>
        <v>product 2</v>
      </c>
      <c r="H2263">
        <f t="shared" si="179"/>
        <v>2024</v>
      </c>
      <c r="I2263">
        <f t="shared" si="180"/>
        <v>11</v>
      </c>
      <c r="J2263">
        <f t="shared" si="176"/>
        <v>149.94</v>
      </c>
    </row>
    <row r="2264" spans="1:10" ht="12.5" x14ac:dyDescent="0.25">
      <c r="A2264" s="1">
        <v>45605</v>
      </c>
      <c r="B2264" s="2" t="s">
        <v>13</v>
      </c>
      <c r="C2264" s="3">
        <v>12.49</v>
      </c>
      <c r="D2264" s="3">
        <v>0</v>
      </c>
      <c r="E2264" s="2">
        <f>C2264*D2264</f>
        <v>0</v>
      </c>
      <c r="F2264" t="str">
        <f t="shared" si="177"/>
        <v>net sales</v>
      </c>
      <c r="G2264" s="7" t="str">
        <f t="shared" si="178"/>
        <v>product 3</v>
      </c>
      <c r="H2264">
        <f t="shared" si="179"/>
        <v>2024</v>
      </c>
      <c r="I2264">
        <f t="shared" si="180"/>
        <v>11</v>
      </c>
      <c r="J2264">
        <f t="shared" si="176"/>
        <v>49.96</v>
      </c>
    </row>
    <row r="2265" spans="1:10" ht="12.5" x14ac:dyDescent="0.25">
      <c r="A2265" s="1">
        <v>45606</v>
      </c>
      <c r="B2265" s="2" t="s">
        <v>7</v>
      </c>
      <c r="C2265" s="3">
        <v>5.99</v>
      </c>
      <c r="D2265" s="3">
        <v>23</v>
      </c>
      <c r="E2265" s="3">
        <v>137.77000000000001</v>
      </c>
      <c r="F2265" t="str">
        <f t="shared" si="177"/>
        <v>cogs</v>
      </c>
      <c r="G2265" s="7" t="str">
        <f t="shared" si="178"/>
        <v>product 1</v>
      </c>
      <c r="H2265">
        <f t="shared" si="179"/>
        <v>2024</v>
      </c>
      <c r="I2265">
        <f t="shared" si="180"/>
        <v>11</v>
      </c>
      <c r="J2265">
        <f t="shared" si="176"/>
        <v>-179.70000000000002</v>
      </c>
    </row>
    <row r="2266" spans="1:10" ht="12.5" x14ac:dyDescent="0.25">
      <c r="A2266" s="1">
        <v>45606</v>
      </c>
      <c r="B2266" s="2" t="s">
        <v>8</v>
      </c>
      <c r="C2266" s="3">
        <v>16.989999999999998</v>
      </c>
      <c r="D2266" s="3">
        <v>6</v>
      </c>
      <c r="E2266" s="3">
        <v>101.94</v>
      </c>
      <c r="F2266" t="str">
        <f t="shared" si="177"/>
        <v>cogs</v>
      </c>
      <c r="G2266" s="7" t="str">
        <f t="shared" si="178"/>
        <v>product 2</v>
      </c>
      <c r="H2266">
        <f t="shared" si="179"/>
        <v>2024</v>
      </c>
      <c r="I2266">
        <f t="shared" si="180"/>
        <v>11</v>
      </c>
      <c r="J2266">
        <f t="shared" si="176"/>
        <v>-152.91</v>
      </c>
    </row>
    <row r="2267" spans="1:10" ht="12.5" x14ac:dyDescent="0.25">
      <c r="A2267" s="1">
        <v>45606</v>
      </c>
      <c r="B2267" s="2" t="s">
        <v>9</v>
      </c>
      <c r="C2267" s="3">
        <v>8.49</v>
      </c>
      <c r="D2267" s="3">
        <v>21</v>
      </c>
      <c r="E2267" s="3">
        <v>178.29</v>
      </c>
      <c r="F2267" t="str">
        <f t="shared" si="177"/>
        <v>cogs</v>
      </c>
      <c r="G2267" s="7" t="str">
        <f t="shared" si="178"/>
        <v>product 3</v>
      </c>
      <c r="H2267">
        <f t="shared" si="179"/>
        <v>2024</v>
      </c>
      <c r="I2267">
        <f t="shared" si="180"/>
        <v>11</v>
      </c>
      <c r="J2267">
        <f t="shared" si="176"/>
        <v>-1409.3400000000001</v>
      </c>
    </row>
    <row r="2268" spans="1:10" ht="12.5" x14ac:dyDescent="0.25">
      <c r="A2268" s="1">
        <v>45606</v>
      </c>
      <c r="B2268" s="2" t="s">
        <v>10</v>
      </c>
      <c r="C2268" s="2" t="s">
        <v>6</v>
      </c>
      <c r="D2268" s="2" t="s">
        <v>6</v>
      </c>
      <c r="E2268" s="3">
        <v>99.92</v>
      </c>
      <c r="F2268" t="str">
        <f t="shared" si="177"/>
        <v>marketing</v>
      </c>
      <c r="G2268" s="7" t="s">
        <v>6</v>
      </c>
      <c r="H2268">
        <f t="shared" si="179"/>
        <v>2024</v>
      </c>
      <c r="I2268">
        <f t="shared" si="180"/>
        <v>11</v>
      </c>
      <c r="J2268">
        <f t="shared" ref="J2268:J2331" si="181">IF(F2051="net sales",E2051,
IF(F2051="cogs",-E2051,
IF(OR(F2051="marketing",F2051="overhead",F2051="payroll",F2051="interest","amortization"),-E2051,0)))</f>
        <v>-100.04</v>
      </c>
    </row>
    <row r="2269" spans="1:10" ht="12.5" x14ac:dyDescent="0.25">
      <c r="A2269" s="1">
        <v>45606</v>
      </c>
      <c r="B2269" s="2" t="s">
        <v>11</v>
      </c>
      <c r="C2269" s="3">
        <v>9.99</v>
      </c>
      <c r="D2269" s="3">
        <v>23</v>
      </c>
      <c r="E2269" s="3">
        <v>229.77</v>
      </c>
      <c r="F2269" t="str">
        <f t="shared" si="177"/>
        <v>net sales</v>
      </c>
      <c r="G2269" s="7" t="str">
        <f t="shared" si="178"/>
        <v>product 1</v>
      </c>
      <c r="H2269">
        <f t="shared" si="179"/>
        <v>2024</v>
      </c>
      <c r="I2269">
        <f t="shared" si="180"/>
        <v>11</v>
      </c>
      <c r="J2269">
        <f t="shared" si="181"/>
        <v>299.7</v>
      </c>
    </row>
    <row r="2270" spans="1:10" ht="12.5" x14ac:dyDescent="0.25">
      <c r="A2270" s="1">
        <v>45606</v>
      </c>
      <c r="B2270" s="2" t="s">
        <v>12</v>
      </c>
      <c r="C2270" s="3">
        <v>24.99</v>
      </c>
      <c r="D2270" s="3">
        <v>6</v>
      </c>
      <c r="E2270" s="3">
        <v>149.94</v>
      </c>
      <c r="F2270" t="str">
        <f t="shared" si="177"/>
        <v>net sales</v>
      </c>
      <c r="G2270" s="7" t="str">
        <f t="shared" si="178"/>
        <v>product 2</v>
      </c>
      <c r="H2270">
        <f t="shared" si="179"/>
        <v>2024</v>
      </c>
      <c r="I2270">
        <f t="shared" si="180"/>
        <v>11</v>
      </c>
      <c r="J2270">
        <f t="shared" si="181"/>
        <v>224.91</v>
      </c>
    </row>
    <row r="2271" spans="1:10" ht="12.5" x14ac:dyDescent="0.25">
      <c r="A2271" s="1">
        <v>45606</v>
      </c>
      <c r="B2271" s="2" t="s">
        <v>13</v>
      </c>
      <c r="C2271" s="3">
        <v>12.49</v>
      </c>
      <c r="D2271" s="3">
        <v>21</v>
      </c>
      <c r="E2271" s="3">
        <v>262.29000000000002</v>
      </c>
      <c r="F2271" t="str">
        <f t="shared" si="177"/>
        <v>net sales</v>
      </c>
      <c r="G2271" s="7" t="str">
        <f t="shared" si="178"/>
        <v>product 3</v>
      </c>
      <c r="H2271">
        <f t="shared" si="179"/>
        <v>2024</v>
      </c>
      <c r="I2271">
        <f t="shared" si="180"/>
        <v>11</v>
      </c>
      <c r="J2271">
        <f t="shared" si="181"/>
        <v>2073.34</v>
      </c>
    </row>
    <row r="2272" spans="1:10" ht="12.5" x14ac:dyDescent="0.25">
      <c r="A2272" s="1">
        <v>45607</v>
      </c>
      <c r="B2272" s="2" t="s">
        <v>7</v>
      </c>
      <c r="C2272" s="3">
        <v>5.99</v>
      </c>
      <c r="D2272" s="3">
        <v>31</v>
      </c>
      <c r="E2272" s="3">
        <v>185.69</v>
      </c>
      <c r="F2272" t="str">
        <f t="shared" si="177"/>
        <v>cogs</v>
      </c>
      <c r="G2272" s="7" t="str">
        <f t="shared" si="178"/>
        <v>product 1</v>
      </c>
      <c r="H2272">
        <f t="shared" si="179"/>
        <v>2024</v>
      </c>
      <c r="I2272">
        <f t="shared" si="180"/>
        <v>11</v>
      </c>
      <c r="J2272">
        <f t="shared" si="181"/>
        <v>-1200</v>
      </c>
    </row>
    <row r="2273" spans="1:10" ht="12.5" x14ac:dyDescent="0.25">
      <c r="A2273" s="1">
        <v>45607</v>
      </c>
      <c r="B2273" s="2" t="s">
        <v>8</v>
      </c>
      <c r="C2273" s="3">
        <v>16.989999999999998</v>
      </c>
      <c r="D2273" s="3">
        <v>9</v>
      </c>
      <c r="E2273" s="3">
        <v>152.91</v>
      </c>
      <c r="F2273" t="str">
        <f t="shared" si="177"/>
        <v>cogs</v>
      </c>
      <c r="G2273" s="7" t="str">
        <f t="shared" si="178"/>
        <v>product 2</v>
      </c>
      <c r="H2273">
        <f t="shared" si="179"/>
        <v>2024</v>
      </c>
      <c r="I2273">
        <f t="shared" si="180"/>
        <v>11</v>
      </c>
      <c r="J2273">
        <f t="shared" si="181"/>
        <v>-107.82000000000001</v>
      </c>
    </row>
    <row r="2274" spans="1:10" ht="12.5" x14ac:dyDescent="0.25">
      <c r="A2274" s="1">
        <v>45607</v>
      </c>
      <c r="B2274" s="2" t="s">
        <v>9</v>
      </c>
      <c r="C2274" s="3">
        <v>8.49</v>
      </c>
      <c r="D2274" s="3">
        <v>189</v>
      </c>
      <c r="E2274" s="3">
        <v>1604.6100000000001</v>
      </c>
      <c r="F2274" t="str">
        <f t="shared" si="177"/>
        <v>cogs</v>
      </c>
      <c r="G2274" s="7" t="str">
        <f t="shared" si="178"/>
        <v>product 3</v>
      </c>
      <c r="H2274">
        <f t="shared" si="179"/>
        <v>2024</v>
      </c>
      <c r="I2274">
        <f t="shared" si="180"/>
        <v>11</v>
      </c>
      <c r="J2274">
        <f t="shared" si="181"/>
        <v>-101.94</v>
      </c>
    </row>
    <row r="2275" spans="1:10" ht="12.5" x14ac:dyDescent="0.25">
      <c r="A2275" s="1">
        <v>45607</v>
      </c>
      <c r="B2275" s="2" t="s">
        <v>10</v>
      </c>
      <c r="C2275" s="2" t="s">
        <v>6</v>
      </c>
      <c r="D2275" s="2" t="s">
        <v>6</v>
      </c>
      <c r="E2275" s="3">
        <v>100.01</v>
      </c>
      <c r="F2275" t="str">
        <f t="shared" si="177"/>
        <v>marketing</v>
      </c>
      <c r="G2275" s="7" t="s">
        <v>6</v>
      </c>
      <c r="H2275">
        <f t="shared" si="179"/>
        <v>2024</v>
      </c>
      <c r="I2275">
        <f t="shared" si="180"/>
        <v>11</v>
      </c>
      <c r="J2275">
        <f t="shared" si="181"/>
        <v>-1672.53</v>
      </c>
    </row>
    <row r="2276" spans="1:10" ht="12.5" x14ac:dyDescent="0.25">
      <c r="A2276" s="1">
        <v>45607</v>
      </c>
      <c r="B2276" s="2" t="s">
        <v>11</v>
      </c>
      <c r="C2276" s="3">
        <v>9.99</v>
      </c>
      <c r="D2276" s="3">
        <v>31</v>
      </c>
      <c r="E2276" s="3">
        <v>309.69</v>
      </c>
      <c r="F2276" t="str">
        <f t="shared" si="177"/>
        <v>net sales</v>
      </c>
      <c r="G2276" s="7" t="str">
        <f t="shared" si="178"/>
        <v>product 1</v>
      </c>
      <c r="H2276">
        <f t="shared" si="179"/>
        <v>2024</v>
      </c>
      <c r="I2276">
        <f t="shared" si="180"/>
        <v>11</v>
      </c>
      <c r="J2276">
        <f t="shared" si="181"/>
        <v>-100.04</v>
      </c>
    </row>
    <row r="2277" spans="1:10" ht="12.5" x14ac:dyDescent="0.25">
      <c r="A2277" s="1">
        <v>45607</v>
      </c>
      <c r="B2277" s="2" t="s">
        <v>12</v>
      </c>
      <c r="C2277" s="3">
        <v>24.99</v>
      </c>
      <c r="D2277" s="3">
        <v>9</v>
      </c>
      <c r="E2277" s="3">
        <v>224.91</v>
      </c>
      <c r="F2277" t="str">
        <f t="shared" si="177"/>
        <v>net sales</v>
      </c>
      <c r="G2277" s="7" t="str">
        <f t="shared" si="178"/>
        <v>product 2</v>
      </c>
      <c r="H2277">
        <f t="shared" si="179"/>
        <v>2024</v>
      </c>
      <c r="I2277">
        <f t="shared" si="180"/>
        <v>11</v>
      </c>
      <c r="J2277">
        <f t="shared" si="181"/>
        <v>179.82</v>
      </c>
    </row>
    <row r="2278" spans="1:10" ht="12.5" x14ac:dyDescent="0.25">
      <c r="A2278" s="1">
        <v>45607</v>
      </c>
      <c r="B2278" s="2" t="s">
        <v>13</v>
      </c>
      <c r="C2278" s="3">
        <v>12.49</v>
      </c>
      <c r="D2278" s="3">
        <v>189</v>
      </c>
      <c r="E2278" s="3">
        <v>2360.61</v>
      </c>
      <c r="F2278" t="str">
        <f t="shared" si="177"/>
        <v>net sales</v>
      </c>
      <c r="G2278" s="7" t="str">
        <f t="shared" si="178"/>
        <v>product 3</v>
      </c>
      <c r="H2278">
        <f t="shared" si="179"/>
        <v>2024</v>
      </c>
      <c r="I2278">
        <f t="shared" si="180"/>
        <v>11</v>
      </c>
      <c r="J2278">
        <f t="shared" si="181"/>
        <v>149.94</v>
      </c>
    </row>
    <row r="2279" spans="1:10" ht="12.5" x14ac:dyDescent="0.25">
      <c r="A2279" s="1">
        <v>45608</v>
      </c>
      <c r="B2279" s="2" t="s">
        <v>7</v>
      </c>
      <c r="C2279" s="3">
        <v>5.99</v>
      </c>
      <c r="D2279" s="3">
        <v>60</v>
      </c>
      <c r="E2279" s="3">
        <v>359.40000000000003</v>
      </c>
      <c r="F2279" t="str">
        <f t="shared" si="177"/>
        <v>cogs</v>
      </c>
      <c r="G2279" s="7" t="str">
        <f t="shared" si="178"/>
        <v>product 1</v>
      </c>
      <c r="H2279">
        <f t="shared" si="179"/>
        <v>2024</v>
      </c>
      <c r="I2279">
        <f t="shared" si="180"/>
        <v>11</v>
      </c>
      <c r="J2279">
        <f t="shared" si="181"/>
        <v>2460.5300000000002</v>
      </c>
    </row>
    <row r="2280" spans="1:10" ht="12.5" x14ac:dyDescent="0.25">
      <c r="A2280" s="1">
        <v>45608</v>
      </c>
      <c r="B2280" s="2" t="s">
        <v>8</v>
      </c>
      <c r="C2280" s="3">
        <v>16.989999999999998</v>
      </c>
      <c r="D2280" s="3">
        <v>4</v>
      </c>
      <c r="E2280" s="3">
        <v>67.959999999999994</v>
      </c>
      <c r="F2280" t="str">
        <f t="shared" si="177"/>
        <v>cogs</v>
      </c>
      <c r="G2280" s="7" t="str">
        <f t="shared" si="178"/>
        <v>product 2</v>
      </c>
      <c r="H2280">
        <f t="shared" si="179"/>
        <v>2024</v>
      </c>
      <c r="I2280">
        <f t="shared" si="180"/>
        <v>11</v>
      </c>
      <c r="J2280">
        <f t="shared" si="181"/>
        <v>-365.39</v>
      </c>
    </row>
    <row r="2281" spans="1:10" ht="12.5" x14ac:dyDescent="0.25">
      <c r="A2281" s="1">
        <v>45608</v>
      </c>
      <c r="B2281" s="2" t="s">
        <v>9</v>
      </c>
      <c r="C2281" s="3">
        <v>8.49</v>
      </c>
      <c r="D2281" s="3">
        <v>202</v>
      </c>
      <c r="E2281" s="3">
        <v>1714.98</v>
      </c>
      <c r="F2281" t="str">
        <f t="shared" si="177"/>
        <v>cogs</v>
      </c>
      <c r="G2281" s="7" t="str">
        <f t="shared" si="178"/>
        <v>product 3</v>
      </c>
      <c r="H2281">
        <f t="shared" si="179"/>
        <v>2024</v>
      </c>
      <c r="I2281">
        <f t="shared" si="180"/>
        <v>11</v>
      </c>
      <c r="J2281">
        <f t="shared" si="181"/>
        <v>-50.97</v>
      </c>
    </row>
    <row r="2282" spans="1:10" ht="12.5" x14ac:dyDescent="0.25">
      <c r="A2282" s="1">
        <v>45608</v>
      </c>
      <c r="B2282" s="2" t="s">
        <v>10</v>
      </c>
      <c r="C2282" s="2" t="s">
        <v>6</v>
      </c>
      <c r="D2282" s="2" t="s">
        <v>6</v>
      </c>
      <c r="E2282" s="3">
        <v>100.01</v>
      </c>
      <c r="F2282" t="str">
        <f t="shared" si="177"/>
        <v>marketing</v>
      </c>
      <c r="G2282" s="7" t="s">
        <v>6</v>
      </c>
      <c r="H2282">
        <f t="shared" si="179"/>
        <v>2024</v>
      </c>
      <c r="I2282">
        <f t="shared" si="180"/>
        <v>11</v>
      </c>
      <c r="J2282">
        <f t="shared" si="181"/>
        <v>-1349.91</v>
      </c>
    </row>
    <row r="2283" spans="1:10" ht="12.5" x14ac:dyDescent="0.25">
      <c r="A2283" s="1">
        <v>45608</v>
      </c>
      <c r="B2283" s="2" t="s">
        <v>11</v>
      </c>
      <c r="C2283" s="3">
        <v>9.99</v>
      </c>
      <c r="D2283" s="3">
        <v>60</v>
      </c>
      <c r="E2283" s="3">
        <v>599.4</v>
      </c>
      <c r="F2283" t="str">
        <f t="shared" si="177"/>
        <v>net sales</v>
      </c>
      <c r="G2283" s="7" t="str">
        <f t="shared" si="178"/>
        <v>product 1</v>
      </c>
      <c r="H2283">
        <f t="shared" si="179"/>
        <v>2024</v>
      </c>
      <c r="I2283">
        <f t="shared" si="180"/>
        <v>11</v>
      </c>
      <c r="J2283">
        <f t="shared" si="181"/>
        <v>-100.05</v>
      </c>
    </row>
    <row r="2284" spans="1:10" ht="12.5" x14ac:dyDescent="0.25">
      <c r="A2284" s="1">
        <v>45608</v>
      </c>
      <c r="B2284" s="2" t="s">
        <v>12</v>
      </c>
      <c r="C2284" s="3">
        <v>24.99</v>
      </c>
      <c r="D2284" s="3">
        <v>4</v>
      </c>
      <c r="E2284" s="3">
        <v>99.96</v>
      </c>
      <c r="F2284" t="str">
        <f t="shared" si="177"/>
        <v>net sales</v>
      </c>
      <c r="G2284" s="7" t="str">
        <f t="shared" si="178"/>
        <v>product 2</v>
      </c>
      <c r="H2284">
        <f t="shared" si="179"/>
        <v>2024</v>
      </c>
      <c r="I2284">
        <f t="shared" si="180"/>
        <v>11</v>
      </c>
      <c r="J2284">
        <f t="shared" si="181"/>
        <v>609.39</v>
      </c>
    </row>
    <row r="2285" spans="1:10" ht="12.5" x14ac:dyDescent="0.25">
      <c r="A2285" s="1">
        <v>45608</v>
      </c>
      <c r="B2285" s="2" t="s">
        <v>13</v>
      </c>
      <c r="C2285" s="3">
        <v>12.49</v>
      </c>
      <c r="D2285" s="3">
        <v>202</v>
      </c>
      <c r="E2285" s="3">
        <v>2522.98</v>
      </c>
      <c r="F2285" t="str">
        <f t="shared" si="177"/>
        <v>net sales</v>
      </c>
      <c r="G2285" s="7" t="str">
        <f t="shared" si="178"/>
        <v>product 3</v>
      </c>
      <c r="H2285">
        <f t="shared" si="179"/>
        <v>2024</v>
      </c>
      <c r="I2285">
        <f t="shared" si="180"/>
        <v>11</v>
      </c>
      <c r="J2285">
        <f t="shared" si="181"/>
        <v>74.97</v>
      </c>
    </row>
    <row r="2286" spans="1:10" ht="12.5" x14ac:dyDescent="0.25">
      <c r="A2286" s="1">
        <v>45609</v>
      </c>
      <c r="B2286" s="2" t="s">
        <v>7</v>
      </c>
      <c r="C2286" s="3">
        <v>5.99</v>
      </c>
      <c r="D2286" s="3">
        <v>33</v>
      </c>
      <c r="E2286" s="3">
        <v>197.67000000000002</v>
      </c>
      <c r="F2286" t="str">
        <f t="shared" si="177"/>
        <v>cogs</v>
      </c>
      <c r="G2286" s="7" t="str">
        <f t="shared" si="178"/>
        <v>product 1</v>
      </c>
      <c r="H2286">
        <f t="shared" si="179"/>
        <v>2024</v>
      </c>
      <c r="I2286">
        <f t="shared" si="180"/>
        <v>11</v>
      </c>
      <c r="J2286">
        <f t="shared" si="181"/>
        <v>1985.91</v>
      </c>
    </row>
    <row r="2287" spans="1:10" ht="12.5" x14ac:dyDescent="0.25">
      <c r="A2287" s="1">
        <v>45609</v>
      </c>
      <c r="B2287" s="2" t="s">
        <v>8</v>
      </c>
      <c r="C2287" s="3">
        <v>16.989999999999998</v>
      </c>
      <c r="D2287" s="3">
        <v>9</v>
      </c>
      <c r="E2287" s="3">
        <v>152.91</v>
      </c>
      <c r="F2287" t="str">
        <f t="shared" si="177"/>
        <v>cogs</v>
      </c>
      <c r="G2287" s="7" t="str">
        <f t="shared" si="178"/>
        <v>product 2</v>
      </c>
      <c r="H2287">
        <f t="shared" si="179"/>
        <v>2024</v>
      </c>
      <c r="I2287">
        <f t="shared" si="180"/>
        <v>11</v>
      </c>
      <c r="J2287">
        <f t="shared" si="181"/>
        <v>-515.14</v>
      </c>
    </row>
    <row r="2288" spans="1:10" ht="12.5" x14ac:dyDescent="0.25">
      <c r="A2288" s="1">
        <v>45609</v>
      </c>
      <c r="B2288" s="2" t="s">
        <v>9</v>
      </c>
      <c r="C2288" s="3">
        <v>8.49</v>
      </c>
      <c r="D2288" s="3">
        <v>36</v>
      </c>
      <c r="E2288" s="3">
        <v>305.64</v>
      </c>
      <c r="F2288" t="str">
        <f t="shared" si="177"/>
        <v>cogs</v>
      </c>
      <c r="G2288" s="7" t="str">
        <f t="shared" si="178"/>
        <v>product 3</v>
      </c>
      <c r="H2288">
        <f t="shared" si="179"/>
        <v>2024</v>
      </c>
      <c r="I2288">
        <f t="shared" si="180"/>
        <v>11</v>
      </c>
      <c r="J2288">
        <f t="shared" si="181"/>
        <v>-169.89999999999998</v>
      </c>
    </row>
    <row r="2289" spans="1:10" ht="12.5" x14ac:dyDescent="0.25">
      <c r="A2289" s="1">
        <v>45609</v>
      </c>
      <c r="B2289" s="2" t="s">
        <v>10</v>
      </c>
      <c r="C2289" s="2" t="s">
        <v>6</v>
      </c>
      <c r="D2289" s="2" t="s">
        <v>6</v>
      </c>
      <c r="E2289" s="3">
        <v>99.94</v>
      </c>
      <c r="F2289" t="str">
        <f t="shared" si="177"/>
        <v>marketing</v>
      </c>
      <c r="G2289" s="7" t="s">
        <v>6</v>
      </c>
      <c r="H2289">
        <f t="shared" si="179"/>
        <v>2024</v>
      </c>
      <c r="I2289">
        <f t="shared" si="180"/>
        <v>11</v>
      </c>
      <c r="J2289">
        <f t="shared" si="181"/>
        <v>-798.06000000000006</v>
      </c>
    </row>
    <row r="2290" spans="1:10" ht="12.5" x14ac:dyDescent="0.25">
      <c r="A2290" s="1">
        <v>45609</v>
      </c>
      <c r="B2290" s="2" t="s">
        <v>11</v>
      </c>
      <c r="C2290" s="3">
        <v>9.99</v>
      </c>
      <c r="D2290" s="3">
        <v>33</v>
      </c>
      <c r="E2290" s="3">
        <v>329.67</v>
      </c>
      <c r="F2290" t="str">
        <f t="shared" si="177"/>
        <v>net sales</v>
      </c>
      <c r="G2290" s="7" t="str">
        <f t="shared" si="178"/>
        <v>product 1</v>
      </c>
      <c r="H2290">
        <f t="shared" si="179"/>
        <v>2024</v>
      </c>
      <c r="I2290">
        <f t="shared" si="180"/>
        <v>11</v>
      </c>
      <c r="J2290">
        <f t="shared" si="181"/>
        <v>-100.08</v>
      </c>
    </row>
    <row r="2291" spans="1:10" ht="12.5" x14ac:dyDescent="0.25">
      <c r="A2291" s="1">
        <v>45609</v>
      </c>
      <c r="B2291" s="2" t="s">
        <v>12</v>
      </c>
      <c r="C2291" s="3">
        <v>24.99</v>
      </c>
      <c r="D2291" s="3">
        <v>9</v>
      </c>
      <c r="E2291" s="3">
        <v>224.91</v>
      </c>
      <c r="F2291" t="str">
        <f t="shared" si="177"/>
        <v>net sales</v>
      </c>
      <c r="G2291" s="7" t="str">
        <f t="shared" si="178"/>
        <v>product 2</v>
      </c>
      <c r="H2291">
        <f t="shared" si="179"/>
        <v>2024</v>
      </c>
      <c r="I2291">
        <f t="shared" si="180"/>
        <v>11</v>
      </c>
      <c r="J2291">
        <f t="shared" si="181"/>
        <v>859.14</v>
      </c>
    </row>
    <row r="2292" spans="1:10" ht="12.5" x14ac:dyDescent="0.25">
      <c r="A2292" s="1">
        <v>45609</v>
      </c>
      <c r="B2292" s="2" t="s">
        <v>13</v>
      </c>
      <c r="C2292" s="3">
        <v>12.49</v>
      </c>
      <c r="D2292" s="3">
        <v>36</v>
      </c>
      <c r="E2292" s="3">
        <v>449.64</v>
      </c>
      <c r="F2292" t="str">
        <f t="shared" si="177"/>
        <v>net sales</v>
      </c>
      <c r="G2292" s="7" t="str">
        <f t="shared" si="178"/>
        <v>product 3</v>
      </c>
      <c r="H2292">
        <f t="shared" si="179"/>
        <v>2024</v>
      </c>
      <c r="I2292">
        <f t="shared" si="180"/>
        <v>11</v>
      </c>
      <c r="J2292">
        <f t="shared" si="181"/>
        <v>249.89999999999998</v>
      </c>
    </row>
    <row r="2293" spans="1:10" ht="12.5" x14ac:dyDescent="0.25">
      <c r="A2293" s="1">
        <v>45610</v>
      </c>
      <c r="B2293" s="2" t="s">
        <v>7</v>
      </c>
      <c r="C2293" s="3">
        <v>5.99</v>
      </c>
      <c r="D2293" s="3">
        <v>46</v>
      </c>
      <c r="E2293" s="3">
        <v>275.54000000000002</v>
      </c>
      <c r="F2293" t="str">
        <f t="shared" si="177"/>
        <v>cogs</v>
      </c>
      <c r="G2293" s="7" t="str">
        <f t="shared" si="178"/>
        <v>product 1</v>
      </c>
      <c r="H2293">
        <f t="shared" si="179"/>
        <v>2024</v>
      </c>
      <c r="I2293">
        <f t="shared" si="180"/>
        <v>11</v>
      </c>
      <c r="J2293">
        <f t="shared" si="181"/>
        <v>1174.06</v>
      </c>
    </row>
    <row r="2294" spans="1:10" ht="12.5" x14ac:dyDescent="0.25">
      <c r="A2294" s="1">
        <v>45610</v>
      </c>
      <c r="B2294" s="2" t="s">
        <v>8</v>
      </c>
      <c r="C2294" s="3">
        <v>16.989999999999998</v>
      </c>
      <c r="D2294" s="3">
        <v>3</v>
      </c>
      <c r="E2294" s="3">
        <v>50.97</v>
      </c>
      <c r="F2294" t="str">
        <f t="shared" si="177"/>
        <v>cogs</v>
      </c>
      <c r="G2294" s="7" t="str">
        <f t="shared" si="178"/>
        <v>product 2</v>
      </c>
      <c r="H2294">
        <f t="shared" si="179"/>
        <v>2024</v>
      </c>
      <c r="I2294">
        <f t="shared" si="180"/>
        <v>11</v>
      </c>
      <c r="J2294">
        <f t="shared" si="181"/>
        <v>-575.04</v>
      </c>
    </row>
    <row r="2295" spans="1:10" ht="12.5" x14ac:dyDescent="0.25">
      <c r="A2295" s="1">
        <v>45610</v>
      </c>
      <c r="B2295" s="2" t="s">
        <v>9</v>
      </c>
      <c r="C2295" s="3">
        <v>8.49</v>
      </c>
      <c r="D2295" s="3">
        <v>0</v>
      </c>
      <c r="E2295" s="2">
        <f>C2295*D2295</f>
        <v>0</v>
      </c>
      <c r="F2295" t="str">
        <f t="shared" si="177"/>
        <v>cogs</v>
      </c>
      <c r="G2295" s="7" t="str">
        <f t="shared" si="178"/>
        <v>product 3</v>
      </c>
      <c r="H2295">
        <f t="shared" si="179"/>
        <v>2024</v>
      </c>
      <c r="I2295">
        <f t="shared" si="180"/>
        <v>11</v>
      </c>
      <c r="J2295">
        <f t="shared" si="181"/>
        <v>0</v>
      </c>
    </row>
    <row r="2296" spans="1:10" ht="12.5" x14ac:dyDescent="0.25">
      <c r="A2296" s="1">
        <v>45610</v>
      </c>
      <c r="B2296" s="2" t="s">
        <v>10</v>
      </c>
      <c r="C2296" s="2" t="s">
        <v>6</v>
      </c>
      <c r="D2296" s="2" t="s">
        <v>6</v>
      </c>
      <c r="E2296" s="3">
        <v>100.10000000000001</v>
      </c>
      <c r="F2296" t="str">
        <f t="shared" si="177"/>
        <v>marketing</v>
      </c>
      <c r="G2296" s="7" t="s">
        <v>6</v>
      </c>
      <c r="H2296">
        <f t="shared" si="179"/>
        <v>2024</v>
      </c>
      <c r="I2296">
        <f t="shared" si="180"/>
        <v>11</v>
      </c>
      <c r="J2296">
        <f t="shared" si="181"/>
        <v>-1825.3500000000001</v>
      </c>
    </row>
    <row r="2297" spans="1:10" ht="12.5" x14ac:dyDescent="0.25">
      <c r="A2297" s="1">
        <v>45610</v>
      </c>
      <c r="B2297" s="2" t="s">
        <v>11</v>
      </c>
      <c r="C2297" s="3">
        <v>9.99</v>
      </c>
      <c r="D2297" s="3">
        <v>46</v>
      </c>
      <c r="E2297" s="3">
        <v>459.54</v>
      </c>
      <c r="F2297" t="str">
        <f t="shared" si="177"/>
        <v>net sales</v>
      </c>
      <c r="G2297" s="7" t="str">
        <f t="shared" si="178"/>
        <v>product 1</v>
      </c>
      <c r="H2297">
        <f t="shared" si="179"/>
        <v>2024</v>
      </c>
      <c r="I2297">
        <f t="shared" si="180"/>
        <v>11</v>
      </c>
      <c r="J2297">
        <f t="shared" si="181"/>
        <v>-1252.1199999999999</v>
      </c>
    </row>
    <row r="2298" spans="1:10" ht="12.5" x14ac:dyDescent="0.25">
      <c r="A2298" s="1">
        <v>45610</v>
      </c>
      <c r="B2298" s="2" t="s">
        <v>12</v>
      </c>
      <c r="C2298" s="3">
        <v>24.99</v>
      </c>
      <c r="D2298" s="3">
        <v>3</v>
      </c>
      <c r="E2298" s="3">
        <v>74.97</v>
      </c>
      <c r="F2298" t="str">
        <f t="shared" si="177"/>
        <v>net sales</v>
      </c>
      <c r="G2298" s="7" t="str">
        <f t="shared" si="178"/>
        <v>product 2</v>
      </c>
      <c r="H2298">
        <f t="shared" si="179"/>
        <v>2024</v>
      </c>
      <c r="I2298">
        <f t="shared" si="180"/>
        <v>11</v>
      </c>
      <c r="J2298">
        <f t="shared" si="181"/>
        <v>-99.91</v>
      </c>
    </row>
    <row r="2299" spans="1:10" ht="12.5" x14ac:dyDescent="0.25">
      <c r="A2299" s="1">
        <v>45610</v>
      </c>
      <c r="B2299" s="2" t="s">
        <v>13</v>
      </c>
      <c r="C2299" s="3">
        <v>12.49</v>
      </c>
      <c r="D2299" s="3">
        <v>0</v>
      </c>
      <c r="E2299" s="2">
        <f>C2299*D2299</f>
        <v>0</v>
      </c>
      <c r="F2299" t="str">
        <f t="shared" si="177"/>
        <v>net sales</v>
      </c>
      <c r="G2299" s="7" t="str">
        <f t="shared" si="178"/>
        <v>product 3</v>
      </c>
      <c r="H2299">
        <f t="shared" si="179"/>
        <v>2024</v>
      </c>
      <c r="I2299">
        <f t="shared" si="180"/>
        <v>11</v>
      </c>
      <c r="J2299">
        <f t="shared" si="181"/>
        <v>959.04</v>
      </c>
    </row>
    <row r="2300" spans="1:10" ht="12.5" x14ac:dyDescent="0.25">
      <c r="A2300" s="1">
        <v>45611</v>
      </c>
      <c r="B2300" s="2" t="s">
        <v>7</v>
      </c>
      <c r="C2300" s="3">
        <v>5.99</v>
      </c>
      <c r="D2300" s="3">
        <v>89</v>
      </c>
      <c r="E2300" s="3">
        <v>533.11</v>
      </c>
      <c r="F2300" t="str">
        <f t="shared" si="177"/>
        <v>cogs</v>
      </c>
      <c r="G2300" s="7" t="str">
        <f t="shared" si="178"/>
        <v>product 1</v>
      </c>
      <c r="H2300">
        <f t="shared" si="179"/>
        <v>2024</v>
      </c>
      <c r="I2300">
        <f t="shared" si="180"/>
        <v>11</v>
      </c>
      <c r="J2300">
        <f t="shared" si="181"/>
        <v>0</v>
      </c>
    </row>
    <row r="2301" spans="1:10" ht="12.5" x14ac:dyDescent="0.25">
      <c r="A2301" s="1">
        <v>45611</v>
      </c>
      <c r="B2301" s="2" t="s">
        <v>8</v>
      </c>
      <c r="C2301" s="3">
        <v>16.989999999999998</v>
      </c>
      <c r="D2301" s="3">
        <v>6</v>
      </c>
      <c r="E2301" s="3">
        <v>101.94</v>
      </c>
      <c r="F2301" t="str">
        <f t="shared" si="177"/>
        <v>cogs</v>
      </c>
      <c r="G2301" s="7" t="str">
        <f t="shared" si="178"/>
        <v>product 2</v>
      </c>
      <c r="H2301">
        <f t="shared" si="179"/>
        <v>2024</v>
      </c>
      <c r="I2301">
        <f t="shared" si="180"/>
        <v>11</v>
      </c>
      <c r="J2301">
        <f t="shared" si="181"/>
        <v>2685.35</v>
      </c>
    </row>
    <row r="2302" spans="1:10" ht="12.5" x14ac:dyDescent="0.25">
      <c r="A2302" s="1">
        <v>45611</v>
      </c>
      <c r="B2302" s="2" t="s">
        <v>9</v>
      </c>
      <c r="C2302" s="3">
        <v>8.49</v>
      </c>
      <c r="D2302" s="3">
        <v>14</v>
      </c>
      <c r="E2302" s="3">
        <v>118.86</v>
      </c>
      <c r="F2302" t="str">
        <f t="shared" si="177"/>
        <v>cogs</v>
      </c>
      <c r="G2302" s="7" t="str">
        <f t="shared" si="178"/>
        <v>product 3</v>
      </c>
      <c r="H2302">
        <f t="shared" si="179"/>
        <v>2024</v>
      </c>
      <c r="I2302">
        <f t="shared" si="180"/>
        <v>11</v>
      </c>
      <c r="J2302">
        <f t="shared" si="181"/>
        <v>-316.27999999999997</v>
      </c>
    </row>
    <row r="2303" spans="1:10" ht="12.5" x14ac:dyDescent="0.25">
      <c r="A2303" s="1">
        <v>45611</v>
      </c>
      <c r="B2303" s="2" t="s">
        <v>16</v>
      </c>
      <c r="C2303" s="2" t="s">
        <v>6</v>
      </c>
      <c r="D2303" s="2" t="s">
        <v>6</v>
      </c>
      <c r="E2303" s="3">
        <v>1250.04</v>
      </c>
      <c r="F2303" t="str">
        <f t="shared" si="177"/>
        <v>interest</v>
      </c>
      <c r="G2303" s="7" t="s">
        <v>6</v>
      </c>
      <c r="H2303">
        <f t="shared" si="179"/>
        <v>2024</v>
      </c>
      <c r="I2303">
        <f t="shared" si="180"/>
        <v>11</v>
      </c>
      <c r="J2303">
        <f t="shared" si="181"/>
        <v>-407.32</v>
      </c>
    </row>
    <row r="2304" spans="1:10" ht="12.5" x14ac:dyDescent="0.25">
      <c r="A2304" s="1">
        <v>45611</v>
      </c>
      <c r="B2304" s="2" t="s">
        <v>10</v>
      </c>
      <c r="C2304" s="2" t="s">
        <v>6</v>
      </c>
      <c r="D2304" s="2" t="s">
        <v>6</v>
      </c>
      <c r="E2304" s="3">
        <v>100.06</v>
      </c>
      <c r="F2304" t="str">
        <f t="shared" si="177"/>
        <v>marketing</v>
      </c>
      <c r="G2304" s="7" t="s">
        <v>6</v>
      </c>
      <c r="H2304">
        <f t="shared" si="179"/>
        <v>2024</v>
      </c>
      <c r="I2304">
        <f t="shared" si="180"/>
        <v>11</v>
      </c>
      <c r="J2304">
        <f t="shared" si="181"/>
        <v>-84.949999999999989</v>
      </c>
    </row>
    <row r="2305" spans="1:10" ht="12.5" x14ac:dyDescent="0.25">
      <c r="A2305" s="1">
        <v>45611</v>
      </c>
      <c r="B2305" s="2" t="s">
        <v>11</v>
      </c>
      <c r="C2305" s="3">
        <v>9.99</v>
      </c>
      <c r="D2305" s="3">
        <v>89</v>
      </c>
      <c r="E2305" s="3">
        <v>889.11</v>
      </c>
      <c r="F2305" t="str">
        <f t="shared" si="177"/>
        <v>net sales</v>
      </c>
      <c r="G2305" s="7" t="str">
        <f t="shared" si="178"/>
        <v>product 1</v>
      </c>
      <c r="H2305">
        <f t="shared" si="179"/>
        <v>2024</v>
      </c>
      <c r="I2305">
        <f t="shared" si="180"/>
        <v>11</v>
      </c>
      <c r="J2305">
        <f t="shared" si="181"/>
        <v>-118.86</v>
      </c>
    </row>
    <row r="2306" spans="1:10" ht="12.5" x14ac:dyDescent="0.25">
      <c r="A2306" s="1">
        <v>45611</v>
      </c>
      <c r="B2306" s="2" t="s">
        <v>12</v>
      </c>
      <c r="C2306" s="3">
        <v>24.99</v>
      </c>
      <c r="D2306" s="3">
        <v>6</v>
      </c>
      <c r="E2306" s="3">
        <v>149.94</v>
      </c>
      <c r="F2306" t="str">
        <f t="shared" si="177"/>
        <v>net sales</v>
      </c>
      <c r="G2306" s="7" t="str">
        <f t="shared" si="178"/>
        <v>product 2</v>
      </c>
      <c r="H2306">
        <f t="shared" si="179"/>
        <v>2024</v>
      </c>
      <c r="I2306">
        <f t="shared" si="180"/>
        <v>11</v>
      </c>
      <c r="J2306">
        <f t="shared" si="181"/>
        <v>-100.06</v>
      </c>
    </row>
    <row r="2307" spans="1:10" ht="12.5" x14ac:dyDescent="0.25">
      <c r="A2307" s="1">
        <v>45611</v>
      </c>
      <c r="B2307" s="2" t="s">
        <v>13</v>
      </c>
      <c r="C2307" s="3">
        <v>12.49</v>
      </c>
      <c r="D2307" s="3">
        <v>14</v>
      </c>
      <c r="E2307" s="3">
        <v>174.86</v>
      </c>
      <c r="F2307" t="str">
        <f t="shared" ref="F2307:F2370" si="182">IFERROR(LEFT(B2307,FIND(":",B2307)-1),B2307)</f>
        <v>net sales</v>
      </c>
      <c r="G2307" s="7" t="str">
        <f t="shared" ref="G2307:G2370" si="183">IFERROR(RIGHT(B2307,LEN(B2307)-FIND(":",B2307)),"")</f>
        <v>product 3</v>
      </c>
      <c r="H2307">
        <f t="shared" ref="H2307:H2370" si="184">YEAR(A2307)</f>
        <v>2024</v>
      </c>
      <c r="I2307">
        <f t="shared" ref="I2307:I2370" si="185">MONTH(A2307)</f>
        <v>11</v>
      </c>
      <c r="J2307">
        <f t="shared" si="181"/>
        <v>679.32</v>
      </c>
    </row>
    <row r="2308" spans="1:10" ht="12.5" x14ac:dyDescent="0.25">
      <c r="A2308" s="1">
        <v>45611</v>
      </c>
      <c r="B2308" s="2" t="s">
        <v>14</v>
      </c>
      <c r="C2308" s="2" t="s">
        <v>6</v>
      </c>
      <c r="D2308" s="2" t="s">
        <v>6</v>
      </c>
      <c r="E2308" s="3">
        <v>312.51</v>
      </c>
      <c r="F2308" t="str">
        <f t="shared" si="182"/>
        <v>overhead</v>
      </c>
      <c r="G2308" s="7" t="s">
        <v>6</v>
      </c>
      <c r="H2308">
        <f t="shared" si="184"/>
        <v>2024</v>
      </c>
      <c r="I2308">
        <f t="shared" si="185"/>
        <v>11</v>
      </c>
      <c r="J2308">
        <f t="shared" si="181"/>
        <v>124.94999999999999</v>
      </c>
    </row>
    <row r="2309" spans="1:10" ht="12.5" x14ac:dyDescent="0.25">
      <c r="A2309" s="1">
        <v>45612</v>
      </c>
      <c r="B2309" s="2" t="s">
        <v>7</v>
      </c>
      <c r="C2309" s="3">
        <v>5.99</v>
      </c>
      <c r="D2309" s="3">
        <v>94</v>
      </c>
      <c r="E2309" s="3">
        <v>563.06000000000006</v>
      </c>
      <c r="F2309" t="str">
        <f t="shared" si="182"/>
        <v>cogs</v>
      </c>
      <c r="G2309" s="7" t="str">
        <f t="shared" si="183"/>
        <v>product 1</v>
      </c>
      <c r="H2309">
        <f t="shared" si="184"/>
        <v>2024</v>
      </c>
      <c r="I2309">
        <f t="shared" si="185"/>
        <v>11</v>
      </c>
      <c r="J2309">
        <f t="shared" si="181"/>
        <v>174.86</v>
      </c>
    </row>
    <row r="2310" spans="1:10" ht="12.5" x14ac:dyDescent="0.25">
      <c r="A2310" s="1">
        <v>45612</v>
      </c>
      <c r="B2310" s="2" t="s">
        <v>8</v>
      </c>
      <c r="C2310" s="3">
        <v>16.989999999999998</v>
      </c>
      <c r="D2310" s="3">
        <v>1</v>
      </c>
      <c r="E2310" s="3">
        <v>16.989999999999998</v>
      </c>
      <c r="F2310" t="str">
        <f t="shared" si="182"/>
        <v>cogs</v>
      </c>
      <c r="G2310" s="7" t="str">
        <f t="shared" si="183"/>
        <v>product 2</v>
      </c>
      <c r="H2310">
        <f t="shared" si="184"/>
        <v>2024</v>
      </c>
      <c r="I2310">
        <f t="shared" si="185"/>
        <v>11</v>
      </c>
      <c r="J2310">
        <f t="shared" si="181"/>
        <v>-197.67000000000002</v>
      </c>
    </row>
    <row r="2311" spans="1:10" ht="12.5" x14ac:dyDescent="0.25">
      <c r="A2311" s="1">
        <v>45612</v>
      </c>
      <c r="B2311" s="2" t="s">
        <v>9</v>
      </c>
      <c r="C2311" s="3">
        <v>8.49</v>
      </c>
      <c r="D2311" s="3">
        <v>3</v>
      </c>
      <c r="E2311" s="3">
        <v>25.47</v>
      </c>
      <c r="F2311" t="str">
        <f t="shared" si="182"/>
        <v>cogs</v>
      </c>
      <c r="G2311" s="7" t="str">
        <f t="shared" si="183"/>
        <v>product 3</v>
      </c>
      <c r="H2311">
        <f t="shared" si="184"/>
        <v>2024</v>
      </c>
      <c r="I2311">
        <f t="shared" si="185"/>
        <v>11</v>
      </c>
      <c r="J2311">
        <f t="shared" si="181"/>
        <v>-33.979999999999997</v>
      </c>
    </row>
    <row r="2312" spans="1:10" ht="12.5" x14ac:dyDescent="0.25">
      <c r="A2312" s="1">
        <v>45612</v>
      </c>
      <c r="B2312" s="2" t="s">
        <v>10</v>
      </c>
      <c r="C2312" s="2" t="s">
        <v>6</v>
      </c>
      <c r="D2312" s="2" t="s">
        <v>6</v>
      </c>
      <c r="E2312" s="3">
        <v>100.07000000000001</v>
      </c>
      <c r="F2312" t="str">
        <f t="shared" si="182"/>
        <v>marketing</v>
      </c>
      <c r="G2312" s="7" t="s">
        <v>6</v>
      </c>
      <c r="H2312">
        <f t="shared" si="184"/>
        <v>2024</v>
      </c>
      <c r="I2312">
        <f t="shared" si="185"/>
        <v>11</v>
      </c>
      <c r="J2312">
        <f t="shared" si="181"/>
        <v>-1332.93</v>
      </c>
    </row>
    <row r="2313" spans="1:10" ht="12.5" x14ac:dyDescent="0.25">
      <c r="A2313" s="1">
        <v>45612</v>
      </c>
      <c r="B2313" s="2" t="s">
        <v>11</v>
      </c>
      <c r="C2313" s="3">
        <v>9.99</v>
      </c>
      <c r="D2313" s="3">
        <v>94</v>
      </c>
      <c r="E2313" s="3">
        <v>939.06000000000006</v>
      </c>
      <c r="F2313" t="str">
        <f t="shared" si="182"/>
        <v>net sales</v>
      </c>
      <c r="G2313" s="7" t="str">
        <f t="shared" si="183"/>
        <v>product 1</v>
      </c>
      <c r="H2313">
        <f t="shared" si="184"/>
        <v>2024</v>
      </c>
      <c r="I2313">
        <f t="shared" si="185"/>
        <v>11</v>
      </c>
      <c r="J2313">
        <f t="shared" si="181"/>
        <v>-99.960000000000008</v>
      </c>
    </row>
    <row r="2314" spans="1:10" ht="12.5" x14ac:dyDescent="0.25">
      <c r="A2314" s="1">
        <v>45612</v>
      </c>
      <c r="B2314" s="2" t="s">
        <v>12</v>
      </c>
      <c r="C2314" s="3">
        <v>24.99</v>
      </c>
      <c r="D2314" s="3">
        <v>1</v>
      </c>
      <c r="E2314" s="3">
        <v>24.99</v>
      </c>
      <c r="F2314" t="str">
        <f t="shared" si="182"/>
        <v>net sales</v>
      </c>
      <c r="G2314" s="7" t="str">
        <f t="shared" si="183"/>
        <v>product 2</v>
      </c>
      <c r="H2314">
        <f t="shared" si="184"/>
        <v>2024</v>
      </c>
      <c r="I2314">
        <f t="shared" si="185"/>
        <v>11</v>
      </c>
      <c r="J2314">
        <f t="shared" si="181"/>
        <v>329.67</v>
      </c>
    </row>
    <row r="2315" spans="1:10" ht="12.5" x14ac:dyDescent="0.25">
      <c r="A2315" s="1">
        <v>45612</v>
      </c>
      <c r="B2315" s="2" t="s">
        <v>13</v>
      </c>
      <c r="C2315" s="3">
        <v>12.49</v>
      </c>
      <c r="D2315" s="3">
        <v>3</v>
      </c>
      <c r="E2315" s="3">
        <v>37.47</v>
      </c>
      <c r="F2315" t="str">
        <f t="shared" si="182"/>
        <v>net sales</v>
      </c>
      <c r="G2315" s="7" t="str">
        <f t="shared" si="183"/>
        <v>product 3</v>
      </c>
      <c r="H2315">
        <f t="shared" si="184"/>
        <v>2024</v>
      </c>
      <c r="I2315">
        <f t="shared" si="185"/>
        <v>11</v>
      </c>
      <c r="J2315">
        <f t="shared" si="181"/>
        <v>49.98</v>
      </c>
    </row>
    <row r="2316" spans="1:10" ht="12.5" x14ac:dyDescent="0.25">
      <c r="A2316" s="1">
        <v>45613</v>
      </c>
      <c r="B2316" s="2" t="s">
        <v>7</v>
      </c>
      <c r="C2316" s="3">
        <v>5.99</v>
      </c>
      <c r="D2316" s="3">
        <v>50</v>
      </c>
      <c r="E2316" s="3">
        <v>299.5</v>
      </c>
      <c r="F2316" t="str">
        <f t="shared" si="182"/>
        <v>cogs</v>
      </c>
      <c r="G2316" s="7" t="str">
        <f t="shared" si="183"/>
        <v>product 1</v>
      </c>
      <c r="H2316">
        <f t="shared" si="184"/>
        <v>2024</v>
      </c>
      <c r="I2316">
        <f t="shared" si="185"/>
        <v>11</v>
      </c>
      <c r="J2316">
        <f t="shared" si="181"/>
        <v>1960.93</v>
      </c>
    </row>
    <row r="2317" spans="1:10" ht="12.5" x14ac:dyDescent="0.25">
      <c r="A2317" s="1">
        <v>45613</v>
      </c>
      <c r="B2317" s="2" t="s">
        <v>8</v>
      </c>
      <c r="C2317" s="3">
        <v>16.989999999999998</v>
      </c>
      <c r="D2317" s="3">
        <v>2</v>
      </c>
      <c r="E2317" s="3">
        <v>33.979999999999997</v>
      </c>
      <c r="F2317" t="str">
        <f t="shared" si="182"/>
        <v>cogs</v>
      </c>
      <c r="G2317" s="7" t="str">
        <f t="shared" si="183"/>
        <v>product 2</v>
      </c>
      <c r="H2317">
        <f t="shared" si="184"/>
        <v>2024</v>
      </c>
      <c r="I2317">
        <f t="shared" si="185"/>
        <v>11</v>
      </c>
      <c r="J2317">
        <f t="shared" si="181"/>
        <v>-467.22</v>
      </c>
    </row>
    <row r="2318" spans="1:10" ht="12.5" x14ac:dyDescent="0.25">
      <c r="A2318" s="1">
        <v>45613</v>
      </c>
      <c r="B2318" s="2" t="s">
        <v>9</v>
      </c>
      <c r="C2318" s="3">
        <v>8.49</v>
      </c>
      <c r="D2318" s="3">
        <v>27</v>
      </c>
      <c r="E2318" s="3">
        <v>229.23000000000002</v>
      </c>
      <c r="F2318" t="str">
        <f t="shared" si="182"/>
        <v>cogs</v>
      </c>
      <c r="G2318" s="7" t="str">
        <f t="shared" si="183"/>
        <v>product 3</v>
      </c>
      <c r="H2318">
        <f t="shared" si="184"/>
        <v>2024</v>
      </c>
      <c r="I2318">
        <f t="shared" si="185"/>
        <v>11</v>
      </c>
      <c r="J2318">
        <f t="shared" si="181"/>
        <v>-101.94</v>
      </c>
    </row>
    <row r="2319" spans="1:10" ht="12.5" x14ac:dyDescent="0.25">
      <c r="A2319" s="1">
        <v>45613</v>
      </c>
      <c r="B2319" s="2" t="s">
        <v>10</v>
      </c>
      <c r="C2319" s="2" t="s">
        <v>6</v>
      </c>
      <c r="D2319" s="2" t="s">
        <v>6</v>
      </c>
      <c r="E2319" s="3">
        <v>100.05</v>
      </c>
      <c r="F2319" t="str">
        <f t="shared" si="182"/>
        <v>marketing</v>
      </c>
      <c r="G2319" s="7" t="s">
        <v>6</v>
      </c>
      <c r="H2319">
        <f t="shared" si="184"/>
        <v>2024</v>
      </c>
      <c r="I2319">
        <f t="shared" si="185"/>
        <v>11</v>
      </c>
      <c r="J2319">
        <f t="shared" si="181"/>
        <v>-152.82</v>
      </c>
    </row>
    <row r="2320" spans="1:10" ht="12.5" x14ac:dyDescent="0.25">
      <c r="A2320" s="1">
        <v>45613</v>
      </c>
      <c r="B2320" s="2" t="s">
        <v>11</v>
      </c>
      <c r="C2320" s="3">
        <v>9.99</v>
      </c>
      <c r="D2320" s="3">
        <v>50</v>
      </c>
      <c r="E2320" s="3">
        <v>499.5</v>
      </c>
      <c r="F2320" t="str">
        <f t="shared" si="182"/>
        <v>net sales</v>
      </c>
      <c r="G2320" s="7" t="str">
        <f t="shared" si="183"/>
        <v>product 1</v>
      </c>
      <c r="H2320">
        <f t="shared" si="184"/>
        <v>2024</v>
      </c>
      <c r="I2320">
        <f t="shared" si="185"/>
        <v>11</v>
      </c>
      <c r="J2320">
        <f t="shared" si="181"/>
        <v>-99.91</v>
      </c>
    </row>
    <row r="2321" spans="1:10" ht="12.5" x14ac:dyDescent="0.25">
      <c r="A2321" s="1">
        <v>45613</v>
      </c>
      <c r="B2321" s="2" t="s">
        <v>12</v>
      </c>
      <c r="C2321" s="3">
        <v>24.99</v>
      </c>
      <c r="D2321" s="3">
        <v>2</v>
      </c>
      <c r="E2321" s="3">
        <v>49.98</v>
      </c>
      <c r="F2321" t="str">
        <f t="shared" si="182"/>
        <v>net sales</v>
      </c>
      <c r="G2321" s="7" t="str">
        <f t="shared" si="183"/>
        <v>product 2</v>
      </c>
      <c r="H2321">
        <f t="shared" si="184"/>
        <v>2024</v>
      </c>
      <c r="I2321">
        <f t="shared" si="185"/>
        <v>11</v>
      </c>
      <c r="J2321">
        <f t="shared" si="181"/>
        <v>779.22</v>
      </c>
    </row>
    <row r="2322" spans="1:10" ht="12.5" x14ac:dyDescent="0.25">
      <c r="A2322" s="1">
        <v>45613</v>
      </c>
      <c r="B2322" s="2" t="s">
        <v>13</v>
      </c>
      <c r="C2322" s="3">
        <v>12.49</v>
      </c>
      <c r="D2322" s="3">
        <v>27</v>
      </c>
      <c r="E2322" s="3">
        <v>337.23</v>
      </c>
      <c r="F2322" t="str">
        <f t="shared" si="182"/>
        <v>net sales</v>
      </c>
      <c r="G2322" s="7" t="str">
        <f t="shared" si="183"/>
        <v>product 3</v>
      </c>
      <c r="H2322">
        <f t="shared" si="184"/>
        <v>2024</v>
      </c>
      <c r="I2322">
        <f t="shared" si="185"/>
        <v>11</v>
      </c>
      <c r="J2322">
        <f t="shared" si="181"/>
        <v>149.94</v>
      </c>
    </row>
    <row r="2323" spans="1:10" ht="12.5" x14ac:dyDescent="0.25">
      <c r="A2323" s="1">
        <v>45614</v>
      </c>
      <c r="B2323" s="2" t="s">
        <v>7</v>
      </c>
      <c r="C2323" s="3">
        <v>5.99</v>
      </c>
      <c r="D2323" s="3">
        <v>6</v>
      </c>
      <c r="E2323" s="3">
        <v>35.94</v>
      </c>
      <c r="F2323" t="str">
        <f t="shared" si="182"/>
        <v>cogs</v>
      </c>
      <c r="G2323" s="7" t="str">
        <f t="shared" si="183"/>
        <v>product 1</v>
      </c>
      <c r="H2323">
        <f t="shared" si="184"/>
        <v>2024</v>
      </c>
      <c r="I2323">
        <f t="shared" si="185"/>
        <v>11</v>
      </c>
      <c r="J2323">
        <f t="shared" si="181"/>
        <v>224.82</v>
      </c>
    </row>
    <row r="2324" spans="1:10" ht="12.5" x14ac:dyDescent="0.25">
      <c r="A2324" s="1">
        <v>45614</v>
      </c>
      <c r="B2324" s="2" t="s">
        <v>8</v>
      </c>
      <c r="C2324" s="3">
        <v>16.989999999999998</v>
      </c>
      <c r="D2324" s="3">
        <v>5</v>
      </c>
      <c r="E2324" s="3">
        <v>84.949999999999989</v>
      </c>
      <c r="F2324" t="str">
        <f t="shared" si="182"/>
        <v>cogs</v>
      </c>
      <c r="G2324" s="7" t="str">
        <f t="shared" si="183"/>
        <v>product 2</v>
      </c>
      <c r="H2324">
        <f t="shared" si="184"/>
        <v>2024</v>
      </c>
      <c r="I2324">
        <f t="shared" si="185"/>
        <v>11</v>
      </c>
      <c r="J2324">
        <f t="shared" si="181"/>
        <v>-449.25</v>
      </c>
    </row>
    <row r="2325" spans="1:10" ht="12.5" x14ac:dyDescent="0.25">
      <c r="A2325" s="1">
        <v>45614</v>
      </c>
      <c r="B2325" s="2" t="s">
        <v>9</v>
      </c>
      <c r="C2325" s="3">
        <v>8.49</v>
      </c>
      <c r="D2325" s="3">
        <v>0</v>
      </c>
      <c r="E2325" s="2">
        <f>C2325*D2325</f>
        <v>0</v>
      </c>
      <c r="F2325" t="str">
        <f t="shared" si="182"/>
        <v>cogs</v>
      </c>
      <c r="G2325" s="7" t="str">
        <f t="shared" si="183"/>
        <v>product 3</v>
      </c>
      <c r="H2325">
        <f t="shared" si="184"/>
        <v>2024</v>
      </c>
      <c r="I2325">
        <f t="shared" si="185"/>
        <v>11</v>
      </c>
      <c r="J2325">
        <f t="shared" si="181"/>
        <v>-135.91999999999999</v>
      </c>
    </row>
    <row r="2326" spans="1:10" ht="12.5" x14ac:dyDescent="0.25">
      <c r="A2326" s="1">
        <v>45614</v>
      </c>
      <c r="B2326" s="2" t="s">
        <v>10</v>
      </c>
      <c r="C2326" s="2" t="s">
        <v>6</v>
      </c>
      <c r="D2326" s="2" t="s">
        <v>6</v>
      </c>
      <c r="E2326" s="3">
        <v>100.05</v>
      </c>
      <c r="F2326" t="str">
        <f t="shared" si="182"/>
        <v>marketing</v>
      </c>
      <c r="G2326" s="7" t="s">
        <v>6</v>
      </c>
      <c r="H2326">
        <f t="shared" si="184"/>
        <v>2024</v>
      </c>
      <c r="I2326">
        <f t="shared" si="185"/>
        <v>11</v>
      </c>
      <c r="J2326">
        <f t="shared" si="181"/>
        <v>-1451.79</v>
      </c>
    </row>
    <row r="2327" spans="1:10" ht="12.5" x14ac:dyDescent="0.25">
      <c r="A2327" s="1">
        <v>45614</v>
      </c>
      <c r="B2327" s="2" t="s">
        <v>11</v>
      </c>
      <c r="C2327" s="3">
        <v>9.99</v>
      </c>
      <c r="D2327" s="3">
        <v>6</v>
      </c>
      <c r="E2327" s="3">
        <v>59.94</v>
      </c>
      <c r="F2327" t="str">
        <f t="shared" si="182"/>
        <v>net sales</v>
      </c>
      <c r="G2327" s="7" t="str">
        <f t="shared" si="183"/>
        <v>product 1</v>
      </c>
      <c r="H2327">
        <f t="shared" si="184"/>
        <v>2024</v>
      </c>
      <c r="I2327">
        <f t="shared" si="185"/>
        <v>11</v>
      </c>
      <c r="J2327">
        <f t="shared" si="181"/>
        <v>-100.05</v>
      </c>
    </row>
    <row r="2328" spans="1:10" ht="12.5" x14ac:dyDescent="0.25">
      <c r="A2328" s="1">
        <v>45614</v>
      </c>
      <c r="B2328" s="2" t="s">
        <v>12</v>
      </c>
      <c r="C2328" s="3">
        <v>24.99</v>
      </c>
      <c r="D2328" s="3">
        <v>5</v>
      </c>
      <c r="E2328" s="3">
        <v>124.94999999999999</v>
      </c>
      <c r="F2328" t="str">
        <f t="shared" si="182"/>
        <v>net sales</v>
      </c>
      <c r="G2328" s="7" t="str">
        <f t="shared" si="183"/>
        <v>product 2</v>
      </c>
      <c r="H2328">
        <f t="shared" si="184"/>
        <v>2024</v>
      </c>
      <c r="I2328">
        <f t="shared" si="185"/>
        <v>11</v>
      </c>
      <c r="J2328">
        <f t="shared" si="181"/>
        <v>749.25</v>
      </c>
    </row>
    <row r="2329" spans="1:10" ht="12.5" x14ac:dyDescent="0.25">
      <c r="A2329" s="1">
        <v>45614</v>
      </c>
      <c r="B2329" s="2" t="s">
        <v>13</v>
      </c>
      <c r="C2329" s="3">
        <v>12.49</v>
      </c>
      <c r="D2329" s="3">
        <v>0</v>
      </c>
      <c r="E2329" s="2">
        <f>C2329*D2329</f>
        <v>0</v>
      </c>
      <c r="F2329" t="str">
        <f t="shared" si="182"/>
        <v>net sales</v>
      </c>
      <c r="G2329" s="7" t="str">
        <f t="shared" si="183"/>
        <v>product 3</v>
      </c>
      <c r="H2329">
        <f t="shared" si="184"/>
        <v>2024</v>
      </c>
      <c r="I2329">
        <f t="shared" si="185"/>
        <v>11</v>
      </c>
      <c r="J2329">
        <f t="shared" si="181"/>
        <v>199.92</v>
      </c>
    </row>
    <row r="2330" spans="1:10" ht="12.5" x14ac:dyDescent="0.25">
      <c r="A2330" s="1">
        <v>45615</v>
      </c>
      <c r="B2330" s="2" t="s">
        <v>7</v>
      </c>
      <c r="C2330" s="3">
        <v>5.99</v>
      </c>
      <c r="D2330" s="3">
        <v>28</v>
      </c>
      <c r="E2330" s="3">
        <v>167.72</v>
      </c>
      <c r="F2330" t="str">
        <f t="shared" si="182"/>
        <v>cogs</v>
      </c>
      <c r="G2330" s="7" t="str">
        <f t="shared" si="183"/>
        <v>product 1</v>
      </c>
      <c r="H2330">
        <f t="shared" si="184"/>
        <v>2024</v>
      </c>
      <c r="I2330">
        <f t="shared" si="185"/>
        <v>11</v>
      </c>
      <c r="J2330">
        <f t="shared" si="181"/>
        <v>2135.79</v>
      </c>
    </row>
    <row r="2331" spans="1:10" ht="12.5" x14ac:dyDescent="0.25">
      <c r="A2331" s="1">
        <v>45615</v>
      </c>
      <c r="B2331" s="2" t="s">
        <v>8</v>
      </c>
      <c r="C2331" s="3">
        <v>16.989999999999998</v>
      </c>
      <c r="D2331" s="3">
        <v>8</v>
      </c>
      <c r="E2331" s="3">
        <v>135.91999999999999</v>
      </c>
      <c r="F2331" t="str">
        <f t="shared" si="182"/>
        <v>cogs</v>
      </c>
      <c r="G2331" s="7" t="str">
        <f t="shared" si="183"/>
        <v>product 2</v>
      </c>
      <c r="H2331">
        <f t="shared" si="184"/>
        <v>2024</v>
      </c>
      <c r="I2331">
        <f t="shared" si="185"/>
        <v>11</v>
      </c>
      <c r="J2331">
        <f t="shared" si="181"/>
        <v>-287.52</v>
      </c>
    </row>
    <row r="2332" spans="1:10" ht="12.5" x14ac:dyDescent="0.25">
      <c r="A2332" s="1">
        <v>45615</v>
      </c>
      <c r="B2332" s="2" t="s">
        <v>9</v>
      </c>
      <c r="C2332" s="3">
        <v>8.49</v>
      </c>
      <c r="D2332" s="3">
        <v>189</v>
      </c>
      <c r="E2332" s="3">
        <v>1604.6100000000001</v>
      </c>
      <c r="F2332" t="str">
        <f t="shared" si="182"/>
        <v>cogs</v>
      </c>
      <c r="G2332" s="7" t="str">
        <f t="shared" si="183"/>
        <v>product 3</v>
      </c>
      <c r="H2332">
        <f t="shared" si="184"/>
        <v>2024</v>
      </c>
      <c r="I2332">
        <f t="shared" si="185"/>
        <v>11</v>
      </c>
      <c r="J2332">
        <f t="shared" ref="J2332:J2395" si="186">IF(F2115="net sales",E2115,
IF(F2115="cogs",-E2115,
IF(OR(F2115="marketing",F2115="overhead",F2115="payroll",F2115="interest","amortization"),-E2115,0)))</f>
        <v>-118.92999999999999</v>
      </c>
    </row>
    <row r="2333" spans="1:10" ht="12.5" x14ac:dyDescent="0.25">
      <c r="A2333" s="1">
        <v>45615</v>
      </c>
      <c r="B2333" s="2" t="s">
        <v>10</v>
      </c>
      <c r="C2333" s="2" t="s">
        <v>6</v>
      </c>
      <c r="D2333" s="2" t="s">
        <v>6</v>
      </c>
      <c r="E2333" s="3">
        <v>99.98</v>
      </c>
      <c r="F2333" t="str">
        <f t="shared" si="182"/>
        <v>marketing</v>
      </c>
      <c r="G2333" s="7" t="s">
        <v>6</v>
      </c>
      <c r="H2333">
        <f t="shared" si="184"/>
        <v>2024</v>
      </c>
      <c r="I2333">
        <f t="shared" si="185"/>
        <v>11</v>
      </c>
      <c r="J2333">
        <f t="shared" si="186"/>
        <v>-441.48</v>
      </c>
    </row>
    <row r="2334" spans="1:10" ht="12.5" x14ac:dyDescent="0.25">
      <c r="A2334" s="1">
        <v>45615</v>
      </c>
      <c r="B2334" s="2" t="s">
        <v>11</v>
      </c>
      <c r="C2334" s="3">
        <v>9.99</v>
      </c>
      <c r="D2334" s="3">
        <v>28</v>
      </c>
      <c r="E2334" s="3">
        <v>279.72000000000003</v>
      </c>
      <c r="F2334" t="str">
        <f t="shared" si="182"/>
        <v>net sales</v>
      </c>
      <c r="G2334" s="7" t="str">
        <f t="shared" si="183"/>
        <v>product 1</v>
      </c>
      <c r="H2334">
        <f t="shared" si="184"/>
        <v>2024</v>
      </c>
      <c r="I2334">
        <f t="shared" si="185"/>
        <v>11</v>
      </c>
      <c r="J2334">
        <f t="shared" si="186"/>
        <v>-99.93</v>
      </c>
    </row>
    <row r="2335" spans="1:10" ht="12.5" x14ac:dyDescent="0.25">
      <c r="A2335" s="1">
        <v>45615</v>
      </c>
      <c r="B2335" s="2" t="s">
        <v>12</v>
      </c>
      <c r="C2335" s="3">
        <v>24.99</v>
      </c>
      <c r="D2335" s="3">
        <v>8</v>
      </c>
      <c r="E2335" s="3">
        <v>199.92</v>
      </c>
      <c r="F2335" t="str">
        <f t="shared" si="182"/>
        <v>net sales</v>
      </c>
      <c r="G2335" s="7" t="str">
        <f t="shared" si="183"/>
        <v>product 2</v>
      </c>
      <c r="H2335">
        <f t="shared" si="184"/>
        <v>2024</v>
      </c>
      <c r="I2335">
        <f t="shared" si="185"/>
        <v>11</v>
      </c>
      <c r="J2335">
        <f t="shared" si="186"/>
        <v>479.52</v>
      </c>
    </row>
    <row r="2336" spans="1:10" ht="12.5" x14ac:dyDescent="0.25">
      <c r="A2336" s="1">
        <v>45615</v>
      </c>
      <c r="B2336" s="2" t="s">
        <v>13</v>
      </c>
      <c r="C2336" s="3">
        <v>12.49</v>
      </c>
      <c r="D2336" s="3">
        <v>189</v>
      </c>
      <c r="E2336" s="3">
        <v>2360.61</v>
      </c>
      <c r="F2336" t="str">
        <f t="shared" si="182"/>
        <v>net sales</v>
      </c>
      <c r="G2336" s="7" t="str">
        <f t="shared" si="183"/>
        <v>product 3</v>
      </c>
      <c r="H2336">
        <f t="shared" si="184"/>
        <v>2024</v>
      </c>
      <c r="I2336">
        <f t="shared" si="185"/>
        <v>11</v>
      </c>
      <c r="J2336">
        <f t="shared" si="186"/>
        <v>174.92999999999998</v>
      </c>
    </row>
    <row r="2337" spans="1:10" ht="12.5" x14ac:dyDescent="0.25">
      <c r="A2337" s="1">
        <v>45616</v>
      </c>
      <c r="B2337" s="2" t="s">
        <v>7</v>
      </c>
      <c r="C2337" s="3">
        <v>5.99</v>
      </c>
      <c r="D2337" s="3">
        <v>95</v>
      </c>
      <c r="E2337" s="3">
        <v>569.05000000000007</v>
      </c>
      <c r="F2337" t="str">
        <f t="shared" si="182"/>
        <v>cogs</v>
      </c>
      <c r="G2337" s="7" t="str">
        <f t="shared" si="183"/>
        <v>product 1</v>
      </c>
      <c r="H2337">
        <f t="shared" si="184"/>
        <v>2024</v>
      </c>
      <c r="I2337">
        <f t="shared" si="185"/>
        <v>11</v>
      </c>
      <c r="J2337">
        <f t="shared" si="186"/>
        <v>649.48</v>
      </c>
    </row>
    <row r="2338" spans="1:10" ht="12.5" x14ac:dyDescent="0.25">
      <c r="A2338" s="1">
        <v>45616</v>
      </c>
      <c r="B2338" s="2" t="s">
        <v>8</v>
      </c>
      <c r="C2338" s="3">
        <v>16.989999999999998</v>
      </c>
      <c r="D2338" s="3">
        <v>6</v>
      </c>
      <c r="E2338" s="3">
        <v>101.94</v>
      </c>
      <c r="F2338" t="str">
        <f t="shared" si="182"/>
        <v>cogs</v>
      </c>
      <c r="G2338" s="7" t="str">
        <f t="shared" si="183"/>
        <v>product 2</v>
      </c>
      <c r="H2338">
        <f t="shared" si="184"/>
        <v>2024</v>
      </c>
      <c r="I2338">
        <f t="shared" si="185"/>
        <v>11</v>
      </c>
      <c r="J2338">
        <f t="shared" si="186"/>
        <v>-425.29</v>
      </c>
    </row>
    <row r="2339" spans="1:10" ht="12.5" x14ac:dyDescent="0.25">
      <c r="A2339" s="1">
        <v>45616</v>
      </c>
      <c r="B2339" s="2" t="s">
        <v>9</v>
      </c>
      <c r="C2339" s="3">
        <v>8.49</v>
      </c>
      <c r="D2339" s="3">
        <v>230</v>
      </c>
      <c r="E2339" s="3">
        <v>1952.7</v>
      </c>
      <c r="F2339" t="str">
        <f t="shared" si="182"/>
        <v>cogs</v>
      </c>
      <c r="G2339" s="7" t="str">
        <f t="shared" si="183"/>
        <v>product 3</v>
      </c>
      <c r="H2339">
        <f t="shared" si="184"/>
        <v>2024</v>
      </c>
      <c r="I2339">
        <f t="shared" si="185"/>
        <v>11</v>
      </c>
      <c r="J2339">
        <f t="shared" si="186"/>
        <v>-101.94</v>
      </c>
    </row>
    <row r="2340" spans="1:10" ht="12.5" x14ac:dyDescent="0.25">
      <c r="A2340" s="1">
        <v>45616</v>
      </c>
      <c r="B2340" s="2" t="s">
        <v>10</v>
      </c>
      <c r="C2340" s="2" t="s">
        <v>6</v>
      </c>
      <c r="D2340" s="2" t="s">
        <v>6</v>
      </c>
      <c r="E2340" s="3">
        <v>100.09</v>
      </c>
      <c r="F2340" t="str">
        <f t="shared" si="182"/>
        <v>marketing</v>
      </c>
      <c r="G2340" s="7" t="s">
        <v>6</v>
      </c>
      <c r="H2340">
        <f t="shared" si="184"/>
        <v>2024</v>
      </c>
      <c r="I2340">
        <f t="shared" si="185"/>
        <v>11</v>
      </c>
      <c r="J2340">
        <f t="shared" si="186"/>
        <v>-1825.3500000000001</v>
      </c>
    </row>
    <row r="2341" spans="1:10" ht="12.5" x14ac:dyDescent="0.25">
      <c r="A2341" s="1">
        <v>45616</v>
      </c>
      <c r="B2341" s="2" t="s">
        <v>11</v>
      </c>
      <c r="C2341" s="3">
        <v>9.99</v>
      </c>
      <c r="D2341" s="3">
        <v>95</v>
      </c>
      <c r="E2341" s="3">
        <v>949.05000000000007</v>
      </c>
      <c r="F2341" t="str">
        <f t="shared" si="182"/>
        <v>net sales</v>
      </c>
      <c r="G2341" s="7" t="str">
        <f t="shared" si="183"/>
        <v>product 1</v>
      </c>
      <c r="H2341">
        <f t="shared" si="184"/>
        <v>2024</v>
      </c>
      <c r="I2341">
        <f t="shared" si="185"/>
        <v>11</v>
      </c>
      <c r="J2341">
        <f t="shared" si="186"/>
        <v>-99.92</v>
      </c>
    </row>
    <row r="2342" spans="1:10" ht="12.5" x14ac:dyDescent="0.25">
      <c r="A2342" s="1">
        <v>45616</v>
      </c>
      <c r="B2342" s="2" t="s">
        <v>12</v>
      </c>
      <c r="C2342" s="3">
        <v>24.99</v>
      </c>
      <c r="D2342" s="3">
        <v>6</v>
      </c>
      <c r="E2342" s="3">
        <v>149.94</v>
      </c>
      <c r="F2342" t="str">
        <f t="shared" si="182"/>
        <v>net sales</v>
      </c>
      <c r="G2342" s="7" t="str">
        <f t="shared" si="183"/>
        <v>product 2</v>
      </c>
      <c r="H2342">
        <f t="shared" si="184"/>
        <v>2024</v>
      </c>
      <c r="I2342">
        <f t="shared" si="185"/>
        <v>11</v>
      </c>
      <c r="J2342">
        <f t="shared" si="186"/>
        <v>709.29</v>
      </c>
    </row>
    <row r="2343" spans="1:10" ht="12.5" x14ac:dyDescent="0.25">
      <c r="A2343" s="1">
        <v>45616</v>
      </c>
      <c r="B2343" s="2" t="s">
        <v>13</v>
      </c>
      <c r="C2343" s="3">
        <v>12.49</v>
      </c>
      <c r="D2343" s="3">
        <v>230</v>
      </c>
      <c r="E2343" s="3">
        <v>2872.7000000000003</v>
      </c>
      <c r="F2343" t="str">
        <f t="shared" si="182"/>
        <v>net sales</v>
      </c>
      <c r="G2343" s="7" t="str">
        <f t="shared" si="183"/>
        <v>product 3</v>
      </c>
      <c r="H2343">
        <f t="shared" si="184"/>
        <v>2024</v>
      </c>
      <c r="I2343">
        <f t="shared" si="185"/>
        <v>11</v>
      </c>
      <c r="J2343">
        <f t="shared" si="186"/>
        <v>149.94</v>
      </c>
    </row>
    <row r="2344" spans="1:10" ht="12.5" x14ac:dyDescent="0.25">
      <c r="A2344" s="1">
        <v>45617</v>
      </c>
      <c r="B2344" s="2" t="s">
        <v>7</v>
      </c>
      <c r="C2344" s="3">
        <v>5.99</v>
      </c>
      <c r="D2344" s="3">
        <v>14</v>
      </c>
      <c r="E2344" s="3">
        <v>83.86</v>
      </c>
      <c r="F2344" t="str">
        <f t="shared" si="182"/>
        <v>cogs</v>
      </c>
      <c r="G2344" s="7" t="str">
        <f t="shared" si="183"/>
        <v>product 1</v>
      </c>
      <c r="H2344">
        <f t="shared" si="184"/>
        <v>2024</v>
      </c>
      <c r="I2344">
        <f t="shared" si="185"/>
        <v>11</v>
      </c>
      <c r="J2344">
        <f t="shared" si="186"/>
        <v>2685.35</v>
      </c>
    </row>
    <row r="2345" spans="1:10" ht="12.5" x14ac:dyDescent="0.25">
      <c r="A2345" s="1">
        <v>45617</v>
      </c>
      <c r="B2345" s="2" t="s">
        <v>8</v>
      </c>
      <c r="C2345" s="3">
        <v>16.989999999999998</v>
      </c>
      <c r="D2345" s="3">
        <v>6</v>
      </c>
      <c r="E2345" s="3">
        <v>101.94</v>
      </c>
      <c r="F2345" t="str">
        <f t="shared" si="182"/>
        <v>cogs</v>
      </c>
      <c r="G2345" s="7" t="str">
        <f t="shared" si="183"/>
        <v>product 2</v>
      </c>
      <c r="H2345">
        <f t="shared" si="184"/>
        <v>2024</v>
      </c>
      <c r="I2345">
        <f t="shared" si="185"/>
        <v>11</v>
      </c>
      <c r="J2345">
        <f t="shared" si="186"/>
        <v>-149.75</v>
      </c>
    </row>
    <row r="2346" spans="1:10" ht="12.5" x14ac:dyDescent="0.25">
      <c r="A2346" s="1">
        <v>45617</v>
      </c>
      <c r="B2346" s="2" t="s">
        <v>9</v>
      </c>
      <c r="C2346" s="3">
        <v>8.49</v>
      </c>
      <c r="D2346" s="3">
        <v>0</v>
      </c>
      <c r="E2346" s="2">
        <f>C2346*D2346</f>
        <v>0</v>
      </c>
      <c r="F2346" t="str">
        <f t="shared" si="182"/>
        <v>cogs</v>
      </c>
      <c r="G2346" s="7" t="str">
        <f t="shared" si="183"/>
        <v>product 3</v>
      </c>
      <c r="H2346">
        <f t="shared" si="184"/>
        <v>2024</v>
      </c>
      <c r="I2346">
        <f t="shared" si="185"/>
        <v>11</v>
      </c>
      <c r="J2346">
        <f t="shared" si="186"/>
        <v>-50.97</v>
      </c>
    </row>
    <row r="2347" spans="1:10" ht="12.5" x14ac:dyDescent="0.25">
      <c r="A2347" s="1">
        <v>45617</v>
      </c>
      <c r="B2347" s="2" t="s">
        <v>10</v>
      </c>
      <c r="C2347" s="2" t="s">
        <v>6</v>
      </c>
      <c r="D2347" s="2" t="s">
        <v>6</v>
      </c>
      <c r="E2347" s="3">
        <v>100.10000000000001</v>
      </c>
      <c r="F2347" t="str">
        <f t="shared" si="182"/>
        <v>marketing</v>
      </c>
      <c r="G2347" s="7" t="s">
        <v>6</v>
      </c>
      <c r="H2347">
        <f t="shared" si="184"/>
        <v>2024</v>
      </c>
      <c r="I2347">
        <f t="shared" si="185"/>
        <v>11</v>
      </c>
      <c r="J2347">
        <f t="shared" si="186"/>
        <v>-1341.42</v>
      </c>
    </row>
    <row r="2348" spans="1:10" ht="12.5" x14ac:dyDescent="0.25">
      <c r="A2348" s="1">
        <v>45617</v>
      </c>
      <c r="B2348" s="2" t="s">
        <v>11</v>
      </c>
      <c r="C2348" s="3">
        <v>9.99</v>
      </c>
      <c r="D2348" s="3">
        <v>14</v>
      </c>
      <c r="E2348" s="3">
        <v>139.86000000000001</v>
      </c>
      <c r="F2348" t="str">
        <f t="shared" si="182"/>
        <v>net sales</v>
      </c>
      <c r="G2348" s="7" t="str">
        <f t="shared" si="183"/>
        <v>product 1</v>
      </c>
      <c r="H2348">
        <f t="shared" si="184"/>
        <v>2024</v>
      </c>
      <c r="I2348">
        <f t="shared" si="185"/>
        <v>11</v>
      </c>
      <c r="J2348">
        <f t="shared" si="186"/>
        <v>-99.98</v>
      </c>
    </row>
    <row r="2349" spans="1:10" ht="12.5" x14ac:dyDescent="0.25">
      <c r="A2349" s="1">
        <v>45617</v>
      </c>
      <c r="B2349" s="2" t="s">
        <v>12</v>
      </c>
      <c r="C2349" s="3">
        <v>24.99</v>
      </c>
      <c r="D2349" s="3">
        <v>6</v>
      </c>
      <c r="E2349" s="3">
        <v>149.94</v>
      </c>
      <c r="F2349" t="str">
        <f t="shared" si="182"/>
        <v>net sales</v>
      </c>
      <c r="G2349" s="7" t="str">
        <f t="shared" si="183"/>
        <v>product 2</v>
      </c>
      <c r="H2349">
        <f t="shared" si="184"/>
        <v>2024</v>
      </c>
      <c r="I2349">
        <f t="shared" si="185"/>
        <v>11</v>
      </c>
      <c r="J2349">
        <f t="shared" si="186"/>
        <v>249.75</v>
      </c>
    </row>
    <row r="2350" spans="1:10" ht="12.5" x14ac:dyDescent="0.25">
      <c r="A2350" s="1">
        <v>45617</v>
      </c>
      <c r="B2350" s="2" t="s">
        <v>13</v>
      </c>
      <c r="C2350" s="3">
        <v>12.49</v>
      </c>
      <c r="D2350" s="3">
        <v>0</v>
      </c>
      <c r="E2350" s="2">
        <f>C2350*D2350</f>
        <v>0</v>
      </c>
      <c r="F2350" t="str">
        <f t="shared" si="182"/>
        <v>net sales</v>
      </c>
      <c r="G2350" s="7" t="str">
        <f t="shared" si="183"/>
        <v>product 3</v>
      </c>
      <c r="H2350">
        <f t="shared" si="184"/>
        <v>2024</v>
      </c>
      <c r="I2350">
        <f t="shared" si="185"/>
        <v>11</v>
      </c>
      <c r="J2350">
        <f t="shared" si="186"/>
        <v>74.97</v>
      </c>
    </row>
    <row r="2351" spans="1:10" ht="12.5" x14ac:dyDescent="0.25">
      <c r="A2351" s="1">
        <v>45618</v>
      </c>
      <c r="B2351" s="2" t="s">
        <v>7</v>
      </c>
      <c r="C2351" s="3">
        <v>5.99</v>
      </c>
      <c r="D2351" s="3">
        <v>27</v>
      </c>
      <c r="E2351" s="3">
        <v>161.73000000000002</v>
      </c>
      <c r="F2351" t="str">
        <f t="shared" si="182"/>
        <v>cogs</v>
      </c>
      <c r="G2351" s="7" t="str">
        <f t="shared" si="183"/>
        <v>product 1</v>
      </c>
      <c r="H2351">
        <f t="shared" si="184"/>
        <v>2024</v>
      </c>
      <c r="I2351">
        <f t="shared" si="185"/>
        <v>11</v>
      </c>
      <c r="J2351">
        <f t="shared" si="186"/>
        <v>1973.42</v>
      </c>
    </row>
    <row r="2352" spans="1:10" ht="12.5" x14ac:dyDescent="0.25">
      <c r="A2352" s="1">
        <v>45618</v>
      </c>
      <c r="B2352" s="2" t="s">
        <v>8</v>
      </c>
      <c r="C2352" s="3">
        <v>16.989999999999998</v>
      </c>
      <c r="D2352" s="3">
        <v>6</v>
      </c>
      <c r="E2352" s="3">
        <v>101.94</v>
      </c>
      <c r="F2352" t="str">
        <f t="shared" si="182"/>
        <v>cogs</v>
      </c>
      <c r="G2352" s="7" t="str">
        <f t="shared" si="183"/>
        <v>product 2</v>
      </c>
      <c r="H2352">
        <f t="shared" si="184"/>
        <v>2024</v>
      </c>
      <c r="I2352">
        <f t="shared" si="185"/>
        <v>11</v>
      </c>
      <c r="J2352">
        <f t="shared" si="186"/>
        <v>-359.40000000000003</v>
      </c>
    </row>
    <row r="2353" spans="1:10" ht="12.5" x14ac:dyDescent="0.25">
      <c r="A2353" s="1">
        <v>45618</v>
      </c>
      <c r="B2353" s="2" t="s">
        <v>9</v>
      </c>
      <c r="C2353" s="3">
        <v>8.49</v>
      </c>
      <c r="D2353" s="3">
        <v>20</v>
      </c>
      <c r="E2353" s="3">
        <v>169.8</v>
      </c>
      <c r="F2353" t="str">
        <f t="shared" si="182"/>
        <v>cogs</v>
      </c>
      <c r="G2353" s="7" t="str">
        <f t="shared" si="183"/>
        <v>product 3</v>
      </c>
      <c r="H2353">
        <f t="shared" si="184"/>
        <v>2024</v>
      </c>
      <c r="I2353">
        <f t="shared" si="185"/>
        <v>11</v>
      </c>
      <c r="J2353">
        <f t="shared" si="186"/>
        <v>-101.94</v>
      </c>
    </row>
    <row r="2354" spans="1:10" ht="12.5" x14ac:dyDescent="0.25">
      <c r="A2354" s="1">
        <v>45618</v>
      </c>
      <c r="B2354" s="2" t="s">
        <v>10</v>
      </c>
      <c r="C2354" s="2" t="s">
        <v>6</v>
      </c>
      <c r="D2354" s="2" t="s">
        <v>6</v>
      </c>
      <c r="E2354" s="3">
        <v>100.06</v>
      </c>
      <c r="F2354" t="str">
        <f t="shared" si="182"/>
        <v>marketing</v>
      </c>
      <c r="G2354" s="7" t="s">
        <v>6</v>
      </c>
      <c r="H2354">
        <f t="shared" si="184"/>
        <v>2024</v>
      </c>
      <c r="I2354">
        <f t="shared" si="185"/>
        <v>11</v>
      </c>
      <c r="J2354">
        <f t="shared" si="186"/>
        <v>-2037.6000000000001</v>
      </c>
    </row>
    <row r="2355" spans="1:10" ht="12.5" x14ac:dyDescent="0.25">
      <c r="A2355" s="1">
        <v>45618</v>
      </c>
      <c r="B2355" s="2" t="s">
        <v>11</v>
      </c>
      <c r="C2355" s="3">
        <v>9.99</v>
      </c>
      <c r="D2355" s="3">
        <v>27</v>
      </c>
      <c r="E2355" s="3">
        <v>269.73</v>
      </c>
      <c r="F2355" t="str">
        <f t="shared" si="182"/>
        <v>net sales</v>
      </c>
      <c r="G2355" s="7" t="str">
        <f t="shared" si="183"/>
        <v>product 1</v>
      </c>
      <c r="H2355">
        <f t="shared" si="184"/>
        <v>2024</v>
      </c>
      <c r="I2355">
        <f t="shared" si="185"/>
        <v>11</v>
      </c>
      <c r="J2355">
        <f t="shared" si="186"/>
        <v>-100.06</v>
      </c>
    </row>
    <row r="2356" spans="1:10" ht="12.5" x14ac:dyDescent="0.25">
      <c r="A2356" s="1">
        <v>45618</v>
      </c>
      <c r="B2356" s="2" t="s">
        <v>12</v>
      </c>
      <c r="C2356" s="3">
        <v>24.99</v>
      </c>
      <c r="D2356" s="3">
        <v>6</v>
      </c>
      <c r="E2356" s="3">
        <v>149.94</v>
      </c>
      <c r="F2356" t="str">
        <f t="shared" si="182"/>
        <v>net sales</v>
      </c>
      <c r="G2356" s="7" t="str">
        <f t="shared" si="183"/>
        <v>product 2</v>
      </c>
      <c r="H2356">
        <f t="shared" si="184"/>
        <v>2024</v>
      </c>
      <c r="I2356">
        <f t="shared" si="185"/>
        <v>11</v>
      </c>
      <c r="J2356">
        <f t="shared" si="186"/>
        <v>599.4</v>
      </c>
    </row>
    <row r="2357" spans="1:10" ht="12.5" x14ac:dyDescent="0.25">
      <c r="A2357" s="1">
        <v>45618</v>
      </c>
      <c r="B2357" s="2" t="s">
        <v>13</v>
      </c>
      <c r="C2357" s="3">
        <v>12.49</v>
      </c>
      <c r="D2357" s="3">
        <v>20</v>
      </c>
      <c r="E2357" s="3">
        <v>249.8</v>
      </c>
      <c r="F2357" t="str">
        <f t="shared" si="182"/>
        <v>net sales</v>
      </c>
      <c r="G2357" s="7" t="str">
        <f t="shared" si="183"/>
        <v>product 3</v>
      </c>
      <c r="H2357">
        <f t="shared" si="184"/>
        <v>2024</v>
      </c>
      <c r="I2357">
        <f t="shared" si="185"/>
        <v>11</v>
      </c>
      <c r="J2357">
        <f t="shared" si="186"/>
        <v>149.94</v>
      </c>
    </row>
    <row r="2358" spans="1:10" ht="12.5" x14ac:dyDescent="0.25">
      <c r="A2358" s="1">
        <v>45618</v>
      </c>
      <c r="B2358" s="2" t="s">
        <v>15</v>
      </c>
      <c r="C2358" s="2" t="s">
        <v>6</v>
      </c>
      <c r="D2358" s="2" t="s">
        <v>6</v>
      </c>
      <c r="E2358" s="3">
        <v>1200</v>
      </c>
      <c r="F2358" t="str">
        <f t="shared" si="182"/>
        <v>payroll</v>
      </c>
      <c r="G2358" s="7" t="s">
        <v>6</v>
      </c>
      <c r="H2358">
        <f t="shared" si="184"/>
        <v>2024</v>
      </c>
      <c r="I2358">
        <f t="shared" si="185"/>
        <v>11</v>
      </c>
      <c r="J2358">
        <f t="shared" si="186"/>
        <v>2997.6</v>
      </c>
    </row>
    <row r="2359" spans="1:10" ht="12.5" x14ac:dyDescent="0.25">
      <c r="A2359" s="1">
        <v>45619</v>
      </c>
      <c r="B2359" s="2" t="s">
        <v>7</v>
      </c>
      <c r="C2359" s="3">
        <v>5.99</v>
      </c>
      <c r="D2359" s="3">
        <v>35</v>
      </c>
      <c r="E2359" s="3">
        <v>209.65</v>
      </c>
      <c r="F2359" t="str">
        <f t="shared" si="182"/>
        <v>cogs</v>
      </c>
      <c r="G2359" s="7" t="str">
        <f t="shared" si="183"/>
        <v>product 1</v>
      </c>
      <c r="H2359">
        <f t="shared" si="184"/>
        <v>2024</v>
      </c>
      <c r="I2359">
        <f t="shared" si="185"/>
        <v>11</v>
      </c>
      <c r="J2359">
        <f t="shared" si="186"/>
        <v>-113.81</v>
      </c>
    </row>
    <row r="2360" spans="1:10" ht="12.5" x14ac:dyDescent="0.25">
      <c r="A2360" s="1">
        <v>45619</v>
      </c>
      <c r="B2360" s="2" t="s">
        <v>8</v>
      </c>
      <c r="C2360" s="3">
        <v>16.989999999999998</v>
      </c>
      <c r="D2360" s="3">
        <v>5</v>
      </c>
      <c r="E2360" s="3">
        <v>84.949999999999989</v>
      </c>
      <c r="F2360" t="str">
        <f t="shared" si="182"/>
        <v>cogs</v>
      </c>
      <c r="G2360" s="7" t="str">
        <f t="shared" si="183"/>
        <v>product 2</v>
      </c>
      <c r="H2360">
        <f t="shared" si="184"/>
        <v>2024</v>
      </c>
      <c r="I2360">
        <f t="shared" si="185"/>
        <v>11</v>
      </c>
      <c r="J2360">
        <f t="shared" si="186"/>
        <v>-84.949999999999989</v>
      </c>
    </row>
    <row r="2361" spans="1:10" ht="12.5" x14ac:dyDescent="0.25">
      <c r="A2361" s="1">
        <v>45619</v>
      </c>
      <c r="B2361" s="2" t="s">
        <v>9</v>
      </c>
      <c r="C2361" s="3">
        <v>8.49</v>
      </c>
      <c r="D2361" s="3">
        <v>218</v>
      </c>
      <c r="E2361" s="3">
        <v>1850.82</v>
      </c>
      <c r="F2361" t="str">
        <f t="shared" si="182"/>
        <v>cogs</v>
      </c>
      <c r="G2361" s="7" t="str">
        <f t="shared" si="183"/>
        <v>product 3</v>
      </c>
      <c r="H2361">
        <f t="shared" si="184"/>
        <v>2024</v>
      </c>
      <c r="I2361">
        <f t="shared" si="185"/>
        <v>11</v>
      </c>
      <c r="J2361">
        <f t="shared" si="186"/>
        <v>-2088.54</v>
      </c>
    </row>
    <row r="2362" spans="1:10" ht="12.5" x14ac:dyDescent="0.25">
      <c r="A2362" s="1">
        <v>45619</v>
      </c>
      <c r="B2362" s="2" t="s">
        <v>10</v>
      </c>
      <c r="C2362" s="2" t="s">
        <v>6</v>
      </c>
      <c r="D2362" s="2" t="s">
        <v>6</v>
      </c>
      <c r="E2362" s="3">
        <v>100.06</v>
      </c>
      <c r="F2362" t="str">
        <f t="shared" si="182"/>
        <v>marketing</v>
      </c>
      <c r="G2362" s="7" t="s">
        <v>6</v>
      </c>
      <c r="H2362">
        <f t="shared" si="184"/>
        <v>2024</v>
      </c>
      <c r="I2362">
        <f t="shared" si="185"/>
        <v>11</v>
      </c>
      <c r="J2362">
        <f t="shared" si="186"/>
        <v>-100.02</v>
      </c>
    </row>
    <row r="2363" spans="1:10" ht="12.5" x14ac:dyDescent="0.25">
      <c r="A2363" s="1">
        <v>45619</v>
      </c>
      <c r="B2363" s="2" t="s">
        <v>11</v>
      </c>
      <c r="C2363" s="3">
        <v>9.99</v>
      </c>
      <c r="D2363" s="3">
        <v>35</v>
      </c>
      <c r="E2363" s="3">
        <v>349.65000000000003</v>
      </c>
      <c r="F2363" t="str">
        <f t="shared" si="182"/>
        <v>net sales</v>
      </c>
      <c r="G2363" s="7" t="str">
        <f t="shared" si="183"/>
        <v>product 1</v>
      </c>
      <c r="H2363">
        <f t="shared" si="184"/>
        <v>2024</v>
      </c>
      <c r="I2363">
        <f t="shared" si="185"/>
        <v>11</v>
      </c>
      <c r="J2363">
        <f t="shared" si="186"/>
        <v>189.81</v>
      </c>
    </row>
    <row r="2364" spans="1:10" ht="12.5" x14ac:dyDescent="0.25">
      <c r="A2364" s="1">
        <v>45619</v>
      </c>
      <c r="B2364" s="2" t="s">
        <v>12</v>
      </c>
      <c r="C2364" s="3">
        <v>24.99</v>
      </c>
      <c r="D2364" s="3">
        <v>5</v>
      </c>
      <c r="E2364" s="3">
        <v>124.94999999999999</v>
      </c>
      <c r="F2364" t="str">
        <f t="shared" si="182"/>
        <v>net sales</v>
      </c>
      <c r="G2364" s="7" t="str">
        <f t="shared" si="183"/>
        <v>product 2</v>
      </c>
      <c r="H2364">
        <f t="shared" si="184"/>
        <v>2024</v>
      </c>
      <c r="I2364">
        <f t="shared" si="185"/>
        <v>11</v>
      </c>
      <c r="J2364">
        <f t="shared" si="186"/>
        <v>124.94999999999999</v>
      </c>
    </row>
    <row r="2365" spans="1:10" ht="12.5" x14ac:dyDescent="0.25">
      <c r="A2365" s="1">
        <v>45619</v>
      </c>
      <c r="B2365" s="2" t="s">
        <v>13</v>
      </c>
      <c r="C2365" s="3">
        <v>12.49</v>
      </c>
      <c r="D2365" s="3">
        <v>218</v>
      </c>
      <c r="E2365" s="3">
        <v>2722.82</v>
      </c>
      <c r="F2365" t="str">
        <f t="shared" si="182"/>
        <v>net sales</v>
      </c>
      <c r="G2365" s="7" t="str">
        <f t="shared" si="183"/>
        <v>product 3</v>
      </c>
      <c r="H2365">
        <f t="shared" si="184"/>
        <v>2024</v>
      </c>
      <c r="I2365">
        <f t="shared" si="185"/>
        <v>11</v>
      </c>
      <c r="J2365">
        <f t="shared" si="186"/>
        <v>3072.54</v>
      </c>
    </row>
    <row r="2366" spans="1:10" ht="12.5" x14ac:dyDescent="0.25">
      <c r="A2366" s="1">
        <v>45620</v>
      </c>
      <c r="B2366" s="2" t="s">
        <v>7</v>
      </c>
      <c r="C2366" s="3">
        <v>5.99</v>
      </c>
      <c r="D2366" s="3">
        <v>30</v>
      </c>
      <c r="E2366" s="3">
        <v>179.70000000000002</v>
      </c>
      <c r="F2366" t="str">
        <f t="shared" si="182"/>
        <v>cogs</v>
      </c>
      <c r="G2366" s="7" t="str">
        <f t="shared" si="183"/>
        <v>product 1</v>
      </c>
      <c r="H2366">
        <f t="shared" si="184"/>
        <v>2024</v>
      </c>
      <c r="I2366">
        <f t="shared" si="185"/>
        <v>11</v>
      </c>
      <c r="J2366">
        <f t="shared" si="186"/>
        <v>-83.86</v>
      </c>
    </row>
    <row r="2367" spans="1:10" ht="12.5" x14ac:dyDescent="0.25">
      <c r="A2367" s="1">
        <v>45620</v>
      </c>
      <c r="B2367" s="2" t="s">
        <v>8</v>
      </c>
      <c r="C2367" s="3">
        <v>16.989999999999998</v>
      </c>
      <c r="D2367" s="3">
        <v>8</v>
      </c>
      <c r="E2367" s="3">
        <v>135.91999999999999</v>
      </c>
      <c r="F2367" t="str">
        <f t="shared" si="182"/>
        <v>cogs</v>
      </c>
      <c r="G2367" s="7" t="str">
        <f t="shared" si="183"/>
        <v>product 2</v>
      </c>
      <c r="H2367">
        <f t="shared" si="184"/>
        <v>2024</v>
      </c>
      <c r="I2367">
        <f t="shared" si="185"/>
        <v>11</v>
      </c>
      <c r="J2367">
        <f t="shared" si="186"/>
        <v>-33.979999999999997</v>
      </c>
    </row>
    <row r="2368" spans="1:10" ht="12.5" x14ac:dyDescent="0.25">
      <c r="A2368" s="1">
        <v>45620</v>
      </c>
      <c r="B2368" s="2" t="s">
        <v>9</v>
      </c>
      <c r="C2368" s="3">
        <v>8.49</v>
      </c>
      <c r="D2368" s="3">
        <v>108</v>
      </c>
      <c r="E2368" s="3">
        <v>916.92000000000007</v>
      </c>
      <c r="F2368" t="str">
        <f t="shared" si="182"/>
        <v>cogs</v>
      </c>
      <c r="G2368" s="7" t="str">
        <f t="shared" si="183"/>
        <v>product 3</v>
      </c>
      <c r="H2368">
        <f t="shared" si="184"/>
        <v>2024</v>
      </c>
      <c r="I2368">
        <f t="shared" si="185"/>
        <v>11</v>
      </c>
      <c r="J2368">
        <f t="shared" si="186"/>
        <v>-704.67000000000007</v>
      </c>
    </row>
    <row r="2369" spans="1:10" ht="12.5" x14ac:dyDescent="0.25">
      <c r="A2369" s="1">
        <v>45620</v>
      </c>
      <c r="B2369" s="2" t="s">
        <v>10</v>
      </c>
      <c r="C2369" s="2" t="s">
        <v>6</v>
      </c>
      <c r="D2369" s="2" t="s">
        <v>6</v>
      </c>
      <c r="E2369" s="3">
        <v>100.02</v>
      </c>
      <c r="F2369" t="str">
        <f t="shared" si="182"/>
        <v>marketing</v>
      </c>
      <c r="G2369" s="7" t="s">
        <v>6</v>
      </c>
      <c r="H2369">
        <f t="shared" si="184"/>
        <v>2024</v>
      </c>
      <c r="I2369">
        <f t="shared" si="185"/>
        <v>11</v>
      </c>
      <c r="J2369">
        <f t="shared" si="186"/>
        <v>-100.09</v>
      </c>
    </row>
    <row r="2370" spans="1:10" ht="12.5" x14ac:dyDescent="0.25">
      <c r="A2370" s="1">
        <v>45620</v>
      </c>
      <c r="B2370" s="2" t="s">
        <v>11</v>
      </c>
      <c r="C2370" s="3">
        <v>9.99</v>
      </c>
      <c r="D2370" s="3">
        <v>30</v>
      </c>
      <c r="E2370" s="3">
        <v>299.7</v>
      </c>
      <c r="F2370" t="str">
        <f t="shared" si="182"/>
        <v>net sales</v>
      </c>
      <c r="G2370" s="7" t="str">
        <f t="shared" si="183"/>
        <v>product 1</v>
      </c>
      <c r="H2370">
        <f t="shared" si="184"/>
        <v>2024</v>
      </c>
      <c r="I2370">
        <f t="shared" si="185"/>
        <v>11</v>
      </c>
      <c r="J2370">
        <f t="shared" si="186"/>
        <v>139.86000000000001</v>
      </c>
    </row>
    <row r="2371" spans="1:10" ht="12.5" x14ac:dyDescent="0.25">
      <c r="A2371" s="1">
        <v>45620</v>
      </c>
      <c r="B2371" s="2" t="s">
        <v>12</v>
      </c>
      <c r="C2371" s="3">
        <v>24.99</v>
      </c>
      <c r="D2371" s="3">
        <v>8</v>
      </c>
      <c r="E2371" s="3">
        <v>199.92</v>
      </c>
      <c r="F2371" t="str">
        <f t="shared" ref="F2371:F2434" si="187">IFERROR(LEFT(B2371,FIND(":",B2371)-1),B2371)</f>
        <v>net sales</v>
      </c>
      <c r="G2371" s="7" t="str">
        <f t="shared" ref="G2371:G2433" si="188">IFERROR(RIGHT(B2371,LEN(B2371)-FIND(":",B2371)),"")</f>
        <v>product 2</v>
      </c>
      <c r="H2371">
        <f t="shared" ref="H2371:H2434" si="189">YEAR(A2371)</f>
        <v>2024</v>
      </c>
      <c r="I2371">
        <f t="shared" ref="I2371:I2434" si="190">MONTH(A2371)</f>
        <v>11</v>
      </c>
      <c r="J2371">
        <f t="shared" si="186"/>
        <v>49.98</v>
      </c>
    </row>
    <row r="2372" spans="1:10" ht="12.5" x14ac:dyDescent="0.25">
      <c r="A2372" s="1">
        <v>45620</v>
      </c>
      <c r="B2372" s="2" t="s">
        <v>13</v>
      </c>
      <c r="C2372" s="3">
        <v>12.49</v>
      </c>
      <c r="D2372" s="3">
        <v>108</v>
      </c>
      <c r="E2372" s="3">
        <v>1348.92</v>
      </c>
      <c r="F2372" t="str">
        <f t="shared" si="187"/>
        <v>net sales</v>
      </c>
      <c r="G2372" s="7" t="str">
        <f t="shared" si="188"/>
        <v>product 3</v>
      </c>
      <c r="H2372">
        <f t="shared" si="189"/>
        <v>2024</v>
      </c>
      <c r="I2372">
        <f t="shared" si="190"/>
        <v>11</v>
      </c>
      <c r="J2372">
        <f t="shared" si="186"/>
        <v>1036.67</v>
      </c>
    </row>
    <row r="2373" spans="1:10" ht="12.5" x14ac:dyDescent="0.25">
      <c r="A2373" s="1">
        <v>45621</v>
      </c>
      <c r="B2373" s="2" t="s">
        <v>7</v>
      </c>
      <c r="C2373" s="3">
        <v>5.99</v>
      </c>
      <c r="D2373" s="3">
        <v>30</v>
      </c>
      <c r="E2373" s="3">
        <v>179.70000000000002</v>
      </c>
      <c r="F2373" t="str">
        <f t="shared" si="187"/>
        <v>cogs</v>
      </c>
      <c r="G2373" s="7" t="str">
        <f t="shared" si="188"/>
        <v>product 1</v>
      </c>
      <c r="H2373">
        <f t="shared" si="189"/>
        <v>2024</v>
      </c>
      <c r="I2373">
        <f t="shared" si="190"/>
        <v>11</v>
      </c>
      <c r="J2373">
        <f t="shared" si="186"/>
        <v>-1200</v>
      </c>
    </row>
    <row r="2374" spans="1:10" ht="12.5" x14ac:dyDescent="0.25">
      <c r="A2374" s="1">
        <v>45621</v>
      </c>
      <c r="B2374" s="2" t="s">
        <v>8</v>
      </c>
      <c r="C2374" s="3">
        <v>16.989999999999998</v>
      </c>
      <c r="D2374" s="3">
        <v>3</v>
      </c>
      <c r="E2374" s="3">
        <v>50.97</v>
      </c>
      <c r="F2374" t="str">
        <f t="shared" si="187"/>
        <v>cogs</v>
      </c>
      <c r="G2374" s="7" t="str">
        <f t="shared" si="188"/>
        <v>product 2</v>
      </c>
      <c r="H2374">
        <f t="shared" si="189"/>
        <v>2024</v>
      </c>
      <c r="I2374">
        <f t="shared" si="190"/>
        <v>11</v>
      </c>
      <c r="J2374">
        <f t="shared" si="186"/>
        <v>-329.45</v>
      </c>
    </row>
    <row r="2375" spans="1:10" ht="12.5" x14ac:dyDescent="0.25">
      <c r="A2375" s="1">
        <v>45621</v>
      </c>
      <c r="B2375" s="2" t="s">
        <v>9</v>
      </c>
      <c r="C2375" s="3">
        <v>8.49</v>
      </c>
      <c r="D2375" s="3">
        <v>20</v>
      </c>
      <c r="E2375" s="3">
        <v>169.8</v>
      </c>
      <c r="F2375" t="str">
        <f t="shared" si="187"/>
        <v>cogs</v>
      </c>
      <c r="G2375" s="7" t="str">
        <f t="shared" si="188"/>
        <v>product 3</v>
      </c>
      <c r="H2375">
        <f t="shared" si="189"/>
        <v>2024</v>
      </c>
      <c r="I2375">
        <f t="shared" si="190"/>
        <v>11</v>
      </c>
      <c r="J2375">
        <f t="shared" si="186"/>
        <v>-101.94</v>
      </c>
    </row>
    <row r="2376" spans="1:10" ht="12.5" x14ac:dyDescent="0.25">
      <c r="A2376" s="1">
        <v>45621</v>
      </c>
      <c r="B2376" s="2" t="s">
        <v>10</v>
      </c>
      <c r="C2376" s="2" t="s">
        <v>6</v>
      </c>
      <c r="D2376" s="2" t="s">
        <v>6</v>
      </c>
      <c r="E2376" s="3">
        <v>100.01</v>
      </c>
      <c r="F2376" t="str">
        <f t="shared" si="187"/>
        <v>marketing</v>
      </c>
      <c r="G2376" s="7" t="s">
        <v>6</v>
      </c>
      <c r="H2376">
        <f t="shared" si="189"/>
        <v>2024</v>
      </c>
      <c r="I2376">
        <f t="shared" si="190"/>
        <v>11</v>
      </c>
      <c r="J2376">
        <f t="shared" si="186"/>
        <v>-1545.18</v>
      </c>
    </row>
    <row r="2377" spans="1:10" ht="12.5" x14ac:dyDescent="0.25">
      <c r="A2377" s="1">
        <v>45621</v>
      </c>
      <c r="B2377" s="2" t="s">
        <v>11</v>
      </c>
      <c r="C2377" s="3">
        <v>9.99</v>
      </c>
      <c r="D2377" s="3">
        <v>30</v>
      </c>
      <c r="E2377" s="3">
        <v>299.7</v>
      </c>
      <c r="F2377" t="str">
        <f t="shared" si="187"/>
        <v>net sales</v>
      </c>
      <c r="G2377" s="7" t="str">
        <f t="shared" si="188"/>
        <v>product 1</v>
      </c>
      <c r="H2377">
        <f t="shared" si="189"/>
        <v>2024</v>
      </c>
      <c r="I2377">
        <f t="shared" si="190"/>
        <v>11</v>
      </c>
      <c r="J2377">
        <f t="shared" si="186"/>
        <v>-99.94</v>
      </c>
    </row>
    <row r="2378" spans="1:10" ht="12.5" x14ac:dyDescent="0.25">
      <c r="A2378" s="1">
        <v>45621</v>
      </c>
      <c r="B2378" s="2" t="s">
        <v>12</v>
      </c>
      <c r="C2378" s="3">
        <v>24.99</v>
      </c>
      <c r="D2378" s="3">
        <v>3</v>
      </c>
      <c r="E2378" s="3">
        <v>74.97</v>
      </c>
      <c r="F2378" t="str">
        <f t="shared" si="187"/>
        <v>net sales</v>
      </c>
      <c r="G2378" s="7" t="str">
        <f t="shared" si="188"/>
        <v>product 2</v>
      </c>
      <c r="H2378">
        <f t="shared" si="189"/>
        <v>2024</v>
      </c>
      <c r="I2378">
        <f t="shared" si="190"/>
        <v>11</v>
      </c>
      <c r="J2378">
        <f t="shared" si="186"/>
        <v>549.45000000000005</v>
      </c>
    </row>
    <row r="2379" spans="1:10" ht="12.5" x14ac:dyDescent="0.25">
      <c r="A2379" s="1">
        <v>45621</v>
      </c>
      <c r="B2379" s="2" t="s">
        <v>13</v>
      </c>
      <c r="C2379" s="3">
        <v>12.49</v>
      </c>
      <c r="D2379" s="3">
        <v>20</v>
      </c>
      <c r="E2379" s="3">
        <v>249.8</v>
      </c>
      <c r="F2379" t="str">
        <f t="shared" si="187"/>
        <v>net sales</v>
      </c>
      <c r="G2379" s="7" t="str">
        <f t="shared" si="188"/>
        <v>product 3</v>
      </c>
      <c r="H2379">
        <f t="shared" si="189"/>
        <v>2024</v>
      </c>
      <c r="I2379">
        <f t="shared" si="190"/>
        <v>11</v>
      </c>
      <c r="J2379">
        <f t="shared" si="186"/>
        <v>149.94</v>
      </c>
    </row>
    <row r="2380" spans="1:10" ht="12.5" x14ac:dyDescent="0.25">
      <c r="A2380" s="1">
        <v>45622</v>
      </c>
      <c r="B2380" s="2" t="s">
        <v>7</v>
      </c>
      <c r="C2380" s="3">
        <v>5.99</v>
      </c>
      <c r="D2380" s="3">
        <v>99</v>
      </c>
      <c r="E2380" s="3">
        <v>593.01</v>
      </c>
      <c r="F2380" t="str">
        <f t="shared" si="187"/>
        <v>cogs</v>
      </c>
      <c r="G2380" s="7" t="str">
        <f t="shared" si="188"/>
        <v>product 1</v>
      </c>
      <c r="H2380">
        <f t="shared" si="189"/>
        <v>2024</v>
      </c>
      <c r="I2380">
        <f t="shared" si="190"/>
        <v>11</v>
      </c>
      <c r="J2380">
        <f t="shared" si="186"/>
        <v>2273.1799999999998</v>
      </c>
    </row>
    <row r="2381" spans="1:10" ht="12.5" x14ac:dyDescent="0.25">
      <c r="A2381" s="1">
        <v>45622</v>
      </c>
      <c r="B2381" s="2" t="s">
        <v>8</v>
      </c>
      <c r="C2381" s="3">
        <v>16.989999999999998</v>
      </c>
      <c r="D2381" s="3">
        <v>1</v>
      </c>
      <c r="E2381" s="3">
        <v>16.989999999999998</v>
      </c>
      <c r="F2381" t="str">
        <f t="shared" si="187"/>
        <v>cogs</v>
      </c>
      <c r="G2381" s="7" t="str">
        <f t="shared" si="188"/>
        <v>product 2</v>
      </c>
      <c r="H2381">
        <f t="shared" si="189"/>
        <v>2024</v>
      </c>
      <c r="I2381">
        <f t="shared" si="190"/>
        <v>11</v>
      </c>
      <c r="J2381">
        <f t="shared" si="186"/>
        <v>-371.38</v>
      </c>
    </row>
    <row r="2382" spans="1:10" ht="12.5" x14ac:dyDescent="0.25">
      <c r="A2382" s="1">
        <v>45622</v>
      </c>
      <c r="B2382" s="2" t="s">
        <v>9</v>
      </c>
      <c r="C2382" s="3">
        <v>8.49</v>
      </c>
      <c r="D2382" s="3">
        <v>26</v>
      </c>
      <c r="E2382" s="3">
        <v>220.74</v>
      </c>
      <c r="F2382" t="str">
        <f t="shared" si="187"/>
        <v>cogs</v>
      </c>
      <c r="G2382" s="7" t="str">
        <f t="shared" si="188"/>
        <v>product 3</v>
      </c>
      <c r="H2382">
        <f t="shared" si="189"/>
        <v>2024</v>
      </c>
      <c r="I2382">
        <f t="shared" si="190"/>
        <v>11</v>
      </c>
      <c r="J2382">
        <f t="shared" si="186"/>
        <v>-84.949999999999989</v>
      </c>
    </row>
    <row r="2383" spans="1:10" ht="12.5" x14ac:dyDescent="0.25">
      <c r="A2383" s="1">
        <v>45622</v>
      </c>
      <c r="B2383" s="2" t="s">
        <v>10</v>
      </c>
      <c r="C2383" s="2" t="s">
        <v>6</v>
      </c>
      <c r="D2383" s="2" t="s">
        <v>6</v>
      </c>
      <c r="E2383" s="3">
        <v>100.07000000000001</v>
      </c>
      <c r="F2383" t="str">
        <f t="shared" si="187"/>
        <v>marketing</v>
      </c>
      <c r="G2383" s="7" t="s">
        <v>6</v>
      </c>
      <c r="H2383">
        <f t="shared" si="189"/>
        <v>2024</v>
      </c>
      <c r="I2383">
        <f t="shared" si="190"/>
        <v>11</v>
      </c>
      <c r="J2383">
        <f t="shared" si="186"/>
        <v>-585.81000000000006</v>
      </c>
    </row>
    <row r="2384" spans="1:10" ht="12.5" x14ac:dyDescent="0.25">
      <c r="A2384" s="1">
        <v>45622</v>
      </c>
      <c r="B2384" s="2" t="s">
        <v>11</v>
      </c>
      <c r="C2384" s="3">
        <v>9.99</v>
      </c>
      <c r="D2384" s="3">
        <v>99</v>
      </c>
      <c r="E2384" s="3">
        <v>989.01</v>
      </c>
      <c r="F2384" t="str">
        <f t="shared" si="187"/>
        <v>net sales</v>
      </c>
      <c r="G2384" s="7" t="str">
        <f t="shared" si="188"/>
        <v>product 1</v>
      </c>
      <c r="H2384">
        <f t="shared" si="189"/>
        <v>2024</v>
      </c>
      <c r="I2384">
        <f t="shared" si="190"/>
        <v>11</v>
      </c>
      <c r="J2384">
        <f t="shared" si="186"/>
        <v>-100</v>
      </c>
    </row>
    <row r="2385" spans="1:10" ht="12.5" x14ac:dyDescent="0.25">
      <c r="A2385" s="1">
        <v>45622</v>
      </c>
      <c r="B2385" s="2" t="s">
        <v>12</v>
      </c>
      <c r="C2385" s="3">
        <v>24.99</v>
      </c>
      <c r="D2385" s="3">
        <v>1</v>
      </c>
      <c r="E2385" s="3">
        <v>24.99</v>
      </c>
      <c r="F2385" t="str">
        <f t="shared" si="187"/>
        <v>net sales</v>
      </c>
      <c r="G2385" s="7" t="str">
        <f t="shared" si="188"/>
        <v>product 2</v>
      </c>
      <c r="H2385">
        <f t="shared" si="189"/>
        <v>2024</v>
      </c>
      <c r="I2385">
        <f t="shared" si="190"/>
        <v>11</v>
      </c>
      <c r="J2385">
        <f t="shared" si="186"/>
        <v>619.38</v>
      </c>
    </row>
    <row r="2386" spans="1:10" ht="12.5" x14ac:dyDescent="0.25">
      <c r="A2386" s="1">
        <v>45622</v>
      </c>
      <c r="B2386" s="2" t="s">
        <v>13</v>
      </c>
      <c r="C2386" s="3">
        <v>12.49</v>
      </c>
      <c r="D2386" s="3">
        <v>26</v>
      </c>
      <c r="E2386" s="3">
        <v>324.74</v>
      </c>
      <c r="F2386" t="str">
        <f t="shared" si="187"/>
        <v>net sales</v>
      </c>
      <c r="G2386" s="7" t="str">
        <f t="shared" si="188"/>
        <v>product 3</v>
      </c>
      <c r="H2386">
        <f t="shared" si="189"/>
        <v>2024</v>
      </c>
      <c r="I2386">
        <f t="shared" si="190"/>
        <v>11</v>
      </c>
      <c r="J2386">
        <f t="shared" si="186"/>
        <v>124.94999999999999</v>
      </c>
    </row>
    <row r="2387" spans="1:10" ht="12.5" x14ac:dyDescent="0.25">
      <c r="A2387" s="1">
        <v>45623</v>
      </c>
      <c r="B2387" s="2" t="s">
        <v>7</v>
      </c>
      <c r="C2387" s="3">
        <v>5.99</v>
      </c>
      <c r="D2387" s="3">
        <v>36</v>
      </c>
      <c r="E2387" s="3">
        <v>215.64000000000001</v>
      </c>
      <c r="F2387" t="str">
        <f t="shared" si="187"/>
        <v>cogs</v>
      </c>
      <c r="G2387" s="7" t="str">
        <f t="shared" si="188"/>
        <v>product 1</v>
      </c>
      <c r="H2387">
        <f t="shared" si="189"/>
        <v>2024</v>
      </c>
      <c r="I2387">
        <f t="shared" si="190"/>
        <v>11</v>
      </c>
      <c r="J2387">
        <f t="shared" si="186"/>
        <v>861.81000000000006</v>
      </c>
    </row>
    <row r="2388" spans="1:10" ht="12.5" x14ac:dyDescent="0.25">
      <c r="A2388" s="1">
        <v>45623</v>
      </c>
      <c r="B2388" s="2" t="s">
        <v>8</v>
      </c>
      <c r="C2388" s="3">
        <v>16.989999999999998</v>
      </c>
      <c r="D2388" s="3">
        <v>8</v>
      </c>
      <c r="E2388" s="3">
        <v>135.91999999999999</v>
      </c>
      <c r="F2388" t="str">
        <f t="shared" si="187"/>
        <v>cogs</v>
      </c>
      <c r="G2388" s="7" t="str">
        <f t="shared" si="188"/>
        <v>product 2</v>
      </c>
      <c r="H2388">
        <f t="shared" si="189"/>
        <v>2024</v>
      </c>
      <c r="I2388">
        <f t="shared" si="190"/>
        <v>11</v>
      </c>
      <c r="J2388">
        <f t="shared" si="186"/>
        <v>-89.850000000000009</v>
      </c>
    </row>
    <row r="2389" spans="1:10" ht="12.5" x14ac:dyDescent="0.25">
      <c r="A2389" s="1">
        <v>45623</v>
      </c>
      <c r="B2389" s="2" t="s">
        <v>9</v>
      </c>
      <c r="C2389" s="3">
        <v>8.49</v>
      </c>
      <c r="D2389" s="3">
        <v>242</v>
      </c>
      <c r="E2389" s="3">
        <v>2054.58</v>
      </c>
      <c r="F2389" t="str">
        <f t="shared" si="187"/>
        <v>cogs</v>
      </c>
      <c r="G2389" s="7" t="str">
        <f t="shared" si="188"/>
        <v>product 3</v>
      </c>
      <c r="H2389">
        <f t="shared" si="189"/>
        <v>2024</v>
      </c>
      <c r="I2389">
        <f t="shared" si="190"/>
        <v>11</v>
      </c>
      <c r="J2389">
        <f t="shared" si="186"/>
        <v>-33.979999999999997</v>
      </c>
    </row>
    <row r="2390" spans="1:10" ht="12.5" x14ac:dyDescent="0.25">
      <c r="A2390" s="1">
        <v>45623</v>
      </c>
      <c r="B2390" s="2" t="s">
        <v>10</v>
      </c>
      <c r="C2390" s="2" t="s">
        <v>6</v>
      </c>
      <c r="D2390" s="2" t="s">
        <v>6</v>
      </c>
      <c r="E2390" s="3">
        <v>99.94</v>
      </c>
      <c r="F2390" t="str">
        <f t="shared" si="187"/>
        <v>marketing</v>
      </c>
      <c r="G2390" s="7" t="s">
        <v>6</v>
      </c>
      <c r="H2390">
        <f t="shared" si="189"/>
        <v>2024</v>
      </c>
      <c r="I2390">
        <f t="shared" si="190"/>
        <v>11</v>
      </c>
      <c r="J2390">
        <f t="shared" si="186"/>
        <v>-611.28</v>
      </c>
    </row>
    <row r="2391" spans="1:10" ht="12.5" x14ac:dyDescent="0.25">
      <c r="A2391" s="1">
        <v>45623</v>
      </c>
      <c r="B2391" s="2" t="s">
        <v>11</v>
      </c>
      <c r="C2391" s="3">
        <v>9.99</v>
      </c>
      <c r="D2391" s="3">
        <v>36</v>
      </c>
      <c r="E2391" s="3">
        <v>359.64</v>
      </c>
      <c r="F2391" t="str">
        <f t="shared" si="187"/>
        <v>net sales</v>
      </c>
      <c r="G2391" s="7" t="str">
        <f t="shared" si="188"/>
        <v>product 1</v>
      </c>
      <c r="H2391">
        <f t="shared" si="189"/>
        <v>2024</v>
      </c>
      <c r="I2391">
        <f t="shared" si="190"/>
        <v>11</v>
      </c>
      <c r="J2391">
        <f t="shared" si="186"/>
        <v>-100</v>
      </c>
    </row>
    <row r="2392" spans="1:10" ht="12.5" x14ac:dyDescent="0.25">
      <c r="A2392" s="1">
        <v>45623</v>
      </c>
      <c r="B2392" s="2" t="s">
        <v>12</v>
      </c>
      <c r="C2392" s="3">
        <v>24.99</v>
      </c>
      <c r="D2392" s="3">
        <v>8</v>
      </c>
      <c r="E2392" s="3">
        <v>199.92</v>
      </c>
      <c r="F2392" t="str">
        <f t="shared" si="187"/>
        <v>net sales</v>
      </c>
      <c r="G2392" s="7" t="str">
        <f t="shared" si="188"/>
        <v>product 2</v>
      </c>
      <c r="H2392">
        <f t="shared" si="189"/>
        <v>2024</v>
      </c>
      <c r="I2392">
        <f t="shared" si="190"/>
        <v>11</v>
      </c>
      <c r="J2392">
        <f t="shared" si="186"/>
        <v>149.85</v>
      </c>
    </row>
    <row r="2393" spans="1:10" ht="12.5" x14ac:dyDescent="0.25">
      <c r="A2393" s="1">
        <v>45623</v>
      </c>
      <c r="B2393" s="2" t="s">
        <v>13</v>
      </c>
      <c r="C2393" s="3">
        <v>12.49</v>
      </c>
      <c r="D2393" s="3">
        <v>242</v>
      </c>
      <c r="E2393" s="3">
        <v>3022.58</v>
      </c>
      <c r="F2393" t="str">
        <f t="shared" si="187"/>
        <v>net sales</v>
      </c>
      <c r="G2393" s="7" t="str">
        <f t="shared" si="188"/>
        <v>product 3</v>
      </c>
      <c r="H2393">
        <f t="shared" si="189"/>
        <v>2024</v>
      </c>
      <c r="I2393">
        <f t="shared" si="190"/>
        <v>11</v>
      </c>
      <c r="J2393">
        <f t="shared" si="186"/>
        <v>49.98</v>
      </c>
    </row>
    <row r="2394" spans="1:10" ht="12.5" x14ac:dyDescent="0.25">
      <c r="A2394" s="1">
        <v>45624</v>
      </c>
      <c r="B2394" s="2" t="s">
        <v>7</v>
      </c>
      <c r="C2394" s="3">
        <v>5.99</v>
      </c>
      <c r="D2394" s="3">
        <v>65</v>
      </c>
      <c r="E2394" s="3">
        <v>389.35</v>
      </c>
      <c r="F2394" t="str">
        <f t="shared" si="187"/>
        <v>cogs</v>
      </c>
      <c r="G2394" s="7" t="str">
        <f t="shared" si="188"/>
        <v>product 1</v>
      </c>
      <c r="H2394">
        <f t="shared" si="189"/>
        <v>2024</v>
      </c>
      <c r="I2394">
        <f t="shared" si="190"/>
        <v>11</v>
      </c>
      <c r="J2394">
        <f t="shared" si="186"/>
        <v>899.28</v>
      </c>
    </row>
    <row r="2395" spans="1:10" ht="12.5" x14ac:dyDescent="0.25">
      <c r="A2395" s="1">
        <v>45624</v>
      </c>
      <c r="B2395" s="2" t="s">
        <v>8</v>
      </c>
      <c r="C2395" s="3">
        <v>16.989999999999998</v>
      </c>
      <c r="D2395" s="3">
        <v>9</v>
      </c>
      <c r="E2395" s="3">
        <v>152.91</v>
      </c>
      <c r="F2395" t="str">
        <f t="shared" si="187"/>
        <v>cogs</v>
      </c>
      <c r="G2395" s="7" t="str">
        <f t="shared" si="188"/>
        <v>product 2</v>
      </c>
      <c r="H2395">
        <f t="shared" si="189"/>
        <v>2024</v>
      </c>
      <c r="I2395">
        <f t="shared" si="190"/>
        <v>11</v>
      </c>
      <c r="J2395">
        <f t="shared" si="186"/>
        <v>-323.46000000000004</v>
      </c>
    </row>
    <row r="2396" spans="1:10" ht="12.5" x14ac:dyDescent="0.25">
      <c r="A2396" s="1">
        <v>45624</v>
      </c>
      <c r="B2396" s="2" t="s">
        <v>9</v>
      </c>
      <c r="C2396" s="3">
        <v>8.49</v>
      </c>
      <c r="D2396" s="3">
        <v>86</v>
      </c>
      <c r="E2396" s="3">
        <v>730.14</v>
      </c>
      <c r="F2396" t="str">
        <f t="shared" si="187"/>
        <v>cogs</v>
      </c>
      <c r="G2396" s="7" t="str">
        <f t="shared" si="188"/>
        <v>product 3</v>
      </c>
      <c r="H2396">
        <f t="shared" si="189"/>
        <v>2024</v>
      </c>
      <c r="I2396">
        <f t="shared" si="190"/>
        <v>11</v>
      </c>
      <c r="J2396">
        <f t="shared" ref="J2396:J2459" si="191">IF(F2179="net sales",E2179,
IF(F2179="cogs",-E2179,
IF(OR(F2179="marketing",F2179="overhead",F2179="payroll",F2179="interest","amortization"),-E2179,0)))</f>
        <v>-33.979999999999997</v>
      </c>
    </row>
    <row r="2397" spans="1:10" ht="12.5" x14ac:dyDescent="0.25">
      <c r="A2397" s="1">
        <v>45624</v>
      </c>
      <c r="B2397" s="2" t="s">
        <v>10</v>
      </c>
      <c r="C2397" s="2" t="s">
        <v>6</v>
      </c>
      <c r="D2397" s="2" t="s">
        <v>6</v>
      </c>
      <c r="E2397" s="3">
        <v>99.97</v>
      </c>
      <c r="F2397" t="str">
        <f t="shared" si="187"/>
        <v>marketing</v>
      </c>
      <c r="G2397" s="7" t="s">
        <v>6</v>
      </c>
      <c r="H2397">
        <f t="shared" si="189"/>
        <v>2024</v>
      </c>
      <c r="I2397">
        <f t="shared" si="190"/>
        <v>11</v>
      </c>
      <c r="J2397">
        <f t="shared" si="191"/>
        <v>-237.72</v>
      </c>
    </row>
    <row r="2398" spans="1:10" ht="12.5" x14ac:dyDescent="0.25">
      <c r="A2398" s="1">
        <v>45624</v>
      </c>
      <c r="B2398" s="2" t="s">
        <v>11</v>
      </c>
      <c r="C2398" s="3">
        <v>9.99</v>
      </c>
      <c r="D2398" s="3">
        <v>65</v>
      </c>
      <c r="E2398" s="3">
        <v>649.35</v>
      </c>
      <c r="F2398" t="str">
        <f t="shared" si="187"/>
        <v>net sales</v>
      </c>
      <c r="G2398" s="7" t="str">
        <f t="shared" si="188"/>
        <v>product 1</v>
      </c>
      <c r="H2398">
        <f t="shared" si="189"/>
        <v>2024</v>
      </c>
      <c r="I2398">
        <f t="shared" si="190"/>
        <v>11</v>
      </c>
      <c r="J2398">
        <f t="shared" si="191"/>
        <v>-99.93</v>
      </c>
    </row>
    <row r="2399" spans="1:10" ht="12.5" x14ac:dyDescent="0.25">
      <c r="A2399" s="1">
        <v>45624</v>
      </c>
      <c r="B2399" s="2" t="s">
        <v>12</v>
      </c>
      <c r="C2399" s="3">
        <v>24.99</v>
      </c>
      <c r="D2399" s="3">
        <v>9</v>
      </c>
      <c r="E2399" s="3">
        <v>224.91</v>
      </c>
      <c r="F2399" t="str">
        <f t="shared" si="187"/>
        <v>net sales</v>
      </c>
      <c r="G2399" s="7" t="str">
        <f t="shared" si="188"/>
        <v>product 2</v>
      </c>
      <c r="H2399">
        <f t="shared" si="189"/>
        <v>2024</v>
      </c>
      <c r="I2399">
        <f t="shared" si="190"/>
        <v>11</v>
      </c>
      <c r="J2399">
        <f t="shared" si="191"/>
        <v>539.46</v>
      </c>
    </row>
    <row r="2400" spans="1:10" ht="12.5" x14ac:dyDescent="0.25">
      <c r="A2400" s="1">
        <v>45624</v>
      </c>
      <c r="B2400" s="2" t="s">
        <v>13</v>
      </c>
      <c r="C2400" s="3">
        <v>12.49</v>
      </c>
      <c r="D2400" s="3">
        <v>86</v>
      </c>
      <c r="E2400" s="3">
        <v>1074.1400000000001</v>
      </c>
      <c r="F2400" t="str">
        <f t="shared" si="187"/>
        <v>net sales</v>
      </c>
      <c r="G2400" s="7" t="str">
        <f t="shared" si="188"/>
        <v>product 3</v>
      </c>
      <c r="H2400">
        <f t="shared" si="189"/>
        <v>2024</v>
      </c>
      <c r="I2400">
        <f t="shared" si="190"/>
        <v>11</v>
      </c>
      <c r="J2400">
        <f t="shared" si="191"/>
        <v>49.98</v>
      </c>
    </row>
    <row r="2401" spans="1:10" ht="12.5" x14ac:dyDescent="0.25">
      <c r="A2401" s="1">
        <v>45625</v>
      </c>
      <c r="B2401" s="2" t="s">
        <v>7</v>
      </c>
      <c r="C2401" s="3">
        <v>5.99</v>
      </c>
      <c r="D2401" s="3">
        <v>38</v>
      </c>
      <c r="E2401" s="3">
        <v>227.62</v>
      </c>
      <c r="F2401" t="str">
        <f t="shared" si="187"/>
        <v>cogs</v>
      </c>
      <c r="G2401" s="7" t="str">
        <f t="shared" si="188"/>
        <v>product 1</v>
      </c>
      <c r="H2401">
        <f t="shared" si="189"/>
        <v>2024</v>
      </c>
      <c r="I2401">
        <f t="shared" si="190"/>
        <v>11</v>
      </c>
      <c r="J2401">
        <f t="shared" si="191"/>
        <v>349.72</v>
      </c>
    </row>
    <row r="2402" spans="1:10" ht="12.5" x14ac:dyDescent="0.25">
      <c r="A2402" s="1">
        <v>45625</v>
      </c>
      <c r="B2402" s="2" t="s">
        <v>8</v>
      </c>
      <c r="C2402" s="3">
        <v>16.989999999999998</v>
      </c>
      <c r="D2402" s="3">
        <v>4</v>
      </c>
      <c r="E2402" s="3">
        <v>67.959999999999994</v>
      </c>
      <c r="F2402" t="str">
        <f t="shared" si="187"/>
        <v>cogs</v>
      </c>
      <c r="G2402" s="7" t="str">
        <f t="shared" si="188"/>
        <v>product 2</v>
      </c>
      <c r="H2402">
        <f t="shared" si="189"/>
        <v>2024</v>
      </c>
      <c r="I2402">
        <f t="shared" si="190"/>
        <v>11</v>
      </c>
      <c r="J2402">
        <f t="shared" si="191"/>
        <v>-71.88</v>
      </c>
    </row>
    <row r="2403" spans="1:10" ht="12.5" x14ac:dyDescent="0.25">
      <c r="A2403" s="1">
        <v>45625</v>
      </c>
      <c r="B2403" s="2" t="s">
        <v>9</v>
      </c>
      <c r="C2403" s="3">
        <v>8.49</v>
      </c>
      <c r="D2403" s="3">
        <v>18</v>
      </c>
      <c r="E2403" s="3">
        <v>152.82</v>
      </c>
      <c r="F2403" t="str">
        <f t="shared" si="187"/>
        <v>cogs</v>
      </c>
      <c r="G2403" s="7" t="str">
        <f t="shared" si="188"/>
        <v>product 3</v>
      </c>
      <c r="H2403">
        <f t="shared" si="189"/>
        <v>2024</v>
      </c>
      <c r="I2403">
        <f t="shared" si="190"/>
        <v>11</v>
      </c>
      <c r="J2403">
        <f t="shared" si="191"/>
        <v>-67.959999999999994</v>
      </c>
    </row>
    <row r="2404" spans="1:10" ht="12.5" x14ac:dyDescent="0.25">
      <c r="A2404" s="1">
        <v>45625</v>
      </c>
      <c r="B2404" s="2" t="s">
        <v>10</v>
      </c>
      <c r="C2404" s="2" t="s">
        <v>6</v>
      </c>
      <c r="D2404" s="2" t="s">
        <v>6</v>
      </c>
      <c r="E2404" s="3">
        <v>99.94</v>
      </c>
      <c r="F2404" t="str">
        <f t="shared" si="187"/>
        <v>marketing</v>
      </c>
      <c r="G2404" s="7" t="s">
        <v>6</v>
      </c>
      <c r="H2404">
        <f t="shared" si="189"/>
        <v>2024</v>
      </c>
      <c r="I2404">
        <f t="shared" si="190"/>
        <v>11</v>
      </c>
      <c r="J2404">
        <f t="shared" si="191"/>
        <v>-25.47</v>
      </c>
    </row>
    <row r="2405" spans="1:10" ht="12.5" x14ac:dyDescent="0.25">
      <c r="A2405" s="1">
        <v>45625</v>
      </c>
      <c r="B2405" s="2" t="s">
        <v>11</v>
      </c>
      <c r="C2405" s="3">
        <v>9.99</v>
      </c>
      <c r="D2405" s="3">
        <v>38</v>
      </c>
      <c r="E2405" s="3">
        <v>379.62</v>
      </c>
      <c r="F2405" t="str">
        <f t="shared" si="187"/>
        <v>net sales</v>
      </c>
      <c r="G2405" s="7" t="str">
        <f t="shared" si="188"/>
        <v>product 1</v>
      </c>
      <c r="H2405">
        <f t="shared" si="189"/>
        <v>2024</v>
      </c>
      <c r="I2405">
        <f t="shared" si="190"/>
        <v>11</v>
      </c>
      <c r="J2405">
        <f t="shared" si="191"/>
        <v>-100.05</v>
      </c>
    </row>
    <row r="2406" spans="1:10" ht="12.5" x14ac:dyDescent="0.25">
      <c r="A2406" s="1">
        <v>45625</v>
      </c>
      <c r="B2406" s="2" t="s">
        <v>12</v>
      </c>
      <c r="C2406" s="3">
        <v>24.99</v>
      </c>
      <c r="D2406" s="3">
        <v>4</v>
      </c>
      <c r="E2406" s="3">
        <v>99.96</v>
      </c>
      <c r="F2406" t="str">
        <f t="shared" si="187"/>
        <v>net sales</v>
      </c>
      <c r="G2406" s="7" t="str">
        <f t="shared" si="188"/>
        <v>product 2</v>
      </c>
      <c r="H2406">
        <f t="shared" si="189"/>
        <v>2024</v>
      </c>
      <c r="I2406">
        <f t="shared" si="190"/>
        <v>11</v>
      </c>
      <c r="J2406">
        <f t="shared" si="191"/>
        <v>119.88</v>
      </c>
    </row>
    <row r="2407" spans="1:10" ht="12.5" x14ac:dyDescent="0.25">
      <c r="A2407" s="1">
        <v>45625</v>
      </c>
      <c r="B2407" s="2" t="s">
        <v>13</v>
      </c>
      <c r="C2407" s="3">
        <v>12.49</v>
      </c>
      <c r="D2407" s="3">
        <v>18</v>
      </c>
      <c r="E2407" s="3">
        <v>224.82</v>
      </c>
      <c r="F2407" t="str">
        <f t="shared" si="187"/>
        <v>net sales</v>
      </c>
      <c r="G2407" s="7" t="str">
        <f t="shared" si="188"/>
        <v>product 3</v>
      </c>
      <c r="H2407">
        <f t="shared" si="189"/>
        <v>2024</v>
      </c>
      <c r="I2407">
        <f t="shared" si="190"/>
        <v>11</v>
      </c>
      <c r="J2407">
        <f t="shared" si="191"/>
        <v>99.96</v>
      </c>
    </row>
    <row r="2408" spans="1:10" ht="12.5" x14ac:dyDescent="0.25">
      <c r="A2408" s="1">
        <v>45626</v>
      </c>
      <c r="B2408" s="2" t="s">
        <v>7</v>
      </c>
      <c r="C2408" s="3">
        <v>5.99</v>
      </c>
      <c r="D2408" s="3">
        <v>87</v>
      </c>
      <c r="E2408" s="3">
        <v>521.13</v>
      </c>
      <c r="F2408" t="str">
        <f t="shared" si="187"/>
        <v>cogs</v>
      </c>
      <c r="G2408" s="7" t="str">
        <f t="shared" si="188"/>
        <v>product 1</v>
      </c>
      <c r="H2408">
        <f t="shared" si="189"/>
        <v>2024</v>
      </c>
      <c r="I2408">
        <f t="shared" si="190"/>
        <v>11</v>
      </c>
      <c r="J2408">
        <f t="shared" si="191"/>
        <v>37.47</v>
      </c>
    </row>
    <row r="2409" spans="1:10" ht="12.5" x14ac:dyDescent="0.25">
      <c r="A2409" s="1">
        <v>45626</v>
      </c>
      <c r="B2409" s="2" t="s">
        <v>8</v>
      </c>
      <c r="C2409" s="3">
        <v>16.989999999999998</v>
      </c>
      <c r="D2409" s="3">
        <v>2</v>
      </c>
      <c r="E2409" s="3">
        <v>33.979999999999997</v>
      </c>
      <c r="F2409" t="str">
        <f t="shared" si="187"/>
        <v>cogs</v>
      </c>
      <c r="G2409" s="7" t="str">
        <f t="shared" si="188"/>
        <v>product 2</v>
      </c>
      <c r="H2409">
        <f t="shared" si="189"/>
        <v>2024</v>
      </c>
      <c r="I2409">
        <f t="shared" si="190"/>
        <v>11</v>
      </c>
      <c r="J2409">
        <f t="shared" si="191"/>
        <v>-263.56</v>
      </c>
    </row>
    <row r="2410" spans="1:10" ht="12.5" x14ac:dyDescent="0.25">
      <c r="A2410" s="1">
        <v>45626</v>
      </c>
      <c r="B2410" s="2" t="s">
        <v>9</v>
      </c>
      <c r="C2410" s="3">
        <v>8.49</v>
      </c>
      <c r="D2410" s="3">
        <v>0</v>
      </c>
      <c r="E2410" s="2">
        <f>C2410*D2410</f>
        <v>0</v>
      </c>
      <c r="F2410" t="str">
        <f t="shared" si="187"/>
        <v>cogs</v>
      </c>
      <c r="G2410" s="7" t="str">
        <f t="shared" si="188"/>
        <v>product 3</v>
      </c>
      <c r="H2410">
        <f t="shared" si="189"/>
        <v>2024</v>
      </c>
      <c r="I2410">
        <f t="shared" si="190"/>
        <v>11</v>
      </c>
      <c r="J2410">
        <f t="shared" si="191"/>
        <v>-152.91</v>
      </c>
    </row>
    <row r="2411" spans="1:10" ht="12.5" x14ac:dyDescent="0.25">
      <c r="A2411" s="1">
        <v>45626</v>
      </c>
      <c r="B2411" s="2" t="s">
        <v>10</v>
      </c>
      <c r="C2411" s="2" t="s">
        <v>6</v>
      </c>
      <c r="D2411" s="2" t="s">
        <v>6</v>
      </c>
      <c r="E2411" s="3">
        <v>99.92</v>
      </c>
      <c r="F2411" t="str">
        <f t="shared" si="187"/>
        <v>marketing</v>
      </c>
      <c r="G2411" s="7" t="s">
        <v>6</v>
      </c>
      <c r="H2411">
        <f t="shared" si="189"/>
        <v>2024</v>
      </c>
      <c r="I2411">
        <f t="shared" si="190"/>
        <v>11</v>
      </c>
      <c r="J2411">
        <f t="shared" si="191"/>
        <v>-2088.54</v>
      </c>
    </row>
    <row r="2412" spans="1:10" ht="12.5" x14ac:dyDescent="0.25">
      <c r="A2412" s="1">
        <v>45626</v>
      </c>
      <c r="B2412" s="2" t="s">
        <v>11</v>
      </c>
      <c r="C2412" s="3">
        <v>9.99</v>
      </c>
      <c r="D2412" s="3">
        <v>87</v>
      </c>
      <c r="E2412" s="3">
        <v>869.13</v>
      </c>
      <c r="F2412" t="str">
        <f t="shared" si="187"/>
        <v>net sales</v>
      </c>
      <c r="G2412" s="7" t="str">
        <f t="shared" si="188"/>
        <v>product 1</v>
      </c>
      <c r="H2412">
        <f t="shared" si="189"/>
        <v>2024</v>
      </c>
      <c r="I2412">
        <f t="shared" si="190"/>
        <v>11</v>
      </c>
      <c r="J2412">
        <f t="shared" si="191"/>
        <v>-100.08</v>
      </c>
    </row>
    <row r="2413" spans="1:10" ht="12.5" x14ac:dyDescent="0.25">
      <c r="A2413" s="1">
        <v>45626</v>
      </c>
      <c r="B2413" s="2" t="s">
        <v>12</v>
      </c>
      <c r="C2413" s="3">
        <v>24.99</v>
      </c>
      <c r="D2413" s="3">
        <v>2</v>
      </c>
      <c r="E2413" s="3">
        <v>49.98</v>
      </c>
      <c r="F2413" t="str">
        <f t="shared" si="187"/>
        <v>net sales</v>
      </c>
      <c r="G2413" s="7" t="str">
        <f t="shared" si="188"/>
        <v>product 2</v>
      </c>
      <c r="H2413">
        <f t="shared" si="189"/>
        <v>2024</v>
      </c>
      <c r="I2413">
        <f t="shared" si="190"/>
        <v>11</v>
      </c>
      <c r="J2413">
        <f t="shared" si="191"/>
        <v>439.56</v>
      </c>
    </row>
    <row r="2414" spans="1:10" ht="12.5" x14ac:dyDescent="0.25">
      <c r="A2414" s="1">
        <v>45626</v>
      </c>
      <c r="B2414" s="2" t="s">
        <v>13</v>
      </c>
      <c r="C2414" s="3">
        <v>12.49</v>
      </c>
      <c r="D2414" s="3">
        <v>0</v>
      </c>
      <c r="E2414" s="2">
        <f>C2414*D2414</f>
        <v>0</v>
      </c>
      <c r="F2414" t="str">
        <f t="shared" si="187"/>
        <v>net sales</v>
      </c>
      <c r="G2414" s="7" t="str">
        <f t="shared" si="188"/>
        <v>product 3</v>
      </c>
      <c r="H2414">
        <f t="shared" si="189"/>
        <v>2024</v>
      </c>
      <c r="I2414">
        <f t="shared" si="190"/>
        <v>11</v>
      </c>
      <c r="J2414">
        <f t="shared" si="191"/>
        <v>224.91</v>
      </c>
    </row>
    <row r="2415" spans="1:10" ht="12.5" x14ac:dyDescent="0.25">
      <c r="A2415" s="1">
        <v>45627</v>
      </c>
      <c r="B2415" s="2" t="s">
        <v>5</v>
      </c>
      <c r="C2415" s="2" t="s">
        <v>6</v>
      </c>
      <c r="D2415" s="2" t="s">
        <v>6</v>
      </c>
      <c r="E2415" s="3">
        <v>50</v>
      </c>
      <c r="F2415" t="str">
        <f t="shared" si="187"/>
        <v>amortization</v>
      </c>
      <c r="G2415" s="7" t="s">
        <v>6</v>
      </c>
      <c r="H2415">
        <f t="shared" si="189"/>
        <v>2024</v>
      </c>
      <c r="I2415">
        <f t="shared" si="190"/>
        <v>12</v>
      </c>
      <c r="J2415">
        <f t="shared" si="191"/>
        <v>3072.54</v>
      </c>
    </row>
    <row r="2416" spans="1:10" ht="12.5" x14ac:dyDescent="0.25">
      <c r="A2416" s="1">
        <v>45627</v>
      </c>
      <c r="B2416" s="2" t="s">
        <v>7</v>
      </c>
      <c r="C2416" s="3">
        <v>5.99</v>
      </c>
      <c r="D2416" s="3">
        <v>13</v>
      </c>
      <c r="E2416" s="3">
        <v>77.87</v>
      </c>
      <c r="F2416" t="str">
        <f t="shared" si="187"/>
        <v>cogs</v>
      </c>
      <c r="G2416" s="7" t="str">
        <f t="shared" si="188"/>
        <v>product 1</v>
      </c>
      <c r="H2416">
        <f t="shared" si="189"/>
        <v>2024</v>
      </c>
      <c r="I2416">
        <f t="shared" si="190"/>
        <v>12</v>
      </c>
      <c r="J2416">
        <f t="shared" si="191"/>
        <v>0</v>
      </c>
    </row>
    <row r="2417" spans="1:10" ht="12.5" x14ac:dyDescent="0.25">
      <c r="A2417" s="1">
        <v>45627</v>
      </c>
      <c r="B2417" s="2" t="s">
        <v>8</v>
      </c>
      <c r="C2417" s="3">
        <v>16.989999999999998</v>
      </c>
      <c r="D2417" s="3">
        <v>4</v>
      </c>
      <c r="E2417" s="3">
        <v>67.959999999999994</v>
      </c>
      <c r="F2417" t="str">
        <f t="shared" si="187"/>
        <v>cogs</v>
      </c>
      <c r="G2417" s="7" t="str">
        <f t="shared" si="188"/>
        <v>product 2</v>
      </c>
      <c r="H2417">
        <f t="shared" si="189"/>
        <v>2024</v>
      </c>
      <c r="I2417">
        <f t="shared" si="190"/>
        <v>12</v>
      </c>
      <c r="J2417">
        <f t="shared" si="191"/>
        <v>-65.89</v>
      </c>
    </row>
    <row r="2418" spans="1:10" ht="12.5" x14ac:dyDescent="0.25">
      <c r="A2418" s="1">
        <v>45627</v>
      </c>
      <c r="B2418" s="2" t="s">
        <v>9</v>
      </c>
      <c r="C2418" s="3">
        <v>8.49</v>
      </c>
      <c r="D2418" s="3">
        <v>0</v>
      </c>
      <c r="E2418" s="2">
        <f>C2418*D2418</f>
        <v>0</v>
      </c>
      <c r="F2418" t="str">
        <f t="shared" si="187"/>
        <v>cogs</v>
      </c>
      <c r="G2418" s="7" t="str">
        <f t="shared" si="188"/>
        <v>product 3</v>
      </c>
      <c r="H2418">
        <f t="shared" si="189"/>
        <v>2024</v>
      </c>
      <c r="I2418">
        <f t="shared" si="190"/>
        <v>12</v>
      </c>
      <c r="J2418">
        <f t="shared" si="191"/>
        <v>-50.97</v>
      </c>
    </row>
    <row r="2419" spans="1:10" ht="12.5" x14ac:dyDescent="0.25">
      <c r="A2419" s="1">
        <v>45627</v>
      </c>
      <c r="B2419" s="2" t="s">
        <v>10</v>
      </c>
      <c r="C2419" s="2" t="s">
        <v>6</v>
      </c>
      <c r="D2419" s="2" t="s">
        <v>6</v>
      </c>
      <c r="E2419" s="3">
        <v>99.91</v>
      </c>
      <c r="F2419" t="str">
        <f t="shared" si="187"/>
        <v>marketing</v>
      </c>
      <c r="G2419" s="7" t="s">
        <v>6</v>
      </c>
      <c r="H2419">
        <f t="shared" si="189"/>
        <v>2024</v>
      </c>
      <c r="I2419">
        <f t="shared" si="190"/>
        <v>12</v>
      </c>
      <c r="J2419">
        <f t="shared" si="191"/>
        <v>-492.42</v>
      </c>
    </row>
    <row r="2420" spans="1:10" ht="12.5" x14ac:dyDescent="0.25">
      <c r="A2420" s="1">
        <v>45627</v>
      </c>
      <c r="B2420" s="2" t="s">
        <v>11</v>
      </c>
      <c r="C2420" s="3">
        <v>9.99</v>
      </c>
      <c r="D2420" s="3">
        <v>13</v>
      </c>
      <c r="E2420" s="3">
        <v>129.87</v>
      </c>
      <c r="F2420" t="str">
        <f t="shared" si="187"/>
        <v>net sales</v>
      </c>
      <c r="G2420" s="7" t="str">
        <f t="shared" si="188"/>
        <v>product 1</v>
      </c>
      <c r="H2420">
        <f t="shared" si="189"/>
        <v>2024</v>
      </c>
      <c r="I2420">
        <f t="shared" si="190"/>
        <v>12</v>
      </c>
      <c r="J2420">
        <f t="shared" si="191"/>
        <v>-99.97</v>
      </c>
    </row>
    <row r="2421" spans="1:10" ht="12.5" x14ac:dyDescent="0.25">
      <c r="A2421" s="1">
        <v>45627</v>
      </c>
      <c r="B2421" s="2" t="s">
        <v>12</v>
      </c>
      <c r="C2421" s="3">
        <v>24.99</v>
      </c>
      <c r="D2421" s="3">
        <v>4</v>
      </c>
      <c r="E2421" s="3">
        <v>99.96</v>
      </c>
      <c r="F2421" t="str">
        <f t="shared" si="187"/>
        <v>net sales</v>
      </c>
      <c r="G2421" s="7" t="str">
        <f t="shared" si="188"/>
        <v>product 2</v>
      </c>
      <c r="H2421">
        <f t="shared" si="189"/>
        <v>2024</v>
      </c>
      <c r="I2421">
        <f t="shared" si="190"/>
        <v>12</v>
      </c>
      <c r="J2421">
        <f t="shared" si="191"/>
        <v>109.89</v>
      </c>
    </row>
    <row r="2422" spans="1:10" ht="12.5" x14ac:dyDescent="0.25">
      <c r="A2422" s="1">
        <v>45627</v>
      </c>
      <c r="B2422" s="2" t="s">
        <v>13</v>
      </c>
      <c r="C2422" s="3">
        <v>12.49</v>
      </c>
      <c r="D2422" s="3">
        <v>0</v>
      </c>
      <c r="E2422" s="2">
        <f>C2422*D2422</f>
        <v>0</v>
      </c>
      <c r="F2422" t="str">
        <f t="shared" si="187"/>
        <v>net sales</v>
      </c>
      <c r="G2422" s="7" t="str">
        <f t="shared" si="188"/>
        <v>product 3</v>
      </c>
      <c r="H2422">
        <f t="shared" si="189"/>
        <v>2024</v>
      </c>
      <c r="I2422">
        <f t="shared" si="190"/>
        <v>12</v>
      </c>
      <c r="J2422">
        <f t="shared" si="191"/>
        <v>74.97</v>
      </c>
    </row>
    <row r="2423" spans="1:10" ht="12.5" x14ac:dyDescent="0.25">
      <c r="A2423" s="1">
        <v>45627</v>
      </c>
      <c r="B2423" s="2" t="s">
        <v>14</v>
      </c>
      <c r="C2423" s="2" t="s">
        <v>6</v>
      </c>
      <c r="D2423" s="2" t="s">
        <v>6</v>
      </c>
      <c r="E2423" s="3">
        <v>2000</v>
      </c>
      <c r="F2423" t="str">
        <f t="shared" si="187"/>
        <v>overhead</v>
      </c>
      <c r="G2423" s="7" t="s">
        <v>6</v>
      </c>
      <c r="H2423">
        <f t="shared" si="189"/>
        <v>2024</v>
      </c>
      <c r="I2423">
        <f t="shared" si="190"/>
        <v>12</v>
      </c>
      <c r="J2423">
        <f t="shared" si="191"/>
        <v>724.42</v>
      </c>
    </row>
    <row r="2424" spans="1:10" ht="12.5" x14ac:dyDescent="0.25">
      <c r="A2424" s="1">
        <v>45628</v>
      </c>
      <c r="B2424" s="2" t="s">
        <v>7</v>
      </c>
      <c r="C2424" s="3">
        <v>5.99</v>
      </c>
      <c r="D2424" s="3">
        <v>25</v>
      </c>
      <c r="E2424" s="3">
        <v>149.75</v>
      </c>
      <c r="F2424" t="str">
        <f t="shared" si="187"/>
        <v>cogs</v>
      </c>
      <c r="G2424" s="7" t="str">
        <f t="shared" si="188"/>
        <v>product 1</v>
      </c>
      <c r="H2424">
        <f t="shared" si="189"/>
        <v>2024</v>
      </c>
      <c r="I2424">
        <f t="shared" si="190"/>
        <v>12</v>
      </c>
      <c r="J2424">
        <f t="shared" si="191"/>
        <v>-2000</v>
      </c>
    </row>
    <row r="2425" spans="1:10" ht="12.5" x14ac:dyDescent="0.25">
      <c r="A2425" s="1">
        <v>45628</v>
      </c>
      <c r="B2425" s="2" t="s">
        <v>8</v>
      </c>
      <c r="C2425" s="3">
        <v>16.989999999999998</v>
      </c>
      <c r="D2425" s="3">
        <v>7</v>
      </c>
      <c r="E2425" s="3">
        <v>118.92999999999999</v>
      </c>
      <c r="F2425" t="str">
        <f t="shared" si="187"/>
        <v>cogs</v>
      </c>
      <c r="G2425" s="7" t="str">
        <f t="shared" si="188"/>
        <v>product 2</v>
      </c>
      <c r="H2425">
        <f t="shared" si="189"/>
        <v>2024</v>
      </c>
      <c r="I2425">
        <f t="shared" si="190"/>
        <v>12</v>
      </c>
      <c r="J2425">
        <f t="shared" si="191"/>
        <v>-239.60000000000002</v>
      </c>
    </row>
    <row r="2426" spans="1:10" ht="12.5" x14ac:dyDescent="0.25">
      <c r="A2426" s="1">
        <v>45628</v>
      </c>
      <c r="B2426" s="2" t="s">
        <v>9</v>
      </c>
      <c r="C2426" s="3">
        <v>8.49</v>
      </c>
      <c r="D2426" s="3">
        <v>122</v>
      </c>
      <c r="E2426" s="3">
        <v>1035.78</v>
      </c>
      <c r="F2426" t="str">
        <f t="shared" si="187"/>
        <v>cogs</v>
      </c>
      <c r="G2426" s="7" t="str">
        <f t="shared" si="188"/>
        <v>product 3</v>
      </c>
      <c r="H2426">
        <f t="shared" si="189"/>
        <v>2024</v>
      </c>
      <c r="I2426">
        <f t="shared" si="190"/>
        <v>12</v>
      </c>
      <c r="J2426">
        <f t="shared" si="191"/>
        <v>-84.949999999999989</v>
      </c>
    </row>
    <row r="2427" spans="1:10" ht="12.5" x14ac:dyDescent="0.25">
      <c r="A2427" s="1">
        <v>45628</v>
      </c>
      <c r="B2427" s="2" t="s">
        <v>10</v>
      </c>
      <c r="C2427" s="2" t="s">
        <v>6</v>
      </c>
      <c r="D2427" s="2" t="s">
        <v>6</v>
      </c>
      <c r="E2427" s="3">
        <v>99.98</v>
      </c>
      <c r="F2427" t="str">
        <f t="shared" si="187"/>
        <v>marketing</v>
      </c>
      <c r="G2427" s="7" t="s">
        <v>6</v>
      </c>
      <c r="H2427">
        <f t="shared" si="189"/>
        <v>2024</v>
      </c>
      <c r="I2427">
        <f t="shared" si="190"/>
        <v>12</v>
      </c>
      <c r="J2427">
        <f t="shared" si="191"/>
        <v>-653.73</v>
      </c>
    </row>
    <row r="2428" spans="1:10" ht="12.5" x14ac:dyDescent="0.25">
      <c r="A2428" s="1">
        <v>45628</v>
      </c>
      <c r="B2428" s="2" t="s">
        <v>11</v>
      </c>
      <c r="C2428" s="3">
        <v>9.99</v>
      </c>
      <c r="D2428" s="3">
        <v>25</v>
      </c>
      <c r="E2428" s="3">
        <v>249.75</v>
      </c>
      <c r="F2428" t="str">
        <f t="shared" si="187"/>
        <v>net sales</v>
      </c>
      <c r="G2428" s="7" t="str">
        <f t="shared" si="188"/>
        <v>product 1</v>
      </c>
      <c r="H2428">
        <f t="shared" si="189"/>
        <v>2024</v>
      </c>
      <c r="I2428">
        <f t="shared" si="190"/>
        <v>12</v>
      </c>
      <c r="J2428">
        <f t="shared" si="191"/>
        <v>-100.03</v>
      </c>
    </row>
    <row r="2429" spans="1:10" ht="12.5" x14ac:dyDescent="0.25">
      <c r="A2429" s="1">
        <v>45628</v>
      </c>
      <c r="B2429" s="2" t="s">
        <v>12</v>
      </c>
      <c r="C2429" s="3">
        <v>24.99</v>
      </c>
      <c r="D2429" s="3">
        <v>7</v>
      </c>
      <c r="E2429" s="3">
        <v>174.92999999999998</v>
      </c>
      <c r="F2429" t="str">
        <f t="shared" si="187"/>
        <v>net sales</v>
      </c>
      <c r="G2429" s="7" t="str">
        <f t="shared" si="188"/>
        <v>product 2</v>
      </c>
      <c r="H2429">
        <f t="shared" si="189"/>
        <v>2024</v>
      </c>
      <c r="I2429">
        <f t="shared" si="190"/>
        <v>12</v>
      </c>
      <c r="J2429">
        <f t="shared" si="191"/>
        <v>399.6</v>
      </c>
    </row>
    <row r="2430" spans="1:10" ht="12.5" x14ac:dyDescent="0.25">
      <c r="A2430" s="1">
        <v>45628</v>
      </c>
      <c r="B2430" s="2" t="s">
        <v>13</v>
      </c>
      <c r="C2430" s="3">
        <v>12.49</v>
      </c>
      <c r="D2430" s="3">
        <v>122</v>
      </c>
      <c r="E2430" s="3">
        <v>1523.78</v>
      </c>
      <c r="F2430" t="str">
        <f t="shared" si="187"/>
        <v>net sales</v>
      </c>
      <c r="G2430" s="7" t="str">
        <f t="shared" si="188"/>
        <v>product 3</v>
      </c>
      <c r="H2430">
        <f t="shared" si="189"/>
        <v>2024</v>
      </c>
      <c r="I2430">
        <f t="shared" si="190"/>
        <v>12</v>
      </c>
      <c r="J2430">
        <f t="shared" si="191"/>
        <v>124.94999999999999</v>
      </c>
    </row>
    <row r="2431" spans="1:10" ht="12.5" x14ac:dyDescent="0.25">
      <c r="A2431" s="1">
        <v>45629</v>
      </c>
      <c r="B2431" s="2" t="s">
        <v>7</v>
      </c>
      <c r="C2431" s="3">
        <v>5.99</v>
      </c>
      <c r="D2431" s="3">
        <v>81</v>
      </c>
      <c r="E2431" s="3">
        <v>485.19</v>
      </c>
      <c r="F2431" t="str">
        <f t="shared" si="187"/>
        <v>cogs</v>
      </c>
      <c r="G2431" s="7" t="str">
        <f t="shared" si="188"/>
        <v>product 1</v>
      </c>
      <c r="H2431">
        <f t="shared" si="189"/>
        <v>2024</v>
      </c>
      <c r="I2431">
        <f t="shared" si="190"/>
        <v>12</v>
      </c>
      <c r="J2431">
        <f t="shared" si="191"/>
        <v>961.73</v>
      </c>
    </row>
    <row r="2432" spans="1:10" ht="12.5" x14ac:dyDescent="0.25">
      <c r="A2432" s="1">
        <v>45629</v>
      </c>
      <c r="B2432" s="2" t="s">
        <v>8</v>
      </c>
      <c r="C2432" s="3">
        <v>16.989999999999998</v>
      </c>
      <c r="D2432" s="3">
        <v>3</v>
      </c>
      <c r="E2432" s="3">
        <v>50.97</v>
      </c>
      <c r="F2432" t="str">
        <f t="shared" si="187"/>
        <v>cogs</v>
      </c>
      <c r="G2432" s="7" t="str">
        <f t="shared" si="188"/>
        <v>product 2</v>
      </c>
      <c r="H2432">
        <f t="shared" si="189"/>
        <v>2024</v>
      </c>
      <c r="I2432">
        <f t="shared" si="190"/>
        <v>12</v>
      </c>
      <c r="J2432">
        <f t="shared" si="191"/>
        <v>-41.93</v>
      </c>
    </row>
    <row r="2433" spans="1:10" ht="12.5" x14ac:dyDescent="0.25">
      <c r="A2433" s="1">
        <v>45629</v>
      </c>
      <c r="B2433" s="2" t="s">
        <v>9</v>
      </c>
      <c r="C2433" s="3">
        <v>8.49</v>
      </c>
      <c r="D2433" s="3">
        <v>8</v>
      </c>
      <c r="E2433" s="3">
        <v>67.92</v>
      </c>
      <c r="F2433" t="str">
        <f t="shared" si="187"/>
        <v>cogs</v>
      </c>
      <c r="G2433" s="7" t="str">
        <f t="shared" si="188"/>
        <v>product 3</v>
      </c>
      <c r="H2433">
        <f t="shared" si="189"/>
        <v>2024</v>
      </c>
      <c r="I2433">
        <f t="shared" si="190"/>
        <v>12</v>
      </c>
      <c r="J2433">
        <f t="shared" si="191"/>
        <v>-16.989999999999998</v>
      </c>
    </row>
    <row r="2434" spans="1:10" ht="12.5" x14ac:dyDescent="0.25">
      <c r="A2434" s="1">
        <v>45629</v>
      </c>
      <c r="B2434" s="2" t="s">
        <v>10</v>
      </c>
      <c r="C2434" s="2" t="s">
        <v>6</v>
      </c>
      <c r="D2434" s="2" t="s">
        <v>6</v>
      </c>
      <c r="E2434" s="3">
        <v>100.07000000000001</v>
      </c>
      <c r="F2434" t="str">
        <f t="shared" si="187"/>
        <v>marketing</v>
      </c>
      <c r="G2434" s="7" t="s">
        <v>6</v>
      </c>
      <c r="H2434">
        <f t="shared" si="189"/>
        <v>2024</v>
      </c>
      <c r="I2434">
        <f t="shared" si="190"/>
        <v>12</v>
      </c>
      <c r="J2434">
        <f t="shared" si="191"/>
        <v>-636.75</v>
      </c>
    </row>
    <row r="2435" spans="1:10" ht="12.5" x14ac:dyDescent="0.25">
      <c r="A2435" s="1">
        <v>45629</v>
      </c>
      <c r="B2435" s="2" t="s">
        <v>11</v>
      </c>
      <c r="C2435" s="3">
        <v>9.99</v>
      </c>
      <c r="D2435" s="3">
        <v>81</v>
      </c>
      <c r="E2435" s="3">
        <v>809.19</v>
      </c>
      <c r="F2435" t="str">
        <f t="shared" ref="F2435:F2498" si="192">IFERROR(LEFT(B2435,FIND(":",B2435)-1),B2435)</f>
        <v>net sales</v>
      </c>
      <c r="G2435" s="7" t="str">
        <f t="shared" ref="G2435:G2497" si="193">IFERROR(RIGHT(B2435,LEN(B2435)-FIND(":",B2435)),"")</f>
        <v>product 1</v>
      </c>
      <c r="H2435">
        <f t="shared" ref="H2435:H2498" si="194">YEAR(A2435)</f>
        <v>2024</v>
      </c>
      <c r="I2435">
        <f t="shared" ref="I2435:I2498" si="195">MONTH(A2435)</f>
        <v>12</v>
      </c>
      <c r="J2435">
        <f t="shared" si="191"/>
        <v>-99.94</v>
      </c>
    </row>
    <row r="2436" spans="1:10" ht="12.5" x14ac:dyDescent="0.25">
      <c r="A2436" s="1">
        <v>45629</v>
      </c>
      <c r="B2436" s="2" t="s">
        <v>12</v>
      </c>
      <c r="C2436" s="3">
        <v>24.99</v>
      </c>
      <c r="D2436" s="3">
        <v>3</v>
      </c>
      <c r="E2436" s="3">
        <v>74.97</v>
      </c>
      <c r="F2436" t="str">
        <f t="shared" si="192"/>
        <v>net sales</v>
      </c>
      <c r="G2436" s="7" t="str">
        <f t="shared" si="193"/>
        <v>product 2</v>
      </c>
      <c r="H2436">
        <f t="shared" si="194"/>
        <v>2024</v>
      </c>
      <c r="I2436">
        <f t="shared" si="195"/>
        <v>12</v>
      </c>
      <c r="J2436">
        <f t="shared" si="191"/>
        <v>69.930000000000007</v>
      </c>
    </row>
    <row r="2437" spans="1:10" ht="12.5" x14ac:dyDescent="0.25">
      <c r="A2437" s="1">
        <v>45629</v>
      </c>
      <c r="B2437" s="2" t="s">
        <v>13</v>
      </c>
      <c r="C2437" s="3">
        <v>12.49</v>
      </c>
      <c r="D2437" s="3">
        <v>8</v>
      </c>
      <c r="E2437" s="3">
        <v>99.92</v>
      </c>
      <c r="F2437" t="str">
        <f t="shared" si="192"/>
        <v>net sales</v>
      </c>
      <c r="G2437" s="7" t="str">
        <f t="shared" si="193"/>
        <v>product 3</v>
      </c>
      <c r="H2437">
        <f t="shared" si="194"/>
        <v>2024</v>
      </c>
      <c r="I2437">
        <f t="shared" si="195"/>
        <v>12</v>
      </c>
      <c r="J2437">
        <f t="shared" si="191"/>
        <v>24.99</v>
      </c>
    </row>
    <row r="2438" spans="1:10" ht="12.5" x14ac:dyDescent="0.25">
      <c r="A2438" s="1">
        <v>45630</v>
      </c>
      <c r="B2438" s="2" t="s">
        <v>7</v>
      </c>
      <c r="C2438" s="3">
        <v>5.99</v>
      </c>
      <c r="D2438" s="3">
        <v>7</v>
      </c>
      <c r="E2438" s="3">
        <v>41.93</v>
      </c>
      <c r="F2438" t="str">
        <f t="shared" si="192"/>
        <v>cogs</v>
      </c>
      <c r="G2438" s="7" t="str">
        <f t="shared" si="193"/>
        <v>product 1</v>
      </c>
      <c r="H2438">
        <f t="shared" si="194"/>
        <v>2024</v>
      </c>
      <c r="I2438">
        <f t="shared" si="195"/>
        <v>12</v>
      </c>
      <c r="J2438">
        <f t="shared" si="191"/>
        <v>936.75</v>
      </c>
    </row>
    <row r="2439" spans="1:10" ht="12.5" x14ac:dyDescent="0.25">
      <c r="A2439" s="1">
        <v>45630</v>
      </c>
      <c r="B2439" s="2" t="s">
        <v>8</v>
      </c>
      <c r="C2439" s="3">
        <v>16.989999999999998</v>
      </c>
      <c r="D2439" s="3">
        <v>7</v>
      </c>
      <c r="E2439" s="3">
        <v>118.92999999999999</v>
      </c>
      <c r="F2439" t="str">
        <f t="shared" si="192"/>
        <v>cogs</v>
      </c>
      <c r="G2439" s="7" t="str">
        <f t="shared" si="193"/>
        <v>product 2</v>
      </c>
      <c r="H2439">
        <f t="shared" si="194"/>
        <v>2024</v>
      </c>
      <c r="I2439">
        <f t="shared" si="195"/>
        <v>12</v>
      </c>
      <c r="J2439">
        <f t="shared" si="191"/>
        <v>-119.80000000000001</v>
      </c>
    </row>
    <row r="2440" spans="1:10" ht="12.5" x14ac:dyDescent="0.25">
      <c r="A2440" s="1">
        <v>45630</v>
      </c>
      <c r="B2440" s="2" t="s">
        <v>9</v>
      </c>
      <c r="C2440" s="3">
        <v>8.49</v>
      </c>
      <c r="D2440" s="3">
        <v>236</v>
      </c>
      <c r="E2440" s="3">
        <v>2003.64</v>
      </c>
      <c r="F2440" t="str">
        <f t="shared" si="192"/>
        <v>cogs</v>
      </c>
      <c r="G2440" s="7" t="str">
        <f t="shared" si="193"/>
        <v>product 3</v>
      </c>
      <c r="H2440">
        <f t="shared" si="194"/>
        <v>2024</v>
      </c>
      <c r="I2440">
        <f t="shared" si="195"/>
        <v>12</v>
      </c>
      <c r="J2440">
        <f t="shared" si="191"/>
        <v>-118.92999999999999</v>
      </c>
    </row>
    <row r="2441" spans="1:10" ht="12.5" x14ac:dyDescent="0.25">
      <c r="A2441" s="1">
        <v>45630</v>
      </c>
      <c r="B2441" s="2" t="s">
        <v>10</v>
      </c>
      <c r="C2441" s="2" t="s">
        <v>6</v>
      </c>
      <c r="D2441" s="2" t="s">
        <v>6</v>
      </c>
      <c r="E2441" s="3">
        <v>99.95</v>
      </c>
      <c r="F2441" t="str">
        <f t="shared" si="192"/>
        <v>marketing</v>
      </c>
      <c r="G2441" s="7" t="s">
        <v>6</v>
      </c>
      <c r="H2441">
        <f t="shared" si="194"/>
        <v>2024</v>
      </c>
      <c r="I2441">
        <f t="shared" si="195"/>
        <v>12</v>
      </c>
      <c r="J2441">
        <f t="shared" si="191"/>
        <v>-1536.69</v>
      </c>
    </row>
    <row r="2442" spans="1:10" ht="12.5" x14ac:dyDescent="0.25">
      <c r="A2442" s="1">
        <v>45630</v>
      </c>
      <c r="B2442" s="2" t="s">
        <v>11</v>
      </c>
      <c r="C2442" s="3">
        <v>9.99</v>
      </c>
      <c r="D2442" s="3">
        <v>7</v>
      </c>
      <c r="E2442" s="3">
        <v>69.930000000000007</v>
      </c>
      <c r="F2442" t="str">
        <f t="shared" si="192"/>
        <v>net sales</v>
      </c>
      <c r="G2442" s="7" t="str">
        <f t="shared" si="193"/>
        <v>product 1</v>
      </c>
      <c r="H2442">
        <f t="shared" si="194"/>
        <v>2024</v>
      </c>
      <c r="I2442">
        <f t="shared" si="195"/>
        <v>12</v>
      </c>
      <c r="J2442">
        <f t="shared" si="191"/>
        <v>-99.92</v>
      </c>
    </row>
    <row r="2443" spans="1:10" ht="12.5" x14ac:dyDescent="0.25">
      <c r="A2443" s="1">
        <v>45630</v>
      </c>
      <c r="B2443" s="2" t="s">
        <v>12</v>
      </c>
      <c r="C2443" s="3">
        <v>24.99</v>
      </c>
      <c r="D2443" s="3">
        <v>7</v>
      </c>
      <c r="E2443" s="3">
        <v>174.92999999999998</v>
      </c>
      <c r="F2443" t="str">
        <f t="shared" si="192"/>
        <v>net sales</v>
      </c>
      <c r="G2443" s="7" t="str">
        <f t="shared" si="193"/>
        <v>product 2</v>
      </c>
      <c r="H2443">
        <f t="shared" si="194"/>
        <v>2024</v>
      </c>
      <c r="I2443">
        <f t="shared" si="195"/>
        <v>12</v>
      </c>
      <c r="J2443">
        <f t="shared" si="191"/>
        <v>199.8</v>
      </c>
    </row>
    <row r="2444" spans="1:10" ht="12.5" x14ac:dyDescent="0.25">
      <c r="A2444" s="1">
        <v>45630</v>
      </c>
      <c r="B2444" s="2" t="s">
        <v>13</v>
      </c>
      <c r="C2444" s="3">
        <v>12.49</v>
      </c>
      <c r="D2444" s="3">
        <v>236</v>
      </c>
      <c r="E2444" s="3">
        <v>2947.64</v>
      </c>
      <c r="F2444" t="str">
        <f t="shared" si="192"/>
        <v>net sales</v>
      </c>
      <c r="G2444" s="7" t="str">
        <f t="shared" si="193"/>
        <v>product 3</v>
      </c>
      <c r="H2444">
        <f t="shared" si="194"/>
        <v>2024</v>
      </c>
      <c r="I2444">
        <f t="shared" si="195"/>
        <v>12</v>
      </c>
      <c r="J2444">
        <f t="shared" si="191"/>
        <v>174.92999999999998</v>
      </c>
    </row>
    <row r="2445" spans="1:10" ht="12.5" x14ac:dyDescent="0.25">
      <c r="A2445" s="1">
        <v>45631</v>
      </c>
      <c r="B2445" s="2" t="s">
        <v>7</v>
      </c>
      <c r="C2445" s="3">
        <v>5.99</v>
      </c>
      <c r="D2445" s="3">
        <v>52</v>
      </c>
      <c r="E2445" s="3">
        <v>311.48</v>
      </c>
      <c r="F2445" t="str">
        <f t="shared" si="192"/>
        <v>cogs</v>
      </c>
      <c r="G2445" s="7" t="str">
        <f t="shared" si="193"/>
        <v>product 1</v>
      </c>
      <c r="H2445">
        <f t="shared" si="194"/>
        <v>2024</v>
      </c>
      <c r="I2445">
        <f t="shared" si="195"/>
        <v>12</v>
      </c>
      <c r="J2445">
        <f t="shared" si="191"/>
        <v>2260.69</v>
      </c>
    </row>
    <row r="2446" spans="1:10" ht="12.5" x14ac:dyDescent="0.25">
      <c r="A2446" s="1">
        <v>45631</v>
      </c>
      <c r="B2446" s="2" t="s">
        <v>8</v>
      </c>
      <c r="C2446" s="3">
        <v>16.989999999999998</v>
      </c>
      <c r="D2446" s="3">
        <v>7</v>
      </c>
      <c r="E2446" s="3">
        <v>118.92999999999999</v>
      </c>
      <c r="F2446" t="str">
        <f t="shared" si="192"/>
        <v>cogs</v>
      </c>
      <c r="G2446" s="7" t="str">
        <f t="shared" si="193"/>
        <v>product 2</v>
      </c>
      <c r="H2446">
        <f t="shared" si="194"/>
        <v>2024</v>
      </c>
      <c r="I2446">
        <f t="shared" si="195"/>
        <v>12</v>
      </c>
      <c r="J2446">
        <f t="shared" si="191"/>
        <v>-353.41</v>
      </c>
    </row>
    <row r="2447" spans="1:10" ht="12.5" x14ac:dyDescent="0.25">
      <c r="A2447" s="1">
        <v>45631</v>
      </c>
      <c r="B2447" s="2" t="s">
        <v>9</v>
      </c>
      <c r="C2447" s="3">
        <v>8.49</v>
      </c>
      <c r="D2447" s="3">
        <v>46</v>
      </c>
      <c r="E2447" s="3">
        <v>390.54</v>
      </c>
      <c r="F2447" t="str">
        <f t="shared" si="192"/>
        <v>cogs</v>
      </c>
      <c r="G2447" s="7" t="str">
        <f t="shared" si="193"/>
        <v>product 3</v>
      </c>
      <c r="H2447">
        <f t="shared" si="194"/>
        <v>2024</v>
      </c>
      <c r="I2447">
        <f t="shared" si="195"/>
        <v>12</v>
      </c>
      <c r="J2447">
        <f t="shared" si="191"/>
        <v>-67.959999999999994</v>
      </c>
    </row>
    <row r="2448" spans="1:10" ht="12.5" x14ac:dyDescent="0.25">
      <c r="A2448" s="1">
        <v>45631</v>
      </c>
      <c r="B2448" s="2" t="s">
        <v>10</v>
      </c>
      <c r="C2448" s="2" t="s">
        <v>6</v>
      </c>
      <c r="D2448" s="2" t="s">
        <v>6</v>
      </c>
      <c r="E2448" s="3">
        <v>99.94</v>
      </c>
      <c r="F2448" t="str">
        <f t="shared" si="192"/>
        <v>marketing</v>
      </c>
      <c r="G2448" s="7" t="s">
        <v>6</v>
      </c>
      <c r="H2448">
        <f t="shared" si="194"/>
        <v>2024</v>
      </c>
      <c r="I2448">
        <f t="shared" si="195"/>
        <v>12</v>
      </c>
      <c r="J2448">
        <f t="shared" si="191"/>
        <v>-832.02</v>
      </c>
    </row>
    <row r="2449" spans="1:10" ht="12.5" x14ac:dyDescent="0.25">
      <c r="A2449" s="1">
        <v>45631</v>
      </c>
      <c r="B2449" s="2" t="s">
        <v>11</v>
      </c>
      <c r="C2449" s="3">
        <v>9.99</v>
      </c>
      <c r="D2449" s="3">
        <v>52</v>
      </c>
      <c r="E2449" s="3">
        <v>519.48</v>
      </c>
      <c r="F2449" t="str">
        <f t="shared" si="192"/>
        <v>net sales</v>
      </c>
      <c r="G2449" s="7" t="str">
        <f t="shared" si="193"/>
        <v>product 1</v>
      </c>
      <c r="H2449">
        <f t="shared" si="194"/>
        <v>2024</v>
      </c>
      <c r="I2449">
        <f t="shared" si="195"/>
        <v>12</v>
      </c>
      <c r="J2449">
        <f t="shared" si="191"/>
        <v>-100</v>
      </c>
    </row>
    <row r="2450" spans="1:10" ht="12.5" x14ac:dyDescent="0.25">
      <c r="A2450" s="1">
        <v>45631</v>
      </c>
      <c r="B2450" s="2" t="s">
        <v>12</v>
      </c>
      <c r="C2450" s="3">
        <v>24.99</v>
      </c>
      <c r="D2450" s="3">
        <v>7</v>
      </c>
      <c r="E2450" s="3">
        <v>174.92999999999998</v>
      </c>
      <c r="F2450" t="str">
        <f t="shared" si="192"/>
        <v>net sales</v>
      </c>
      <c r="G2450" s="7" t="str">
        <f t="shared" si="193"/>
        <v>product 2</v>
      </c>
      <c r="H2450">
        <f t="shared" si="194"/>
        <v>2024</v>
      </c>
      <c r="I2450">
        <f t="shared" si="195"/>
        <v>12</v>
      </c>
      <c r="J2450">
        <f t="shared" si="191"/>
        <v>589.41</v>
      </c>
    </row>
    <row r="2451" spans="1:10" ht="12.5" x14ac:dyDescent="0.25">
      <c r="A2451" s="1">
        <v>45631</v>
      </c>
      <c r="B2451" s="2" t="s">
        <v>13</v>
      </c>
      <c r="C2451" s="3">
        <v>12.49</v>
      </c>
      <c r="D2451" s="3">
        <v>46</v>
      </c>
      <c r="E2451" s="3">
        <v>574.54</v>
      </c>
      <c r="F2451" t="str">
        <f t="shared" si="192"/>
        <v>net sales</v>
      </c>
      <c r="G2451" s="7" t="str">
        <f t="shared" si="193"/>
        <v>product 3</v>
      </c>
      <c r="H2451">
        <f t="shared" si="194"/>
        <v>2024</v>
      </c>
      <c r="I2451">
        <f t="shared" si="195"/>
        <v>12</v>
      </c>
      <c r="J2451">
        <f t="shared" si="191"/>
        <v>99.96</v>
      </c>
    </row>
    <row r="2452" spans="1:10" ht="12.5" x14ac:dyDescent="0.25">
      <c r="A2452" s="1">
        <v>45632</v>
      </c>
      <c r="B2452" s="2" t="s">
        <v>7</v>
      </c>
      <c r="C2452" s="3">
        <v>5.99</v>
      </c>
      <c r="D2452" s="3">
        <v>91</v>
      </c>
      <c r="E2452" s="3">
        <v>545.09</v>
      </c>
      <c r="F2452" t="str">
        <f t="shared" si="192"/>
        <v>cogs</v>
      </c>
      <c r="G2452" s="7" t="str">
        <f t="shared" si="193"/>
        <v>product 1</v>
      </c>
      <c r="H2452">
        <f t="shared" si="194"/>
        <v>2024</v>
      </c>
      <c r="I2452">
        <f t="shared" si="195"/>
        <v>12</v>
      </c>
      <c r="J2452">
        <f t="shared" si="191"/>
        <v>1224.02</v>
      </c>
    </row>
    <row r="2453" spans="1:10" ht="12.5" x14ac:dyDescent="0.25">
      <c r="A2453" s="1">
        <v>45632</v>
      </c>
      <c r="B2453" s="2" t="s">
        <v>8</v>
      </c>
      <c r="C2453" s="3">
        <v>16.989999999999998</v>
      </c>
      <c r="D2453" s="3">
        <v>5</v>
      </c>
      <c r="E2453" s="3">
        <v>84.949999999999989</v>
      </c>
      <c r="F2453" t="str">
        <f t="shared" si="192"/>
        <v>cogs</v>
      </c>
      <c r="G2453" s="7" t="str">
        <f t="shared" si="193"/>
        <v>product 2</v>
      </c>
      <c r="H2453">
        <f t="shared" si="194"/>
        <v>2024</v>
      </c>
      <c r="I2453">
        <f t="shared" si="195"/>
        <v>12</v>
      </c>
      <c r="J2453">
        <f t="shared" si="191"/>
        <v>-485.19</v>
      </c>
    </row>
    <row r="2454" spans="1:10" ht="12.5" x14ac:dyDescent="0.25">
      <c r="A2454" s="1">
        <v>45632</v>
      </c>
      <c r="B2454" s="2" t="s">
        <v>9</v>
      </c>
      <c r="C2454" s="3">
        <v>8.49</v>
      </c>
      <c r="D2454" s="3">
        <v>2</v>
      </c>
      <c r="E2454" s="3">
        <v>16.98</v>
      </c>
      <c r="F2454" t="str">
        <f t="shared" si="192"/>
        <v>cogs</v>
      </c>
      <c r="G2454" s="7" t="str">
        <f t="shared" si="193"/>
        <v>product 3</v>
      </c>
      <c r="H2454">
        <f t="shared" si="194"/>
        <v>2024</v>
      </c>
      <c r="I2454">
        <f t="shared" si="195"/>
        <v>12</v>
      </c>
      <c r="J2454">
        <f t="shared" si="191"/>
        <v>-33.979999999999997</v>
      </c>
    </row>
    <row r="2455" spans="1:10" ht="12.5" x14ac:dyDescent="0.25">
      <c r="A2455" s="1">
        <v>45632</v>
      </c>
      <c r="B2455" s="2" t="s">
        <v>10</v>
      </c>
      <c r="C2455" s="2" t="s">
        <v>6</v>
      </c>
      <c r="D2455" s="2" t="s">
        <v>6</v>
      </c>
      <c r="E2455" s="3">
        <v>100.07000000000001</v>
      </c>
      <c r="F2455" t="str">
        <f t="shared" si="192"/>
        <v>marketing</v>
      </c>
      <c r="G2455" s="7" t="s">
        <v>6</v>
      </c>
      <c r="H2455">
        <f t="shared" si="194"/>
        <v>2024</v>
      </c>
      <c r="I2455">
        <f t="shared" si="195"/>
        <v>12</v>
      </c>
      <c r="J2455">
        <f t="shared" si="191"/>
        <v>-466.95</v>
      </c>
    </row>
    <row r="2456" spans="1:10" ht="12.5" x14ac:dyDescent="0.25">
      <c r="A2456" s="1">
        <v>45632</v>
      </c>
      <c r="B2456" s="2" t="s">
        <v>11</v>
      </c>
      <c r="C2456" s="3">
        <v>9.99</v>
      </c>
      <c r="D2456" s="3">
        <v>91</v>
      </c>
      <c r="E2456" s="3">
        <v>909.09</v>
      </c>
      <c r="F2456" t="str">
        <f t="shared" si="192"/>
        <v>net sales</v>
      </c>
      <c r="G2456" s="7" t="str">
        <f t="shared" si="193"/>
        <v>product 1</v>
      </c>
      <c r="H2456">
        <f t="shared" si="194"/>
        <v>2024</v>
      </c>
      <c r="I2456">
        <f t="shared" si="195"/>
        <v>12</v>
      </c>
      <c r="J2456">
        <f t="shared" si="191"/>
        <v>-100.10000000000001</v>
      </c>
    </row>
    <row r="2457" spans="1:10" ht="12.5" x14ac:dyDescent="0.25">
      <c r="A2457" s="1">
        <v>45632</v>
      </c>
      <c r="B2457" s="2" t="s">
        <v>12</v>
      </c>
      <c r="C2457" s="3">
        <v>24.99</v>
      </c>
      <c r="D2457" s="3">
        <v>5</v>
      </c>
      <c r="E2457" s="3">
        <v>124.94999999999999</v>
      </c>
      <c r="F2457" t="str">
        <f t="shared" si="192"/>
        <v>net sales</v>
      </c>
      <c r="G2457" s="7" t="str">
        <f t="shared" si="193"/>
        <v>product 2</v>
      </c>
      <c r="H2457">
        <f t="shared" si="194"/>
        <v>2024</v>
      </c>
      <c r="I2457">
        <f t="shared" si="195"/>
        <v>12</v>
      </c>
      <c r="J2457">
        <f t="shared" si="191"/>
        <v>809.19</v>
      </c>
    </row>
    <row r="2458" spans="1:10" ht="12.5" x14ac:dyDescent="0.25">
      <c r="A2458" s="1">
        <v>45632</v>
      </c>
      <c r="B2458" s="2" t="s">
        <v>13</v>
      </c>
      <c r="C2458" s="3">
        <v>12.49</v>
      </c>
      <c r="D2458" s="3">
        <v>2</v>
      </c>
      <c r="E2458" s="3">
        <v>24.98</v>
      </c>
      <c r="F2458" t="str">
        <f t="shared" si="192"/>
        <v>net sales</v>
      </c>
      <c r="G2458" s="7" t="str">
        <f t="shared" si="193"/>
        <v>product 3</v>
      </c>
      <c r="H2458">
        <f t="shared" si="194"/>
        <v>2024</v>
      </c>
      <c r="I2458">
        <f t="shared" si="195"/>
        <v>12</v>
      </c>
      <c r="J2458">
        <f t="shared" si="191"/>
        <v>49.98</v>
      </c>
    </row>
    <row r="2459" spans="1:10" ht="12.5" x14ac:dyDescent="0.25">
      <c r="A2459" s="1">
        <v>45632</v>
      </c>
      <c r="B2459" s="2" t="s">
        <v>15</v>
      </c>
      <c r="C2459" s="2" t="s">
        <v>6</v>
      </c>
      <c r="D2459" s="2" t="s">
        <v>6</v>
      </c>
      <c r="E2459" s="3">
        <v>1200</v>
      </c>
      <c r="F2459" t="str">
        <f t="shared" si="192"/>
        <v>payroll</v>
      </c>
      <c r="G2459" s="7" t="s">
        <v>6</v>
      </c>
      <c r="H2459">
        <f t="shared" si="194"/>
        <v>2024</v>
      </c>
      <c r="I2459">
        <f t="shared" si="195"/>
        <v>12</v>
      </c>
      <c r="J2459">
        <f t="shared" si="191"/>
        <v>686.95</v>
      </c>
    </row>
    <row r="2460" spans="1:10" ht="12.5" x14ac:dyDescent="0.25">
      <c r="A2460" s="1">
        <v>45633</v>
      </c>
      <c r="B2460" s="2" t="s">
        <v>7</v>
      </c>
      <c r="C2460" s="3">
        <v>5.99</v>
      </c>
      <c r="D2460" s="3">
        <v>25</v>
      </c>
      <c r="E2460" s="3">
        <v>149.75</v>
      </c>
      <c r="F2460" t="str">
        <f t="shared" si="192"/>
        <v>cogs</v>
      </c>
      <c r="G2460" s="7" t="str">
        <f t="shared" si="193"/>
        <v>product 1</v>
      </c>
      <c r="H2460">
        <f t="shared" si="194"/>
        <v>2024</v>
      </c>
      <c r="I2460">
        <f t="shared" si="195"/>
        <v>12</v>
      </c>
      <c r="J2460">
        <f t="shared" ref="J2460:J2523" si="196">IF(F2243="net sales",E2243,
IF(F2243="cogs",-E2243,
IF(OR(F2243="marketing",F2243="overhead",F2243="payroll",F2243="interest","amortization"),-E2243,0)))</f>
        <v>-77.87</v>
      </c>
    </row>
    <row r="2461" spans="1:10" ht="12.5" x14ac:dyDescent="0.25">
      <c r="A2461" s="1">
        <v>45633</v>
      </c>
      <c r="B2461" s="2" t="s">
        <v>8</v>
      </c>
      <c r="C2461" s="3">
        <v>16.989999999999998</v>
      </c>
      <c r="D2461" s="3">
        <v>3</v>
      </c>
      <c r="E2461" s="3">
        <v>50.97</v>
      </c>
      <c r="F2461" t="str">
        <f t="shared" si="192"/>
        <v>cogs</v>
      </c>
      <c r="G2461" s="7" t="str">
        <f t="shared" si="193"/>
        <v>product 2</v>
      </c>
      <c r="H2461">
        <f t="shared" si="194"/>
        <v>2024</v>
      </c>
      <c r="I2461">
        <f t="shared" si="195"/>
        <v>12</v>
      </c>
      <c r="J2461">
        <f t="shared" si="196"/>
        <v>-101.94</v>
      </c>
    </row>
    <row r="2462" spans="1:10" ht="12.5" x14ac:dyDescent="0.25">
      <c r="A2462" s="1">
        <v>45633</v>
      </c>
      <c r="B2462" s="2" t="s">
        <v>9</v>
      </c>
      <c r="C2462" s="3">
        <v>8.49</v>
      </c>
      <c r="D2462" s="3">
        <v>162</v>
      </c>
      <c r="E2462" s="3">
        <v>1375.38</v>
      </c>
      <c r="F2462" t="str">
        <f t="shared" si="192"/>
        <v>cogs</v>
      </c>
      <c r="G2462" s="7" t="str">
        <f t="shared" si="193"/>
        <v>product 3</v>
      </c>
      <c r="H2462">
        <f t="shared" si="194"/>
        <v>2024</v>
      </c>
      <c r="I2462">
        <f t="shared" si="195"/>
        <v>12</v>
      </c>
      <c r="J2462">
        <f t="shared" si="196"/>
        <v>-1426.32</v>
      </c>
    </row>
    <row r="2463" spans="1:10" ht="12.5" x14ac:dyDescent="0.25">
      <c r="A2463" s="1">
        <v>45633</v>
      </c>
      <c r="B2463" s="2" t="s">
        <v>10</v>
      </c>
      <c r="C2463" s="2" t="s">
        <v>6</v>
      </c>
      <c r="D2463" s="2" t="s">
        <v>6</v>
      </c>
      <c r="E2463" s="3">
        <v>99.94</v>
      </c>
      <c r="F2463" t="str">
        <f t="shared" si="192"/>
        <v>marketing</v>
      </c>
      <c r="G2463" s="7" t="s">
        <v>6</v>
      </c>
      <c r="H2463">
        <f t="shared" si="194"/>
        <v>2024</v>
      </c>
      <c r="I2463">
        <f t="shared" si="195"/>
        <v>12</v>
      </c>
      <c r="J2463">
        <f t="shared" si="196"/>
        <v>-99.98</v>
      </c>
    </row>
    <row r="2464" spans="1:10" ht="12.5" x14ac:dyDescent="0.25">
      <c r="A2464" s="1">
        <v>45633</v>
      </c>
      <c r="B2464" s="2" t="s">
        <v>11</v>
      </c>
      <c r="C2464" s="3">
        <v>9.99</v>
      </c>
      <c r="D2464" s="3">
        <v>25</v>
      </c>
      <c r="E2464" s="3">
        <v>249.75</v>
      </c>
      <c r="F2464" t="str">
        <f t="shared" si="192"/>
        <v>net sales</v>
      </c>
      <c r="G2464" s="7" t="str">
        <f t="shared" si="193"/>
        <v>product 1</v>
      </c>
      <c r="H2464">
        <f t="shared" si="194"/>
        <v>2024</v>
      </c>
      <c r="I2464">
        <f t="shared" si="195"/>
        <v>12</v>
      </c>
      <c r="J2464">
        <f t="shared" si="196"/>
        <v>129.87</v>
      </c>
    </row>
    <row r="2465" spans="1:10" ht="12.5" x14ac:dyDescent="0.25">
      <c r="A2465" s="1">
        <v>45633</v>
      </c>
      <c r="B2465" s="2" t="s">
        <v>12</v>
      </c>
      <c r="C2465" s="3">
        <v>24.99</v>
      </c>
      <c r="D2465" s="3">
        <v>3</v>
      </c>
      <c r="E2465" s="3">
        <v>74.97</v>
      </c>
      <c r="F2465" t="str">
        <f t="shared" si="192"/>
        <v>net sales</v>
      </c>
      <c r="G2465" s="7" t="str">
        <f t="shared" si="193"/>
        <v>product 2</v>
      </c>
      <c r="H2465">
        <f t="shared" si="194"/>
        <v>2024</v>
      </c>
      <c r="I2465">
        <f t="shared" si="195"/>
        <v>12</v>
      </c>
      <c r="J2465">
        <f t="shared" si="196"/>
        <v>149.94</v>
      </c>
    </row>
    <row r="2466" spans="1:10" ht="12.5" x14ac:dyDescent="0.25">
      <c r="A2466" s="1">
        <v>45633</v>
      </c>
      <c r="B2466" s="2" t="s">
        <v>13</v>
      </c>
      <c r="C2466" s="3">
        <v>12.49</v>
      </c>
      <c r="D2466" s="3">
        <v>162</v>
      </c>
      <c r="E2466" s="3">
        <v>2023.38</v>
      </c>
      <c r="F2466" t="str">
        <f t="shared" si="192"/>
        <v>net sales</v>
      </c>
      <c r="G2466" s="7" t="str">
        <f t="shared" si="193"/>
        <v>product 3</v>
      </c>
      <c r="H2466">
        <f t="shared" si="194"/>
        <v>2024</v>
      </c>
      <c r="I2466">
        <f t="shared" si="195"/>
        <v>12</v>
      </c>
      <c r="J2466">
        <f t="shared" si="196"/>
        <v>2098.3200000000002</v>
      </c>
    </row>
    <row r="2467" spans="1:10" ht="12.5" x14ac:dyDescent="0.25">
      <c r="A2467" s="1">
        <v>45634</v>
      </c>
      <c r="B2467" s="2" t="s">
        <v>7</v>
      </c>
      <c r="C2467" s="3">
        <v>5.99</v>
      </c>
      <c r="D2467" s="3">
        <v>41</v>
      </c>
      <c r="E2467" s="3">
        <v>245.59</v>
      </c>
      <c r="F2467" t="str">
        <f t="shared" si="192"/>
        <v>cogs</v>
      </c>
      <c r="G2467" s="7" t="str">
        <f t="shared" si="193"/>
        <v>product 1</v>
      </c>
      <c r="H2467">
        <f t="shared" si="194"/>
        <v>2024</v>
      </c>
      <c r="I2467">
        <f t="shared" si="195"/>
        <v>12</v>
      </c>
      <c r="J2467">
        <f t="shared" si="196"/>
        <v>-107.82000000000001</v>
      </c>
    </row>
    <row r="2468" spans="1:10" ht="12.5" x14ac:dyDescent="0.25">
      <c r="A2468" s="1">
        <v>45634</v>
      </c>
      <c r="B2468" s="2" t="s">
        <v>8</v>
      </c>
      <c r="C2468" s="3">
        <v>16.989999999999998</v>
      </c>
      <c r="D2468" s="3">
        <v>8</v>
      </c>
      <c r="E2468" s="3">
        <v>135.91999999999999</v>
      </c>
      <c r="F2468" t="str">
        <f t="shared" si="192"/>
        <v>cogs</v>
      </c>
      <c r="G2468" s="7" t="str">
        <f t="shared" si="193"/>
        <v>product 2</v>
      </c>
      <c r="H2468">
        <f t="shared" si="194"/>
        <v>2024</v>
      </c>
      <c r="I2468">
        <f t="shared" si="195"/>
        <v>12</v>
      </c>
      <c r="J2468">
        <f t="shared" si="196"/>
        <v>-33.979999999999997</v>
      </c>
    </row>
    <row r="2469" spans="1:10" ht="12.5" x14ac:dyDescent="0.25">
      <c r="A2469" s="1">
        <v>45634</v>
      </c>
      <c r="B2469" s="2" t="s">
        <v>9</v>
      </c>
      <c r="C2469" s="3">
        <v>8.49</v>
      </c>
      <c r="D2469" s="3">
        <v>195</v>
      </c>
      <c r="E2469" s="3">
        <v>1655.55</v>
      </c>
      <c r="F2469" t="str">
        <f t="shared" si="192"/>
        <v>cogs</v>
      </c>
      <c r="G2469" s="7" t="str">
        <f t="shared" si="193"/>
        <v>product 3</v>
      </c>
      <c r="H2469">
        <f t="shared" si="194"/>
        <v>2024</v>
      </c>
      <c r="I2469">
        <f t="shared" si="195"/>
        <v>12</v>
      </c>
      <c r="J2469">
        <f t="shared" si="196"/>
        <v>-1061.25</v>
      </c>
    </row>
    <row r="2470" spans="1:10" ht="12.5" x14ac:dyDescent="0.25">
      <c r="A2470" s="1">
        <v>45634</v>
      </c>
      <c r="B2470" s="2" t="s">
        <v>10</v>
      </c>
      <c r="C2470" s="2" t="s">
        <v>6</v>
      </c>
      <c r="D2470" s="2" t="s">
        <v>6</v>
      </c>
      <c r="E2470" s="3">
        <v>100.04</v>
      </c>
      <c r="F2470" t="str">
        <f t="shared" si="192"/>
        <v>marketing</v>
      </c>
      <c r="G2470" s="7" t="s">
        <v>6</v>
      </c>
      <c r="H2470">
        <f t="shared" si="194"/>
        <v>2024</v>
      </c>
      <c r="I2470">
        <f t="shared" si="195"/>
        <v>12</v>
      </c>
      <c r="J2470">
        <f t="shared" si="196"/>
        <v>-100.01</v>
      </c>
    </row>
    <row r="2471" spans="1:10" ht="12.5" x14ac:dyDescent="0.25">
      <c r="A2471" s="1">
        <v>45634</v>
      </c>
      <c r="B2471" s="2" t="s">
        <v>11</v>
      </c>
      <c r="C2471" s="3">
        <v>9.99</v>
      </c>
      <c r="D2471" s="3">
        <v>41</v>
      </c>
      <c r="E2471" s="3">
        <v>409.59000000000003</v>
      </c>
      <c r="F2471" t="str">
        <f t="shared" si="192"/>
        <v>net sales</v>
      </c>
      <c r="G2471" s="7" t="str">
        <f t="shared" si="193"/>
        <v>product 1</v>
      </c>
      <c r="H2471">
        <f t="shared" si="194"/>
        <v>2024</v>
      </c>
      <c r="I2471">
        <f t="shared" si="195"/>
        <v>12</v>
      </c>
      <c r="J2471">
        <f t="shared" si="196"/>
        <v>179.82</v>
      </c>
    </row>
    <row r="2472" spans="1:10" ht="12.5" x14ac:dyDescent="0.25">
      <c r="A2472" s="1">
        <v>45634</v>
      </c>
      <c r="B2472" s="2" t="s">
        <v>12</v>
      </c>
      <c r="C2472" s="3">
        <v>24.99</v>
      </c>
      <c r="D2472" s="3">
        <v>8</v>
      </c>
      <c r="E2472" s="3">
        <v>199.92</v>
      </c>
      <c r="F2472" t="str">
        <f t="shared" si="192"/>
        <v>net sales</v>
      </c>
      <c r="G2472" s="7" t="str">
        <f t="shared" si="193"/>
        <v>product 2</v>
      </c>
      <c r="H2472">
        <f t="shared" si="194"/>
        <v>2024</v>
      </c>
      <c r="I2472">
        <f t="shared" si="195"/>
        <v>12</v>
      </c>
      <c r="J2472">
        <f t="shared" si="196"/>
        <v>49.98</v>
      </c>
    </row>
    <row r="2473" spans="1:10" ht="12.5" x14ac:dyDescent="0.25">
      <c r="A2473" s="1">
        <v>45634</v>
      </c>
      <c r="B2473" s="2" t="s">
        <v>13</v>
      </c>
      <c r="C2473" s="3">
        <v>12.49</v>
      </c>
      <c r="D2473" s="3">
        <v>195</v>
      </c>
      <c r="E2473" s="3">
        <v>2435.5500000000002</v>
      </c>
      <c r="F2473" t="str">
        <f t="shared" si="192"/>
        <v>net sales</v>
      </c>
      <c r="G2473" s="7" t="str">
        <f t="shared" si="193"/>
        <v>product 3</v>
      </c>
      <c r="H2473">
        <f t="shared" si="194"/>
        <v>2024</v>
      </c>
      <c r="I2473">
        <f t="shared" si="195"/>
        <v>12</v>
      </c>
      <c r="J2473">
        <f t="shared" si="196"/>
        <v>1561.25</v>
      </c>
    </row>
    <row r="2474" spans="1:10" ht="12.5" x14ac:dyDescent="0.25">
      <c r="A2474" s="1">
        <v>45635</v>
      </c>
      <c r="B2474" s="2" t="s">
        <v>7</v>
      </c>
      <c r="C2474" s="3">
        <v>5.99</v>
      </c>
      <c r="D2474" s="3">
        <v>58</v>
      </c>
      <c r="E2474" s="3">
        <v>347.42</v>
      </c>
      <c r="F2474" t="str">
        <f t="shared" si="192"/>
        <v>cogs</v>
      </c>
      <c r="G2474" s="7" t="str">
        <f t="shared" si="193"/>
        <v>product 1</v>
      </c>
      <c r="H2474">
        <f t="shared" si="194"/>
        <v>2024</v>
      </c>
      <c r="I2474">
        <f t="shared" si="195"/>
        <v>12</v>
      </c>
      <c r="J2474">
        <f t="shared" si="196"/>
        <v>-1200</v>
      </c>
    </row>
    <row r="2475" spans="1:10" ht="12.5" x14ac:dyDescent="0.25">
      <c r="A2475" s="1">
        <v>45635</v>
      </c>
      <c r="B2475" s="2" t="s">
        <v>8</v>
      </c>
      <c r="C2475" s="3">
        <v>16.989999999999998</v>
      </c>
      <c r="D2475" s="3">
        <v>0</v>
      </c>
      <c r="E2475" s="2">
        <f>C2475*D2475</f>
        <v>0</v>
      </c>
      <c r="F2475" t="str">
        <f t="shared" si="192"/>
        <v>cogs</v>
      </c>
      <c r="G2475" s="7" t="str">
        <f t="shared" si="193"/>
        <v>product 2</v>
      </c>
      <c r="H2475">
        <f t="shared" si="194"/>
        <v>2024</v>
      </c>
      <c r="I2475">
        <f t="shared" si="195"/>
        <v>12</v>
      </c>
      <c r="J2475">
        <f t="shared" si="196"/>
        <v>-569.05000000000007</v>
      </c>
    </row>
    <row r="2476" spans="1:10" ht="12.5" x14ac:dyDescent="0.25">
      <c r="A2476" s="1">
        <v>45635</v>
      </c>
      <c r="B2476" s="2" t="s">
        <v>9</v>
      </c>
      <c r="C2476" s="3">
        <v>8.49</v>
      </c>
      <c r="D2476" s="3">
        <v>201</v>
      </c>
      <c r="E2476" s="3">
        <v>1706.49</v>
      </c>
      <c r="F2476" t="str">
        <f t="shared" si="192"/>
        <v>cogs</v>
      </c>
      <c r="G2476" s="7" t="str">
        <f t="shared" si="193"/>
        <v>product 3</v>
      </c>
      <c r="H2476">
        <f t="shared" si="194"/>
        <v>2024</v>
      </c>
      <c r="I2476">
        <f t="shared" si="195"/>
        <v>12</v>
      </c>
      <c r="J2476">
        <f t="shared" si="196"/>
        <v>-50.97</v>
      </c>
    </row>
    <row r="2477" spans="1:10" ht="12.5" x14ac:dyDescent="0.25">
      <c r="A2477" s="1">
        <v>45635</v>
      </c>
      <c r="B2477" s="2" t="s">
        <v>10</v>
      </c>
      <c r="C2477" s="2" t="s">
        <v>6</v>
      </c>
      <c r="D2477" s="2" t="s">
        <v>6</v>
      </c>
      <c r="E2477" s="3">
        <v>99.94</v>
      </c>
      <c r="F2477" t="str">
        <f t="shared" si="192"/>
        <v>marketing</v>
      </c>
      <c r="G2477" s="7" t="s">
        <v>6</v>
      </c>
      <c r="H2477">
        <f t="shared" si="194"/>
        <v>2024</v>
      </c>
      <c r="I2477">
        <f t="shared" si="195"/>
        <v>12</v>
      </c>
      <c r="J2477">
        <f t="shared" si="196"/>
        <v>0</v>
      </c>
    </row>
    <row r="2478" spans="1:10" ht="12.5" x14ac:dyDescent="0.25">
      <c r="A2478" s="1">
        <v>45635</v>
      </c>
      <c r="B2478" s="2" t="s">
        <v>11</v>
      </c>
      <c r="C2478" s="3">
        <v>9.99</v>
      </c>
      <c r="D2478" s="3">
        <v>58</v>
      </c>
      <c r="E2478" s="3">
        <v>579.41999999999996</v>
      </c>
      <c r="F2478" t="str">
        <f t="shared" si="192"/>
        <v>net sales</v>
      </c>
      <c r="G2478" s="7" t="str">
        <f t="shared" si="193"/>
        <v>product 1</v>
      </c>
      <c r="H2478">
        <f t="shared" si="194"/>
        <v>2024</v>
      </c>
      <c r="I2478">
        <f t="shared" si="195"/>
        <v>12</v>
      </c>
      <c r="J2478">
        <f t="shared" si="196"/>
        <v>-99.94</v>
      </c>
    </row>
    <row r="2479" spans="1:10" ht="12.5" x14ac:dyDescent="0.25">
      <c r="A2479" s="1">
        <v>45635</v>
      </c>
      <c r="B2479" s="2" t="s">
        <v>12</v>
      </c>
      <c r="C2479" s="3">
        <v>24.99</v>
      </c>
      <c r="D2479" s="3">
        <v>0</v>
      </c>
      <c r="E2479" s="2">
        <f>C2479*D2479</f>
        <v>0</v>
      </c>
      <c r="F2479" t="str">
        <f t="shared" si="192"/>
        <v>net sales</v>
      </c>
      <c r="G2479" s="7" t="str">
        <f t="shared" si="193"/>
        <v>product 2</v>
      </c>
      <c r="H2479">
        <f t="shared" si="194"/>
        <v>2024</v>
      </c>
      <c r="I2479">
        <f t="shared" si="195"/>
        <v>12</v>
      </c>
      <c r="J2479">
        <f t="shared" si="196"/>
        <v>949.05000000000007</v>
      </c>
    </row>
    <row r="2480" spans="1:10" ht="12.5" x14ac:dyDescent="0.25">
      <c r="A2480" s="1">
        <v>45635</v>
      </c>
      <c r="B2480" s="2" t="s">
        <v>13</v>
      </c>
      <c r="C2480" s="3">
        <v>12.49</v>
      </c>
      <c r="D2480" s="3">
        <v>201</v>
      </c>
      <c r="E2480" s="3">
        <v>2510.4900000000002</v>
      </c>
      <c r="F2480" t="str">
        <f t="shared" si="192"/>
        <v>net sales</v>
      </c>
      <c r="G2480" s="7" t="str">
        <f t="shared" si="193"/>
        <v>product 3</v>
      </c>
      <c r="H2480">
        <f t="shared" si="194"/>
        <v>2024</v>
      </c>
      <c r="I2480">
        <f t="shared" si="195"/>
        <v>12</v>
      </c>
      <c r="J2480">
        <f t="shared" si="196"/>
        <v>74.97</v>
      </c>
    </row>
    <row r="2481" spans="1:10" ht="12.5" x14ac:dyDescent="0.25">
      <c r="A2481" s="1">
        <v>45636</v>
      </c>
      <c r="B2481" s="2" t="s">
        <v>7</v>
      </c>
      <c r="C2481" s="3">
        <v>5.99</v>
      </c>
      <c r="D2481" s="3">
        <v>28</v>
      </c>
      <c r="E2481" s="3">
        <v>167.72</v>
      </c>
      <c r="F2481" t="str">
        <f t="shared" si="192"/>
        <v>cogs</v>
      </c>
      <c r="G2481" s="7" t="str">
        <f t="shared" si="193"/>
        <v>product 1</v>
      </c>
      <c r="H2481">
        <f t="shared" si="194"/>
        <v>2024</v>
      </c>
      <c r="I2481">
        <f t="shared" si="195"/>
        <v>12</v>
      </c>
      <c r="J2481">
        <f t="shared" si="196"/>
        <v>0</v>
      </c>
    </row>
    <row r="2482" spans="1:10" ht="12.5" x14ac:dyDescent="0.25">
      <c r="A2482" s="1">
        <v>45636</v>
      </c>
      <c r="B2482" s="2" t="s">
        <v>8</v>
      </c>
      <c r="C2482" s="3">
        <v>16.989999999999998</v>
      </c>
      <c r="D2482" s="3">
        <v>5</v>
      </c>
      <c r="E2482" s="3">
        <v>84.949999999999989</v>
      </c>
      <c r="F2482" t="str">
        <f t="shared" si="192"/>
        <v>cogs</v>
      </c>
      <c r="G2482" s="7" t="str">
        <f t="shared" si="193"/>
        <v>product 2</v>
      </c>
      <c r="H2482">
        <f t="shared" si="194"/>
        <v>2024</v>
      </c>
      <c r="I2482">
        <f t="shared" si="195"/>
        <v>12</v>
      </c>
      <c r="J2482">
        <f t="shared" si="196"/>
        <v>-137.77000000000001</v>
      </c>
    </row>
    <row r="2483" spans="1:10" ht="12.5" x14ac:dyDescent="0.25">
      <c r="A2483" s="1">
        <v>45636</v>
      </c>
      <c r="B2483" s="2" t="s">
        <v>9</v>
      </c>
      <c r="C2483" s="3">
        <v>8.49</v>
      </c>
      <c r="D2483" s="3">
        <v>0</v>
      </c>
      <c r="E2483" s="2">
        <f>C2483*D2483</f>
        <v>0</v>
      </c>
      <c r="F2483" t="str">
        <f t="shared" si="192"/>
        <v>cogs</v>
      </c>
      <c r="G2483" s="7" t="str">
        <f t="shared" si="193"/>
        <v>product 3</v>
      </c>
      <c r="H2483">
        <f t="shared" si="194"/>
        <v>2024</v>
      </c>
      <c r="I2483">
        <f t="shared" si="195"/>
        <v>12</v>
      </c>
      <c r="J2483">
        <f t="shared" si="196"/>
        <v>-101.94</v>
      </c>
    </row>
    <row r="2484" spans="1:10" ht="12.5" x14ac:dyDescent="0.25">
      <c r="A2484" s="1">
        <v>45636</v>
      </c>
      <c r="B2484" s="2" t="s">
        <v>10</v>
      </c>
      <c r="C2484" s="2" t="s">
        <v>6</v>
      </c>
      <c r="D2484" s="2" t="s">
        <v>6</v>
      </c>
      <c r="E2484" s="3">
        <v>100</v>
      </c>
      <c r="F2484" t="str">
        <f t="shared" si="192"/>
        <v>marketing</v>
      </c>
      <c r="G2484" s="7" t="s">
        <v>6</v>
      </c>
      <c r="H2484">
        <f t="shared" si="194"/>
        <v>2024</v>
      </c>
      <c r="I2484">
        <f t="shared" si="195"/>
        <v>12</v>
      </c>
      <c r="J2484">
        <f t="shared" si="196"/>
        <v>-178.29</v>
      </c>
    </row>
    <row r="2485" spans="1:10" ht="12.5" x14ac:dyDescent="0.25">
      <c r="A2485" s="1">
        <v>45636</v>
      </c>
      <c r="B2485" s="2" t="s">
        <v>11</v>
      </c>
      <c r="C2485" s="3">
        <v>9.99</v>
      </c>
      <c r="D2485" s="3">
        <v>28</v>
      </c>
      <c r="E2485" s="3">
        <v>279.72000000000003</v>
      </c>
      <c r="F2485" t="str">
        <f t="shared" si="192"/>
        <v>net sales</v>
      </c>
      <c r="G2485" s="7" t="str">
        <f t="shared" si="193"/>
        <v>product 1</v>
      </c>
      <c r="H2485">
        <f t="shared" si="194"/>
        <v>2024</v>
      </c>
      <c r="I2485">
        <f t="shared" si="195"/>
        <v>12</v>
      </c>
      <c r="J2485">
        <f t="shared" si="196"/>
        <v>-99.92</v>
      </c>
    </row>
    <row r="2486" spans="1:10" ht="12.5" x14ac:dyDescent="0.25">
      <c r="A2486" s="1">
        <v>45636</v>
      </c>
      <c r="B2486" s="2" t="s">
        <v>12</v>
      </c>
      <c r="C2486" s="3">
        <v>24.99</v>
      </c>
      <c r="D2486" s="3">
        <v>5</v>
      </c>
      <c r="E2486" s="3">
        <v>124.94999999999999</v>
      </c>
      <c r="F2486" t="str">
        <f t="shared" si="192"/>
        <v>net sales</v>
      </c>
      <c r="G2486" s="7" t="str">
        <f t="shared" si="193"/>
        <v>product 2</v>
      </c>
      <c r="H2486">
        <f t="shared" si="194"/>
        <v>2024</v>
      </c>
      <c r="I2486">
        <f t="shared" si="195"/>
        <v>12</v>
      </c>
      <c r="J2486">
        <f t="shared" si="196"/>
        <v>229.77</v>
      </c>
    </row>
    <row r="2487" spans="1:10" ht="12.5" x14ac:dyDescent="0.25">
      <c r="A2487" s="1">
        <v>45636</v>
      </c>
      <c r="B2487" s="2" t="s">
        <v>13</v>
      </c>
      <c r="C2487" s="3">
        <v>12.49</v>
      </c>
      <c r="D2487" s="3">
        <v>0</v>
      </c>
      <c r="E2487" s="2">
        <f>C2487*D2487</f>
        <v>0</v>
      </c>
      <c r="F2487" t="str">
        <f t="shared" si="192"/>
        <v>net sales</v>
      </c>
      <c r="G2487" s="7" t="str">
        <f t="shared" si="193"/>
        <v>product 3</v>
      </c>
      <c r="H2487">
        <f t="shared" si="194"/>
        <v>2024</v>
      </c>
      <c r="I2487">
        <f t="shared" si="195"/>
        <v>12</v>
      </c>
      <c r="J2487">
        <f t="shared" si="196"/>
        <v>149.94</v>
      </c>
    </row>
    <row r="2488" spans="1:10" ht="12.5" x14ac:dyDescent="0.25">
      <c r="A2488" s="1">
        <v>45637</v>
      </c>
      <c r="B2488" s="2" t="s">
        <v>7</v>
      </c>
      <c r="C2488" s="3">
        <v>5.99</v>
      </c>
      <c r="D2488" s="3">
        <v>46</v>
      </c>
      <c r="E2488" s="3">
        <v>275.54000000000002</v>
      </c>
      <c r="F2488" t="str">
        <f t="shared" si="192"/>
        <v>cogs</v>
      </c>
      <c r="G2488" s="7" t="str">
        <f t="shared" si="193"/>
        <v>product 1</v>
      </c>
      <c r="H2488">
        <f t="shared" si="194"/>
        <v>2024</v>
      </c>
      <c r="I2488">
        <f t="shared" si="195"/>
        <v>12</v>
      </c>
      <c r="J2488">
        <f t="shared" si="196"/>
        <v>262.29000000000002</v>
      </c>
    </row>
    <row r="2489" spans="1:10" ht="12.5" x14ac:dyDescent="0.25">
      <c r="A2489" s="1">
        <v>45637</v>
      </c>
      <c r="B2489" s="2" t="s">
        <v>8</v>
      </c>
      <c r="C2489" s="3">
        <v>16.989999999999998</v>
      </c>
      <c r="D2489" s="3">
        <v>1</v>
      </c>
      <c r="E2489" s="3">
        <v>16.989999999999998</v>
      </c>
      <c r="F2489" t="str">
        <f t="shared" si="192"/>
        <v>cogs</v>
      </c>
      <c r="G2489" s="7" t="str">
        <f t="shared" si="193"/>
        <v>product 2</v>
      </c>
      <c r="H2489">
        <f t="shared" si="194"/>
        <v>2024</v>
      </c>
      <c r="I2489">
        <f t="shared" si="195"/>
        <v>12</v>
      </c>
      <c r="J2489">
        <f t="shared" si="196"/>
        <v>-185.69</v>
      </c>
    </row>
    <row r="2490" spans="1:10" ht="12.5" x14ac:dyDescent="0.25">
      <c r="A2490" s="1">
        <v>45637</v>
      </c>
      <c r="B2490" s="2" t="s">
        <v>9</v>
      </c>
      <c r="C2490" s="3">
        <v>8.49</v>
      </c>
      <c r="D2490" s="3">
        <v>201</v>
      </c>
      <c r="E2490" s="3">
        <v>1706.49</v>
      </c>
      <c r="F2490" t="str">
        <f t="shared" si="192"/>
        <v>cogs</v>
      </c>
      <c r="G2490" s="7" t="str">
        <f t="shared" si="193"/>
        <v>product 3</v>
      </c>
      <c r="H2490">
        <f t="shared" si="194"/>
        <v>2024</v>
      </c>
      <c r="I2490">
        <f t="shared" si="195"/>
        <v>12</v>
      </c>
      <c r="J2490">
        <f t="shared" si="196"/>
        <v>-152.91</v>
      </c>
    </row>
    <row r="2491" spans="1:10" ht="12.5" x14ac:dyDescent="0.25">
      <c r="A2491" s="1">
        <v>45637</v>
      </c>
      <c r="B2491" s="2" t="s">
        <v>10</v>
      </c>
      <c r="C2491" s="2" t="s">
        <v>6</v>
      </c>
      <c r="D2491" s="2" t="s">
        <v>6</v>
      </c>
      <c r="E2491" s="3">
        <v>100.07000000000001</v>
      </c>
      <c r="F2491" t="str">
        <f t="shared" si="192"/>
        <v>marketing</v>
      </c>
      <c r="G2491" s="7" t="s">
        <v>6</v>
      </c>
      <c r="H2491">
        <f t="shared" si="194"/>
        <v>2024</v>
      </c>
      <c r="I2491">
        <f t="shared" si="195"/>
        <v>12</v>
      </c>
      <c r="J2491">
        <f t="shared" si="196"/>
        <v>-1604.6100000000001</v>
      </c>
    </row>
    <row r="2492" spans="1:10" ht="12.5" x14ac:dyDescent="0.25">
      <c r="A2492" s="1">
        <v>45637</v>
      </c>
      <c r="B2492" s="2" t="s">
        <v>11</v>
      </c>
      <c r="C2492" s="3">
        <v>9.99</v>
      </c>
      <c r="D2492" s="3">
        <v>46</v>
      </c>
      <c r="E2492" s="3">
        <v>459.54</v>
      </c>
      <c r="F2492" t="str">
        <f t="shared" si="192"/>
        <v>net sales</v>
      </c>
      <c r="G2492" s="7" t="str">
        <f t="shared" si="193"/>
        <v>product 1</v>
      </c>
      <c r="H2492">
        <f t="shared" si="194"/>
        <v>2024</v>
      </c>
      <c r="I2492">
        <f t="shared" si="195"/>
        <v>12</v>
      </c>
      <c r="J2492">
        <f t="shared" si="196"/>
        <v>-100.01</v>
      </c>
    </row>
    <row r="2493" spans="1:10" ht="12.5" x14ac:dyDescent="0.25">
      <c r="A2493" s="1">
        <v>45637</v>
      </c>
      <c r="B2493" s="2" t="s">
        <v>12</v>
      </c>
      <c r="C2493" s="3">
        <v>24.99</v>
      </c>
      <c r="D2493" s="3">
        <v>1</v>
      </c>
      <c r="E2493" s="3">
        <v>24.99</v>
      </c>
      <c r="F2493" t="str">
        <f t="shared" si="192"/>
        <v>net sales</v>
      </c>
      <c r="G2493" s="7" t="str">
        <f t="shared" si="193"/>
        <v>product 2</v>
      </c>
      <c r="H2493">
        <f t="shared" si="194"/>
        <v>2024</v>
      </c>
      <c r="I2493">
        <f t="shared" si="195"/>
        <v>12</v>
      </c>
      <c r="J2493">
        <f t="shared" si="196"/>
        <v>309.69</v>
      </c>
    </row>
    <row r="2494" spans="1:10" ht="12.5" x14ac:dyDescent="0.25">
      <c r="A2494" s="1">
        <v>45637</v>
      </c>
      <c r="B2494" s="2" t="s">
        <v>13</v>
      </c>
      <c r="C2494" s="3">
        <v>12.49</v>
      </c>
      <c r="D2494" s="3">
        <v>201</v>
      </c>
      <c r="E2494" s="3">
        <v>2510.4900000000002</v>
      </c>
      <c r="F2494" t="str">
        <f t="shared" si="192"/>
        <v>net sales</v>
      </c>
      <c r="G2494" s="7" t="str">
        <f t="shared" si="193"/>
        <v>product 3</v>
      </c>
      <c r="H2494">
        <f t="shared" si="194"/>
        <v>2024</v>
      </c>
      <c r="I2494">
        <f t="shared" si="195"/>
        <v>12</v>
      </c>
      <c r="J2494">
        <f t="shared" si="196"/>
        <v>224.91</v>
      </c>
    </row>
    <row r="2495" spans="1:10" ht="12.5" x14ac:dyDescent="0.25">
      <c r="A2495" s="1">
        <v>45638</v>
      </c>
      <c r="B2495" s="2" t="s">
        <v>7</v>
      </c>
      <c r="C2495" s="3">
        <v>5.99</v>
      </c>
      <c r="D2495" s="3">
        <v>13</v>
      </c>
      <c r="E2495" s="3">
        <v>77.87</v>
      </c>
      <c r="F2495" t="str">
        <f t="shared" si="192"/>
        <v>cogs</v>
      </c>
      <c r="G2495" s="7" t="str">
        <f t="shared" si="193"/>
        <v>product 1</v>
      </c>
      <c r="H2495">
        <f t="shared" si="194"/>
        <v>2024</v>
      </c>
      <c r="I2495">
        <f t="shared" si="195"/>
        <v>12</v>
      </c>
      <c r="J2495">
        <f t="shared" si="196"/>
        <v>2360.61</v>
      </c>
    </row>
    <row r="2496" spans="1:10" ht="12.5" x14ac:dyDescent="0.25">
      <c r="A2496" s="1">
        <v>45638</v>
      </c>
      <c r="B2496" s="2" t="s">
        <v>8</v>
      </c>
      <c r="C2496" s="3">
        <v>16.989999999999998</v>
      </c>
      <c r="D2496" s="3">
        <v>5</v>
      </c>
      <c r="E2496" s="3">
        <v>84.949999999999989</v>
      </c>
      <c r="F2496" t="str">
        <f t="shared" si="192"/>
        <v>cogs</v>
      </c>
      <c r="G2496" s="7" t="str">
        <f t="shared" si="193"/>
        <v>product 2</v>
      </c>
      <c r="H2496">
        <f t="shared" si="194"/>
        <v>2024</v>
      </c>
      <c r="I2496">
        <f t="shared" si="195"/>
        <v>12</v>
      </c>
      <c r="J2496">
        <f t="shared" si="196"/>
        <v>-359.40000000000003</v>
      </c>
    </row>
    <row r="2497" spans="1:10" ht="12.5" x14ac:dyDescent="0.25">
      <c r="A2497" s="1">
        <v>45638</v>
      </c>
      <c r="B2497" s="2" t="s">
        <v>9</v>
      </c>
      <c r="C2497" s="3">
        <v>8.49</v>
      </c>
      <c r="D2497" s="3">
        <v>65</v>
      </c>
      <c r="E2497" s="3">
        <v>551.85</v>
      </c>
      <c r="F2497" t="str">
        <f t="shared" si="192"/>
        <v>cogs</v>
      </c>
      <c r="G2497" s="7" t="str">
        <f t="shared" si="193"/>
        <v>product 3</v>
      </c>
      <c r="H2497">
        <f t="shared" si="194"/>
        <v>2024</v>
      </c>
      <c r="I2497">
        <f t="shared" si="195"/>
        <v>12</v>
      </c>
      <c r="J2497">
        <f t="shared" si="196"/>
        <v>-67.959999999999994</v>
      </c>
    </row>
    <row r="2498" spans="1:10" ht="12.5" x14ac:dyDescent="0.25">
      <c r="A2498" s="1">
        <v>45638</v>
      </c>
      <c r="B2498" s="2" t="s">
        <v>10</v>
      </c>
      <c r="C2498" s="2" t="s">
        <v>6</v>
      </c>
      <c r="D2498" s="2" t="s">
        <v>6</v>
      </c>
      <c r="E2498" s="3">
        <v>100.07000000000001</v>
      </c>
      <c r="F2498" t="str">
        <f t="shared" si="192"/>
        <v>marketing</v>
      </c>
      <c r="G2498" s="7" t="s">
        <v>6</v>
      </c>
      <c r="H2498">
        <f t="shared" si="194"/>
        <v>2024</v>
      </c>
      <c r="I2498">
        <f t="shared" si="195"/>
        <v>12</v>
      </c>
      <c r="J2498">
        <f t="shared" si="196"/>
        <v>-1714.98</v>
      </c>
    </row>
    <row r="2499" spans="1:10" ht="12.5" x14ac:dyDescent="0.25">
      <c r="A2499" s="1">
        <v>45638</v>
      </c>
      <c r="B2499" s="2" t="s">
        <v>11</v>
      </c>
      <c r="C2499" s="3">
        <v>9.99</v>
      </c>
      <c r="D2499" s="3">
        <v>13</v>
      </c>
      <c r="E2499" s="3">
        <v>129.87</v>
      </c>
      <c r="F2499" t="str">
        <f t="shared" ref="F2499:F2562" si="197">IFERROR(LEFT(B2499,FIND(":",B2499)-1),B2499)</f>
        <v>net sales</v>
      </c>
      <c r="G2499" s="7" t="str">
        <f t="shared" ref="G2499:G2562" si="198">IFERROR(RIGHT(B2499,LEN(B2499)-FIND(":",B2499)),"")</f>
        <v>product 1</v>
      </c>
      <c r="H2499">
        <f t="shared" ref="H2499:H2562" si="199">YEAR(A2499)</f>
        <v>2024</v>
      </c>
      <c r="I2499">
        <f t="shared" ref="I2499:I2562" si="200">MONTH(A2499)</f>
        <v>12</v>
      </c>
      <c r="J2499">
        <f t="shared" si="196"/>
        <v>-100.01</v>
      </c>
    </row>
    <row r="2500" spans="1:10" ht="12.5" x14ac:dyDescent="0.25">
      <c r="A2500" s="1">
        <v>45638</v>
      </c>
      <c r="B2500" s="2" t="s">
        <v>12</v>
      </c>
      <c r="C2500" s="3">
        <v>24.99</v>
      </c>
      <c r="D2500" s="3">
        <v>5</v>
      </c>
      <c r="E2500" s="3">
        <v>124.94999999999999</v>
      </c>
      <c r="F2500" t="str">
        <f t="shared" si="197"/>
        <v>net sales</v>
      </c>
      <c r="G2500" s="7" t="str">
        <f t="shared" si="198"/>
        <v>product 2</v>
      </c>
      <c r="H2500">
        <f t="shared" si="199"/>
        <v>2024</v>
      </c>
      <c r="I2500">
        <f t="shared" si="200"/>
        <v>12</v>
      </c>
      <c r="J2500">
        <f t="shared" si="196"/>
        <v>599.4</v>
      </c>
    </row>
    <row r="2501" spans="1:10" ht="12.5" x14ac:dyDescent="0.25">
      <c r="A2501" s="1">
        <v>45638</v>
      </c>
      <c r="B2501" s="2" t="s">
        <v>13</v>
      </c>
      <c r="C2501" s="3">
        <v>12.49</v>
      </c>
      <c r="D2501" s="3">
        <v>65</v>
      </c>
      <c r="E2501" s="3">
        <v>811.85</v>
      </c>
      <c r="F2501" t="str">
        <f t="shared" si="197"/>
        <v>net sales</v>
      </c>
      <c r="G2501" s="7" t="str">
        <f t="shared" si="198"/>
        <v>product 3</v>
      </c>
      <c r="H2501">
        <f t="shared" si="199"/>
        <v>2024</v>
      </c>
      <c r="I2501">
        <f t="shared" si="200"/>
        <v>12</v>
      </c>
      <c r="J2501">
        <f t="shared" si="196"/>
        <v>99.96</v>
      </c>
    </row>
    <row r="2502" spans="1:10" ht="12.5" x14ac:dyDescent="0.25">
      <c r="A2502" s="1">
        <v>45639</v>
      </c>
      <c r="B2502" s="2" t="s">
        <v>7</v>
      </c>
      <c r="C2502" s="3">
        <v>5.99</v>
      </c>
      <c r="D2502" s="3">
        <v>7</v>
      </c>
      <c r="E2502" s="3">
        <v>41.93</v>
      </c>
      <c r="F2502" t="str">
        <f t="shared" si="197"/>
        <v>cogs</v>
      </c>
      <c r="G2502" s="7" t="str">
        <f t="shared" si="198"/>
        <v>product 1</v>
      </c>
      <c r="H2502">
        <f t="shared" si="199"/>
        <v>2024</v>
      </c>
      <c r="I2502">
        <f t="shared" si="200"/>
        <v>12</v>
      </c>
      <c r="J2502">
        <f t="shared" si="196"/>
        <v>2522.98</v>
      </c>
    </row>
    <row r="2503" spans="1:10" ht="12.5" x14ac:dyDescent="0.25">
      <c r="A2503" s="1">
        <v>45639</v>
      </c>
      <c r="B2503" s="2" t="s">
        <v>8</v>
      </c>
      <c r="C2503" s="3">
        <v>16.989999999999998</v>
      </c>
      <c r="D2503" s="3">
        <v>4</v>
      </c>
      <c r="E2503" s="3">
        <v>67.959999999999994</v>
      </c>
      <c r="F2503" t="str">
        <f t="shared" si="197"/>
        <v>cogs</v>
      </c>
      <c r="G2503" s="7" t="str">
        <f t="shared" si="198"/>
        <v>product 2</v>
      </c>
      <c r="H2503">
        <f t="shared" si="199"/>
        <v>2024</v>
      </c>
      <c r="I2503">
        <f t="shared" si="200"/>
        <v>12</v>
      </c>
      <c r="J2503">
        <f t="shared" si="196"/>
        <v>-197.67000000000002</v>
      </c>
    </row>
    <row r="2504" spans="1:10" ht="12.5" x14ac:dyDescent="0.25">
      <c r="A2504" s="1">
        <v>45639</v>
      </c>
      <c r="B2504" s="2" t="s">
        <v>9</v>
      </c>
      <c r="C2504" s="3">
        <v>8.49</v>
      </c>
      <c r="D2504" s="3">
        <v>236</v>
      </c>
      <c r="E2504" s="3">
        <v>2003.64</v>
      </c>
      <c r="F2504" t="str">
        <f t="shared" si="197"/>
        <v>cogs</v>
      </c>
      <c r="G2504" s="7" t="str">
        <f t="shared" si="198"/>
        <v>product 3</v>
      </c>
      <c r="H2504">
        <f t="shared" si="199"/>
        <v>2024</v>
      </c>
      <c r="I2504">
        <f t="shared" si="200"/>
        <v>12</v>
      </c>
      <c r="J2504">
        <f t="shared" si="196"/>
        <v>-152.91</v>
      </c>
    </row>
    <row r="2505" spans="1:10" ht="12.5" x14ac:dyDescent="0.25">
      <c r="A2505" s="1">
        <v>45639</v>
      </c>
      <c r="B2505" s="2" t="s">
        <v>10</v>
      </c>
      <c r="C2505" s="2" t="s">
        <v>6</v>
      </c>
      <c r="D2505" s="2" t="s">
        <v>6</v>
      </c>
      <c r="E2505" s="3">
        <v>100.06</v>
      </c>
      <c r="F2505" t="str">
        <f t="shared" si="197"/>
        <v>marketing</v>
      </c>
      <c r="G2505" s="7" t="s">
        <v>6</v>
      </c>
      <c r="H2505">
        <f t="shared" si="199"/>
        <v>2024</v>
      </c>
      <c r="I2505">
        <f t="shared" si="200"/>
        <v>12</v>
      </c>
      <c r="J2505">
        <f t="shared" si="196"/>
        <v>-305.64</v>
      </c>
    </row>
    <row r="2506" spans="1:10" ht="12.5" x14ac:dyDescent="0.25">
      <c r="A2506" s="1">
        <v>45639</v>
      </c>
      <c r="B2506" s="2" t="s">
        <v>11</v>
      </c>
      <c r="C2506" s="3">
        <v>9.99</v>
      </c>
      <c r="D2506" s="3">
        <v>7</v>
      </c>
      <c r="E2506" s="3">
        <v>69.930000000000007</v>
      </c>
      <c r="F2506" t="str">
        <f t="shared" si="197"/>
        <v>net sales</v>
      </c>
      <c r="G2506" s="7" t="str">
        <f t="shared" si="198"/>
        <v>product 1</v>
      </c>
      <c r="H2506">
        <f t="shared" si="199"/>
        <v>2024</v>
      </c>
      <c r="I2506">
        <f t="shared" si="200"/>
        <v>12</v>
      </c>
      <c r="J2506">
        <f t="shared" si="196"/>
        <v>-99.94</v>
      </c>
    </row>
    <row r="2507" spans="1:10" ht="12.5" x14ac:dyDescent="0.25">
      <c r="A2507" s="1">
        <v>45639</v>
      </c>
      <c r="B2507" s="2" t="s">
        <v>12</v>
      </c>
      <c r="C2507" s="3">
        <v>24.99</v>
      </c>
      <c r="D2507" s="3">
        <v>4</v>
      </c>
      <c r="E2507" s="3">
        <v>99.96</v>
      </c>
      <c r="F2507" t="str">
        <f t="shared" si="197"/>
        <v>net sales</v>
      </c>
      <c r="G2507" s="7" t="str">
        <f t="shared" si="198"/>
        <v>product 2</v>
      </c>
      <c r="H2507">
        <f t="shared" si="199"/>
        <v>2024</v>
      </c>
      <c r="I2507">
        <f t="shared" si="200"/>
        <v>12</v>
      </c>
      <c r="J2507">
        <f t="shared" si="196"/>
        <v>329.67</v>
      </c>
    </row>
    <row r="2508" spans="1:10" ht="12.5" x14ac:dyDescent="0.25">
      <c r="A2508" s="1">
        <v>45639</v>
      </c>
      <c r="B2508" s="2" t="s">
        <v>13</v>
      </c>
      <c r="C2508" s="3">
        <v>12.49</v>
      </c>
      <c r="D2508" s="3">
        <v>236</v>
      </c>
      <c r="E2508" s="3">
        <v>2947.64</v>
      </c>
      <c r="F2508" t="str">
        <f t="shared" si="197"/>
        <v>net sales</v>
      </c>
      <c r="G2508" s="7" t="str">
        <f t="shared" si="198"/>
        <v>product 3</v>
      </c>
      <c r="H2508">
        <f t="shared" si="199"/>
        <v>2024</v>
      </c>
      <c r="I2508">
        <f t="shared" si="200"/>
        <v>12</v>
      </c>
      <c r="J2508">
        <f t="shared" si="196"/>
        <v>224.91</v>
      </c>
    </row>
    <row r="2509" spans="1:10" ht="12.5" x14ac:dyDescent="0.25">
      <c r="A2509" s="1">
        <v>45640</v>
      </c>
      <c r="B2509" s="2" t="s">
        <v>7</v>
      </c>
      <c r="C2509" s="3">
        <v>5.99</v>
      </c>
      <c r="D2509" s="3">
        <v>22</v>
      </c>
      <c r="E2509" s="3">
        <v>131.78</v>
      </c>
      <c r="F2509" t="str">
        <f t="shared" si="197"/>
        <v>cogs</v>
      </c>
      <c r="G2509" s="7" t="str">
        <f t="shared" si="198"/>
        <v>product 1</v>
      </c>
      <c r="H2509">
        <f t="shared" si="199"/>
        <v>2024</v>
      </c>
      <c r="I2509">
        <f t="shared" si="200"/>
        <v>12</v>
      </c>
      <c r="J2509">
        <f t="shared" si="196"/>
        <v>449.64</v>
      </c>
    </row>
    <row r="2510" spans="1:10" ht="12.5" x14ac:dyDescent="0.25">
      <c r="A2510" s="1">
        <v>45640</v>
      </c>
      <c r="B2510" s="2" t="s">
        <v>8</v>
      </c>
      <c r="C2510" s="3">
        <v>16.989999999999998</v>
      </c>
      <c r="D2510" s="3">
        <v>1</v>
      </c>
      <c r="E2510" s="3">
        <v>16.989999999999998</v>
      </c>
      <c r="F2510" t="str">
        <f t="shared" si="197"/>
        <v>cogs</v>
      </c>
      <c r="G2510" s="7" t="str">
        <f t="shared" si="198"/>
        <v>product 2</v>
      </c>
      <c r="H2510">
        <f t="shared" si="199"/>
        <v>2024</v>
      </c>
      <c r="I2510">
        <f t="shared" si="200"/>
        <v>12</v>
      </c>
      <c r="J2510">
        <f t="shared" si="196"/>
        <v>-275.54000000000002</v>
      </c>
    </row>
    <row r="2511" spans="1:10" ht="12.5" x14ac:dyDescent="0.25">
      <c r="A2511" s="1">
        <v>45640</v>
      </c>
      <c r="B2511" s="2" t="s">
        <v>9</v>
      </c>
      <c r="C2511" s="3">
        <v>8.49</v>
      </c>
      <c r="D2511" s="3">
        <v>47</v>
      </c>
      <c r="E2511" s="3">
        <v>399.03000000000003</v>
      </c>
      <c r="F2511" t="str">
        <f t="shared" si="197"/>
        <v>cogs</v>
      </c>
      <c r="G2511" s="7" t="str">
        <f t="shared" si="198"/>
        <v>product 3</v>
      </c>
      <c r="H2511">
        <f t="shared" si="199"/>
        <v>2024</v>
      </c>
      <c r="I2511">
        <f t="shared" si="200"/>
        <v>12</v>
      </c>
      <c r="J2511">
        <f t="shared" si="196"/>
        <v>-50.97</v>
      </c>
    </row>
    <row r="2512" spans="1:10" ht="12.5" x14ac:dyDescent="0.25">
      <c r="A2512" s="1">
        <v>45640</v>
      </c>
      <c r="B2512" s="2" t="s">
        <v>10</v>
      </c>
      <c r="C2512" s="2" t="s">
        <v>6</v>
      </c>
      <c r="D2512" s="2" t="s">
        <v>6</v>
      </c>
      <c r="E2512" s="3">
        <v>100.03</v>
      </c>
      <c r="F2512" t="str">
        <f t="shared" si="197"/>
        <v>marketing</v>
      </c>
      <c r="G2512" s="7" t="s">
        <v>6</v>
      </c>
      <c r="H2512">
        <f t="shared" si="199"/>
        <v>2024</v>
      </c>
      <c r="I2512">
        <f t="shared" si="200"/>
        <v>12</v>
      </c>
      <c r="J2512">
        <f t="shared" si="196"/>
        <v>0</v>
      </c>
    </row>
    <row r="2513" spans="1:10" ht="12.5" x14ac:dyDescent="0.25">
      <c r="A2513" s="1">
        <v>45640</v>
      </c>
      <c r="B2513" s="2" t="s">
        <v>11</v>
      </c>
      <c r="C2513" s="3">
        <v>9.99</v>
      </c>
      <c r="D2513" s="3">
        <v>22</v>
      </c>
      <c r="E2513" s="3">
        <v>219.78</v>
      </c>
      <c r="F2513" t="str">
        <f t="shared" si="197"/>
        <v>net sales</v>
      </c>
      <c r="G2513" s="7" t="str">
        <f t="shared" si="198"/>
        <v>product 1</v>
      </c>
      <c r="H2513">
        <f t="shared" si="199"/>
        <v>2024</v>
      </c>
      <c r="I2513">
        <f t="shared" si="200"/>
        <v>12</v>
      </c>
      <c r="J2513">
        <f t="shared" si="196"/>
        <v>-100.10000000000001</v>
      </c>
    </row>
    <row r="2514" spans="1:10" ht="12.5" x14ac:dyDescent="0.25">
      <c r="A2514" s="1">
        <v>45640</v>
      </c>
      <c r="B2514" s="2" t="s">
        <v>12</v>
      </c>
      <c r="C2514" s="3">
        <v>24.99</v>
      </c>
      <c r="D2514" s="3">
        <v>1</v>
      </c>
      <c r="E2514" s="3">
        <v>24.99</v>
      </c>
      <c r="F2514" t="str">
        <f t="shared" si="197"/>
        <v>net sales</v>
      </c>
      <c r="G2514" s="7" t="str">
        <f t="shared" si="198"/>
        <v>product 2</v>
      </c>
      <c r="H2514">
        <f t="shared" si="199"/>
        <v>2024</v>
      </c>
      <c r="I2514">
        <f t="shared" si="200"/>
        <v>12</v>
      </c>
      <c r="J2514">
        <f t="shared" si="196"/>
        <v>459.54</v>
      </c>
    </row>
    <row r="2515" spans="1:10" ht="12.5" x14ac:dyDescent="0.25">
      <c r="A2515" s="1">
        <v>45640</v>
      </c>
      <c r="B2515" s="2" t="s">
        <v>13</v>
      </c>
      <c r="C2515" s="3">
        <v>12.49</v>
      </c>
      <c r="D2515" s="3">
        <v>47</v>
      </c>
      <c r="E2515" s="3">
        <v>587.03</v>
      </c>
      <c r="F2515" t="str">
        <f t="shared" si="197"/>
        <v>net sales</v>
      </c>
      <c r="G2515" s="7" t="str">
        <f t="shared" si="198"/>
        <v>product 3</v>
      </c>
      <c r="H2515">
        <f t="shared" si="199"/>
        <v>2024</v>
      </c>
      <c r="I2515">
        <f t="shared" si="200"/>
        <v>12</v>
      </c>
      <c r="J2515">
        <f t="shared" si="196"/>
        <v>74.97</v>
      </c>
    </row>
    <row r="2516" spans="1:10" ht="12.5" x14ac:dyDescent="0.25">
      <c r="A2516" s="1">
        <v>45641</v>
      </c>
      <c r="B2516" s="2" t="s">
        <v>7</v>
      </c>
      <c r="C2516" s="3">
        <v>5.99</v>
      </c>
      <c r="D2516" s="3">
        <v>80</v>
      </c>
      <c r="E2516" s="3">
        <v>479.20000000000005</v>
      </c>
      <c r="F2516" t="str">
        <f t="shared" si="197"/>
        <v>cogs</v>
      </c>
      <c r="G2516" s="7" t="str">
        <f t="shared" si="198"/>
        <v>product 1</v>
      </c>
      <c r="H2516">
        <f t="shared" si="199"/>
        <v>2024</v>
      </c>
      <c r="I2516">
        <f t="shared" si="200"/>
        <v>12</v>
      </c>
      <c r="J2516">
        <f t="shared" si="196"/>
        <v>0</v>
      </c>
    </row>
    <row r="2517" spans="1:10" ht="12.5" x14ac:dyDescent="0.25">
      <c r="A2517" s="1">
        <v>45641</v>
      </c>
      <c r="B2517" s="2" t="s">
        <v>8</v>
      </c>
      <c r="C2517" s="3">
        <v>16.989999999999998</v>
      </c>
      <c r="D2517" s="3">
        <v>10</v>
      </c>
      <c r="E2517" s="3">
        <v>169.89999999999998</v>
      </c>
      <c r="F2517" t="str">
        <f t="shared" si="197"/>
        <v>cogs</v>
      </c>
      <c r="G2517" s="7" t="str">
        <f t="shared" si="198"/>
        <v>product 2</v>
      </c>
      <c r="H2517">
        <f t="shared" si="199"/>
        <v>2024</v>
      </c>
      <c r="I2517">
        <f t="shared" si="200"/>
        <v>12</v>
      </c>
      <c r="J2517">
        <f t="shared" si="196"/>
        <v>-533.11</v>
      </c>
    </row>
    <row r="2518" spans="1:10" ht="12.5" x14ac:dyDescent="0.25">
      <c r="A2518" s="1">
        <v>45641</v>
      </c>
      <c r="B2518" s="2" t="s">
        <v>9</v>
      </c>
      <c r="C2518" s="3">
        <v>8.49</v>
      </c>
      <c r="D2518" s="3">
        <v>205</v>
      </c>
      <c r="E2518" s="3">
        <v>1740.45</v>
      </c>
      <c r="F2518" t="str">
        <f t="shared" si="197"/>
        <v>cogs</v>
      </c>
      <c r="G2518" s="7" t="str">
        <f t="shared" si="198"/>
        <v>product 3</v>
      </c>
      <c r="H2518">
        <f t="shared" si="199"/>
        <v>2024</v>
      </c>
      <c r="I2518">
        <f t="shared" si="200"/>
        <v>12</v>
      </c>
      <c r="J2518">
        <f t="shared" si="196"/>
        <v>-101.94</v>
      </c>
    </row>
    <row r="2519" spans="1:10" ht="12.5" x14ac:dyDescent="0.25">
      <c r="A2519" s="1">
        <v>45641</v>
      </c>
      <c r="B2519" s="2" t="s">
        <v>16</v>
      </c>
      <c r="C2519" s="2" t="s">
        <v>6</v>
      </c>
      <c r="D2519" s="2" t="s">
        <v>6</v>
      </c>
      <c r="E2519" s="3">
        <v>1247.92</v>
      </c>
      <c r="F2519" t="str">
        <f t="shared" si="197"/>
        <v>interest</v>
      </c>
      <c r="G2519" s="7" t="s">
        <v>6</v>
      </c>
      <c r="H2519">
        <f t="shared" si="199"/>
        <v>2024</v>
      </c>
      <c r="I2519">
        <f t="shared" si="200"/>
        <v>12</v>
      </c>
      <c r="J2519">
        <f t="shared" si="196"/>
        <v>-118.86</v>
      </c>
    </row>
    <row r="2520" spans="1:10" ht="12.5" x14ac:dyDescent="0.25">
      <c r="A2520" s="1">
        <v>45641</v>
      </c>
      <c r="B2520" s="2" t="s">
        <v>10</v>
      </c>
      <c r="C2520" s="2" t="s">
        <v>6</v>
      </c>
      <c r="D2520" s="2" t="s">
        <v>6</v>
      </c>
      <c r="E2520" s="3">
        <v>99.95</v>
      </c>
      <c r="F2520" t="str">
        <f t="shared" si="197"/>
        <v>marketing</v>
      </c>
      <c r="G2520" s="7" t="s">
        <v>6</v>
      </c>
      <c r="H2520">
        <f t="shared" si="199"/>
        <v>2024</v>
      </c>
      <c r="I2520">
        <f t="shared" si="200"/>
        <v>12</v>
      </c>
      <c r="J2520">
        <f t="shared" si="196"/>
        <v>-1250.04</v>
      </c>
    </row>
    <row r="2521" spans="1:10" ht="12.5" x14ac:dyDescent="0.25">
      <c r="A2521" s="1">
        <v>45641</v>
      </c>
      <c r="B2521" s="2" t="s">
        <v>11</v>
      </c>
      <c r="C2521" s="3">
        <v>9.99</v>
      </c>
      <c r="D2521" s="3">
        <v>80</v>
      </c>
      <c r="E2521" s="3">
        <v>799.2</v>
      </c>
      <c r="F2521" t="str">
        <f t="shared" si="197"/>
        <v>net sales</v>
      </c>
      <c r="G2521" s="7" t="str">
        <f t="shared" si="198"/>
        <v>product 1</v>
      </c>
      <c r="H2521">
        <f t="shared" si="199"/>
        <v>2024</v>
      </c>
      <c r="I2521">
        <f t="shared" si="200"/>
        <v>12</v>
      </c>
      <c r="J2521">
        <f t="shared" si="196"/>
        <v>-100.06</v>
      </c>
    </row>
    <row r="2522" spans="1:10" ht="12.5" x14ac:dyDescent="0.25">
      <c r="A2522" s="1">
        <v>45641</v>
      </c>
      <c r="B2522" s="2" t="s">
        <v>12</v>
      </c>
      <c r="C2522" s="3">
        <v>24.99</v>
      </c>
      <c r="D2522" s="3">
        <v>10</v>
      </c>
      <c r="E2522" s="3">
        <v>249.89999999999998</v>
      </c>
      <c r="F2522" t="str">
        <f t="shared" si="197"/>
        <v>net sales</v>
      </c>
      <c r="G2522" s="7" t="str">
        <f t="shared" si="198"/>
        <v>product 2</v>
      </c>
      <c r="H2522">
        <f t="shared" si="199"/>
        <v>2024</v>
      </c>
      <c r="I2522">
        <f t="shared" si="200"/>
        <v>12</v>
      </c>
      <c r="J2522">
        <f t="shared" si="196"/>
        <v>889.11</v>
      </c>
    </row>
    <row r="2523" spans="1:10" ht="12.5" x14ac:dyDescent="0.25">
      <c r="A2523" s="1">
        <v>45641</v>
      </c>
      <c r="B2523" s="2" t="s">
        <v>13</v>
      </c>
      <c r="C2523" s="3">
        <v>12.49</v>
      </c>
      <c r="D2523" s="3">
        <v>205</v>
      </c>
      <c r="E2523" s="3">
        <v>2560.4499999999998</v>
      </c>
      <c r="F2523" t="str">
        <f t="shared" si="197"/>
        <v>net sales</v>
      </c>
      <c r="G2523" s="7" t="str">
        <f t="shared" si="198"/>
        <v>product 3</v>
      </c>
      <c r="H2523">
        <f t="shared" si="199"/>
        <v>2024</v>
      </c>
      <c r="I2523">
        <f t="shared" si="200"/>
        <v>12</v>
      </c>
      <c r="J2523">
        <f t="shared" si="196"/>
        <v>149.94</v>
      </c>
    </row>
    <row r="2524" spans="1:10" ht="12.5" x14ac:dyDescent="0.25">
      <c r="A2524" s="1">
        <v>45641</v>
      </c>
      <c r="B2524" s="2" t="s">
        <v>14</v>
      </c>
      <c r="C2524" s="2" t="s">
        <v>6</v>
      </c>
      <c r="D2524" s="2" t="s">
        <v>6</v>
      </c>
      <c r="E2524" s="3">
        <v>310.94</v>
      </c>
      <c r="F2524" t="str">
        <f t="shared" si="197"/>
        <v>overhead</v>
      </c>
      <c r="G2524" s="7" t="s">
        <v>6</v>
      </c>
      <c r="H2524">
        <f t="shared" si="199"/>
        <v>2024</v>
      </c>
      <c r="I2524">
        <f t="shared" si="200"/>
        <v>12</v>
      </c>
      <c r="J2524">
        <f t="shared" ref="J2524:J2587" si="201">IF(F2307="net sales",E2307,
IF(F2307="cogs",-E2307,
IF(OR(F2307="marketing",F2307="overhead",F2307="payroll",F2307="interest","amortization"),-E2307,0)))</f>
        <v>174.86</v>
      </c>
    </row>
    <row r="2525" spans="1:10" ht="12.5" x14ac:dyDescent="0.25">
      <c r="A2525" s="1">
        <v>45642</v>
      </c>
      <c r="B2525" s="2" t="s">
        <v>7</v>
      </c>
      <c r="C2525" s="3">
        <v>5.99</v>
      </c>
      <c r="D2525" s="3">
        <v>15</v>
      </c>
      <c r="E2525" s="3">
        <v>89.850000000000009</v>
      </c>
      <c r="F2525" t="str">
        <f t="shared" si="197"/>
        <v>cogs</v>
      </c>
      <c r="G2525" s="7" t="str">
        <f t="shared" si="198"/>
        <v>product 1</v>
      </c>
      <c r="H2525">
        <f t="shared" si="199"/>
        <v>2024</v>
      </c>
      <c r="I2525">
        <f t="shared" si="200"/>
        <v>12</v>
      </c>
      <c r="J2525">
        <f t="shared" si="201"/>
        <v>-312.51</v>
      </c>
    </row>
    <row r="2526" spans="1:10" ht="12.5" x14ac:dyDescent="0.25">
      <c r="A2526" s="1">
        <v>45642</v>
      </c>
      <c r="B2526" s="2" t="s">
        <v>8</v>
      </c>
      <c r="C2526" s="3">
        <v>16.989999999999998</v>
      </c>
      <c r="D2526" s="3">
        <v>4</v>
      </c>
      <c r="E2526" s="3">
        <v>67.959999999999994</v>
      </c>
      <c r="F2526" t="str">
        <f t="shared" si="197"/>
        <v>cogs</v>
      </c>
      <c r="G2526" s="7" t="str">
        <f t="shared" si="198"/>
        <v>product 2</v>
      </c>
      <c r="H2526">
        <f t="shared" si="199"/>
        <v>2024</v>
      </c>
      <c r="I2526">
        <f t="shared" si="200"/>
        <v>12</v>
      </c>
      <c r="J2526">
        <f t="shared" si="201"/>
        <v>-563.06000000000006</v>
      </c>
    </row>
    <row r="2527" spans="1:10" ht="12.5" x14ac:dyDescent="0.25">
      <c r="A2527" s="1">
        <v>45642</v>
      </c>
      <c r="B2527" s="2" t="s">
        <v>9</v>
      </c>
      <c r="C2527" s="3">
        <v>8.49</v>
      </c>
      <c r="D2527" s="3">
        <v>234</v>
      </c>
      <c r="E2527" s="3">
        <v>1986.66</v>
      </c>
      <c r="F2527" t="str">
        <f t="shared" si="197"/>
        <v>cogs</v>
      </c>
      <c r="G2527" s="7" t="str">
        <f t="shared" si="198"/>
        <v>product 3</v>
      </c>
      <c r="H2527">
        <f t="shared" si="199"/>
        <v>2024</v>
      </c>
      <c r="I2527">
        <f t="shared" si="200"/>
        <v>12</v>
      </c>
      <c r="J2527">
        <f t="shared" si="201"/>
        <v>-16.989999999999998</v>
      </c>
    </row>
    <row r="2528" spans="1:10" ht="12.5" x14ac:dyDescent="0.25">
      <c r="A2528" s="1">
        <v>45642</v>
      </c>
      <c r="B2528" s="2" t="s">
        <v>10</v>
      </c>
      <c r="C2528" s="2" t="s">
        <v>6</v>
      </c>
      <c r="D2528" s="2" t="s">
        <v>6</v>
      </c>
      <c r="E2528" s="3">
        <v>99.960000000000008</v>
      </c>
      <c r="F2528" t="str">
        <f t="shared" si="197"/>
        <v>marketing</v>
      </c>
      <c r="G2528" s="7" t="s">
        <v>6</v>
      </c>
      <c r="H2528">
        <f t="shared" si="199"/>
        <v>2024</v>
      </c>
      <c r="I2528">
        <f t="shared" si="200"/>
        <v>12</v>
      </c>
      <c r="J2528">
        <f t="shared" si="201"/>
        <v>-25.47</v>
      </c>
    </row>
    <row r="2529" spans="1:10" ht="12.5" x14ac:dyDescent="0.25">
      <c r="A2529" s="1">
        <v>45642</v>
      </c>
      <c r="B2529" s="2" t="s">
        <v>11</v>
      </c>
      <c r="C2529" s="3">
        <v>9.99</v>
      </c>
      <c r="D2529" s="3">
        <v>15</v>
      </c>
      <c r="E2529" s="3">
        <v>149.85</v>
      </c>
      <c r="F2529" t="str">
        <f t="shared" si="197"/>
        <v>net sales</v>
      </c>
      <c r="G2529" s="7" t="str">
        <f t="shared" si="198"/>
        <v>product 1</v>
      </c>
      <c r="H2529">
        <f t="shared" si="199"/>
        <v>2024</v>
      </c>
      <c r="I2529">
        <f t="shared" si="200"/>
        <v>12</v>
      </c>
      <c r="J2529">
        <f t="shared" si="201"/>
        <v>-100.07000000000001</v>
      </c>
    </row>
    <row r="2530" spans="1:10" ht="12.5" x14ac:dyDescent="0.25">
      <c r="A2530" s="1">
        <v>45642</v>
      </c>
      <c r="B2530" s="2" t="s">
        <v>12</v>
      </c>
      <c r="C2530" s="3">
        <v>24.99</v>
      </c>
      <c r="D2530" s="3">
        <v>4</v>
      </c>
      <c r="E2530" s="3">
        <v>99.96</v>
      </c>
      <c r="F2530" t="str">
        <f t="shared" si="197"/>
        <v>net sales</v>
      </c>
      <c r="G2530" s="7" t="str">
        <f t="shared" si="198"/>
        <v>product 2</v>
      </c>
      <c r="H2530">
        <f t="shared" si="199"/>
        <v>2024</v>
      </c>
      <c r="I2530">
        <f t="shared" si="200"/>
        <v>12</v>
      </c>
      <c r="J2530">
        <f t="shared" si="201"/>
        <v>939.06000000000006</v>
      </c>
    </row>
    <row r="2531" spans="1:10" ht="12.5" x14ac:dyDescent="0.25">
      <c r="A2531" s="1">
        <v>45642</v>
      </c>
      <c r="B2531" s="2" t="s">
        <v>13</v>
      </c>
      <c r="C2531" s="3">
        <v>12.49</v>
      </c>
      <c r="D2531" s="3">
        <v>234</v>
      </c>
      <c r="E2531" s="3">
        <v>2922.66</v>
      </c>
      <c r="F2531" t="str">
        <f t="shared" si="197"/>
        <v>net sales</v>
      </c>
      <c r="G2531" s="7" t="str">
        <f t="shared" si="198"/>
        <v>product 3</v>
      </c>
      <c r="H2531">
        <f t="shared" si="199"/>
        <v>2024</v>
      </c>
      <c r="I2531">
        <f t="shared" si="200"/>
        <v>12</v>
      </c>
      <c r="J2531">
        <f t="shared" si="201"/>
        <v>24.99</v>
      </c>
    </row>
    <row r="2532" spans="1:10" ht="12.5" x14ac:dyDescent="0.25">
      <c r="A2532" s="1">
        <v>45643</v>
      </c>
      <c r="B2532" s="2" t="s">
        <v>7</v>
      </c>
      <c r="C2532" s="3">
        <v>5.99</v>
      </c>
      <c r="D2532" s="3">
        <v>88</v>
      </c>
      <c r="E2532" s="3">
        <v>527.12</v>
      </c>
      <c r="F2532" t="str">
        <f t="shared" si="197"/>
        <v>cogs</v>
      </c>
      <c r="G2532" s="7" t="str">
        <f t="shared" si="198"/>
        <v>product 1</v>
      </c>
      <c r="H2532">
        <f t="shared" si="199"/>
        <v>2024</v>
      </c>
      <c r="I2532">
        <f t="shared" si="200"/>
        <v>12</v>
      </c>
      <c r="J2532">
        <f t="shared" si="201"/>
        <v>37.47</v>
      </c>
    </row>
    <row r="2533" spans="1:10" ht="12.5" x14ac:dyDescent="0.25">
      <c r="A2533" s="1">
        <v>45643</v>
      </c>
      <c r="B2533" s="2" t="s">
        <v>8</v>
      </c>
      <c r="C2533" s="3">
        <v>16.989999999999998</v>
      </c>
      <c r="D2533" s="3">
        <v>5</v>
      </c>
      <c r="E2533" s="3">
        <v>84.949999999999989</v>
      </c>
      <c r="F2533" t="str">
        <f t="shared" si="197"/>
        <v>cogs</v>
      </c>
      <c r="G2533" s="7" t="str">
        <f t="shared" si="198"/>
        <v>product 2</v>
      </c>
      <c r="H2533">
        <f t="shared" si="199"/>
        <v>2024</v>
      </c>
      <c r="I2533">
        <f t="shared" si="200"/>
        <v>12</v>
      </c>
      <c r="J2533">
        <f t="shared" si="201"/>
        <v>-299.5</v>
      </c>
    </row>
    <row r="2534" spans="1:10" ht="12.5" x14ac:dyDescent="0.25">
      <c r="A2534" s="1">
        <v>45643</v>
      </c>
      <c r="B2534" s="2" t="s">
        <v>9</v>
      </c>
      <c r="C2534" s="3">
        <v>8.49</v>
      </c>
      <c r="D2534" s="3">
        <v>91</v>
      </c>
      <c r="E2534" s="3">
        <v>772.59</v>
      </c>
      <c r="F2534" t="str">
        <f t="shared" si="197"/>
        <v>cogs</v>
      </c>
      <c r="G2534" s="7" t="str">
        <f t="shared" si="198"/>
        <v>product 3</v>
      </c>
      <c r="H2534">
        <f t="shared" si="199"/>
        <v>2024</v>
      </c>
      <c r="I2534">
        <f t="shared" si="200"/>
        <v>12</v>
      </c>
      <c r="J2534">
        <f t="shared" si="201"/>
        <v>-33.979999999999997</v>
      </c>
    </row>
    <row r="2535" spans="1:10" ht="12.5" x14ac:dyDescent="0.25">
      <c r="A2535" s="1">
        <v>45643</v>
      </c>
      <c r="B2535" s="2" t="s">
        <v>10</v>
      </c>
      <c r="C2535" s="2" t="s">
        <v>6</v>
      </c>
      <c r="D2535" s="2" t="s">
        <v>6</v>
      </c>
      <c r="E2535" s="3">
        <v>100.04</v>
      </c>
      <c r="F2535" t="str">
        <f t="shared" si="197"/>
        <v>marketing</v>
      </c>
      <c r="G2535" s="7" t="s">
        <v>6</v>
      </c>
      <c r="H2535">
        <f t="shared" si="199"/>
        <v>2024</v>
      </c>
      <c r="I2535">
        <f t="shared" si="200"/>
        <v>12</v>
      </c>
      <c r="J2535">
        <f t="shared" si="201"/>
        <v>-229.23000000000002</v>
      </c>
    </row>
    <row r="2536" spans="1:10" ht="12.5" x14ac:dyDescent="0.25">
      <c r="A2536" s="1">
        <v>45643</v>
      </c>
      <c r="B2536" s="2" t="s">
        <v>11</v>
      </c>
      <c r="C2536" s="3">
        <v>9.99</v>
      </c>
      <c r="D2536" s="3">
        <v>88</v>
      </c>
      <c r="E2536" s="3">
        <v>879.12</v>
      </c>
      <c r="F2536" t="str">
        <f t="shared" si="197"/>
        <v>net sales</v>
      </c>
      <c r="G2536" s="7" t="str">
        <f t="shared" si="198"/>
        <v>product 1</v>
      </c>
      <c r="H2536">
        <f t="shared" si="199"/>
        <v>2024</v>
      </c>
      <c r="I2536">
        <f t="shared" si="200"/>
        <v>12</v>
      </c>
      <c r="J2536">
        <f t="shared" si="201"/>
        <v>-100.05</v>
      </c>
    </row>
    <row r="2537" spans="1:10" ht="12.5" x14ac:dyDescent="0.25">
      <c r="A2537" s="1">
        <v>45643</v>
      </c>
      <c r="B2537" s="2" t="s">
        <v>12</v>
      </c>
      <c r="C2537" s="3">
        <v>24.99</v>
      </c>
      <c r="D2537" s="3">
        <v>5</v>
      </c>
      <c r="E2537" s="3">
        <v>124.94999999999999</v>
      </c>
      <c r="F2537" t="str">
        <f t="shared" si="197"/>
        <v>net sales</v>
      </c>
      <c r="G2537" s="7" t="str">
        <f t="shared" si="198"/>
        <v>product 2</v>
      </c>
      <c r="H2537">
        <f t="shared" si="199"/>
        <v>2024</v>
      </c>
      <c r="I2537">
        <f t="shared" si="200"/>
        <v>12</v>
      </c>
      <c r="J2537">
        <f t="shared" si="201"/>
        <v>499.5</v>
      </c>
    </row>
    <row r="2538" spans="1:10" ht="12.5" x14ac:dyDescent="0.25">
      <c r="A2538" s="1">
        <v>45643</v>
      </c>
      <c r="B2538" s="2" t="s">
        <v>13</v>
      </c>
      <c r="C2538" s="3">
        <v>12.49</v>
      </c>
      <c r="D2538" s="3">
        <v>91</v>
      </c>
      <c r="E2538" s="3">
        <v>1136.5899999999999</v>
      </c>
      <c r="F2538" t="str">
        <f t="shared" si="197"/>
        <v>net sales</v>
      </c>
      <c r="G2538" s="7" t="str">
        <f t="shared" si="198"/>
        <v>product 3</v>
      </c>
      <c r="H2538">
        <f t="shared" si="199"/>
        <v>2024</v>
      </c>
      <c r="I2538">
        <f t="shared" si="200"/>
        <v>12</v>
      </c>
      <c r="J2538">
        <f t="shared" si="201"/>
        <v>49.98</v>
      </c>
    </row>
    <row r="2539" spans="1:10" ht="12.5" x14ac:dyDescent="0.25">
      <c r="A2539" s="1">
        <v>45644</v>
      </c>
      <c r="B2539" s="2" t="s">
        <v>7</v>
      </c>
      <c r="C2539" s="3">
        <v>5.99</v>
      </c>
      <c r="D2539" s="3">
        <v>42</v>
      </c>
      <c r="E2539" s="3">
        <v>251.58</v>
      </c>
      <c r="F2539" t="str">
        <f t="shared" si="197"/>
        <v>cogs</v>
      </c>
      <c r="G2539" s="7" t="str">
        <f t="shared" si="198"/>
        <v>product 1</v>
      </c>
      <c r="H2539">
        <f t="shared" si="199"/>
        <v>2024</v>
      </c>
      <c r="I2539">
        <f t="shared" si="200"/>
        <v>12</v>
      </c>
      <c r="J2539">
        <f t="shared" si="201"/>
        <v>337.23</v>
      </c>
    </row>
    <row r="2540" spans="1:10" ht="12.5" x14ac:dyDescent="0.25">
      <c r="A2540" s="1">
        <v>45644</v>
      </c>
      <c r="B2540" s="2" t="s">
        <v>8</v>
      </c>
      <c r="C2540" s="3">
        <v>16.989999999999998</v>
      </c>
      <c r="D2540" s="3">
        <v>7</v>
      </c>
      <c r="E2540" s="3">
        <v>118.92999999999999</v>
      </c>
      <c r="F2540" t="str">
        <f t="shared" si="197"/>
        <v>cogs</v>
      </c>
      <c r="G2540" s="7" t="str">
        <f t="shared" si="198"/>
        <v>product 2</v>
      </c>
      <c r="H2540">
        <f t="shared" si="199"/>
        <v>2024</v>
      </c>
      <c r="I2540">
        <f t="shared" si="200"/>
        <v>12</v>
      </c>
      <c r="J2540">
        <f t="shared" si="201"/>
        <v>-35.94</v>
      </c>
    </row>
    <row r="2541" spans="1:10" ht="12.5" x14ac:dyDescent="0.25">
      <c r="A2541" s="1">
        <v>45644</v>
      </c>
      <c r="B2541" s="2" t="s">
        <v>9</v>
      </c>
      <c r="C2541" s="3">
        <v>8.49</v>
      </c>
      <c r="D2541" s="3">
        <v>178</v>
      </c>
      <c r="E2541" s="3">
        <v>1511.22</v>
      </c>
      <c r="F2541" t="str">
        <f t="shared" si="197"/>
        <v>cogs</v>
      </c>
      <c r="G2541" s="7" t="str">
        <f t="shared" si="198"/>
        <v>product 3</v>
      </c>
      <c r="H2541">
        <f t="shared" si="199"/>
        <v>2024</v>
      </c>
      <c r="I2541">
        <f t="shared" si="200"/>
        <v>12</v>
      </c>
      <c r="J2541">
        <f t="shared" si="201"/>
        <v>-84.949999999999989</v>
      </c>
    </row>
    <row r="2542" spans="1:10" ht="12.5" x14ac:dyDescent="0.25">
      <c r="A2542" s="1">
        <v>45644</v>
      </c>
      <c r="B2542" s="2" t="s">
        <v>10</v>
      </c>
      <c r="C2542" s="2" t="s">
        <v>6</v>
      </c>
      <c r="D2542" s="2" t="s">
        <v>6</v>
      </c>
      <c r="E2542" s="3">
        <v>99.93</v>
      </c>
      <c r="F2542" t="str">
        <f t="shared" si="197"/>
        <v>marketing</v>
      </c>
      <c r="G2542" s="7" t="s">
        <v>6</v>
      </c>
      <c r="H2542">
        <f t="shared" si="199"/>
        <v>2024</v>
      </c>
      <c r="I2542">
        <f t="shared" si="200"/>
        <v>12</v>
      </c>
      <c r="J2542">
        <f t="shared" si="201"/>
        <v>0</v>
      </c>
    </row>
    <row r="2543" spans="1:10" ht="12.5" x14ac:dyDescent="0.25">
      <c r="A2543" s="1">
        <v>45644</v>
      </c>
      <c r="B2543" s="2" t="s">
        <v>11</v>
      </c>
      <c r="C2543" s="3">
        <v>9.99</v>
      </c>
      <c r="D2543" s="3">
        <v>42</v>
      </c>
      <c r="E2543" s="3">
        <v>419.58</v>
      </c>
      <c r="F2543" t="str">
        <f t="shared" si="197"/>
        <v>net sales</v>
      </c>
      <c r="G2543" s="7" t="str">
        <f t="shared" si="198"/>
        <v>product 1</v>
      </c>
      <c r="H2543">
        <f t="shared" si="199"/>
        <v>2024</v>
      </c>
      <c r="I2543">
        <f t="shared" si="200"/>
        <v>12</v>
      </c>
      <c r="J2543">
        <f t="shared" si="201"/>
        <v>-100.05</v>
      </c>
    </row>
    <row r="2544" spans="1:10" ht="12.5" x14ac:dyDescent="0.25">
      <c r="A2544" s="1">
        <v>45644</v>
      </c>
      <c r="B2544" s="2" t="s">
        <v>12</v>
      </c>
      <c r="C2544" s="3">
        <v>24.99</v>
      </c>
      <c r="D2544" s="3">
        <v>7</v>
      </c>
      <c r="E2544" s="3">
        <v>174.92999999999998</v>
      </c>
      <c r="F2544" t="str">
        <f t="shared" si="197"/>
        <v>net sales</v>
      </c>
      <c r="G2544" s="7" t="str">
        <f t="shared" si="198"/>
        <v>product 2</v>
      </c>
      <c r="H2544">
        <f t="shared" si="199"/>
        <v>2024</v>
      </c>
      <c r="I2544">
        <f t="shared" si="200"/>
        <v>12</v>
      </c>
      <c r="J2544">
        <f t="shared" si="201"/>
        <v>59.94</v>
      </c>
    </row>
    <row r="2545" spans="1:10" ht="12.5" x14ac:dyDescent="0.25">
      <c r="A2545" s="1">
        <v>45644</v>
      </c>
      <c r="B2545" s="2" t="s">
        <v>13</v>
      </c>
      <c r="C2545" s="3">
        <v>12.49</v>
      </c>
      <c r="D2545" s="3">
        <v>178</v>
      </c>
      <c r="E2545" s="3">
        <v>2223.2200000000003</v>
      </c>
      <c r="F2545" t="str">
        <f t="shared" si="197"/>
        <v>net sales</v>
      </c>
      <c r="G2545" s="7" t="str">
        <f t="shared" si="198"/>
        <v>product 3</v>
      </c>
      <c r="H2545">
        <f t="shared" si="199"/>
        <v>2024</v>
      </c>
      <c r="I2545">
        <f t="shared" si="200"/>
        <v>12</v>
      </c>
      <c r="J2545">
        <f t="shared" si="201"/>
        <v>124.94999999999999</v>
      </c>
    </row>
    <row r="2546" spans="1:10" ht="12.5" x14ac:dyDescent="0.25">
      <c r="A2546" s="1">
        <v>45645</v>
      </c>
      <c r="B2546" s="2" t="s">
        <v>7</v>
      </c>
      <c r="C2546" s="3">
        <v>5.99</v>
      </c>
      <c r="D2546" s="3">
        <v>7</v>
      </c>
      <c r="E2546" s="3">
        <v>41.93</v>
      </c>
      <c r="F2546" t="str">
        <f t="shared" si="197"/>
        <v>cogs</v>
      </c>
      <c r="G2546" s="7" t="str">
        <f t="shared" si="198"/>
        <v>product 1</v>
      </c>
      <c r="H2546">
        <f t="shared" si="199"/>
        <v>2024</v>
      </c>
      <c r="I2546">
        <f t="shared" si="200"/>
        <v>12</v>
      </c>
      <c r="J2546">
        <f t="shared" si="201"/>
        <v>0</v>
      </c>
    </row>
    <row r="2547" spans="1:10" ht="12.5" x14ac:dyDescent="0.25">
      <c r="A2547" s="1">
        <v>45645</v>
      </c>
      <c r="B2547" s="2" t="s">
        <v>8</v>
      </c>
      <c r="C2547" s="3">
        <v>16.989999999999998</v>
      </c>
      <c r="D2547" s="3">
        <v>6</v>
      </c>
      <c r="E2547" s="3">
        <v>101.94</v>
      </c>
      <c r="F2547" t="str">
        <f t="shared" si="197"/>
        <v>cogs</v>
      </c>
      <c r="G2547" s="7" t="str">
        <f t="shared" si="198"/>
        <v>product 2</v>
      </c>
      <c r="H2547">
        <f t="shared" si="199"/>
        <v>2024</v>
      </c>
      <c r="I2547">
        <f t="shared" si="200"/>
        <v>12</v>
      </c>
      <c r="J2547">
        <f t="shared" si="201"/>
        <v>-167.72</v>
      </c>
    </row>
    <row r="2548" spans="1:10" ht="12.5" x14ac:dyDescent="0.25">
      <c r="A2548" s="1">
        <v>45645</v>
      </c>
      <c r="B2548" s="2" t="s">
        <v>9</v>
      </c>
      <c r="C2548" s="3">
        <v>8.49</v>
      </c>
      <c r="D2548" s="3">
        <v>52</v>
      </c>
      <c r="E2548" s="3">
        <v>441.48</v>
      </c>
      <c r="F2548" t="str">
        <f t="shared" si="197"/>
        <v>cogs</v>
      </c>
      <c r="G2548" s="7" t="str">
        <f t="shared" si="198"/>
        <v>product 3</v>
      </c>
      <c r="H2548">
        <f t="shared" si="199"/>
        <v>2024</v>
      </c>
      <c r="I2548">
        <f t="shared" si="200"/>
        <v>12</v>
      </c>
      <c r="J2548">
        <f t="shared" si="201"/>
        <v>-135.91999999999999</v>
      </c>
    </row>
    <row r="2549" spans="1:10" ht="12.5" x14ac:dyDescent="0.25">
      <c r="A2549" s="1">
        <v>45645</v>
      </c>
      <c r="B2549" s="2" t="s">
        <v>10</v>
      </c>
      <c r="C2549" s="2" t="s">
        <v>6</v>
      </c>
      <c r="D2549" s="2" t="s">
        <v>6</v>
      </c>
      <c r="E2549" s="3">
        <v>100.08</v>
      </c>
      <c r="F2549" t="str">
        <f t="shared" si="197"/>
        <v>marketing</v>
      </c>
      <c r="G2549" s="7" t="s">
        <v>6</v>
      </c>
      <c r="H2549">
        <f t="shared" si="199"/>
        <v>2024</v>
      </c>
      <c r="I2549">
        <f t="shared" si="200"/>
        <v>12</v>
      </c>
      <c r="J2549">
        <f t="shared" si="201"/>
        <v>-1604.6100000000001</v>
      </c>
    </row>
    <row r="2550" spans="1:10" ht="12.5" x14ac:dyDescent="0.25">
      <c r="A2550" s="1">
        <v>45645</v>
      </c>
      <c r="B2550" s="2" t="s">
        <v>11</v>
      </c>
      <c r="C2550" s="3">
        <v>9.99</v>
      </c>
      <c r="D2550" s="3">
        <v>7</v>
      </c>
      <c r="E2550" s="3">
        <v>69.930000000000007</v>
      </c>
      <c r="F2550" t="str">
        <f t="shared" si="197"/>
        <v>net sales</v>
      </c>
      <c r="G2550" s="7" t="str">
        <f t="shared" si="198"/>
        <v>product 1</v>
      </c>
      <c r="H2550">
        <f t="shared" si="199"/>
        <v>2024</v>
      </c>
      <c r="I2550">
        <f t="shared" si="200"/>
        <v>12</v>
      </c>
      <c r="J2550">
        <f t="shared" si="201"/>
        <v>-99.98</v>
      </c>
    </row>
    <row r="2551" spans="1:10" ht="12.5" x14ac:dyDescent="0.25">
      <c r="A2551" s="1">
        <v>45645</v>
      </c>
      <c r="B2551" s="2" t="s">
        <v>12</v>
      </c>
      <c r="C2551" s="3">
        <v>24.99</v>
      </c>
      <c r="D2551" s="3">
        <v>6</v>
      </c>
      <c r="E2551" s="3">
        <v>149.94</v>
      </c>
      <c r="F2551" t="str">
        <f t="shared" si="197"/>
        <v>net sales</v>
      </c>
      <c r="G2551" s="7" t="str">
        <f t="shared" si="198"/>
        <v>product 2</v>
      </c>
      <c r="H2551">
        <f t="shared" si="199"/>
        <v>2024</v>
      </c>
      <c r="I2551">
        <f t="shared" si="200"/>
        <v>12</v>
      </c>
      <c r="J2551">
        <f t="shared" si="201"/>
        <v>279.72000000000003</v>
      </c>
    </row>
    <row r="2552" spans="1:10" ht="12.5" x14ac:dyDescent="0.25">
      <c r="A2552" s="1">
        <v>45645</v>
      </c>
      <c r="B2552" s="2" t="s">
        <v>13</v>
      </c>
      <c r="C2552" s="3">
        <v>12.49</v>
      </c>
      <c r="D2552" s="3">
        <v>52</v>
      </c>
      <c r="E2552" s="3">
        <v>649.48</v>
      </c>
      <c r="F2552" t="str">
        <f t="shared" si="197"/>
        <v>net sales</v>
      </c>
      <c r="G2552" s="7" t="str">
        <f t="shared" si="198"/>
        <v>product 3</v>
      </c>
      <c r="H2552">
        <f t="shared" si="199"/>
        <v>2024</v>
      </c>
      <c r="I2552">
        <f t="shared" si="200"/>
        <v>12</v>
      </c>
      <c r="J2552">
        <f t="shared" si="201"/>
        <v>199.92</v>
      </c>
    </row>
    <row r="2553" spans="1:10" ht="12.5" x14ac:dyDescent="0.25">
      <c r="A2553" s="1">
        <v>45646</v>
      </c>
      <c r="B2553" s="2" t="s">
        <v>7</v>
      </c>
      <c r="C2553" s="3">
        <v>5.99</v>
      </c>
      <c r="D2553" s="3">
        <v>35</v>
      </c>
      <c r="E2553" s="3">
        <v>209.65</v>
      </c>
      <c r="F2553" t="str">
        <f t="shared" si="197"/>
        <v>cogs</v>
      </c>
      <c r="G2553" s="7" t="str">
        <f t="shared" si="198"/>
        <v>product 1</v>
      </c>
      <c r="H2553">
        <f t="shared" si="199"/>
        <v>2024</v>
      </c>
      <c r="I2553">
        <f t="shared" si="200"/>
        <v>12</v>
      </c>
      <c r="J2553">
        <f t="shared" si="201"/>
        <v>2360.61</v>
      </c>
    </row>
    <row r="2554" spans="1:10" ht="12.5" x14ac:dyDescent="0.25">
      <c r="A2554" s="1">
        <v>45646</v>
      </c>
      <c r="B2554" s="2" t="s">
        <v>8</v>
      </c>
      <c r="C2554" s="3">
        <v>16.989999999999998</v>
      </c>
      <c r="D2554" s="3">
        <v>3</v>
      </c>
      <c r="E2554" s="3">
        <v>50.97</v>
      </c>
      <c r="F2554" t="str">
        <f t="shared" si="197"/>
        <v>cogs</v>
      </c>
      <c r="G2554" s="7" t="str">
        <f t="shared" si="198"/>
        <v>product 2</v>
      </c>
      <c r="H2554">
        <f t="shared" si="199"/>
        <v>2024</v>
      </c>
      <c r="I2554">
        <f t="shared" si="200"/>
        <v>12</v>
      </c>
      <c r="J2554">
        <f t="shared" si="201"/>
        <v>-569.05000000000007</v>
      </c>
    </row>
    <row r="2555" spans="1:10" ht="12.5" x14ac:dyDescent="0.25">
      <c r="A2555" s="1">
        <v>45646</v>
      </c>
      <c r="B2555" s="2" t="s">
        <v>9</v>
      </c>
      <c r="C2555" s="3">
        <v>8.49</v>
      </c>
      <c r="D2555" s="3">
        <v>60</v>
      </c>
      <c r="E2555" s="3">
        <v>509.40000000000003</v>
      </c>
      <c r="F2555" t="str">
        <f t="shared" si="197"/>
        <v>cogs</v>
      </c>
      <c r="G2555" s="7" t="str">
        <f t="shared" si="198"/>
        <v>product 3</v>
      </c>
      <c r="H2555">
        <f t="shared" si="199"/>
        <v>2024</v>
      </c>
      <c r="I2555">
        <f t="shared" si="200"/>
        <v>12</v>
      </c>
      <c r="J2555">
        <f t="shared" si="201"/>
        <v>-101.94</v>
      </c>
    </row>
    <row r="2556" spans="1:10" ht="12.5" x14ac:dyDescent="0.25">
      <c r="A2556" s="1">
        <v>45646</v>
      </c>
      <c r="B2556" s="2" t="s">
        <v>10</v>
      </c>
      <c r="C2556" s="2" t="s">
        <v>6</v>
      </c>
      <c r="D2556" s="2" t="s">
        <v>6</v>
      </c>
      <c r="E2556" s="3">
        <v>99.960000000000008</v>
      </c>
      <c r="F2556" t="str">
        <f t="shared" si="197"/>
        <v>marketing</v>
      </c>
      <c r="G2556" s="7" t="s">
        <v>6</v>
      </c>
      <c r="H2556">
        <f t="shared" si="199"/>
        <v>2024</v>
      </c>
      <c r="I2556">
        <f t="shared" si="200"/>
        <v>12</v>
      </c>
      <c r="J2556">
        <f t="shared" si="201"/>
        <v>-1952.7</v>
      </c>
    </row>
    <row r="2557" spans="1:10" ht="12.5" x14ac:dyDescent="0.25">
      <c r="A2557" s="1">
        <v>45646</v>
      </c>
      <c r="B2557" s="2" t="s">
        <v>11</v>
      </c>
      <c r="C2557" s="3">
        <v>9.99</v>
      </c>
      <c r="D2557" s="3">
        <v>35</v>
      </c>
      <c r="E2557" s="3">
        <v>349.65000000000003</v>
      </c>
      <c r="F2557" t="str">
        <f t="shared" si="197"/>
        <v>net sales</v>
      </c>
      <c r="G2557" s="7" t="str">
        <f t="shared" si="198"/>
        <v>product 1</v>
      </c>
      <c r="H2557">
        <f t="shared" si="199"/>
        <v>2024</v>
      </c>
      <c r="I2557">
        <f t="shared" si="200"/>
        <v>12</v>
      </c>
      <c r="J2557">
        <f t="shared" si="201"/>
        <v>-100.09</v>
      </c>
    </row>
    <row r="2558" spans="1:10" ht="12.5" x14ac:dyDescent="0.25">
      <c r="A2558" s="1">
        <v>45646</v>
      </c>
      <c r="B2558" s="2" t="s">
        <v>12</v>
      </c>
      <c r="C2558" s="3">
        <v>24.99</v>
      </c>
      <c r="D2558" s="3">
        <v>3</v>
      </c>
      <c r="E2558" s="3">
        <v>74.97</v>
      </c>
      <c r="F2558" t="str">
        <f t="shared" si="197"/>
        <v>net sales</v>
      </c>
      <c r="G2558" s="7" t="str">
        <f t="shared" si="198"/>
        <v>product 2</v>
      </c>
      <c r="H2558">
        <f t="shared" si="199"/>
        <v>2024</v>
      </c>
      <c r="I2558">
        <f t="shared" si="200"/>
        <v>12</v>
      </c>
      <c r="J2558">
        <f t="shared" si="201"/>
        <v>949.05000000000007</v>
      </c>
    </row>
    <row r="2559" spans="1:10" ht="12.5" x14ac:dyDescent="0.25">
      <c r="A2559" s="1">
        <v>45646</v>
      </c>
      <c r="B2559" s="2" t="s">
        <v>13</v>
      </c>
      <c r="C2559" s="3">
        <v>12.49</v>
      </c>
      <c r="D2559" s="3">
        <v>60</v>
      </c>
      <c r="E2559" s="3">
        <v>749.4</v>
      </c>
      <c r="F2559" t="str">
        <f t="shared" si="197"/>
        <v>net sales</v>
      </c>
      <c r="G2559" s="7" t="str">
        <f t="shared" si="198"/>
        <v>product 3</v>
      </c>
      <c r="H2559">
        <f t="shared" si="199"/>
        <v>2024</v>
      </c>
      <c r="I2559">
        <f t="shared" si="200"/>
        <v>12</v>
      </c>
      <c r="J2559">
        <f t="shared" si="201"/>
        <v>149.94</v>
      </c>
    </row>
    <row r="2560" spans="1:10" ht="12.5" x14ac:dyDescent="0.25">
      <c r="A2560" s="1">
        <v>45646</v>
      </c>
      <c r="B2560" s="2" t="s">
        <v>15</v>
      </c>
      <c r="C2560" s="2" t="s">
        <v>6</v>
      </c>
      <c r="D2560" s="2" t="s">
        <v>6</v>
      </c>
      <c r="E2560" s="3">
        <v>1200</v>
      </c>
      <c r="F2560" t="str">
        <f t="shared" si="197"/>
        <v>payroll</v>
      </c>
      <c r="G2560" s="7" t="s">
        <v>6</v>
      </c>
      <c r="H2560">
        <f t="shared" si="199"/>
        <v>2024</v>
      </c>
      <c r="I2560">
        <f t="shared" si="200"/>
        <v>12</v>
      </c>
      <c r="J2560">
        <f t="shared" si="201"/>
        <v>2872.7000000000003</v>
      </c>
    </row>
    <row r="2561" spans="1:10" ht="12.5" x14ac:dyDescent="0.25">
      <c r="A2561" s="1">
        <v>45647</v>
      </c>
      <c r="B2561" s="2" t="s">
        <v>7</v>
      </c>
      <c r="C2561" s="3">
        <v>5.99</v>
      </c>
      <c r="D2561" s="3">
        <v>60</v>
      </c>
      <c r="E2561" s="3">
        <v>359.40000000000003</v>
      </c>
      <c r="F2561" t="str">
        <f t="shared" si="197"/>
        <v>cogs</v>
      </c>
      <c r="G2561" s="7" t="str">
        <f t="shared" si="198"/>
        <v>product 1</v>
      </c>
      <c r="H2561">
        <f t="shared" si="199"/>
        <v>2024</v>
      </c>
      <c r="I2561">
        <f t="shared" si="200"/>
        <v>12</v>
      </c>
      <c r="J2561">
        <f t="shared" si="201"/>
        <v>-83.86</v>
      </c>
    </row>
    <row r="2562" spans="1:10" ht="12.5" x14ac:dyDescent="0.25">
      <c r="A2562" s="1">
        <v>45647</v>
      </c>
      <c r="B2562" s="2" t="s">
        <v>8</v>
      </c>
      <c r="C2562" s="3">
        <v>16.989999999999998</v>
      </c>
      <c r="D2562" s="3">
        <v>9</v>
      </c>
      <c r="E2562" s="3">
        <v>152.91</v>
      </c>
      <c r="F2562" t="str">
        <f t="shared" si="197"/>
        <v>cogs</v>
      </c>
      <c r="G2562" s="7" t="str">
        <f t="shared" si="198"/>
        <v>product 2</v>
      </c>
      <c r="H2562">
        <f t="shared" si="199"/>
        <v>2024</v>
      </c>
      <c r="I2562">
        <f t="shared" si="200"/>
        <v>12</v>
      </c>
      <c r="J2562">
        <f t="shared" si="201"/>
        <v>-101.94</v>
      </c>
    </row>
    <row r="2563" spans="1:10" ht="12.5" x14ac:dyDescent="0.25">
      <c r="A2563" s="1">
        <v>45647</v>
      </c>
      <c r="B2563" s="2" t="s">
        <v>9</v>
      </c>
      <c r="C2563" s="3">
        <v>8.49</v>
      </c>
      <c r="D2563" s="3">
        <v>170</v>
      </c>
      <c r="E2563" s="3">
        <v>1443.3</v>
      </c>
      <c r="F2563" t="str">
        <f t="shared" ref="F2563:F2626" si="202">IFERROR(LEFT(B2563,FIND(":",B2563)-1),B2563)</f>
        <v>cogs</v>
      </c>
      <c r="G2563" s="7" t="str">
        <f t="shared" ref="G2563:G2626" si="203">IFERROR(RIGHT(B2563,LEN(B2563)-FIND(":",B2563)),"")</f>
        <v>product 3</v>
      </c>
      <c r="H2563">
        <f t="shared" ref="H2563:H2626" si="204">YEAR(A2563)</f>
        <v>2024</v>
      </c>
      <c r="I2563">
        <f t="shared" ref="I2563:I2626" si="205">MONTH(A2563)</f>
        <v>12</v>
      </c>
      <c r="J2563">
        <f t="shared" si="201"/>
        <v>0</v>
      </c>
    </row>
    <row r="2564" spans="1:10" ht="12.5" x14ac:dyDescent="0.25">
      <c r="A2564" s="1">
        <v>45647</v>
      </c>
      <c r="B2564" s="2" t="s">
        <v>10</v>
      </c>
      <c r="C2564" s="2" t="s">
        <v>6</v>
      </c>
      <c r="D2564" s="2" t="s">
        <v>6</v>
      </c>
      <c r="E2564" s="3">
        <v>99.95</v>
      </c>
      <c r="F2564" t="str">
        <f t="shared" si="202"/>
        <v>marketing</v>
      </c>
      <c r="G2564" s="7" t="s">
        <v>6</v>
      </c>
      <c r="H2564">
        <f t="shared" si="204"/>
        <v>2024</v>
      </c>
      <c r="I2564">
        <f t="shared" si="205"/>
        <v>12</v>
      </c>
      <c r="J2564">
        <f t="shared" si="201"/>
        <v>-100.10000000000001</v>
      </c>
    </row>
    <row r="2565" spans="1:10" ht="12.5" x14ac:dyDescent="0.25">
      <c r="A2565" s="1">
        <v>45647</v>
      </c>
      <c r="B2565" s="2" t="s">
        <v>11</v>
      </c>
      <c r="C2565" s="3">
        <v>9.99</v>
      </c>
      <c r="D2565" s="3">
        <v>60</v>
      </c>
      <c r="E2565" s="3">
        <v>599.4</v>
      </c>
      <c r="F2565" t="str">
        <f t="shared" si="202"/>
        <v>net sales</v>
      </c>
      <c r="G2565" s="7" t="str">
        <f t="shared" si="203"/>
        <v>product 1</v>
      </c>
      <c r="H2565">
        <f t="shared" si="204"/>
        <v>2024</v>
      </c>
      <c r="I2565">
        <f t="shared" si="205"/>
        <v>12</v>
      </c>
      <c r="J2565">
        <f t="shared" si="201"/>
        <v>139.86000000000001</v>
      </c>
    </row>
    <row r="2566" spans="1:10" ht="12.5" x14ac:dyDescent="0.25">
      <c r="A2566" s="1">
        <v>45647</v>
      </c>
      <c r="B2566" s="2" t="s">
        <v>12</v>
      </c>
      <c r="C2566" s="3">
        <v>24.99</v>
      </c>
      <c r="D2566" s="3">
        <v>9</v>
      </c>
      <c r="E2566" s="3">
        <v>224.91</v>
      </c>
      <c r="F2566" t="str">
        <f t="shared" si="202"/>
        <v>net sales</v>
      </c>
      <c r="G2566" s="7" t="str">
        <f t="shared" si="203"/>
        <v>product 2</v>
      </c>
      <c r="H2566">
        <f t="shared" si="204"/>
        <v>2024</v>
      </c>
      <c r="I2566">
        <f t="shared" si="205"/>
        <v>12</v>
      </c>
      <c r="J2566">
        <f t="shared" si="201"/>
        <v>149.94</v>
      </c>
    </row>
    <row r="2567" spans="1:10" ht="12.5" x14ac:dyDescent="0.25">
      <c r="A2567" s="1">
        <v>45647</v>
      </c>
      <c r="B2567" s="2" t="s">
        <v>13</v>
      </c>
      <c r="C2567" s="3">
        <v>12.49</v>
      </c>
      <c r="D2567" s="3">
        <v>170</v>
      </c>
      <c r="E2567" s="3">
        <v>2123.3000000000002</v>
      </c>
      <c r="F2567" t="str">
        <f t="shared" si="202"/>
        <v>net sales</v>
      </c>
      <c r="G2567" s="7" t="str">
        <f t="shared" si="203"/>
        <v>product 3</v>
      </c>
      <c r="H2567">
        <f t="shared" si="204"/>
        <v>2024</v>
      </c>
      <c r="I2567">
        <f t="shared" si="205"/>
        <v>12</v>
      </c>
      <c r="J2567">
        <f t="shared" si="201"/>
        <v>0</v>
      </c>
    </row>
    <row r="2568" spans="1:10" ht="12.5" x14ac:dyDescent="0.25">
      <c r="A2568" s="1">
        <v>45648</v>
      </c>
      <c r="B2568" s="2" t="s">
        <v>7</v>
      </c>
      <c r="C2568" s="3">
        <v>5.99</v>
      </c>
      <c r="D2568" s="3">
        <v>50</v>
      </c>
      <c r="E2568" s="3">
        <v>299.5</v>
      </c>
      <c r="F2568" t="str">
        <f t="shared" si="202"/>
        <v>cogs</v>
      </c>
      <c r="G2568" s="7" t="str">
        <f t="shared" si="203"/>
        <v>product 1</v>
      </c>
      <c r="H2568">
        <f t="shared" si="204"/>
        <v>2024</v>
      </c>
      <c r="I2568">
        <f t="shared" si="205"/>
        <v>12</v>
      </c>
      <c r="J2568">
        <f t="shared" si="201"/>
        <v>-161.73000000000002</v>
      </c>
    </row>
    <row r="2569" spans="1:10" ht="12.5" x14ac:dyDescent="0.25">
      <c r="A2569" s="1">
        <v>45648</v>
      </c>
      <c r="B2569" s="2" t="s">
        <v>8</v>
      </c>
      <c r="C2569" s="3">
        <v>16.989999999999998</v>
      </c>
      <c r="D2569" s="3">
        <v>6</v>
      </c>
      <c r="E2569" s="3">
        <v>101.94</v>
      </c>
      <c r="F2569" t="str">
        <f t="shared" si="202"/>
        <v>cogs</v>
      </c>
      <c r="G2569" s="7" t="str">
        <f t="shared" si="203"/>
        <v>product 2</v>
      </c>
      <c r="H2569">
        <f t="shared" si="204"/>
        <v>2024</v>
      </c>
      <c r="I2569">
        <f t="shared" si="205"/>
        <v>12</v>
      </c>
      <c r="J2569">
        <f t="shared" si="201"/>
        <v>-101.94</v>
      </c>
    </row>
    <row r="2570" spans="1:10" ht="12.5" x14ac:dyDescent="0.25">
      <c r="A2570" s="1">
        <v>45648</v>
      </c>
      <c r="B2570" s="2" t="s">
        <v>9</v>
      </c>
      <c r="C2570" s="3">
        <v>8.49</v>
      </c>
      <c r="D2570" s="3">
        <v>231</v>
      </c>
      <c r="E2570" s="3">
        <v>1961.19</v>
      </c>
      <c r="F2570" t="str">
        <f t="shared" si="202"/>
        <v>cogs</v>
      </c>
      <c r="G2570" s="7" t="str">
        <f t="shared" si="203"/>
        <v>product 3</v>
      </c>
      <c r="H2570">
        <f t="shared" si="204"/>
        <v>2024</v>
      </c>
      <c r="I2570">
        <f t="shared" si="205"/>
        <v>12</v>
      </c>
      <c r="J2570">
        <f t="shared" si="201"/>
        <v>-169.8</v>
      </c>
    </row>
    <row r="2571" spans="1:10" ht="12.5" x14ac:dyDescent="0.25">
      <c r="A2571" s="1">
        <v>45648</v>
      </c>
      <c r="B2571" s="2" t="s">
        <v>10</v>
      </c>
      <c r="C2571" s="2" t="s">
        <v>6</v>
      </c>
      <c r="D2571" s="2" t="s">
        <v>6</v>
      </c>
      <c r="E2571" s="3">
        <v>99.960000000000008</v>
      </c>
      <c r="F2571" t="str">
        <f t="shared" si="202"/>
        <v>marketing</v>
      </c>
      <c r="G2571" s="7" t="s">
        <v>6</v>
      </c>
      <c r="H2571">
        <f t="shared" si="204"/>
        <v>2024</v>
      </c>
      <c r="I2571">
        <f t="shared" si="205"/>
        <v>12</v>
      </c>
      <c r="J2571">
        <f t="shared" si="201"/>
        <v>-100.06</v>
      </c>
    </row>
    <row r="2572" spans="1:10" ht="12.5" x14ac:dyDescent="0.25">
      <c r="A2572" s="1">
        <v>45648</v>
      </c>
      <c r="B2572" s="2" t="s">
        <v>11</v>
      </c>
      <c r="C2572" s="3">
        <v>9.99</v>
      </c>
      <c r="D2572" s="3">
        <v>50</v>
      </c>
      <c r="E2572" s="3">
        <v>499.5</v>
      </c>
      <c r="F2572" t="str">
        <f t="shared" si="202"/>
        <v>net sales</v>
      </c>
      <c r="G2572" s="7" t="str">
        <f t="shared" si="203"/>
        <v>product 1</v>
      </c>
      <c r="H2572">
        <f t="shared" si="204"/>
        <v>2024</v>
      </c>
      <c r="I2572">
        <f t="shared" si="205"/>
        <v>12</v>
      </c>
      <c r="J2572">
        <f t="shared" si="201"/>
        <v>269.73</v>
      </c>
    </row>
    <row r="2573" spans="1:10" ht="12.5" x14ac:dyDescent="0.25">
      <c r="A2573" s="1">
        <v>45648</v>
      </c>
      <c r="B2573" s="2" t="s">
        <v>12</v>
      </c>
      <c r="C2573" s="3">
        <v>24.99</v>
      </c>
      <c r="D2573" s="3">
        <v>6</v>
      </c>
      <c r="E2573" s="3">
        <v>149.94</v>
      </c>
      <c r="F2573" t="str">
        <f t="shared" si="202"/>
        <v>net sales</v>
      </c>
      <c r="G2573" s="7" t="str">
        <f t="shared" si="203"/>
        <v>product 2</v>
      </c>
      <c r="H2573">
        <f t="shared" si="204"/>
        <v>2024</v>
      </c>
      <c r="I2573">
        <f t="shared" si="205"/>
        <v>12</v>
      </c>
      <c r="J2573">
        <f t="shared" si="201"/>
        <v>149.94</v>
      </c>
    </row>
    <row r="2574" spans="1:10" ht="12.5" x14ac:dyDescent="0.25">
      <c r="A2574" s="1">
        <v>45648</v>
      </c>
      <c r="B2574" s="2" t="s">
        <v>13</v>
      </c>
      <c r="C2574" s="3">
        <v>12.49</v>
      </c>
      <c r="D2574" s="3">
        <v>231</v>
      </c>
      <c r="E2574" s="3">
        <v>2885.19</v>
      </c>
      <c r="F2574" t="str">
        <f t="shared" si="202"/>
        <v>net sales</v>
      </c>
      <c r="G2574" s="7" t="str">
        <f t="shared" si="203"/>
        <v>product 3</v>
      </c>
      <c r="H2574">
        <f t="shared" si="204"/>
        <v>2024</v>
      </c>
      <c r="I2574">
        <f t="shared" si="205"/>
        <v>12</v>
      </c>
      <c r="J2574">
        <f t="shared" si="201"/>
        <v>249.8</v>
      </c>
    </row>
    <row r="2575" spans="1:10" ht="12.5" x14ac:dyDescent="0.25">
      <c r="A2575" s="1">
        <v>45649</v>
      </c>
      <c r="B2575" s="2" t="s">
        <v>7</v>
      </c>
      <c r="C2575" s="3">
        <v>5.99</v>
      </c>
      <c r="D2575" s="3">
        <v>62</v>
      </c>
      <c r="E2575" s="3">
        <v>371.38</v>
      </c>
      <c r="F2575" t="str">
        <f t="shared" si="202"/>
        <v>cogs</v>
      </c>
      <c r="G2575" s="7" t="str">
        <f t="shared" si="203"/>
        <v>product 1</v>
      </c>
      <c r="H2575">
        <f t="shared" si="204"/>
        <v>2024</v>
      </c>
      <c r="I2575">
        <f t="shared" si="205"/>
        <v>12</v>
      </c>
      <c r="J2575">
        <f t="shared" si="201"/>
        <v>-1200</v>
      </c>
    </row>
    <row r="2576" spans="1:10" ht="12.5" x14ac:dyDescent="0.25">
      <c r="A2576" s="1">
        <v>45649</v>
      </c>
      <c r="B2576" s="2" t="s">
        <v>8</v>
      </c>
      <c r="C2576" s="3">
        <v>16.989999999999998</v>
      </c>
      <c r="D2576" s="3">
        <v>10</v>
      </c>
      <c r="E2576" s="3">
        <v>169.89999999999998</v>
      </c>
      <c r="F2576" t="str">
        <f t="shared" si="202"/>
        <v>cogs</v>
      </c>
      <c r="G2576" s="7" t="str">
        <f t="shared" si="203"/>
        <v>product 2</v>
      </c>
      <c r="H2576">
        <f t="shared" si="204"/>
        <v>2024</v>
      </c>
      <c r="I2576">
        <f t="shared" si="205"/>
        <v>12</v>
      </c>
      <c r="J2576">
        <f t="shared" si="201"/>
        <v>-209.65</v>
      </c>
    </row>
    <row r="2577" spans="1:10" ht="12.5" x14ac:dyDescent="0.25">
      <c r="A2577" s="1">
        <v>45649</v>
      </c>
      <c r="B2577" s="2" t="s">
        <v>9</v>
      </c>
      <c r="C2577" s="3">
        <v>8.49</v>
      </c>
      <c r="D2577" s="3">
        <v>24</v>
      </c>
      <c r="E2577" s="3">
        <v>203.76</v>
      </c>
      <c r="F2577" t="str">
        <f t="shared" si="202"/>
        <v>cogs</v>
      </c>
      <c r="G2577" s="7" t="str">
        <f t="shared" si="203"/>
        <v>product 3</v>
      </c>
      <c r="H2577">
        <f t="shared" si="204"/>
        <v>2024</v>
      </c>
      <c r="I2577">
        <f t="shared" si="205"/>
        <v>12</v>
      </c>
      <c r="J2577">
        <f t="shared" si="201"/>
        <v>-84.949999999999989</v>
      </c>
    </row>
    <row r="2578" spans="1:10" ht="12.5" x14ac:dyDescent="0.25">
      <c r="A2578" s="1">
        <v>45649</v>
      </c>
      <c r="B2578" s="2" t="s">
        <v>10</v>
      </c>
      <c r="C2578" s="2" t="s">
        <v>6</v>
      </c>
      <c r="D2578" s="2" t="s">
        <v>6</v>
      </c>
      <c r="E2578" s="3">
        <v>99.93</v>
      </c>
      <c r="F2578" t="str">
        <f t="shared" si="202"/>
        <v>marketing</v>
      </c>
      <c r="G2578" s="7" t="s">
        <v>6</v>
      </c>
      <c r="H2578">
        <f t="shared" si="204"/>
        <v>2024</v>
      </c>
      <c r="I2578">
        <f t="shared" si="205"/>
        <v>12</v>
      </c>
      <c r="J2578">
        <f t="shared" si="201"/>
        <v>-1850.82</v>
      </c>
    </row>
    <row r="2579" spans="1:10" ht="12.5" x14ac:dyDescent="0.25">
      <c r="A2579" s="1">
        <v>45649</v>
      </c>
      <c r="B2579" s="2" t="s">
        <v>11</v>
      </c>
      <c r="C2579" s="3">
        <v>9.99</v>
      </c>
      <c r="D2579" s="3">
        <v>62</v>
      </c>
      <c r="E2579" s="3">
        <v>619.38</v>
      </c>
      <c r="F2579" t="str">
        <f t="shared" si="202"/>
        <v>net sales</v>
      </c>
      <c r="G2579" s="7" t="str">
        <f t="shared" si="203"/>
        <v>product 1</v>
      </c>
      <c r="H2579">
        <f t="shared" si="204"/>
        <v>2024</v>
      </c>
      <c r="I2579">
        <f t="shared" si="205"/>
        <v>12</v>
      </c>
      <c r="J2579">
        <f t="shared" si="201"/>
        <v>-100.06</v>
      </c>
    </row>
    <row r="2580" spans="1:10" ht="12.5" x14ac:dyDescent="0.25">
      <c r="A2580" s="1">
        <v>45649</v>
      </c>
      <c r="B2580" s="2" t="s">
        <v>12</v>
      </c>
      <c r="C2580" s="3">
        <v>24.99</v>
      </c>
      <c r="D2580" s="3">
        <v>10</v>
      </c>
      <c r="E2580" s="3">
        <v>249.89999999999998</v>
      </c>
      <c r="F2580" t="str">
        <f t="shared" si="202"/>
        <v>net sales</v>
      </c>
      <c r="G2580" s="7" t="str">
        <f t="shared" si="203"/>
        <v>product 2</v>
      </c>
      <c r="H2580">
        <f t="shared" si="204"/>
        <v>2024</v>
      </c>
      <c r="I2580">
        <f t="shared" si="205"/>
        <v>12</v>
      </c>
      <c r="J2580">
        <f t="shared" si="201"/>
        <v>349.65000000000003</v>
      </c>
    </row>
    <row r="2581" spans="1:10" ht="12.5" x14ac:dyDescent="0.25">
      <c r="A2581" s="1">
        <v>45649</v>
      </c>
      <c r="B2581" s="2" t="s">
        <v>13</v>
      </c>
      <c r="C2581" s="3">
        <v>12.49</v>
      </c>
      <c r="D2581" s="3">
        <v>24</v>
      </c>
      <c r="E2581" s="3">
        <v>299.76</v>
      </c>
      <c r="F2581" t="str">
        <f t="shared" si="202"/>
        <v>net sales</v>
      </c>
      <c r="G2581" s="7" t="str">
        <f t="shared" si="203"/>
        <v>product 3</v>
      </c>
      <c r="H2581">
        <f t="shared" si="204"/>
        <v>2024</v>
      </c>
      <c r="I2581">
        <f t="shared" si="205"/>
        <v>12</v>
      </c>
      <c r="J2581">
        <f t="shared" si="201"/>
        <v>124.94999999999999</v>
      </c>
    </row>
    <row r="2582" spans="1:10" ht="12.5" x14ac:dyDescent="0.25">
      <c r="A2582" s="1">
        <v>45650</v>
      </c>
      <c r="B2582" s="2" t="s">
        <v>7</v>
      </c>
      <c r="C2582" s="3">
        <v>5.99</v>
      </c>
      <c r="D2582" s="3">
        <v>69</v>
      </c>
      <c r="E2582" s="3">
        <v>413.31</v>
      </c>
      <c r="F2582" t="str">
        <f t="shared" si="202"/>
        <v>cogs</v>
      </c>
      <c r="G2582" s="7" t="str">
        <f t="shared" si="203"/>
        <v>product 1</v>
      </c>
      <c r="H2582">
        <f t="shared" si="204"/>
        <v>2024</v>
      </c>
      <c r="I2582">
        <f t="shared" si="205"/>
        <v>12</v>
      </c>
      <c r="J2582">
        <f t="shared" si="201"/>
        <v>2722.82</v>
      </c>
    </row>
    <row r="2583" spans="1:10" ht="12.5" x14ac:dyDescent="0.25">
      <c r="A2583" s="1">
        <v>45650</v>
      </c>
      <c r="B2583" s="2" t="s">
        <v>8</v>
      </c>
      <c r="C2583" s="3">
        <v>16.989999999999998</v>
      </c>
      <c r="D2583" s="3">
        <v>5</v>
      </c>
      <c r="E2583" s="3">
        <v>84.949999999999989</v>
      </c>
      <c r="F2583" t="str">
        <f t="shared" si="202"/>
        <v>cogs</v>
      </c>
      <c r="G2583" s="7" t="str">
        <f t="shared" si="203"/>
        <v>product 2</v>
      </c>
      <c r="H2583">
        <f t="shared" si="204"/>
        <v>2024</v>
      </c>
      <c r="I2583">
        <f t="shared" si="205"/>
        <v>12</v>
      </c>
      <c r="J2583">
        <f t="shared" si="201"/>
        <v>-179.70000000000002</v>
      </c>
    </row>
    <row r="2584" spans="1:10" ht="12.5" x14ac:dyDescent="0.25">
      <c r="A2584" s="1">
        <v>45650</v>
      </c>
      <c r="B2584" s="2" t="s">
        <v>9</v>
      </c>
      <c r="C2584" s="3">
        <v>8.49</v>
      </c>
      <c r="D2584" s="3">
        <v>68</v>
      </c>
      <c r="E2584" s="3">
        <v>577.32000000000005</v>
      </c>
      <c r="F2584" t="str">
        <f t="shared" si="202"/>
        <v>cogs</v>
      </c>
      <c r="G2584" s="7" t="str">
        <f t="shared" si="203"/>
        <v>product 3</v>
      </c>
      <c r="H2584">
        <f t="shared" si="204"/>
        <v>2024</v>
      </c>
      <c r="I2584">
        <f t="shared" si="205"/>
        <v>12</v>
      </c>
      <c r="J2584">
        <f t="shared" si="201"/>
        <v>-135.91999999999999</v>
      </c>
    </row>
    <row r="2585" spans="1:10" ht="12.5" x14ac:dyDescent="0.25">
      <c r="A2585" s="1">
        <v>45650</v>
      </c>
      <c r="B2585" s="2" t="s">
        <v>10</v>
      </c>
      <c r="C2585" s="2" t="s">
        <v>6</v>
      </c>
      <c r="D2585" s="2" t="s">
        <v>6</v>
      </c>
      <c r="E2585" s="3">
        <v>99.97</v>
      </c>
      <c r="F2585" t="str">
        <f t="shared" si="202"/>
        <v>marketing</v>
      </c>
      <c r="G2585" s="7" t="s">
        <v>6</v>
      </c>
      <c r="H2585">
        <f t="shared" si="204"/>
        <v>2024</v>
      </c>
      <c r="I2585">
        <f t="shared" si="205"/>
        <v>12</v>
      </c>
      <c r="J2585">
        <f t="shared" si="201"/>
        <v>-916.92000000000007</v>
      </c>
    </row>
    <row r="2586" spans="1:10" ht="12.5" x14ac:dyDescent="0.25">
      <c r="A2586" s="1">
        <v>45650</v>
      </c>
      <c r="B2586" s="2" t="s">
        <v>11</v>
      </c>
      <c r="C2586" s="3">
        <v>9.99</v>
      </c>
      <c r="D2586" s="3">
        <v>69</v>
      </c>
      <c r="E2586" s="3">
        <v>689.31000000000006</v>
      </c>
      <c r="F2586" t="str">
        <f t="shared" si="202"/>
        <v>net sales</v>
      </c>
      <c r="G2586" s="7" t="str">
        <f t="shared" si="203"/>
        <v>product 1</v>
      </c>
      <c r="H2586">
        <f t="shared" si="204"/>
        <v>2024</v>
      </c>
      <c r="I2586">
        <f t="shared" si="205"/>
        <v>12</v>
      </c>
      <c r="J2586">
        <f t="shared" si="201"/>
        <v>-100.02</v>
      </c>
    </row>
    <row r="2587" spans="1:10" ht="12.5" x14ac:dyDescent="0.25">
      <c r="A2587" s="1">
        <v>45650</v>
      </c>
      <c r="B2587" s="2" t="s">
        <v>12</v>
      </c>
      <c r="C2587" s="3">
        <v>24.99</v>
      </c>
      <c r="D2587" s="3">
        <v>5</v>
      </c>
      <c r="E2587" s="3">
        <v>124.94999999999999</v>
      </c>
      <c r="F2587" t="str">
        <f t="shared" si="202"/>
        <v>net sales</v>
      </c>
      <c r="G2587" s="7" t="str">
        <f t="shared" si="203"/>
        <v>product 2</v>
      </c>
      <c r="H2587">
        <f t="shared" si="204"/>
        <v>2024</v>
      </c>
      <c r="I2587">
        <f t="shared" si="205"/>
        <v>12</v>
      </c>
      <c r="J2587">
        <f t="shared" si="201"/>
        <v>299.7</v>
      </c>
    </row>
    <row r="2588" spans="1:10" ht="12.5" x14ac:dyDescent="0.25">
      <c r="A2588" s="1">
        <v>45650</v>
      </c>
      <c r="B2588" s="2" t="s">
        <v>13</v>
      </c>
      <c r="C2588" s="3">
        <v>12.49</v>
      </c>
      <c r="D2588" s="3">
        <v>68</v>
      </c>
      <c r="E2588" s="3">
        <v>849.32</v>
      </c>
      <c r="F2588" t="str">
        <f t="shared" si="202"/>
        <v>net sales</v>
      </c>
      <c r="G2588" s="7" t="str">
        <f t="shared" si="203"/>
        <v>product 3</v>
      </c>
      <c r="H2588">
        <f t="shared" si="204"/>
        <v>2024</v>
      </c>
      <c r="I2588">
        <f t="shared" si="205"/>
        <v>12</v>
      </c>
      <c r="J2588">
        <f t="shared" ref="J2588:J2651" si="206">IF(F2371="net sales",E2371,
IF(F2371="cogs",-E2371,
IF(OR(F2371="marketing",F2371="overhead",F2371="payroll",F2371="interest","amortization"),-E2371,0)))</f>
        <v>199.92</v>
      </c>
    </row>
    <row r="2589" spans="1:10" ht="12.5" x14ac:dyDescent="0.25">
      <c r="A2589" s="1">
        <v>45651</v>
      </c>
      <c r="B2589" s="2" t="s">
        <v>7</v>
      </c>
      <c r="C2589" s="3">
        <v>5.99</v>
      </c>
      <c r="D2589" s="3">
        <v>31</v>
      </c>
      <c r="E2589" s="3">
        <v>185.69</v>
      </c>
      <c r="F2589" t="str">
        <f t="shared" si="202"/>
        <v>cogs</v>
      </c>
      <c r="G2589" s="7" t="str">
        <f t="shared" si="203"/>
        <v>product 1</v>
      </c>
      <c r="H2589">
        <f t="shared" si="204"/>
        <v>2024</v>
      </c>
      <c r="I2589">
        <f t="shared" si="205"/>
        <v>12</v>
      </c>
      <c r="J2589">
        <f t="shared" si="206"/>
        <v>1348.92</v>
      </c>
    </row>
    <row r="2590" spans="1:10" ht="12.5" x14ac:dyDescent="0.25">
      <c r="A2590" s="1">
        <v>45651</v>
      </c>
      <c r="B2590" s="2" t="s">
        <v>8</v>
      </c>
      <c r="C2590" s="3">
        <v>16.989999999999998</v>
      </c>
      <c r="D2590" s="3">
        <v>3</v>
      </c>
      <c r="E2590" s="3">
        <v>50.97</v>
      </c>
      <c r="F2590" t="str">
        <f t="shared" si="202"/>
        <v>cogs</v>
      </c>
      <c r="G2590" s="7" t="str">
        <f t="shared" si="203"/>
        <v>product 2</v>
      </c>
      <c r="H2590">
        <f t="shared" si="204"/>
        <v>2024</v>
      </c>
      <c r="I2590">
        <f t="shared" si="205"/>
        <v>12</v>
      </c>
      <c r="J2590">
        <f t="shared" si="206"/>
        <v>-179.70000000000002</v>
      </c>
    </row>
    <row r="2591" spans="1:10" ht="12.5" x14ac:dyDescent="0.25">
      <c r="A2591" s="1">
        <v>45651</v>
      </c>
      <c r="B2591" s="2" t="s">
        <v>9</v>
      </c>
      <c r="C2591" s="3">
        <v>8.49</v>
      </c>
      <c r="D2591" s="3">
        <v>144</v>
      </c>
      <c r="E2591" s="3">
        <v>1222.56</v>
      </c>
      <c r="F2591" t="str">
        <f t="shared" si="202"/>
        <v>cogs</v>
      </c>
      <c r="G2591" s="7" t="str">
        <f t="shared" si="203"/>
        <v>product 3</v>
      </c>
      <c r="H2591">
        <f t="shared" si="204"/>
        <v>2024</v>
      </c>
      <c r="I2591">
        <f t="shared" si="205"/>
        <v>12</v>
      </c>
      <c r="J2591">
        <f t="shared" si="206"/>
        <v>-50.97</v>
      </c>
    </row>
    <row r="2592" spans="1:10" ht="12.5" x14ac:dyDescent="0.25">
      <c r="A2592" s="1">
        <v>45651</v>
      </c>
      <c r="B2592" s="2" t="s">
        <v>10</v>
      </c>
      <c r="C2592" s="2" t="s">
        <v>6</v>
      </c>
      <c r="D2592" s="2" t="s">
        <v>6</v>
      </c>
      <c r="E2592" s="3">
        <v>100.09</v>
      </c>
      <c r="F2592" t="str">
        <f t="shared" si="202"/>
        <v>marketing</v>
      </c>
      <c r="G2592" s="7" t="s">
        <v>6</v>
      </c>
      <c r="H2592">
        <f t="shared" si="204"/>
        <v>2024</v>
      </c>
      <c r="I2592">
        <f t="shared" si="205"/>
        <v>12</v>
      </c>
      <c r="J2592">
        <f t="shared" si="206"/>
        <v>-169.8</v>
      </c>
    </row>
    <row r="2593" spans="1:10" ht="12.5" x14ac:dyDescent="0.25">
      <c r="A2593" s="1">
        <v>45651</v>
      </c>
      <c r="B2593" s="2" t="s">
        <v>11</v>
      </c>
      <c r="C2593" s="3">
        <v>9.99</v>
      </c>
      <c r="D2593" s="3">
        <v>31</v>
      </c>
      <c r="E2593" s="3">
        <v>309.69</v>
      </c>
      <c r="F2593" t="str">
        <f t="shared" si="202"/>
        <v>net sales</v>
      </c>
      <c r="G2593" s="7" t="str">
        <f t="shared" si="203"/>
        <v>product 1</v>
      </c>
      <c r="H2593">
        <f t="shared" si="204"/>
        <v>2024</v>
      </c>
      <c r="I2593">
        <f t="shared" si="205"/>
        <v>12</v>
      </c>
      <c r="J2593">
        <f t="shared" si="206"/>
        <v>-100.01</v>
      </c>
    </row>
    <row r="2594" spans="1:10" ht="12.5" x14ac:dyDescent="0.25">
      <c r="A2594" s="1">
        <v>45651</v>
      </c>
      <c r="B2594" s="2" t="s">
        <v>12</v>
      </c>
      <c r="C2594" s="3">
        <v>24.99</v>
      </c>
      <c r="D2594" s="3">
        <v>3</v>
      </c>
      <c r="E2594" s="3">
        <v>74.97</v>
      </c>
      <c r="F2594" t="str">
        <f t="shared" si="202"/>
        <v>net sales</v>
      </c>
      <c r="G2594" s="7" t="str">
        <f t="shared" si="203"/>
        <v>product 2</v>
      </c>
      <c r="H2594">
        <f t="shared" si="204"/>
        <v>2024</v>
      </c>
      <c r="I2594">
        <f t="shared" si="205"/>
        <v>12</v>
      </c>
      <c r="J2594">
        <f t="shared" si="206"/>
        <v>299.7</v>
      </c>
    </row>
    <row r="2595" spans="1:10" ht="12.5" x14ac:dyDescent="0.25">
      <c r="A2595" s="1">
        <v>45651</v>
      </c>
      <c r="B2595" s="2" t="s">
        <v>13</v>
      </c>
      <c r="C2595" s="3">
        <v>12.49</v>
      </c>
      <c r="D2595" s="3">
        <v>144</v>
      </c>
      <c r="E2595" s="3">
        <v>1798.56</v>
      </c>
      <c r="F2595" t="str">
        <f t="shared" si="202"/>
        <v>net sales</v>
      </c>
      <c r="G2595" s="7" t="str">
        <f t="shared" si="203"/>
        <v>product 3</v>
      </c>
      <c r="H2595">
        <f t="shared" si="204"/>
        <v>2024</v>
      </c>
      <c r="I2595">
        <f t="shared" si="205"/>
        <v>12</v>
      </c>
      <c r="J2595">
        <f t="shared" si="206"/>
        <v>74.97</v>
      </c>
    </row>
    <row r="2596" spans="1:10" ht="12.5" x14ac:dyDescent="0.25">
      <c r="A2596" s="1">
        <v>45652</v>
      </c>
      <c r="B2596" s="2" t="s">
        <v>7</v>
      </c>
      <c r="C2596" s="3">
        <v>5.99</v>
      </c>
      <c r="D2596" s="3">
        <v>94</v>
      </c>
      <c r="E2596" s="3">
        <v>563.06000000000006</v>
      </c>
      <c r="F2596" t="str">
        <f t="shared" si="202"/>
        <v>cogs</v>
      </c>
      <c r="G2596" s="7" t="str">
        <f t="shared" si="203"/>
        <v>product 1</v>
      </c>
      <c r="H2596">
        <f t="shared" si="204"/>
        <v>2024</v>
      </c>
      <c r="I2596">
        <f t="shared" si="205"/>
        <v>12</v>
      </c>
      <c r="J2596">
        <f t="shared" si="206"/>
        <v>249.8</v>
      </c>
    </row>
    <row r="2597" spans="1:10" ht="12.5" x14ac:dyDescent="0.25">
      <c r="A2597" s="1">
        <v>45652</v>
      </c>
      <c r="B2597" s="2" t="s">
        <v>8</v>
      </c>
      <c r="C2597" s="3">
        <v>16.989999999999998</v>
      </c>
      <c r="D2597" s="3">
        <v>8</v>
      </c>
      <c r="E2597" s="3">
        <v>135.91999999999999</v>
      </c>
      <c r="F2597" t="str">
        <f t="shared" si="202"/>
        <v>cogs</v>
      </c>
      <c r="G2597" s="7" t="str">
        <f t="shared" si="203"/>
        <v>product 2</v>
      </c>
      <c r="H2597">
        <f t="shared" si="204"/>
        <v>2024</v>
      </c>
      <c r="I2597">
        <f t="shared" si="205"/>
        <v>12</v>
      </c>
      <c r="J2597">
        <f t="shared" si="206"/>
        <v>-593.01</v>
      </c>
    </row>
    <row r="2598" spans="1:10" ht="12.5" x14ac:dyDescent="0.25">
      <c r="A2598" s="1">
        <v>45652</v>
      </c>
      <c r="B2598" s="2" t="s">
        <v>9</v>
      </c>
      <c r="C2598" s="3">
        <v>8.49</v>
      </c>
      <c r="D2598" s="3">
        <v>95</v>
      </c>
      <c r="E2598" s="3">
        <v>806.55000000000007</v>
      </c>
      <c r="F2598" t="str">
        <f t="shared" si="202"/>
        <v>cogs</v>
      </c>
      <c r="G2598" s="7" t="str">
        <f t="shared" si="203"/>
        <v>product 3</v>
      </c>
      <c r="H2598">
        <f t="shared" si="204"/>
        <v>2024</v>
      </c>
      <c r="I2598">
        <f t="shared" si="205"/>
        <v>12</v>
      </c>
      <c r="J2598">
        <f t="shared" si="206"/>
        <v>-16.989999999999998</v>
      </c>
    </row>
    <row r="2599" spans="1:10" ht="12.5" x14ac:dyDescent="0.25">
      <c r="A2599" s="1">
        <v>45652</v>
      </c>
      <c r="B2599" s="2" t="s">
        <v>10</v>
      </c>
      <c r="C2599" s="2" t="s">
        <v>6</v>
      </c>
      <c r="D2599" s="2" t="s">
        <v>6</v>
      </c>
      <c r="E2599" s="3">
        <v>100.03</v>
      </c>
      <c r="F2599" t="str">
        <f t="shared" si="202"/>
        <v>marketing</v>
      </c>
      <c r="G2599" s="7" t="s">
        <v>6</v>
      </c>
      <c r="H2599">
        <f t="shared" si="204"/>
        <v>2024</v>
      </c>
      <c r="I2599">
        <f t="shared" si="205"/>
        <v>12</v>
      </c>
      <c r="J2599">
        <f t="shared" si="206"/>
        <v>-220.74</v>
      </c>
    </row>
    <row r="2600" spans="1:10" ht="12.5" x14ac:dyDescent="0.25">
      <c r="A2600" s="1">
        <v>45652</v>
      </c>
      <c r="B2600" s="2" t="s">
        <v>11</v>
      </c>
      <c r="C2600" s="3">
        <v>9.99</v>
      </c>
      <c r="D2600" s="3">
        <v>94</v>
      </c>
      <c r="E2600" s="3">
        <v>939.06000000000006</v>
      </c>
      <c r="F2600" t="str">
        <f t="shared" si="202"/>
        <v>net sales</v>
      </c>
      <c r="G2600" s="7" t="str">
        <f t="shared" si="203"/>
        <v>product 1</v>
      </c>
      <c r="H2600">
        <f t="shared" si="204"/>
        <v>2024</v>
      </c>
      <c r="I2600">
        <f t="shared" si="205"/>
        <v>12</v>
      </c>
      <c r="J2600">
        <f t="shared" si="206"/>
        <v>-100.07000000000001</v>
      </c>
    </row>
    <row r="2601" spans="1:10" ht="12.5" x14ac:dyDescent="0.25">
      <c r="A2601" s="1">
        <v>45652</v>
      </c>
      <c r="B2601" s="2" t="s">
        <v>12</v>
      </c>
      <c r="C2601" s="3">
        <v>24.99</v>
      </c>
      <c r="D2601" s="3">
        <v>8</v>
      </c>
      <c r="E2601" s="3">
        <v>199.92</v>
      </c>
      <c r="F2601" t="str">
        <f t="shared" si="202"/>
        <v>net sales</v>
      </c>
      <c r="G2601" s="7" t="str">
        <f t="shared" si="203"/>
        <v>product 2</v>
      </c>
      <c r="H2601">
        <f t="shared" si="204"/>
        <v>2024</v>
      </c>
      <c r="I2601">
        <f t="shared" si="205"/>
        <v>12</v>
      </c>
      <c r="J2601">
        <f t="shared" si="206"/>
        <v>989.01</v>
      </c>
    </row>
    <row r="2602" spans="1:10" ht="12.5" x14ac:dyDescent="0.25">
      <c r="A2602" s="1">
        <v>45652</v>
      </c>
      <c r="B2602" s="2" t="s">
        <v>13</v>
      </c>
      <c r="C2602" s="3">
        <v>12.49</v>
      </c>
      <c r="D2602" s="3">
        <v>95</v>
      </c>
      <c r="E2602" s="3">
        <v>1186.55</v>
      </c>
      <c r="F2602" t="str">
        <f t="shared" si="202"/>
        <v>net sales</v>
      </c>
      <c r="G2602" s="7" t="str">
        <f t="shared" si="203"/>
        <v>product 3</v>
      </c>
      <c r="H2602">
        <f t="shared" si="204"/>
        <v>2024</v>
      </c>
      <c r="I2602">
        <f t="shared" si="205"/>
        <v>12</v>
      </c>
      <c r="J2602">
        <f t="shared" si="206"/>
        <v>24.99</v>
      </c>
    </row>
    <row r="2603" spans="1:10" ht="12.5" x14ac:dyDescent="0.25">
      <c r="A2603" s="1">
        <v>45653</v>
      </c>
      <c r="B2603" s="2" t="s">
        <v>7</v>
      </c>
      <c r="C2603" s="3">
        <v>5.99</v>
      </c>
      <c r="D2603" s="3">
        <v>29</v>
      </c>
      <c r="E2603" s="3">
        <v>173.71</v>
      </c>
      <c r="F2603" t="str">
        <f t="shared" si="202"/>
        <v>cogs</v>
      </c>
      <c r="G2603" s="7" t="str">
        <f t="shared" si="203"/>
        <v>product 1</v>
      </c>
      <c r="H2603">
        <f t="shared" si="204"/>
        <v>2024</v>
      </c>
      <c r="I2603">
        <f t="shared" si="205"/>
        <v>12</v>
      </c>
      <c r="J2603">
        <f t="shared" si="206"/>
        <v>324.74</v>
      </c>
    </row>
    <row r="2604" spans="1:10" ht="12.5" x14ac:dyDescent="0.25">
      <c r="A2604" s="1">
        <v>45653</v>
      </c>
      <c r="B2604" s="2" t="s">
        <v>8</v>
      </c>
      <c r="C2604" s="3">
        <v>16.989999999999998</v>
      </c>
      <c r="D2604" s="3">
        <v>2</v>
      </c>
      <c r="E2604" s="3">
        <v>33.979999999999997</v>
      </c>
      <c r="F2604" t="str">
        <f t="shared" si="202"/>
        <v>cogs</v>
      </c>
      <c r="G2604" s="7" t="str">
        <f t="shared" si="203"/>
        <v>product 2</v>
      </c>
      <c r="H2604">
        <f t="shared" si="204"/>
        <v>2024</v>
      </c>
      <c r="I2604">
        <f t="shared" si="205"/>
        <v>12</v>
      </c>
      <c r="J2604">
        <f t="shared" si="206"/>
        <v>-215.64000000000001</v>
      </c>
    </row>
    <row r="2605" spans="1:10" ht="12.5" x14ac:dyDescent="0.25">
      <c r="A2605" s="1">
        <v>45653</v>
      </c>
      <c r="B2605" s="2" t="s">
        <v>9</v>
      </c>
      <c r="C2605" s="3">
        <v>8.49</v>
      </c>
      <c r="D2605" s="3">
        <v>231</v>
      </c>
      <c r="E2605" s="3">
        <v>1961.19</v>
      </c>
      <c r="F2605" t="str">
        <f t="shared" si="202"/>
        <v>cogs</v>
      </c>
      <c r="G2605" s="7" t="str">
        <f t="shared" si="203"/>
        <v>product 3</v>
      </c>
      <c r="H2605">
        <f t="shared" si="204"/>
        <v>2024</v>
      </c>
      <c r="I2605">
        <f t="shared" si="205"/>
        <v>12</v>
      </c>
      <c r="J2605">
        <f t="shared" si="206"/>
        <v>-135.91999999999999</v>
      </c>
    </row>
    <row r="2606" spans="1:10" ht="12.5" x14ac:dyDescent="0.25">
      <c r="A2606" s="1">
        <v>45653</v>
      </c>
      <c r="B2606" s="2" t="s">
        <v>10</v>
      </c>
      <c r="C2606" s="2" t="s">
        <v>6</v>
      </c>
      <c r="D2606" s="2" t="s">
        <v>6</v>
      </c>
      <c r="E2606" s="3">
        <v>99.95</v>
      </c>
      <c r="F2606" t="str">
        <f t="shared" si="202"/>
        <v>marketing</v>
      </c>
      <c r="G2606" s="7" t="s">
        <v>6</v>
      </c>
      <c r="H2606">
        <f t="shared" si="204"/>
        <v>2024</v>
      </c>
      <c r="I2606">
        <f t="shared" si="205"/>
        <v>12</v>
      </c>
      <c r="J2606">
        <f t="shared" si="206"/>
        <v>-2054.58</v>
      </c>
    </row>
    <row r="2607" spans="1:10" ht="12.5" x14ac:dyDescent="0.25">
      <c r="A2607" s="1">
        <v>45653</v>
      </c>
      <c r="B2607" s="2" t="s">
        <v>11</v>
      </c>
      <c r="C2607" s="3">
        <v>9.99</v>
      </c>
      <c r="D2607" s="3">
        <v>29</v>
      </c>
      <c r="E2607" s="3">
        <v>289.70999999999998</v>
      </c>
      <c r="F2607" t="str">
        <f t="shared" si="202"/>
        <v>net sales</v>
      </c>
      <c r="G2607" s="7" t="str">
        <f t="shared" si="203"/>
        <v>product 1</v>
      </c>
      <c r="H2607">
        <f t="shared" si="204"/>
        <v>2024</v>
      </c>
      <c r="I2607">
        <f t="shared" si="205"/>
        <v>12</v>
      </c>
      <c r="J2607">
        <f t="shared" si="206"/>
        <v>-99.94</v>
      </c>
    </row>
    <row r="2608" spans="1:10" ht="12.5" x14ac:dyDescent="0.25">
      <c r="A2608" s="1">
        <v>45653</v>
      </c>
      <c r="B2608" s="2" t="s">
        <v>12</v>
      </c>
      <c r="C2608" s="3">
        <v>24.99</v>
      </c>
      <c r="D2608" s="3">
        <v>2</v>
      </c>
      <c r="E2608" s="3">
        <v>49.98</v>
      </c>
      <c r="F2608" t="str">
        <f t="shared" si="202"/>
        <v>net sales</v>
      </c>
      <c r="G2608" s="7" t="str">
        <f t="shared" si="203"/>
        <v>product 2</v>
      </c>
      <c r="H2608">
        <f t="shared" si="204"/>
        <v>2024</v>
      </c>
      <c r="I2608">
        <f t="shared" si="205"/>
        <v>12</v>
      </c>
      <c r="J2608">
        <f t="shared" si="206"/>
        <v>359.64</v>
      </c>
    </row>
    <row r="2609" spans="1:10" ht="12.5" x14ac:dyDescent="0.25">
      <c r="A2609" s="1">
        <v>45653</v>
      </c>
      <c r="B2609" s="2" t="s">
        <v>13</v>
      </c>
      <c r="C2609" s="3">
        <v>12.49</v>
      </c>
      <c r="D2609" s="3">
        <v>231</v>
      </c>
      <c r="E2609" s="3">
        <v>2885.19</v>
      </c>
      <c r="F2609" t="str">
        <f t="shared" si="202"/>
        <v>net sales</v>
      </c>
      <c r="G2609" s="7" t="str">
        <f t="shared" si="203"/>
        <v>product 3</v>
      </c>
      <c r="H2609">
        <f t="shared" si="204"/>
        <v>2024</v>
      </c>
      <c r="I2609">
        <f t="shared" si="205"/>
        <v>12</v>
      </c>
      <c r="J2609">
        <f t="shared" si="206"/>
        <v>199.92</v>
      </c>
    </row>
    <row r="2610" spans="1:10" ht="12.5" x14ac:dyDescent="0.25">
      <c r="A2610" s="1">
        <v>45654</v>
      </c>
      <c r="B2610" s="2" t="s">
        <v>7</v>
      </c>
      <c r="C2610" s="3">
        <v>5.99</v>
      </c>
      <c r="D2610" s="3">
        <v>55</v>
      </c>
      <c r="E2610" s="3">
        <v>329.45</v>
      </c>
      <c r="F2610" t="str">
        <f t="shared" si="202"/>
        <v>cogs</v>
      </c>
      <c r="G2610" s="7" t="str">
        <f t="shared" si="203"/>
        <v>product 1</v>
      </c>
      <c r="H2610">
        <f t="shared" si="204"/>
        <v>2024</v>
      </c>
      <c r="I2610">
        <f t="shared" si="205"/>
        <v>12</v>
      </c>
      <c r="J2610">
        <f t="shared" si="206"/>
        <v>3022.58</v>
      </c>
    </row>
    <row r="2611" spans="1:10" ht="12.5" x14ac:dyDescent="0.25">
      <c r="A2611" s="1">
        <v>45654</v>
      </c>
      <c r="B2611" s="2" t="s">
        <v>8</v>
      </c>
      <c r="C2611" s="3">
        <v>16.989999999999998</v>
      </c>
      <c r="D2611" s="3">
        <v>9</v>
      </c>
      <c r="E2611" s="3">
        <v>152.91</v>
      </c>
      <c r="F2611" t="str">
        <f t="shared" si="202"/>
        <v>cogs</v>
      </c>
      <c r="G2611" s="7" t="str">
        <f t="shared" si="203"/>
        <v>product 2</v>
      </c>
      <c r="H2611">
        <f t="shared" si="204"/>
        <v>2024</v>
      </c>
      <c r="I2611">
        <f t="shared" si="205"/>
        <v>12</v>
      </c>
      <c r="J2611">
        <f t="shared" si="206"/>
        <v>-389.35</v>
      </c>
    </row>
    <row r="2612" spans="1:10" ht="12.5" x14ac:dyDescent="0.25">
      <c r="A2612" s="1">
        <v>45654</v>
      </c>
      <c r="B2612" s="2" t="s">
        <v>9</v>
      </c>
      <c r="C2612" s="3">
        <v>8.49</v>
      </c>
      <c r="D2612" s="3">
        <v>176</v>
      </c>
      <c r="E2612" s="3">
        <v>1494.24</v>
      </c>
      <c r="F2612" t="str">
        <f t="shared" si="202"/>
        <v>cogs</v>
      </c>
      <c r="G2612" s="7" t="str">
        <f t="shared" si="203"/>
        <v>product 3</v>
      </c>
      <c r="H2612">
        <f t="shared" si="204"/>
        <v>2024</v>
      </c>
      <c r="I2612">
        <f t="shared" si="205"/>
        <v>12</v>
      </c>
      <c r="J2612">
        <f t="shared" si="206"/>
        <v>-152.91</v>
      </c>
    </row>
    <row r="2613" spans="1:10" ht="12.5" x14ac:dyDescent="0.25">
      <c r="A2613" s="1">
        <v>45654</v>
      </c>
      <c r="B2613" s="2" t="s">
        <v>10</v>
      </c>
      <c r="C2613" s="2" t="s">
        <v>6</v>
      </c>
      <c r="D2613" s="2" t="s">
        <v>6</v>
      </c>
      <c r="E2613" s="3">
        <v>100.06</v>
      </c>
      <c r="F2613" t="str">
        <f t="shared" si="202"/>
        <v>marketing</v>
      </c>
      <c r="G2613" s="7" t="s">
        <v>6</v>
      </c>
      <c r="H2613">
        <f t="shared" si="204"/>
        <v>2024</v>
      </c>
      <c r="I2613">
        <f t="shared" si="205"/>
        <v>12</v>
      </c>
      <c r="J2613">
        <f t="shared" si="206"/>
        <v>-730.14</v>
      </c>
    </row>
    <row r="2614" spans="1:10" ht="12.5" x14ac:dyDescent="0.25">
      <c r="A2614" s="1">
        <v>45654</v>
      </c>
      <c r="B2614" s="2" t="s">
        <v>11</v>
      </c>
      <c r="C2614" s="3">
        <v>9.99</v>
      </c>
      <c r="D2614" s="3">
        <v>55</v>
      </c>
      <c r="E2614" s="3">
        <v>549.45000000000005</v>
      </c>
      <c r="F2614" t="str">
        <f t="shared" si="202"/>
        <v>net sales</v>
      </c>
      <c r="G2614" s="7" t="str">
        <f t="shared" si="203"/>
        <v>product 1</v>
      </c>
      <c r="H2614">
        <f t="shared" si="204"/>
        <v>2024</v>
      </c>
      <c r="I2614">
        <f t="shared" si="205"/>
        <v>12</v>
      </c>
      <c r="J2614">
        <f t="shared" si="206"/>
        <v>-99.97</v>
      </c>
    </row>
    <row r="2615" spans="1:10" ht="12.5" x14ac:dyDescent="0.25">
      <c r="A2615" s="1">
        <v>45654</v>
      </c>
      <c r="B2615" s="2" t="s">
        <v>12</v>
      </c>
      <c r="C2615" s="3">
        <v>24.99</v>
      </c>
      <c r="D2615" s="3">
        <v>9</v>
      </c>
      <c r="E2615" s="3">
        <v>224.91</v>
      </c>
      <c r="F2615" t="str">
        <f t="shared" si="202"/>
        <v>net sales</v>
      </c>
      <c r="G2615" s="7" t="str">
        <f t="shared" si="203"/>
        <v>product 2</v>
      </c>
      <c r="H2615">
        <f t="shared" si="204"/>
        <v>2024</v>
      </c>
      <c r="I2615">
        <f t="shared" si="205"/>
        <v>12</v>
      </c>
      <c r="J2615">
        <f t="shared" si="206"/>
        <v>649.35</v>
      </c>
    </row>
    <row r="2616" spans="1:10" ht="12.5" x14ac:dyDescent="0.25">
      <c r="A2616" s="1">
        <v>45654</v>
      </c>
      <c r="B2616" s="2" t="s">
        <v>13</v>
      </c>
      <c r="C2616" s="3">
        <v>12.49</v>
      </c>
      <c r="D2616" s="3">
        <v>176</v>
      </c>
      <c r="E2616" s="3">
        <v>2198.2400000000002</v>
      </c>
      <c r="F2616" t="str">
        <f t="shared" si="202"/>
        <v>net sales</v>
      </c>
      <c r="G2616" s="7" t="str">
        <f t="shared" si="203"/>
        <v>product 3</v>
      </c>
      <c r="H2616">
        <f t="shared" si="204"/>
        <v>2024</v>
      </c>
      <c r="I2616">
        <f t="shared" si="205"/>
        <v>12</v>
      </c>
      <c r="J2616">
        <f t="shared" si="206"/>
        <v>224.91</v>
      </c>
    </row>
    <row r="2617" spans="1:10" ht="12.5" x14ac:dyDescent="0.25">
      <c r="A2617" s="1">
        <v>45655</v>
      </c>
      <c r="B2617" s="2" t="s">
        <v>7</v>
      </c>
      <c r="C2617" s="3">
        <v>5.99</v>
      </c>
      <c r="D2617" s="3">
        <v>10</v>
      </c>
      <c r="E2617" s="3">
        <v>59.900000000000006</v>
      </c>
      <c r="F2617" t="str">
        <f t="shared" si="202"/>
        <v>cogs</v>
      </c>
      <c r="G2617" s="7" t="str">
        <f t="shared" si="203"/>
        <v>product 1</v>
      </c>
      <c r="H2617">
        <f t="shared" si="204"/>
        <v>2024</v>
      </c>
      <c r="I2617">
        <f t="shared" si="205"/>
        <v>12</v>
      </c>
      <c r="J2617">
        <f t="shared" si="206"/>
        <v>1074.1400000000001</v>
      </c>
    </row>
    <row r="2618" spans="1:10" ht="12.5" x14ac:dyDescent="0.25">
      <c r="A2618" s="1">
        <v>45655</v>
      </c>
      <c r="B2618" s="2" t="s">
        <v>8</v>
      </c>
      <c r="C2618" s="3">
        <v>16.989999999999998</v>
      </c>
      <c r="D2618" s="3">
        <v>4</v>
      </c>
      <c r="E2618" s="3">
        <v>67.959999999999994</v>
      </c>
      <c r="F2618" t="str">
        <f t="shared" si="202"/>
        <v>cogs</v>
      </c>
      <c r="G2618" s="7" t="str">
        <f t="shared" si="203"/>
        <v>product 2</v>
      </c>
      <c r="H2618">
        <f t="shared" si="204"/>
        <v>2024</v>
      </c>
      <c r="I2618">
        <f t="shared" si="205"/>
        <v>12</v>
      </c>
      <c r="J2618">
        <f t="shared" si="206"/>
        <v>-227.62</v>
      </c>
    </row>
    <row r="2619" spans="1:10" ht="12.5" x14ac:dyDescent="0.25">
      <c r="A2619" s="1">
        <v>45655</v>
      </c>
      <c r="B2619" s="2" t="s">
        <v>9</v>
      </c>
      <c r="C2619" s="3">
        <v>8.49</v>
      </c>
      <c r="D2619" s="3">
        <v>151</v>
      </c>
      <c r="E2619" s="3">
        <v>1281.99</v>
      </c>
      <c r="F2619" t="str">
        <f t="shared" si="202"/>
        <v>cogs</v>
      </c>
      <c r="G2619" s="7" t="str">
        <f t="shared" si="203"/>
        <v>product 3</v>
      </c>
      <c r="H2619">
        <f t="shared" si="204"/>
        <v>2024</v>
      </c>
      <c r="I2619">
        <f t="shared" si="205"/>
        <v>12</v>
      </c>
      <c r="J2619">
        <f t="shared" si="206"/>
        <v>-67.959999999999994</v>
      </c>
    </row>
    <row r="2620" spans="1:10" ht="12.5" x14ac:dyDescent="0.25">
      <c r="A2620" s="1">
        <v>45655</v>
      </c>
      <c r="B2620" s="2" t="s">
        <v>10</v>
      </c>
      <c r="C2620" s="2" t="s">
        <v>6</v>
      </c>
      <c r="D2620" s="2" t="s">
        <v>6</v>
      </c>
      <c r="E2620" s="3">
        <v>99.94</v>
      </c>
      <c r="F2620" t="str">
        <f t="shared" si="202"/>
        <v>marketing</v>
      </c>
      <c r="G2620" s="7" t="s">
        <v>6</v>
      </c>
      <c r="H2620">
        <f t="shared" si="204"/>
        <v>2024</v>
      </c>
      <c r="I2620">
        <f t="shared" si="205"/>
        <v>12</v>
      </c>
      <c r="J2620">
        <f t="shared" si="206"/>
        <v>-152.82</v>
      </c>
    </row>
    <row r="2621" spans="1:10" ht="12.5" x14ac:dyDescent="0.25">
      <c r="A2621" s="1">
        <v>45655</v>
      </c>
      <c r="B2621" s="2" t="s">
        <v>11</v>
      </c>
      <c r="C2621" s="3">
        <v>9.99</v>
      </c>
      <c r="D2621" s="3">
        <v>10</v>
      </c>
      <c r="E2621" s="3">
        <v>99.9</v>
      </c>
      <c r="F2621" t="str">
        <f t="shared" si="202"/>
        <v>net sales</v>
      </c>
      <c r="G2621" s="7" t="str">
        <f t="shared" si="203"/>
        <v>product 1</v>
      </c>
      <c r="H2621">
        <f t="shared" si="204"/>
        <v>2024</v>
      </c>
      <c r="I2621">
        <f t="shared" si="205"/>
        <v>12</v>
      </c>
      <c r="J2621">
        <f t="shared" si="206"/>
        <v>-99.94</v>
      </c>
    </row>
    <row r="2622" spans="1:10" ht="12.5" x14ac:dyDescent="0.25">
      <c r="A2622" s="1">
        <v>45655</v>
      </c>
      <c r="B2622" s="2" t="s">
        <v>12</v>
      </c>
      <c r="C2622" s="3">
        <v>24.99</v>
      </c>
      <c r="D2622" s="3">
        <v>4</v>
      </c>
      <c r="E2622" s="3">
        <v>99.96</v>
      </c>
      <c r="F2622" t="str">
        <f t="shared" si="202"/>
        <v>net sales</v>
      </c>
      <c r="G2622" s="7" t="str">
        <f t="shared" si="203"/>
        <v>product 2</v>
      </c>
      <c r="H2622">
        <f t="shared" si="204"/>
        <v>2024</v>
      </c>
      <c r="I2622">
        <f t="shared" si="205"/>
        <v>12</v>
      </c>
      <c r="J2622">
        <f t="shared" si="206"/>
        <v>379.62</v>
      </c>
    </row>
    <row r="2623" spans="1:10" ht="12.5" x14ac:dyDescent="0.25">
      <c r="A2623" s="1">
        <v>45655</v>
      </c>
      <c r="B2623" s="2" t="s">
        <v>13</v>
      </c>
      <c r="C2623" s="3">
        <v>12.49</v>
      </c>
      <c r="D2623" s="3">
        <v>151</v>
      </c>
      <c r="E2623" s="3">
        <v>1885.99</v>
      </c>
      <c r="F2623" t="str">
        <f t="shared" si="202"/>
        <v>net sales</v>
      </c>
      <c r="G2623" s="7" t="str">
        <f t="shared" si="203"/>
        <v>product 3</v>
      </c>
      <c r="H2623">
        <f t="shared" si="204"/>
        <v>2024</v>
      </c>
      <c r="I2623">
        <f t="shared" si="205"/>
        <v>12</v>
      </c>
      <c r="J2623">
        <f t="shared" si="206"/>
        <v>99.96</v>
      </c>
    </row>
    <row r="2624" spans="1:10" ht="12.5" x14ac:dyDescent="0.25">
      <c r="A2624" s="1">
        <v>45656</v>
      </c>
      <c r="B2624" s="2" t="s">
        <v>7</v>
      </c>
      <c r="C2624" s="3">
        <v>5.99</v>
      </c>
      <c r="D2624" s="3">
        <v>93</v>
      </c>
      <c r="E2624" s="3">
        <v>557.07000000000005</v>
      </c>
      <c r="F2624" t="str">
        <f t="shared" si="202"/>
        <v>cogs</v>
      </c>
      <c r="G2624" s="7" t="str">
        <f t="shared" si="203"/>
        <v>product 1</v>
      </c>
      <c r="H2624">
        <f t="shared" si="204"/>
        <v>2024</v>
      </c>
      <c r="I2624">
        <f t="shared" si="205"/>
        <v>12</v>
      </c>
      <c r="J2624">
        <f t="shared" si="206"/>
        <v>224.82</v>
      </c>
    </row>
    <row r="2625" spans="1:10" ht="12.5" x14ac:dyDescent="0.25">
      <c r="A2625" s="1">
        <v>45656</v>
      </c>
      <c r="B2625" s="2" t="s">
        <v>8</v>
      </c>
      <c r="C2625" s="3">
        <v>16.989999999999998</v>
      </c>
      <c r="D2625" s="3">
        <v>10</v>
      </c>
      <c r="E2625" s="3">
        <v>169.89999999999998</v>
      </c>
      <c r="F2625" t="str">
        <f t="shared" si="202"/>
        <v>cogs</v>
      </c>
      <c r="G2625" s="7" t="str">
        <f t="shared" si="203"/>
        <v>product 2</v>
      </c>
      <c r="H2625">
        <f t="shared" si="204"/>
        <v>2024</v>
      </c>
      <c r="I2625">
        <f t="shared" si="205"/>
        <v>12</v>
      </c>
      <c r="J2625">
        <f t="shared" si="206"/>
        <v>-521.13</v>
      </c>
    </row>
    <row r="2626" spans="1:10" ht="12.5" x14ac:dyDescent="0.25">
      <c r="A2626" s="1">
        <v>45656</v>
      </c>
      <c r="B2626" s="2" t="s">
        <v>9</v>
      </c>
      <c r="C2626" s="3">
        <v>8.49</v>
      </c>
      <c r="D2626" s="3">
        <v>63</v>
      </c>
      <c r="E2626" s="3">
        <v>534.87</v>
      </c>
      <c r="F2626" t="str">
        <f t="shared" si="202"/>
        <v>cogs</v>
      </c>
      <c r="G2626" s="7" t="str">
        <f t="shared" si="203"/>
        <v>product 3</v>
      </c>
      <c r="H2626">
        <f t="shared" si="204"/>
        <v>2024</v>
      </c>
      <c r="I2626">
        <f t="shared" si="205"/>
        <v>12</v>
      </c>
      <c r="J2626">
        <f t="shared" si="206"/>
        <v>-33.979999999999997</v>
      </c>
    </row>
    <row r="2627" spans="1:10" ht="12.5" x14ac:dyDescent="0.25">
      <c r="A2627" s="1">
        <v>45656</v>
      </c>
      <c r="B2627" s="2" t="s">
        <v>10</v>
      </c>
      <c r="C2627" s="2" t="s">
        <v>6</v>
      </c>
      <c r="D2627" s="2" t="s">
        <v>6</v>
      </c>
      <c r="E2627" s="3">
        <v>100.09</v>
      </c>
      <c r="F2627" t="str">
        <f t="shared" ref="F2627:F2690" si="207">IFERROR(LEFT(B2627,FIND(":",B2627)-1),B2627)</f>
        <v>marketing</v>
      </c>
      <c r="G2627" s="7" t="s">
        <v>6</v>
      </c>
      <c r="H2627">
        <f t="shared" ref="H2627:H2690" si="208">YEAR(A2627)</f>
        <v>2024</v>
      </c>
      <c r="I2627">
        <f t="shared" ref="I2627:I2690" si="209">MONTH(A2627)</f>
        <v>12</v>
      </c>
      <c r="J2627">
        <f t="shared" si="206"/>
        <v>0</v>
      </c>
    </row>
    <row r="2628" spans="1:10" ht="12.5" x14ac:dyDescent="0.25">
      <c r="A2628" s="1">
        <v>45656</v>
      </c>
      <c r="B2628" s="2" t="s">
        <v>11</v>
      </c>
      <c r="C2628" s="3">
        <v>9.99</v>
      </c>
      <c r="D2628" s="3">
        <v>93</v>
      </c>
      <c r="E2628" s="3">
        <v>929.07</v>
      </c>
      <c r="F2628" t="str">
        <f t="shared" si="207"/>
        <v>net sales</v>
      </c>
      <c r="G2628" s="7" t="str">
        <f t="shared" ref="G2628:G2690" si="210">IFERROR(RIGHT(B2628,LEN(B2628)-FIND(":",B2628)),"")</f>
        <v>product 1</v>
      </c>
      <c r="H2628">
        <f t="shared" si="208"/>
        <v>2024</v>
      </c>
      <c r="I2628">
        <f t="shared" si="209"/>
        <v>12</v>
      </c>
      <c r="J2628">
        <f t="shared" si="206"/>
        <v>-99.92</v>
      </c>
    </row>
    <row r="2629" spans="1:10" ht="12.5" x14ac:dyDescent="0.25">
      <c r="A2629" s="1">
        <v>45656</v>
      </c>
      <c r="B2629" s="2" t="s">
        <v>12</v>
      </c>
      <c r="C2629" s="3">
        <v>24.99</v>
      </c>
      <c r="D2629" s="3">
        <v>10</v>
      </c>
      <c r="E2629" s="3">
        <v>249.89999999999998</v>
      </c>
      <c r="F2629" t="str">
        <f t="shared" si="207"/>
        <v>net sales</v>
      </c>
      <c r="G2629" s="7" t="str">
        <f t="shared" si="210"/>
        <v>product 2</v>
      </c>
      <c r="H2629">
        <f t="shared" si="208"/>
        <v>2024</v>
      </c>
      <c r="I2629">
        <f t="shared" si="209"/>
        <v>12</v>
      </c>
      <c r="J2629">
        <f t="shared" si="206"/>
        <v>869.13</v>
      </c>
    </row>
    <row r="2630" spans="1:10" ht="12.5" x14ac:dyDescent="0.25">
      <c r="A2630" s="1">
        <v>45656</v>
      </c>
      <c r="B2630" s="2" t="s">
        <v>13</v>
      </c>
      <c r="C2630" s="3">
        <v>12.49</v>
      </c>
      <c r="D2630" s="3">
        <v>63</v>
      </c>
      <c r="E2630" s="3">
        <v>786.87</v>
      </c>
      <c r="F2630" t="str">
        <f t="shared" si="207"/>
        <v>net sales</v>
      </c>
      <c r="G2630" s="7" t="str">
        <f t="shared" si="210"/>
        <v>product 3</v>
      </c>
      <c r="H2630">
        <f t="shared" si="208"/>
        <v>2024</v>
      </c>
      <c r="I2630">
        <f t="shared" si="209"/>
        <v>12</v>
      </c>
      <c r="J2630">
        <f t="shared" si="206"/>
        <v>49.98</v>
      </c>
    </row>
    <row r="2631" spans="1:10" ht="12.5" x14ac:dyDescent="0.25">
      <c r="A2631" s="1">
        <v>45657</v>
      </c>
      <c r="B2631" s="2" t="s">
        <v>7</v>
      </c>
      <c r="C2631" s="3">
        <v>5.99</v>
      </c>
      <c r="D2631" s="3">
        <v>81</v>
      </c>
      <c r="E2631" s="3">
        <v>485.19</v>
      </c>
      <c r="F2631" t="str">
        <f t="shared" si="207"/>
        <v>cogs</v>
      </c>
      <c r="G2631" s="7" t="str">
        <f t="shared" si="210"/>
        <v>product 1</v>
      </c>
      <c r="H2631">
        <f t="shared" si="208"/>
        <v>2024</v>
      </c>
      <c r="I2631">
        <f t="shared" si="209"/>
        <v>12</v>
      </c>
      <c r="J2631">
        <f t="shared" si="206"/>
        <v>0</v>
      </c>
    </row>
    <row r="2632" spans="1:10" ht="12.5" x14ac:dyDescent="0.25">
      <c r="A2632" s="1">
        <v>45657</v>
      </c>
      <c r="B2632" s="2" t="s">
        <v>8</v>
      </c>
      <c r="C2632" s="3">
        <v>16.989999999999998</v>
      </c>
      <c r="D2632" s="3">
        <v>2</v>
      </c>
      <c r="E2632" s="3">
        <v>33.979999999999997</v>
      </c>
      <c r="F2632" t="str">
        <f t="shared" si="207"/>
        <v>cogs</v>
      </c>
      <c r="G2632" s="7" t="str">
        <f t="shared" si="210"/>
        <v>product 2</v>
      </c>
      <c r="H2632">
        <f t="shared" si="208"/>
        <v>2024</v>
      </c>
      <c r="I2632">
        <f t="shared" si="209"/>
        <v>12</v>
      </c>
      <c r="J2632">
        <f t="shared" si="206"/>
        <v>0</v>
      </c>
    </row>
    <row r="2633" spans="1:10" ht="12.5" x14ac:dyDescent="0.25">
      <c r="A2633" s="1">
        <v>45657</v>
      </c>
      <c r="B2633" s="2" t="s">
        <v>9</v>
      </c>
      <c r="C2633" s="3">
        <v>8.49</v>
      </c>
      <c r="D2633" s="3">
        <v>16</v>
      </c>
      <c r="E2633" s="3">
        <v>135.84</v>
      </c>
      <c r="F2633" t="str">
        <f t="shared" si="207"/>
        <v>cogs</v>
      </c>
      <c r="G2633" s="7" t="str">
        <f t="shared" si="210"/>
        <v>product 3</v>
      </c>
      <c r="H2633">
        <f t="shared" si="208"/>
        <v>2024</v>
      </c>
      <c r="I2633">
        <f t="shared" si="209"/>
        <v>12</v>
      </c>
      <c r="J2633">
        <f t="shared" si="206"/>
        <v>-77.87</v>
      </c>
    </row>
    <row r="2634" spans="1:10" ht="12.5" x14ac:dyDescent="0.25">
      <c r="A2634" s="1">
        <v>45657</v>
      </c>
      <c r="B2634" s="2" t="s">
        <v>10</v>
      </c>
      <c r="C2634" s="2" t="s">
        <v>6</v>
      </c>
      <c r="D2634" s="2" t="s">
        <v>6</v>
      </c>
      <c r="E2634" s="3">
        <v>99.91</v>
      </c>
      <c r="F2634" t="str">
        <f t="shared" si="207"/>
        <v>marketing</v>
      </c>
      <c r="G2634" s="7" t="s">
        <v>6</v>
      </c>
      <c r="H2634">
        <f t="shared" si="208"/>
        <v>2024</v>
      </c>
      <c r="I2634">
        <f t="shared" si="209"/>
        <v>12</v>
      </c>
      <c r="J2634">
        <f t="shared" si="206"/>
        <v>-67.959999999999994</v>
      </c>
    </row>
    <row r="2635" spans="1:10" ht="12.5" x14ac:dyDescent="0.25">
      <c r="A2635" s="1">
        <v>45657</v>
      </c>
      <c r="B2635" s="2" t="s">
        <v>11</v>
      </c>
      <c r="C2635" s="3">
        <v>9.99</v>
      </c>
      <c r="D2635" s="3">
        <v>81</v>
      </c>
      <c r="E2635" s="3">
        <v>809.19</v>
      </c>
      <c r="F2635" t="str">
        <f t="shared" si="207"/>
        <v>net sales</v>
      </c>
      <c r="G2635" s="7" t="str">
        <f t="shared" si="210"/>
        <v>product 1</v>
      </c>
      <c r="H2635">
        <f t="shared" si="208"/>
        <v>2024</v>
      </c>
      <c r="I2635">
        <f t="shared" si="209"/>
        <v>12</v>
      </c>
      <c r="J2635">
        <f t="shared" si="206"/>
        <v>0</v>
      </c>
    </row>
    <row r="2636" spans="1:10" ht="12.5" x14ac:dyDescent="0.25">
      <c r="A2636" s="1">
        <v>45657</v>
      </c>
      <c r="B2636" s="2" t="s">
        <v>12</v>
      </c>
      <c r="C2636" s="3">
        <v>24.99</v>
      </c>
      <c r="D2636" s="3">
        <v>2</v>
      </c>
      <c r="E2636" s="3">
        <v>49.98</v>
      </c>
      <c r="F2636" t="str">
        <f t="shared" si="207"/>
        <v>net sales</v>
      </c>
      <c r="G2636" s="7" t="str">
        <f t="shared" si="210"/>
        <v>product 2</v>
      </c>
      <c r="H2636">
        <f t="shared" si="208"/>
        <v>2024</v>
      </c>
      <c r="I2636">
        <f t="shared" si="209"/>
        <v>12</v>
      </c>
      <c r="J2636">
        <f t="shared" si="206"/>
        <v>-99.91</v>
      </c>
    </row>
    <row r="2637" spans="1:10" ht="12.5" x14ac:dyDescent="0.25">
      <c r="A2637" s="1">
        <v>45657</v>
      </c>
      <c r="B2637" s="2" t="s">
        <v>13</v>
      </c>
      <c r="C2637" s="3">
        <v>12.49</v>
      </c>
      <c r="D2637" s="3">
        <v>16</v>
      </c>
      <c r="E2637" s="3">
        <v>199.84</v>
      </c>
      <c r="F2637" t="str">
        <f t="shared" si="207"/>
        <v>net sales</v>
      </c>
      <c r="G2637" s="7" t="str">
        <f t="shared" si="210"/>
        <v>product 3</v>
      </c>
      <c r="H2637">
        <f t="shared" si="208"/>
        <v>2024</v>
      </c>
      <c r="I2637">
        <f t="shared" si="209"/>
        <v>12</v>
      </c>
      <c r="J2637">
        <f t="shared" si="206"/>
        <v>129.87</v>
      </c>
    </row>
    <row r="2638" spans="1:10" ht="12.5" x14ac:dyDescent="0.25">
      <c r="A2638" s="1">
        <v>45658</v>
      </c>
      <c r="B2638" s="2" t="s">
        <v>5</v>
      </c>
      <c r="C2638" s="2" t="s">
        <v>6</v>
      </c>
      <c r="D2638" s="2" t="s">
        <v>6</v>
      </c>
      <c r="E2638" s="3">
        <v>50</v>
      </c>
      <c r="F2638" t="str">
        <f t="shared" si="207"/>
        <v>amortization</v>
      </c>
      <c r="G2638" s="7" t="s">
        <v>6</v>
      </c>
      <c r="H2638">
        <f t="shared" si="208"/>
        <v>2025</v>
      </c>
      <c r="I2638">
        <f t="shared" si="209"/>
        <v>1</v>
      </c>
      <c r="J2638">
        <f t="shared" si="206"/>
        <v>99.96</v>
      </c>
    </row>
    <row r="2639" spans="1:10" ht="12.5" x14ac:dyDescent="0.25">
      <c r="A2639" s="1">
        <v>45658</v>
      </c>
      <c r="B2639" s="2" t="s">
        <v>7</v>
      </c>
      <c r="C2639" s="3">
        <v>5.49</v>
      </c>
      <c r="D2639" s="3">
        <v>58</v>
      </c>
      <c r="E2639" s="3">
        <v>318.42</v>
      </c>
      <c r="F2639" t="str">
        <f t="shared" si="207"/>
        <v>cogs</v>
      </c>
      <c r="G2639" s="7" t="str">
        <f t="shared" si="210"/>
        <v>product 1</v>
      </c>
      <c r="H2639">
        <f t="shared" si="208"/>
        <v>2025</v>
      </c>
      <c r="I2639">
        <f t="shared" si="209"/>
        <v>1</v>
      </c>
      <c r="J2639">
        <f t="shared" si="206"/>
        <v>0</v>
      </c>
    </row>
    <row r="2640" spans="1:10" ht="12.5" x14ac:dyDescent="0.25">
      <c r="A2640" s="1">
        <v>45658</v>
      </c>
      <c r="B2640" s="2" t="s">
        <v>8</v>
      </c>
      <c r="C2640" s="3">
        <v>19.989999999999998</v>
      </c>
      <c r="D2640" s="3">
        <v>7</v>
      </c>
      <c r="E2640" s="3">
        <v>139.92999999999998</v>
      </c>
      <c r="F2640" t="str">
        <f t="shared" si="207"/>
        <v>cogs</v>
      </c>
      <c r="G2640" s="7" t="str">
        <f t="shared" si="210"/>
        <v>product 2</v>
      </c>
      <c r="H2640">
        <f t="shared" si="208"/>
        <v>2025</v>
      </c>
      <c r="I2640">
        <f t="shared" si="209"/>
        <v>1</v>
      </c>
      <c r="J2640">
        <f t="shared" si="206"/>
        <v>-2000</v>
      </c>
    </row>
    <row r="2641" spans="1:10" ht="12.5" x14ac:dyDescent="0.25">
      <c r="A2641" s="1">
        <v>45658</v>
      </c>
      <c r="B2641" s="2" t="s">
        <v>9</v>
      </c>
      <c r="C2641" s="3">
        <v>8.99</v>
      </c>
      <c r="D2641" s="3">
        <v>90</v>
      </c>
      <c r="E2641" s="3">
        <v>809.1</v>
      </c>
      <c r="F2641" t="str">
        <f t="shared" si="207"/>
        <v>cogs</v>
      </c>
      <c r="G2641" s="7" t="str">
        <f t="shared" si="210"/>
        <v>product 3</v>
      </c>
      <c r="H2641">
        <f t="shared" si="208"/>
        <v>2025</v>
      </c>
      <c r="I2641">
        <f t="shared" si="209"/>
        <v>1</v>
      </c>
      <c r="J2641">
        <f t="shared" si="206"/>
        <v>-149.75</v>
      </c>
    </row>
    <row r="2642" spans="1:10" ht="12.5" x14ac:dyDescent="0.25">
      <c r="A2642" s="1">
        <v>45658</v>
      </c>
      <c r="B2642" s="2" t="s">
        <v>10</v>
      </c>
      <c r="C2642" s="2" t="s">
        <v>6</v>
      </c>
      <c r="D2642" s="2" t="s">
        <v>6</v>
      </c>
      <c r="E2642" s="3">
        <v>118.02</v>
      </c>
      <c r="F2642" t="str">
        <f t="shared" si="207"/>
        <v>marketing</v>
      </c>
      <c r="G2642" s="7" t="s">
        <v>6</v>
      </c>
      <c r="H2642">
        <f t="shared" si="208"/>
        <v>2025</v>
      </c>
      <c r="I2642">
        <f t="shared" si="209"/>
        <v>1</v>
      </c>
      <c r="J2642">
        <f t="shared" si="206"/>
        <v>-118.92999999999999</v>
      </c>
    </row>
    <row r="2643" spans="1:10" ht="12.5" x14ac:dyDescent="0.25">
      <c r="A2643" s="1">
        <v>45658</v>
      </c>
      <c r="B2643" s="2" t="s">
        <v>11</v>
      </c>
      <c r="C2643" s="3">
        <v>9.99</v>
      </c>
      <c r="D2643" s="3">
        <v>58</v>
      </c>
      <c r="E2643" s="3">
        <v>579.41999999999996</v>
      </c>
      <c r="F2643" t="str">
        <f t="shared" si="207"/>
        <v>net sales</v>
      </c>
      <c r="G2643" s="7" t="str">
        <f t="shared" si="210"/>
        <v>product 1</v>
      </c>
      <c r="H2643">
        <f t="shared" si="208"/>
        <v>2025</v>
      </c>
      <c r="I2643">
        <f t="shared" si="209"/>
        <v>1</v>
      </c>
      <c r="J2643">
        <f t="shared" si="206"/>
        <v>-1035.78</v>
      </c>
    </row>
    <row r="2644" spans="1:10" ht="12.5" x14ac:dyDescent="0.25">
      <c r="A2644" s="1">
        <v>45658</v>
      </c>
      <c r="B2644" s="2" t="s">
        <v>12</v>
      </c>
      <c r="C2644" s="3">
        <v>24.99</v>
      </c>
      <c r="D2644" s="3">
        <v>7</v>
      </c>
      <c r="E2644" s="3">
        <v>174.92999999999998</v>
      </c>
      <c r="F2644" t="str">
        <f t="shared" si="207"/>
        <v>net sales</v>
      </c>
      <c r="G2644" s="7" t="str">
        <f t="shared" si="210"/>
        <v>product 2</v>
      </c>
      <c r="H2644">
        <f t="shared" si="208"/>
        <v>2025</v>
      </c>
      <c r="I2644">
        <f t="shared" si="209"/>
        <v>1</v>
      </c>
      <c r="J2644">
        <f t="shared" si="206"/>
        <v>-99.98</v>
      </c>
    </row>
    <row r="2645" spans="1:10" ht="12.5" x14ac:dyDescent="0.25">
      <c r="A2645" s="1">
        <v>45658</v>
      </c>
      <c r="B2645" s="2" t="s">
        <v>13</v>
      </c>
      <c r="C2645" s="3">
        <v>12.49</v>
      </c>
      <c r="D2645" s="3">
        <v>90</v>
      </c>
      <c r="E2645" s="3">
        <v>1124.0999999999999</v>
      </c>
      <c r="F2645" t="str">
        <f t="shared" si="207"/>
        <v>net sales</v>
      </c>
      <c r="G2645" s="7" t="str">
        <f t="shared" si="210"/>
        <v>product 3</v>
      </c>
      <c r="H2645">
        <f t="shared" si="208"/>
        <v>2025</v>
      </c>
      <c r="I2645">
        <f t="shared" si="209"/>
        <v>1</v>
      </c>
      <c r="J2645">
        <f t="shared" si="206"/>
        <v>249.75</v>
      </c>
    </row>
    <row r="2646" spans="1:10" ht="12.5" x14ac:dyDescent="0.25">
      <c r="A2646" s="1">
        <v>45658</v>
      </c>
      <c r="B2646" s="2" t="s">
        <v>14</v>
      </c>
      <c r="C2646" s="2" t="s">
        <v>6</v>
      </c>
      <c r="D2646" s="2" t="s">
        <v>6</v>
      </c>
      <c r="E2646" s="3">
        <v>2000</v>
      </c>
      <c r="F2646" t="str">
        <f t="shared" si="207"/>
        <v>overhead</v>
      </c>
      <c r="G2646" s="7" t="s">
        <v>6</v>
      </c>
      <c r="H2646">
        <f t="shared" si="208"/>
        <v>2025</v>
      </c>
      <c r="I2646">
        <f t="shared" si="209"/>
        <v>1</v>
      </c>
      <c r="J2646">
        <f t="shared" si="206"/>
        <v>174.92999999999998</v>
      </c>
    </row>
    <row r="2647" spans="1:10" ht="12.5" x14ac:dyDescent="0.25">
      <c r="A2647" s="1">
        <v>45659</v>
      </c>
      <c r="B2647" s="2" t="s">
        <v>7</v>
      </c>
      <c r="C2647" s="3">
        <v>5.49</v>
      </c>
      <c r="D2647" s="3">
        <v>60</v>
      </c>
      <c r="E2647" s="3">
        <v>329.40000000000003</v>
      </c>
      <c r="F2647" t="str">
        <f t="shared" si="207"/>
        <v>cogs</v>
      </c>
      <c r="G2647" s="7" t="str">
        <f t="shared" si="210"/>
        <v>product 1</v>
      </c>
      <c r="H2647">
        <f t="shared" si="208"/>
        <v>2025</v>
      </c>
      <c r="I2647">
        <f t="shared" si="209"/>
        <v>1</v>
      </c>
      <c r="J2647">
        <f t="shared" si="206"/>
        <v>1523.78</v>
      </c>
    </row>
    <row r="2648" spans="1:10" ht="12.5" x14ac:dyDescent="0.25">
      <c r="A2648" s="1">
        <v>45659</v>
      </c>
      <c r="B2648" s="2" t="s">
        <v>8</v>
      </c>
      <c r="C2648" s="3">
        <v>19.989999999999998</v>
      </c>
      <c r="D2648" s="3">
        <v>3</v>
      </c>
      <c r="E2648" s="3">
        <v>59.97</v>
      </c>
      <c r="F2648" t="str">
        <f t="shared" si="207"/>
        <v>cogs</v>
      </c>
      <c r="G2648" s="7" t="str">
        <f t="shared" si="210"/>
        <v>product 2</v>
      </c>
      <c r="H2648">
        <f t="shared" si="208"/>
        <v>2025</v>
      </c>
      <c r="I2648">
        <f t="shared" si="209"/>
        <v>1</v>
      </c>
      <c r="J2648">
        <f t="shared" si="206"/>
        <v>-485.19</v>
      </c>
    </row>
    <row r="2649" spans="1:10" ht="12.5" x14ac:dyDescent="0.25">
      <c r="A2649" s="1">
        <v>45659</v>
      </c>
      <c r="B2649" s="2" t="s">
        <v>9</v>
      </c>
      <c r="C2649" s="3">
        <v>8.99</v>
      </c>
      <c r="D2649" s="3">
        <v>171</v>
      </c>
      <c r="E2649" s="3">
        <v>1537.29</v>
      </c>
      <c r="F2649" t="str">
        <f t="shared" si="207"/>
        <v>cogs</v>
      </c>
      <c r="G2649" s="7" t="str">
        <f t="shared" si="210"/>
        <v>product 3</v>
      </c>
      <c r="H2649">
        <f t="shared" si="208"/>
        <v>2025</v>
      </c>
      <c r="I2649">
        <f t="shared" si="209"/>
        <v>1</v>
      </c>
      <c r="J2649">
        <f t="shared" si="206"/>
        <v>-50.97</v>
      </c>
    </row>
    <row r="2650" spans="1:10" ht="12.5" x14ac:dyDescent="0.25">
      <c r="A2650" s="1">
        <v>45659</v>
      </c>
      <c r="B2650" s="2" t="s">
        <v>10</v>
      </c>
      <c r="C2650" s="2" t="s">
        <v>6</v>
      </c>
      <c r="D2650" s="2" t="s">
        <v>6</v>
      </c>
      <c r="E2650" s="3">
        <v>119.10000000000001</v>
      </c>
      <c r="F2650" t="str">
        <f t="shared" si="207"/>
        <v>marketing</v>
      </c>
      <c r="G2650" s="7" t="s">
        <v>6</v>
      </c>
      <c r="H2650">
        <f t="shared" si="208"/>
        <v>2025</v>
      </c>
      <c r="I2650">
        <f t="shared" si="209"/>
        <v>1</v>
      </c>
      <c r="J2650">
        <f t="shared" si="206"/>
        <v>-67.92</v>
      </c>
    </row>
    <row r="2651" spans="1:10" ht="12.5" x14ac:dyDescent="0.25">
      <c r="A2651" s="1">
        <v>45659</v>
      </c>
      <c r="B2651" s="2" t="s">
        <v>11</v>
      </c>
      <c r="C2651" s="3">
        <v>9.99</v>
      </c>
      <c r="D2651" s="3">
        <v>60</v>
      </c>
      <c r="E2651" s="3">
        <v>599.4</v>
      </c>
      <c r="F2651" t="str">
        <f t="shared" si="207"/>
        <v>net sales</v>
      </c>
      <c r="G2651" s="7" t="str">
        <f t="shared" si="210"/>
        <v>product 1</v>
      </c>
      <c r="H2651">
        <f t="shared" si="208"/>
        <v>2025</v>
      </c>
      <c r="I2651">
        <f t="shared" si="209"/>
        <v>1</v>
      </c>
      <c r="J2651">
        <f t="shared" si="206"/>
        <v>-100.07000000000001</v>
      </c>
    </row>
    <row r="2652" spans="1:10" ht="12.5" x14ac:dyDescent="0.25">
      <c r="A2652" s="1">
        <v>45659</v>
      </c>
      <c r="B2652" s="2" t="s">
        <v>12</v>
      </c>
      <c r="C2652" s="3">
        <v>24.99</v>
      </c>
      <c r="D2652" s="3">
        <v>3</v>
      </c>
      <c r="E2652" s="3">
        <v>74.97</v>
      </c>
      <c r="F2652" t="str">
        <f t="shared" si="207"/>
        <v>net sales</v>
      </c>
      <c r="G2652" s="7" t="str">
        <f t="shared" si="210"/>
        <v>product 2</v>
      </c>
      <c r="H2652">
        <f t="shared" si="208"/>
        <v>2025</v>
      </c>
      <c r="I2652">
        <f t="shared" si="209"/>
        <v>1</v>
      </c>
      <c r="J2652">
        <f t="shared" ref="J2652:J2715" si="211">IF(F2435="net sales",E2435,
IF(F2435="cogs",-E2435,
IF(OR(F2435="marketing",F2435="overhead",F2435="payroll",F2435="interest","amortization"),-E2435,0)))</f>
        <v>809.19</v>
      </c>
    </row>
    <row r="2653" spans="1:10" ht="12.5" x14ac:dyDescent="0.25">
      <c r="A2653" s="1">
        <v>45659</v>
      </c>
      <c r="B2653" s="2" t="s">
        <v>13</v>
      </c>
      <c r="C2653" s="3">
        <v>12.49</v>
      </c>
      <c r="D2653" s="3">
        <v>171</v>
      </c>
      <c r="E2653" s="3">
        <v>2135.79</v>
      </c>
      <c r="F2653" t="str">
        <f t="shared" si="207"/>
        <v>net sales</v>
      </c>
      <c r="G2653" s="7" t="str">
        <f t="shared" si="210"/>
        <v>product 3</v>
      </c>
      <c r="H2653">
        <f t="shared" si="208"/>
        <v>2025</v>
      </c>
      <c r="I2653">
        <f t="shared" si="209"/>
        <v>1</v>
      </c>
      <c r="J2653">
        <f t="shared" si="211"/>
        <v>74.97</v>
      </c>
    </row>
    <row r="2654" spans="1:10" ht="12.5" x14ac:dyDescent="0.25">
      <c r="A2654" s="1">
        <v>45660</v>
      </c>
      <c r="B2654" s="2" t="s">
        <v>7</v>
      </c>
      <c r="C2654" s="3">
        <v>5.49</v>
      </c>
      <c r="D2654" s="3">
        <v>26</v>
      </c>
      <c r="E2654" s="3">
        <v>142.74</v>
      </c>
      <c r="F2654" t="str">
        <f t="shared" si="207"/>
        <v>cogs</v>
      </c>
      <c r="G2654" s="7" t="str">
        <f t="shared" si="210"/>
        <v>product 1</v>
      </c>
      <c r="H2654">
        <f t="shared" si="208"/>
        <v>2025</v>
      </c>
      <c r="I2654">
        <f t="shared" si="209"/>
        <v>1</v>
      </c>
      <c r="J2654">
        <f t="shared" si="211"/>
        <v>99.92</v>
      </c>
    </row>
    <row r="2655" spans="1:10" ht="12.5" x14ac:dyDescent="0.25">
      <c r="A2655" s="1">
        <v>45660</v>
      </c>
      <c r="B2655" s="2" t="s">
        <v>8</v>
      </c>
      <c r="C2655" s="3">
        <v>19.989999999999998</v>
      </c>
      <c r="D2655" s="3">
        <v>4</v>
      </c>
      <c r="E2655" s="3">
        <v>79.959999999999994</v>
      </c>
      <c r="F2655" t="str">
        <f t="shared" si="207"/>
        <v>cogs</v>
      </c>
      <c r="G2655" s="7" t="str">
        <f t="shared" si="210"/>
        <v>product 2</v>
      </c>
      <c r="H2655">
        <f t="shared" si="208"/>
        <v>2025</v>
      </c>
      <c r="I2655">
        <f t="shared" si="209"/>
        <v>1</v>
      </c>
      <c r="J2655">
        <f t="shared" si="211"/>
        <v>-41.93</v>
      </c>
    </row>
    <row r="2656" spans="1:10" ht="12.5" x14ac:dyDescent="0.25">
      <c r="A2656" s="1">
        <v>45660</v>
      </c>
      <c r="B2656" s="2" t="s">
        <v>9</v>
      </c>
      <c r="C2656" s="3">
        <v>8.99</v>
      </c>
      <c r="D2656" s="3">
        <v>164</v>
      </c>
      <c r="E2656" s="3">
        <v>1474.3600000000001</v>
      </c>
      <c r="F2656" t="str">
        <f t="shared" si="207"/>
        <v>cogs</v>
      </c>
      <c r="G2656" s="7" t="str">
        <f t="shared" si="210"/>
        <v>product 3</v>
      </c>
      <c r="H2656">
        <f t="shared" si="208"/>
        <v>2025</v>
      </c>
      <c r="I2656">
        <f t="shared" si="209"/>
        <v>1</v>
      </c>
      <c r="J2656">
        <f t="shared" si="211"/>
        <v>-118.92999999999999</v>
      </c>
    </row>
    <row r="2657" spans="1:10" ht="12.5" x14ac:dyDescent="0.25">
      <c r="A2657" s="1">
        <v>45660</v>
      </c>
      <c r="B2657" s="2" t="s">
        <v>10</v>
      </c>
      <c r="C2657" s="2" t="s">
        <v>6</v>
      </c>
      <c r="D2657" s="2" t="s">
        <v>6</v>
      </c>
      <c r="E2657" s="3">
        <v>118.93</v>
      </c>
      <c r="F2657" t="str">
        <f t="shared" si="207"/>
        <v>marketing</v>
      </c>
      <c r="G2657" s="7" t="s">
        <v>6</v>
      </c>
      <c r="H2657">
        <f t="shared" si="208"/>
        <v>2025</v>
      </c>
      <c r="I2657">
        <f t="shared" si="209"/>
        <v>1</v>
      </c>
      <c r="J2657">
        <f t="shared" si="211"/>
        <v>-2003.64</v>
      </c>
    </row>
    <row r="2658" spans="1:10" ht="12.5" x14ac:dyDescent="0.25">
      <c r="A2658" s="1">
        <v>45660</v>
      </c>
      <c r="B2658" s="2" t="s">
        <v>11</v>
      </c>
      <c r="C2658" s="3">
        <v>9.99</v>
      </c>
      <c r="D2658" s="3">
        <v>26</v>
      </c>
      <c r="E2658" s="3">
        <v>259.74</v>
      </c>
      <c r="F2658" t="str">
        <f t="shared" si="207"/>
        <v>net sales</v>
      </c>
      <c r="G2658" s="7" t="str">
        <f t="shared" si="210"/>
        <v>product 1</v>
      </c>
      <c r="H2658">
        <f t="shared" si="208"/>
        <v>2025</v>
      </c>
      <c r="I2658">
        <f t="shared" si="209"/>
        <v>1</v>
      </c>
      <c r="J2658">
        <f t="shared" si="211"/>
        <v>-99.95</v>
      </c>
    </row>
    <row r="2659" spans="1:10" ht="12.5" x14ac:dyDescent="0.25">
      <c r="A2659" s="1">
        <v>45660</v>
      </c>
      <c r="B2659" s="2" t="s">
        <v>12</v>
      </c>
      <c r="C2659" s="3">
        <v>24.99</v>
      </c>
      <c r="D2659" s="3">
        <v>4</v>
      </c>
      <c r="E2659" s="3">
        <v>99.96</v>
      </c>
      <c r="F2659" t="str">
        <f t="shared" si="207"/>
        <v>net sales</v>
      </c>
      <c r="G2659" s="7" t="str">
        <f t="shared" si="210"/>
        <v>product 2</v>
      </c>
      <c r="H2659">
        <f t="shared" si="208"/>
        <v>2025</v>
      </c>
      <c r="I2659">
        <f t="shared" si="209"/>
        <v>1</v>
      </c>
      <c r="J2659">
        <f t="shared" si="211"/>
        <v>69.930000000000007</v>
      </c>
    </row>
    <row r="2660" spans="1:10" ht="12.5" x14ac:dyDescent="0.25">
      <c r="A2660" s="1">
        <v>45660</v>
      </c>
      <c r="B2660" s="2" t="s">
        <v>13</v>
      </c>
      <c r="C2660" s="3">
        <v>12.49</v>
      </c>
      <c r="D2660" s="3">
        <v>164</v>
      </c>
      <c r="E2660" s="3">
        <v>2048.36</v>
      </c>
      <c r="F2660" t="str">
        <f t="shared" si="207"/>
        <v>net sales</v>
      </c>
      <c r="G2660" s="7" t="str">
        <f t="shared" si="210"/>
        <v>product 3</v>
      </c>
      <c r="H2660">
        <f t="shared" si="208"/>
        <v>2025</v>
      </c>
      <c r="I2660">
        <f t="shared" si="209"/>
        <v>1</v>
      </c>
      <c r="J2660">
        <f t="shared" si="211"/>
        <v>174.92999999999998</v>
      </c>
    </row>
    <row r="2661" spans="1:10" ht="12.5" x14ac:dyDescent="0.25">
      <c r="A2661" s="1">
        <v>45660</v>
      </c>
      <c r="B2661" s="2" t="s">
        <v>15</v>
      </c>
      <c r="C2661" s="2" t="s">
        <v>6</v>
      </c>
      <c r="D2661" s="2" t="s">
        <v>6</v>
      </c>
      <c r="E2661" s="3">
        <v>1200</v>
      </c>
      <c r="F2661" t="str">
        <f t="shared" si="207"/>
        <v>payroll</v>
      </c>
      <c r="G2661" s="7" t="s">
        <v>6</v>
      </c>
      <c r="H2661">
        <f t="shared" si="208"/>
        <v>2025</v>
      </c>
      <c r="I2661">
        <f t="shared" si="209"/>
        <v>1</v>
      </c>
      <c r="J2661">
        <f t="shared" si="211"/>
        <v>2947.64</v>
      </c>
    </row>
    <row r="2662" spans="1:10" ht="12.5" x14ac:dyDescent="0.25">
      <c r="A2662" s="1">
        <v>45661</v>
      </c>
      <c r="B2662" s="2" t="s">
        <v>7</v>
      </c>
      <c r="C2662" s="3">
        <v>5.49</v>
      </c>
      <c r="D2662" s="3">
        <v>4</v>
      </c>
      <c r="E2662" s="3">
        <v>21.96</v>
      </c>
      <c r="F2662" t="str">
        <f t="shared" si="207"/>
        <v>cogs</v>
      </c>
      <c r="G2662" s="7" t="str">
        <f t="shared" si="210"/>
        <v>product 1</v>
      </c>
      <c r="H2662">
        <f t="shared" si="208"/>
        <v>2025</v>
      </c>
      <c r="I2662">
        <f t="shared" si="209"/>
        <v>1</v>
      </c>
      <c r="J2662">
        <f t="shared" si="211"/>
        <v>-311.48</v>
      </c>
    </row>
    <row r="2663" spans="1:10" ht="12.5" x14ac:dyDescent="0.25">
      <c r="A2663" s="1">
        <v>45661</v>
      </c>
      <c r="B2663" s="2" t="s">
        <v>8</v>
      </c>
      <c r="C2663" s="3">
        <v>19.989999999999998</v>
      </c>
      <c r="D2663" s="3">
        <v>5</v>
      </c>
      <c r="E2663" s="3">
        <v>99.949999999999989</v>
      </c>
      <c r="F2663" t="str">
        <f t="shared" si="207"/>
        <v>cogs</v>
      </c>
      <c r="G2663" s="7" t="str">
        <f t="shared" si="210"/>
        <v>product 2</v>
      </c>
      <c r="H2663">
        <f t="shared" si="208"/>
        <v>2025</v>
      </c>
      <c r="I2663">
        <f t="shared" si="209"/>
        <v>1</v>
      </c>
      <c r="J2663">
        <f t="shared" si="211"/>
        <v>-118.92999999999999</v>
      </c>
    </row>
    <row r="2664" spans="1:10" ht="12.5" x14ac:dyDescent="0.25">
      <c r="A2664" s="1">
        <v>45661</v>
      </c>
      <c r="B2664" s="2" t="s">
        <v>9</v>
      </c>
      <c r="C2664" s="3">
        <v>8.99</v>
      </c>
      <c r="D2664" s="3">
        <v>56</v>
      </c>
      <c r="E2664" s="3">
        <v>503.44</v>
      </c>
      <c r="F2664" t="str">
        <f t="shared" si="207"/>
        <v>cogs</v>
      </c>
      <c r="G2664" s="7" t="str">
        <f t="shared" si="210"/>
        <v>product 3</v>
      </c>
      <c r="H2664">
        <f t="shared" si="208"/>
        <v>2025</v>
      </c>
      <c r="I2664">
        <f t="shared" si="209"/>
        <v>1</v>
      </c>
      <c r="J2664">
        <f t="shared" si="211"/>
        <v>-390.54</v>
      </c>
    </row>
    <row r="2665" spans="1:10" ht="12.5" x14ac:dyDescent="0.25">
      <c r="A2665" s="1">
        <v>45661</v>
      </c>
      <c r="B2665" s="2" t="s">
        <v>10</v>
      </c>
      <c r="C2665" s="2" t="s">
        <v>6</v>
      </c>
      <c r="D2665" s="2" t="s">
        <v>6</v>
      </c>
      <c r="E2665" s="3">
        <v>109</v>
      </c>
      <c r="F2665" t="str">
        <f t="shared" si="207"/>
        <v>marketing</v>
      </c>
      <c r="G2665" s="7" t="s">
        <v>6</v>
      </c>
      <c r="H2665">
        <f t="shared" si="208"/>
        <v>2025</v>
      </c>
      <c r="I2665">
        <f t="shared" si="209"/>
        <v>1</v>
      </c>
      <c r="J2665">
        <f t="shared" si="211"/>
        <v>-99.94</v>
      </c>
    </row>
    <row r="2666" spans="1:10" ht="12.5" x14ac:dyDescent="0.25">
      <c r="A2666" s="1">
        <v>45661</v>
      </c>
      <c r="B2666" s="2" t="s">
        <v>11</v>
      </c>
      <c r="C2666" s="3">
        <v>9.99</v>
      </c>
      <c r="D2666" s="3">
        <v>4</v>
      </c>
      <c r="E2666" s="3">
        <v>39.96</v>
      </c>
      <c r="F2666" t="str">
        <f t="shared" si="207"/>
        <v>net sales</v>
      </c>
      <c r="G2666" s="7" t="str">
        <f t="shared" si="210"/>
        <v>product 1</v>
      </c>
      <c r="H2666">
        <f t="shared" si="208"/>
        <v>2025</v>
      </c>
      <c r="I2666">
        <f t="shared" si="209"/>
        <v>1</v>
      </c>
      <c r="J2666">
        <f t="shared" si="211"/>
        <v>519.48</v>
      </c>
    </row>
    <row r="2667" spans="1:10" ht="12.5" x14ac:dyDescent="0.25">
      <c r="A2667" s="1">
        <v>45661</v>
      </c>
      <c r="B2667" s="2" t="s">
        <v>12</v>
      </c>
      <c r="C2667" s="3">
        <v>24.99</v>
      </c>
      <c r="D2667" s="3">
        <v>5</v>
      </c>
      <c r="E2667" s="3">
        <v>124.94999999999999</v>
      </c>
      <c r="F2667" t="str">
        <f t="shared" si="207"/>
        <v>net sales</v>
      </c>
      <c r="G2667" s="7" t="str">
        <f t="shared" si="210"/>
        <v>product 2</v>
      </c>
      <c r="H2667">
        <f t="shared" si="208"/>
        <v>2025</v>
      </c>
      <c r="I2667">
        <f t="shared" si="209"/>
        <v>1</v>
      </c>
      <c r="J2667">
        <f t="shared" si="211"/>
        <v>174.92999999999998</v>
      </c>
    </row>
    <row r="2668" spans="1:10" ht="12.5" x14ac:dyDescent="0.25">
      <c r="A2668" s="1">
        <v>45661</v>
      </c>
      <c r="B2668" s="2" t="s">
        <v>13</v>
      </c>
      <c r="C2668" s="3">
        <v>12.49</v>
      </c>
      <c r="D2668" s="3">
        <v>56</v>
      </c>
      <c r="E2668" s="3">
        <v>699.44</v>
      </c>
      <c r="F2668" t="str">
        <f t="shared" si="207"/>
        <v>net sales</v>
      </c>
      <c r="G2668" s="7" t="str">
        <f t="shared" si="210"/>
        <v>product 3</v>
      </c>
      <c r="H2668">
        <f t="shared" si="208"/>
        <v>2025</v>
      </c>
      <c r="I2668">
        <f t="shared" si="209"/>
        <v>1</v>
      </c>
      <c r="J2668">
        <f t="shared" si="211"/>
        <v>574.54</v>
      </c>
    </row>
    <row r="2669" spans="1:10" ht="12.5" x14ac:dyDescent="0.25">
      <c r="A2669" s="1">
        <v>45662</v>
      </c>
      <c r="B2669" s="2" t="s">
        <v>7</v>
      </c>
      <c r="C2669" s="3">
        <v>5.49</v>
      </c>
      <c r="D2669" s="3">
        <v>95</v>
      </c>
      <c r="E2669" s="3">
        <v>521.55000000000007</v>
      </c>
      <c r="F2669" t="str">
        <f t="shared" si="207"/>
        <v>cogs</v>
      </c>
      <c r="G2669" s="7" t="str">
        <f t="shared" si="210"/>
        <v>product 1</v>
      </c>
      <c r="H2669">
        <f t="shared" si="208"/>
        <v>2025</v>
      </c>
      <c r="I2669">
        <f t="shared" si="209"/>
        <v>1</v>
      </c>
      <c r="J2669">
        <f t="shared" si="211"/>
        <v>-545.09</v>
      </c>
    </row>
    <row r="2670" spans="1:10" ht="12.5" x14ac:dyDescent="0.25">
      <c r="A2670" s="1">
        <v>45662</v>
      </c>
      <c r="B2670" s="2" t="s">
        <v>8</v>
      </c>
      <c r="C2670" s="3">
        <v>19.989999999999998</v>
      </c>
      <c r="D2670" s="3">
        <v>5</v>
      </c>
      <c r="E2670" s="3">
        <v>99.949999999999989</v>
      </c>
      <c r="F2670" t="str">
        <f t="shared" si="207"/>
        <v>cogs</v>
      </c>
      <c r="G2670" s="7" t="str">
        <f t="shared" si="210"/>
        <v>product 2</v>
      </c>
      <c r="H2670">
        <f t="shared" si="208"/>
        <v>2025</v>
      </c>
      <c r="I2670">
        <f t="shared" si="209"/>
        <v>1</v>
      </c>
      <c r="J2670">
        <f t="shared" si="211"/>
        <v>-84.949999999999989</v>
      </c>
    </row>
    <row r="2671" spans="1:10" ht="12.5" x14ac:dyDescent="0.25">
      <c r="A2671" s="1">
        <v>45662</v>
      </c>
      <c r="B2671" s="2" t="s">
        <v>9</v>
      </c>
      <c r="C2671" s="3">
        <v>8.99</v>
      </c>
      <c r="D2671" s="3">
        <v>164</v>
      </c>
      <c r="E2671" s="3">
        <v>1474.3600000000001</v>
      </c>
      <c r="F2671" t="str">
        <f t="shared" si="207"/>
        <v>cogs</v>
      </c>
      <c r="G2671" s="7" t="str">
        <f t="shared" si="210"/>
        <v>product 3</v>
      </c>
      <c r="H2671">
        <f t="shared" si="208"/>
        <v>2025</v>
      </c>
      <c r="I2671">
        <f t="shared" si="209"/>
        <v>1</v>
      </c>
      <c r="J2671">
        <f t="shared" si="211"/>
        <v>-16.98</v>
      </c>
    </row>
    <row r="2672" spans="1:10" ht="12.5" x14ac:dyDescent="0.25">
      <c r="A2672" s="1">
        <v>45662</v>
      </c>
      <c r="B2672" s="2" t="s">
        <v>10</v>
      </c>
      <c r="C2672" s="2" t="s">
        <v>6</v>
      </c>
      <c r="D2672" s="2" t="s">
        <v>6</v>
      </c>
      <c r="E2672" s="3">
        <v>117.98</v>
      </c>
      <c r="F2672" t="str">
        <f t="shared" si="207"/>
        <v>marketing</v>
      </c>
      <c r="G2672" s="7" t="s">
        <v>6</v>
      </c>
      <c r="H2672">
        <f t="shared" si="208"/>
        <v>2025</v>
      </c>
      <c r="I2672">
        <f t="shared" si="209"/>
        <v>1</v>
      </c>
      <c r="J2672">
        <f t="shared" si="211"/>
        <v>-100.07000000000001</v>
      </c>
    </row>
    <row r="2673" spans="1:10" ht="12.5" x14ac:dyDescent="0.25">
      <c r="A2673" s="1">
        <v>45662</v>
      </c>
      <c r="B2673" s="2" t="s">
        <v>11</v>
      </c>
      <c r="C2673" s="3">
        <v>9.99</v>
      </c>
      <c r="D2673" s="3">
        <v>95</v>
      </c>
      <c r="E2673" s="3">
        <v>949.05000000000007</v>
      </c>
      <c r="F2673" t="str">
        <f t="shared" si="207"/>
        <v>net sales</v>
      </c>
      <c r="G2673" s="7" t="str">
        <f t="shared" si="210"/>
        <v>product 1</v>
      </c>
      <c r="H2673">
        <f t="shared" si="208"/>
        <v>2025</v>
      </c>
      <c r="I2673">
        <f t="shared" si="209"/>
        <v>1</v>
      </c>
      <c r="J2673">
        <f t="shared" si="211"/>
        <v>909.09</v>
      </c>
    </row>
    <row r="2674" spans="1:10" ht="12.5" x14ac:dyDescent="0.25">
      <c r="A2674" s="1">
        <v>45662</v>
      </c>
      <c r="B2674" s="2" t="s">
        <v>12</v>
      </c>
      <c r="C2674" s="3">
        <v>24.99</v>
      </c>
      <c r="D2674" s="3">
        <v>5</v>
      </c>
      <c r="E2674" s="3">
        <v>124.94999999999999</v>
      </c>
      <c r="F2674" t="str">
        <f t="shared" si="207"/>
        <v>net sales</v>
      </c>
      <c r="G2674" s="7" t="str">
        <f t="shared" si="210"/>
        <v>product 2</v>
      </c>
      <c r="H2674">
        <f t="shared" si="208"/>
        <v>2025</v>
      </c>
      <c r="I2674">
        <f t="shared" si="209"/>
        <v>1</v>
      </c>
      <c r="J2674">
        <f t="shared" si="211"/>
        <v>124.94999999999999</v>
      </c>
    </row>
    <row r="2675" spans="1:10" ht="12.5" x14ac:dyDescent="0.25">
      <c r="A2675" s="1">
        <v>45662</v>
      </c>
      <c r="B2675" s="2" t="s">
        <v>13</v>
      </c>
      <c r="C2675" s="3">
        <v>12.49</v>
      </c>
      <c r="D2675" s="3">
        <v>164</v>
      </c>
      <c r="E2675" s="3">
        <v>2048.36</v>
      </c>
      <c r="F2675" t="str">
        <f t="shared" si="207"/>
        <v>net sales</v>
      </c>
      <c r="G2675" s="7" t="str">
        <f t="shared" si="210"/>
        <v>product 3</v>
      </c>
      <c r="H2675">
        <f t="shared" si="208"/>
        <v>2025</v>
      </c>
      <c r="I2675">
        <f t="shared" si="209"/>
        <v>1</v>
      </c>
      <c r="J2675">
        <f t="shared" si="211"/>
        <v>24.98</v>
      </c>
    </row>
    <row r="2676" spans="1:10" ht="12.5" x14ac:dyDescent="0.25">
      <c r="A2676" s="1">
        <v>45663</v>
      </c>
      <c r="B2676" s="2" t="s">
        <v>7</v>
      </c>
      <c r="C2676" s="3">
        <v>5.49</v>
      </c>
      <c r="D2676" s="3">
        <v>72</v>
      </c>
      <c r="E2676" s="3">
        <v>395.28000000000003</v>
      </c>
      <c r="F2676" t="str">
        <f t="shared" si="207"/>
        <v>cogs</v>
      </c>
      <c r="G2676" s="7" t="str">
        <f t="shared" si="210"/>
        <v>product 1</v>
      </c>
      <c r="H2676">
        <f t="shared" si="208"/>
        <v>2025</v>
      </c>
      <c r="I2676">
        <f t="shared" si="209"/>
        <v>1</v>
      </c>
      <c r="J2676">
        <f t="shared" si="211"/>
        <v>-1200</v>
      </c>
    </row>
    <row r="2677" spans="1:10" ht="12.5" x14ac:dyDescent="0.25">
      <c r="A2677" s="1">
        <v>45663</v>
      </c>
      <c r="B2677" s="2" t="s">
        <v>8</v>
      </c>
      <c r="C2677" s="3">
        <v>19.989999999999998</v>
      </c>
      <c r="D2677" s="3">
        <v>6</v>
      </c>
      <c r="E2677" s="3">
        <v>119.94</v>
      </c>
      <c r="F2677" t="str">
        <f t="shared" si="207"/>
        <v>cogs</v>
      </c>
      <c r="G2677" s="7" t="str">
        <f t="shared" si="210"/>
        <v>product 2</v>
      </c>
      <c r="H2677">
        <f t="shared" si="208"/>
        <v>2025</v>
      </c>
      <c r="I2677">
        <f t="shared" si="209"/>
        <v>1</v>
      </c>
      <c r="J2677">
        <f t="shared" si="211"/>
        <v>-149.75</v>
      </c>
    </row>
    <row r="2678" spans="1:10" ht="12.5" x14ac:dyDescent="0.25">
      <c r="A2678" s="1">
        <v>45663</v>
      </c>
      <c r="B2678" s="2" t="s">
        <v>9</v>
      </c>
      <c r="C2678" s="3">
        <v>8.99</v>
      </c>
      <c r="D2678" s="3">
        <v>210</v>
      </c>
      <c r="E2678" s="3">
        <v>1887.9</v>
      </c>
      <c r="F2678" t="str">
        <f t="shared" si="207"/>
        <v>cogs</v>
      </c>
      <c r="G2678" s="7" t="str">
        <f t="shared" si="210"/>
        <v>product 3</v>
      </c>
      <c r="H2678">
        <f t="shared" si="208"/>
        <v>2025</v>
      </c>
      <c r="I2678">
        <f t="shared" si="209"/>
        <v>1</v>
      </c>
      <c r="J2678">
        <f t="shared" si="211"/>
        <v>-50.97</v>
      </c>
    </row>
    <row r="2679" spans="1:10" ht="12.5" x14ac:dyDescent="0.25">
      <c r="A2679" s="1">
        <v>45663</v>
      </c>
      <c r="B2679" s="2" t="s">
        <v>10</v>
      </c>
      <c r="C2679" s="2" t="s">
        <v>6</v>
      </c>
      <c r="D2679" s="2" t="s">
        <v>6</v>
      </c>
      <c r="E2679" s="3">
        <v>119.95</v>
      </c>
      <c r="F2679" t="str">
        <f t="shared" si="207"/>
        <v>marketing</v>
      </c>
      <c r="G2679" s="7" t="s">
        <v>6</v>
      </c>
      <c r="H2679">
        <f t="shared" si="208"/>
        <v>2025</v>
      </c>
      <c r="I2679">
        <f t="shared" si="209"/>
        <v>1</v>
      </c>
      <c r="J2679">
        <f t="shared" si="211"/>
        <v>-1375.38</v>
      </c>
    </row>
    <row r="2680" spans="1:10" ht="12.5" x14ac:dyDescent="0.25">
      <c r="A2680" s="1">
        <v>45663</v>
      </c>
      <c r="B2680" s="2" t="s">
        <v>11</v>
      </c>
      <c r="C2680" s="3">
        <v>9.99</v>
      </c>
      <c r="D2680" s="3">
        <v>72</v>
      </c>
      <c r="E2680" s="3">
        <v>719.28</v>
      </c>
      <c r="F2680" t="str">
        <f t="shared" si="207"/>
        <v>net sales</v>
      </c>
      <c r="G2680" s="7" t="str">
        <f t="shared" si="210"/>
        <v>product 1</v>
      </c>
      <c r="H2680">
        <f t="shared" si="208"/>
        <v>2025</v>
      </c>
      <c r="I2680">
        <f t="shared" si="209"/>
        <v>1</v>
      </c>
      <c r="J2680">
        <f t="shared" si="211"/>
        <v>-99.94</v>
      </c>
    </row>
    <row r="2681" spans="1:10" ht="12.5" x14ac:dyDescent="0.25">
      <c r="A2681" s="1">
        <v>45663</v>
      </c>
      <c r="B2681" s="2" t="s">
        <v>12</v>
      </c>
      <c r="C2681" s="3">
        <v>24.99</v>
      </c>
      <c r="D2681" s="3">
        <v>6</v>
      </c>
      <c r="E2681" s="3">
        <v>149.94</v>
      </c>
      <c r="F2681" t="str">
        <f t="shared" si="207"/>
        <v>net sales</v>
      </c>
      <c r="G2681" s="7" t="str">
        <f t="shared" si="210"/>
        <v>product 2</v>
      </c>
      <c r="H2681">
        <f t="shared" si="208"/>
        <v>2025</v>
      </c>
      <c r="I2681">
        <f t="shared" si="209"/>
        <v>1</v>
      </c>
      <c r="J2681">
        <f t="shared" si="211"/>
        <v>249.75</v>
      </c>
    </row>
    <row r="2682" spans="1:10" ht="12.5" x14ac:dyDescent="0.25">
      <c r="A2682" s="1">
        <v>45663</v>
      </c>
      <c r="B2682" s="2" t="s">
        <v>13</v>
      </c>
      <c r="C2682" s="3">
        <v>12.49</v>
      </c>
      <c r="D2682" s="3">
        <v>210</v>
      </c>
      <c r="E2682" s="3">
        <v>2622.9</v>
      </c>
      <c r="F2682" t="str">
        <f t="shared" si="207"/>
        <v>net sales</v>
      </c>
      <c r="G2682" s="7" t="str">
        <f t="shared" si="210"/>
        <v>product 3</v>
      </c>
      <c r="H2682">
        <f t="shared" si="208"/>
        <v>2025</v>
      </c>
      <c r="I2682">
        <f t="shared" si="209"/>
        <v>1</v>
      </c>
      <c r="J2682">
        <f t="shared" si="211"/>
        <v>74.97</v>
      </c>
    </row>
    <row r="2683" spans="1:10" ht="12.5" x14ac:dyDescent="0.25">
      <c r="A2683" s="1">
        <v>45664</v>
      </c>
      <c r="B2683" s="2" t="s">
        <v>7</v>
      </c>
      <c r="C2683" s="3">
        <v>5.49</v>
      </c>
      <c r="D2683" s="3">
        <v>93</v>
      </c>
      <c r="E2683" s="3">
        <v>510.57</v>
      </c>
      <c r="F2683" t="str">
        <f t="shared" si="207"/>
        <v>cogs</v>
      </c>
      <c r="G2683" s="7" t="str">
        <f t="shared" si="210"/>
        <v>product 1</v>
      </c>
      <c r="H2683">
        <f t="shared" si="208"/>
        <v>2025</v>
      </c>
      <c r="I2683">
        <f t="shared" si="209"/>
        <v>1</v>
      </c>
      <c r="J2683">
        <f t="shared" si="211"/>
        <v>2023.38</v>
      </c>
    </row>
    <row r="2684" spans="1:10" ht="12.5" x14ac:dyDescent="0.25">
      <c r="A2684" s="1">
        <v>45664</v>
      </c>
      <c r="B2684" s="2" t="s">
        <v>8</v>
      </c>
      <c r="C2684" s="3">
        <v>19.989999999999998</v>
      </c>
      <c r="D2684" s="3">
        <v>7</v>
      </c>
      <c r="E2684" s="3">
        <v>139.92999999999998</v>
      </c>
      <c r="F2684" t="str">
        <f t="shared" si="207"/>
        <v>cogs</v>
      </c>
      <c r="G2684" s="7" t="str">
        <f t="shared" si="210"/>
        <v>product 2</v>
      </c>
      <c r="H2684">
        <f t="shared" si="208"/>
        <v>2025</v>
      </c>
      <c r="I2684">
        <f t="shared" si="209"/>
        <v>1</v>
      </c>
      <c r="J2684">
        <f t="shared" si="211"/>
        <v>-245.59</v>
      </c>
    </row>
    <row r="2685" spans="1:10" ht="12.5" x14ac:dyDescent="0.25">
      <c r="A2685" s="1">
        <v>45664</v>
      </c>
      <c r="B2685" s="2" t="s">
        <v>9</v>
      </c>
      <c r="C2685" s="3">
        <v>8.99</v>
      </c>
      <c r="D2685" s="3">
        <v>99</v>
      </c>
      <c r="E2685" s="3">
        <v>890.01</v>
      </c>
      <c r="F2685" t="str">
        <f t="shared" si="207"/>
        <v>cogs</v>
      </c>
      <c r="G2685" s="7" t="str">
        <f t="shared" si="210"/>
        <v>product 3</v>
      </c>
      <c r="H2685">
        <f t="shared" si="208"/>
        <v>2025</v>
      </c>
      <c r="I2685">
        <f t="shared" si="209"/>
        <v>1</v>
      </c>
      <c r="J2685">
        <f t="shared" si="211"/>
        <v>-135.91999999999999</v>
      </c>
    </row>
    <row r="2686" spans="1:10" ht="12.5" x14ac:dyDescent="0.25">
      <c r="A2686" s="1">
        <v>45664</v>
      </c>
      <c r="B2686" s="2" t="s">
        <v>10</v>
      </c>
      <c r="C2686" s="2" t="s">
        <v>6</v>
      </c>
      <c r="D2686" s="2" t="s">
        <v>6</v>
      </c>
      <c r="E2686" s="3">
        <v>103.96000000000001</v>
      </c>
      <c r="F2686" t="str">
        <f t="shared" si="207"/>
        <v>marketing</v>
      </c>
      <c r="G2686" s="7" t="s">
        <v>6</v>
      </c>
      <c r="H2686">
        <f t="shared" si="208"/>
        <v>2025</v>
      </c>
      <c r="I2686">
        <f t="shared" si="209"/>
        <v>1</v>
      </c>
      <c r="J2686">
        <f t="shared" si="211"/>
        <v>-1655.55</v>
      </c>
    </row>
    <row r="2687" spans="1:10" ht="12.5" x14ac:dyDescent="0.25">
      <c r="A2687" s="1">
        <v>45664</v>
      </c>
      <c r="B2687" s="2" t="s">
        <v>11</v>
      </c>
      <c r="C2687" s="3">
        <v>9.99</v>
      </c>
      <c r="D2687" s="3">
        <v>93</v>
      </c>
      <c r="E2687" s="3">
        <v>929.07</v>
      </c>
      <c r="F2687" t="str">
        <f t="shared" si="207"/>
        <v>net sales</v>
      </c>
      <c r="G2687" s="7" t="str">
        <f t="shared" si="210"/>
        <v>product 1</v>
      </c>
      <c r="H2687">
        <f t="shared" si="208"/>
        <v>2025</v>
      </c>
      <c r="I2687">
        <f t="shared" si="209"/>
        <v>1</v>
      </c>
      <c r="J2687">
        <f t="shared" si="211"/>
        <v>-100.04</v>
      </c>
    </row>
    <row r="2688" spans="1:10" ht="12.5" x14ac:dyDescent="0.25">
      <c r="A2688" s="1">
        <v>45664</v>
      </c>
      <c r="B2688" s="2" t="s">
        <v>12</v>
      </c>
      <c r="C2688" s="3">
        <v>24.99</v>
      </c>
      <c r="D2688" s="3">
        <v>7</v>
      </c>
      <c r="E2688" s="3">
        <v>174.92999999999998</v>
      </c>
      <c r="F2688" t="str">
        <f t="shared" si="207"/>
        <v>net sales</v>
      </c>
      <c r="G2688" s="7" t="str">
        <f t="shared" si="210"/>
        <v>product 2</v>
      </c>
      <c r="H2688">
        <f t="shared" si="208"/>
        <v>2025</v>
      </c>
      <c r="I2688">
        <f t="shared" si="209"/>
        <v>1</v>
      </c>
      <c r="J2688">
        <f t="shared" si="211"/>
        <v>409.59000000000003</v>
      </c>
    </row>
    <row r="2689" spans="1:10" ht="12.5" x14ac:dyDescent="0.25">
      <c r="A2689" s="1">
        <v>45664</v>
      </c>
      <c r="B2689" s="2" t="s">
        <v>13</v>
      </c>
      <c r="C2689" s="3">
        <v>12.49</v>
      </c>
      <c r="D2689" s="3">
        <v>99</v>
      </c>
      <c r="E2689" s="3">
        <v>1236.51</v>
      </c>
      <c r="F2689" t="str">
        <f t="shared" si="207"/>
        <v>net sales</v>
      </c>
      <c r="G2689" s="7" t="str">
        <f t="shared" si="210"/>
        <v>product 3</v>
      </c>
      <c r="H2689">
        <f t="shared" si="208"/>
        <v>2025</v>
      </c>
      <c r="I2689">
        <f t="shared" si="209"/>
        <v>1</v>
      </c>
      <c r="J2689">
        <f t="shared" si="211"/>
        <v>199.92</v>
      </c>
    </row>
    <row r="2690" spans="1:10" ht="12.5" x14ac:dyDescent="0.25">
      <c r="A2690" s="1">
        <v>45665</v>
      </c>
      <c r="B2690" s="2" t="s">
        <v>7</v>
      </c>
      <c r="C2690" s="3">
        <v>5.49</v>
      </c>
      <c r="D2690" s="3">
        <v>52</v>
      </c>
      <c r="E2690" s="3">
        <v>285.48</v>
      </c>
      <c r="F2690" t="str">
        <f t="shared" si="207"/>
        <v>cogs</v>
      </c>
      <c r="G2690" s="7" t="str">
        <f t="shared" si="210"/>
        <v>product 1</v>
      </c>
      <c r="H2690">
        <f t="shared" si="208"/>
        <v>2025</v>
      </c>
      <c r="I2690">
        <f t="shared" si="209"/>
        <v>1</v>
      </c>
      <c r="J2690">
        <f t="shared" si="211"/>
        <v>2435.5500000000002</v>
      </c>
    </row>
    <row r="2691" spans="1:10" ht="12.5" x14ac:dyDescent="0.25">
      <c r="A2691" s="1">
        <v>45665</v>
      </c>
      <c r="B2691" s="2" t="s">
        <v>8</v>
      </c>
      <c r="C2691" s="3">
        <v>19.989999999999998</v>
      </c>
      <c r="D2691" s="3">
        <v>8</v>
      </c>
      <c r="E2691" s="3">
        <v>159.91999999999999</v>
      </c>
      <c r="F2691" t="str">
        <f t="shared" ref="F2691:F2754" si="212">IFERROR(LEFT(B2691,FIND(":",B2691)-1),B2691)</f>
        <v>cogs</v>
      </c>
      <c r="G2691" s="7" t="str">
        <f t="shared" ref="G2691:G2754" si="213">IFERROR(RIGHT(B2691,LEN(B2691)-FIND(":",B2691)),"")</f>
        <v>product 2</v>
      </c>
      <c r="H2691">
        <f t="shared" ref="H2691:H2754" si="214">YEAR(A2691)</f>
        <v>2025</v>
      </c>
      <c r="I2691">
        <f t="shared" ref="I2691:I2754" si="215">MONTH(A2691)</f>
        <v>1</v>
      </c>
      <c r="J2691">
        <f t="shared" si="211"/>
        <v>-347.42</v>
      </c>
    </row>
    <row r="2692" spans="1:10" ht="12.5" x14ac:dyDescent="0.25">
      <c r="A2692" s="1">
        <v>45665</v>
      </c>
      <c r="B2692" s="2" t="s">
        <v>9</v>
      </c>
      <c r="C2692" s="3">
        <v>8.99</v>
      </c>
      <c r="D2692" s="3">
        <v>79</v>
      </c>
      <c r="E2692" s="3">
        <v>710.21</v>
      </c>
      <c r="F2692" t="str">
        <f t="shared" si="212"/>
        <v>cogs</v>
      </c>
      <c r="G2692" s="7" t="str">
        <f t="shared" si="213"/>
        <v>product 3</v>
      </c>
      <c r="H2692">
        <f t="shared" si="214"/>
        <v>2025</v>
      </c>
      <c r="I2692">
        <f t="shared" si="215"/>
        <v>1</v>
      </c>
      <c r="J2692">
        <f t="shared" si="211"/>
        <v>0</v>
      </c>
    </row>
    <row r="2693" spans="1:10" ht="12.5" x14ac:dyDescent="0.25">
      <c r="A2693" s="1">
        <v>45665</v>
      </c>
      <c r="B2693" s="2" t="s">
        <v>10</v>
      </c>
      <c r="C2693" s="2" t="s">
        <v>6</v>
      </c>
      <c r="D2693" s="2" t="s">
        <v>6</v>
      </c>
      <c r="E2693" s="3">
        <v>120.08</v>
      </c>
      <c r="F2693" t="str">
        <f t="shared" si="212"/>
        <v>marketing</v>
      </c>
      <c r="G2693" s="7" t="s">
        <v>6</v>
      </c>
      <c r="H2693">
        <f t="shared" si="214"/>
        <v>2025</v>
      </c>
      <c r="I2693">
        <f t="shared" si="215"/>
        <v>1</v>
      </c>
      <c r="J2693">
        <f t="shared" si="211"/>
        <v>-1706.49</v>
      </c>
    </row>
    <row r="2694" spans="1:10" ht="12.5" x14ac:dyDescent="0.25">
      <c r="A2694" s="1">
        <v>45665</v>
      </c>
      <c r="B2694" s="2" t="s">
        <v>11</v>
      </c>
      <c r="C2694" s="3">
        <v>9.99</v>
      </c>
      <c r="D2694" s="3">
        <v>52</v>
      </c>
      <c r="E2694" s="3">
        <v>519.48</v>
      </c>
      <c r="F2694" t="str">
        <f t="shared" si="212"/>
        <v>net sales</v>
      </c>
      <c r="G2694" s="7" t="str">
        <f t="shared" si="213"/>
        <v>product 1</v>
      </c>
      <c r="H2694">
        <f t="shared" si="214"/>
        <v>2025</v>
      </c>
      <c r="I2694">
        <f t="shared" si="215"/>
        <v>1</v>
      </c>
      <c r="J2694">
        <f t="shared" si="211"/>
        <v>-99.94</v>
      </c>
    </row>
    <row r="2695" spans="1:10" ht="12.5" x14ac:dyDescent="0.25">
      <c r="A2695" s="1">
        <v>45665</v>
      </c>
      <c r="B2695" s="2" t="s">
        <v>12</v>
      </c>
      <c r="C2695" s="3">
        <v>24.99</v>
      </c>
      <c r="D2695" s="3">
        <v>8</v>
      </c>
      <c r="E2695" s="3">
        <v>199.92</v>
      </c>
      <c r="F2695" t="str">
        <f t="shared" si="212"/>
        <v>net sales</v>
      </c>
      <c r="G2695" s="7" t="str">
        <f t="shared" si="213"/>
        <v>product 2</v>
      </c>
      <c r="H2695">
        <f t="shared" si="214"/>
        <v>2025</v>
      </c>
      <c r="I2695">
        <f t="shared" si="215"/>
        <v>1</v>
      </c>
      <c r="J2695">
        <f t="shared" si="211"/>
        <v>579.41999999999996</v>
      </c>
    </row>
    <row r="2696" spans="1:10" ht="12.5" x14ac:dyDescent="0.25">
      <c r="A2696" s="1">
        <v>45665</v>
      </c>
      <c r="B2696" s="2" t="s">
        <v>13</v>
      </c>
      <c r="C2696" s="3">
        <v>12.49</v>
      </c>
      <c r="D2696" s="3">
        <v>79</v>
      </c>
      <c r="E2696" s="3">
        <v>986.71</v>
      </c>
      <c r="F2696" t="str">
        <f t="shared" si="212"/>
        <v>net sales</v>
      </c>
      <c r="G2696" s="7" t="str">
        <f t="shared" si="213"/>
        <v>product 3</v>
      </c>
      <c r="H2696">
        <f t="shared" si="214"/>
        <v>2025</v>
      </c>
      <c r="I2696">
        <f t="shared" si="215"/>
        <v>1</v>
      </c>
      <c r="J2696">
        <f t="shared" si="211"/>
        <v>0</v>
      </c>
    </row>
    <row r="2697" spans="1:10" ht="12.5" x14ac:dyDescent="0.25">
      <c r="A2697" s="1">
        <v>45666</v>
      </c>
      <c r="B2697" s="2" t="s">
        <v>7</v>
      </c>
      <c r="C2697" s="3">
        <v>5.49</v>
      </c>
      <c r="D2697" s="3">
        <v>54</v>
      </c>
      <c r="E2697" s="3">
        <v>296.46000000000004</v>
      </c>
      <c r="F2697" t="str">
        <f t="shared" si="212"/>
        <v>cogs</v>
      </c>
      <c r="G2697" s="7" t="str">
        <f t="shared" si="213"/>
        <v>product 1</v>
      </c>
      <c r="H2697">
        <f t="shared" si="214"/>
        <v>2025</v>
      </c>
      <c r="I2697">
        <f t="shared" si="215"/>
        <v>1</v>
      </c>
      <c r="J2697">
        <f t="shared" si="211"/>
        <v>2510.4900000000002</v>
      </c>
    </row>
    <row r="2698" spans="1:10" ht="12.5" x14ac:dyDescent="0.25">
      <c r="A2698" s="1">
        <v>45666</v>
      </c>
      <c r="B2698" s="2" t="s">
        <v>8</v>
      </c>
      <c r="C2698" s="3">
        <v>19.989999999999998</v>
      </c>
      <c r="D2698" s="3">
        <v>8</v>
      </c>
      <c r="E2698" s="3">
        <v>159.91999999999999</v>
      </c>
      <c r="F2698" t="str">
        <f t="shared" si="212"/>
        <v>cogs</v>
      </c>
      <c r="G2698" s="7" t="str">
        <f t="shared" si="213"/>
        <v>product 2</v>
      </c>
      <c r="H2698">
        <f t="shared" si="214"/>
        <v>2025</v>
      </c>
      <c r="I2698">
        <f t="shared" si="215"/>
        <v>1</v>
      </c>
      <c r="J2698">
        <f t="shared" si="211"/>
        <v>-167.72</v>
      </c>
    </row>
    <row r="2699" spans="1:10" ht="12.5" x14ac:dyDescent="0.25">
      <c r="A2699" s="1">
        <v>45666</v>
      </c>
      <c r="B2699" s="2" t="s">
        <v>9</v>
      </c>
      <c r="C2699" s="3">
        <v>8.99</v>
      </c>
      <c r="D2699" s="3">
        <v>42</v>
      </c>
      <c r="E2699" s="3">
        <v>377.58</v>
      </c>
      <c r="F2699" t="str">
        <f t="shared" si="212"/>
        <v>cogs</v>
      </c>
      <c r="G2699" s="7" t="str">
        <f t="shared" si="213"/>
        <v>product 3</v>
      </c>
      <c r="H2699">
        <f t="shared" si="214"/>
        <v>2025</v>
      </c>
      <c r="I2699">
        <f t="shared" si="215"/>
        <v>1</v>
      </c>
      <c r="J2699">
        <f t="shared" si="211"/>
        <v>-84.949999999999989</v>
      </c>
    </row>
    <row r="2700" spans="1:10" ht="12.5" x14ac:dyDescent="0.25">
      <c r="A2700" s="1">
        <v>45666</v>
      </c>
      <c r="B2700" s="2" t="s">
        <v>10</v>
      </c>
      <c r="C2700" s="2" t="s">
        <v>6</v>
      </c>
      <c r="D2700" s="2" t="s">
        <v>6</v>
      </c>
      <c r="E2700" s="3">
        <v>102.08</v>
      </c>
      <c r="F2700" t="str">
        <f t="shared" si="212"/>
        <v>marketing</v>
      </c>
      <c r="G2700" s="7" t="s">
        <v>6</v>
      </c>
      <c r="H2700">
        <f t="shared" si="214"/>
        <v>2025</v>
      </c>
      <c r="I2700">
        <f t="shared" si="215"/>
        <v>1</v>
      </c>
      <c r="J2700">
        <f t="shared" si="211"/>
        <v>0</v>
      </c>
    </row>
    <row r="2701" spans="1:10" ht="12.5" x14ac:dyDescent="0.25">
      <c r="A2701" s="1">
        <v>45666</v>
      </c>
      <c r="B2701" s="2" t="s">
        <v>11</v>
      </c>
      <c r="C2701" s="3">
        <v>9.99</v>
      </c>
      <c r="D2701" s="3">
        <v>54</v>
      </c>
      <c r="E2701" s="3">
        <v>539.46</v>
      </c>
      <c r="F2701" t="str">
        <f t="shared" si="212"/>
        <v>net sales</v>
      </c>
      <c r="G2701" s="7" t="str">
        <f t="shared" si="213"/>
        <v>product 1</v>
      </c>
      <c r="H2701">
        <f t="shared" si="214"/>
        <v>2025</v>
      </c>
      <c r="I2701">
        <f t="shared" si="215"/>
        <v>1</v>
      </c>
      <c r="J2701">
        <f t="shared" si="211"/>
        <v>-100</v>
      </c>
    </row>
    <row r="2702" spans="1:10" ht="12.5" x14ac:dyDescent="0.25">
      <c r="A2702" s="1">
        <v>45666</v>
      </c>
      <c r="B2702" s="2" t="s">
        <v>12</v>
      </c>
      <c r="C2702" s="3">
        <v>24.99</v>
      </c>
      <c r="D2702" s="3">
        <v>8</v>
      </c>
      <c r="E2702" s="3">
        <v>199.92</v>
      </c>
      <c r="F2702" t="str">
        <f t="shared" si="212"/>
        <v>net sales</v>
      </c>
      <c r="G2702" s="7" t="str">
        <f t="shared" si="213"/>
        <v>product 2</v>
      </c>
      <c r="H2702">
        <f t="shared" si="214"/>
        <v>2025</v>
      </c>
      <c r="I2702">
        <f t="shared" si="215"/>
        <v>1</v>
      </c>
      <c r="J2702">
        <f t="shared" si="211"/>
        <v>279.72000000000003</v>
      </c>
    </row>
    <row r="2703" spans="1:10" ht="12.5" x14ac:dyDescent="0.25">
      <c r="A2703" s="1">
        <v>45666</v>
      </c>
      <c r="B2703" s="2" t="s">
        <v>13</v>
      </c>
      <c r="C2703" s="3">
        <v>12.49</v>
      </c>
      <c r="D2703" s="3">
        <v>42</v>
      </c>
      <c r="E2703" s="3">
        <v>524.58000000000004</v>
      </c>
      <c r="F2703" t="str">
        <f t="shared" si="212"/>
        <v>net sales</v>
      </c>
      <c r="G2703" s="7" t="str">
        <f t="shared" si="213"/>
        <v>product 3</v>
      </c>
      <c r="H2703">
        <f t="shared" si="214"/>
        <v>2025</v>
      </c>
      <c r="I2703">
        <f t="shared" si="215"/>
        <v>1</v>
      </c>
      <c r="J2703">
        <f t="shared" si="211"/>
        <v>124.94999999999999</v>
      </c>
    </row>
    <row r="2704" spans="1:10" ht="12.5" x14ac:dyDescent="0.25">
      <c r="A2704" s="1">
        <v>45667</v>
      </c>
      <c r="B2704" s="2" t="s">
        <v>7</v>
      </c>
      <c r="C2704" s="3">
        <v>5.49</v>
      </c>
      <c r="D2704" s="3">
        <v>10</v>
      </c>
      <c r="E2704" s="3">
        <v>54.900000000000006</v>
      </c>
      <c r="F2704" t="str">
        <f t="shared" si="212"/>
        <v>cogs</v>
      </c>
      <c r="G2704" s="7" t="str">
        <f t="shared" si="213"/>
        <v>product 1</v>
      </c>
      <c r="H2704">
        <f t="shared" si="214"/>
        <v>2025</v>
      </c>
      <c r="I2704">
        <f t="shared" si="215"/>
        <v>1</v>
      </c>
      <c r="J2704">
        <f t="shared" si="211"/>
        <v>0</v>
      </c>
    </row>
    <row r="2705" spans="1:10" ht="12.5" x14ac:dyDescent="0.25">
      <c r="A2705" s="1">
        <v>45667</v>
      </c>
      <c r="B2705" s="2" t="s">
        <v>8</v>
      </c>
      <c r="C2705" s="3">
        <v>19.989999999999998</v>
      </c>
      <c r="D2705" s="3">
        <v>7</v>
      </c>
      <c r="E2705" s="3">
        <v>139.92999999999998</v>
      </c>
      <c r="F2705" t="str">
        <f t="shared" si="212"/>
        <v>cogs</v>
      </c>
      <c r="G2705" s="7" t="str">
        <f t="shared" si="213"/>
        <v>product 2</v>
      </c>
      <c r="H2705">
        <f t="shared" si="214"/>
        <v>2025</v>
      </c>
      <c r="I2705">
        <f t="shared" si="215"/>
        <v>1</v>
      </c>
      <c r="J2705">
        <f t="shared" si="211"/>
        <v>-275.54000000000002</v>
      </c>
    </row>
    <row r="2706" spans="1:10" ht="12.5" x14ac:dyDescent="0.25">
      <c r="A2706" s="1">
        <v>45667</v>
      </c>
      <c r="B2706" s="2" t="s">
        <v>9</v>
      </c>
      <c r="C2706" s="3">
        <v>8.99</v>
      </c>
      <c r="D2706" s="3">
        <v>22</v>
      </c>
      <c r="E2706" s="3">
        <v>197.78</v>
      </c>
      <c r="F2706" t="str">
        <f t="shared" si="212"/>
        <v>cogs</v>
      </c>
      <c r="G2706" s="7" t="str">
        <f t="shared" si="213"/>
        <v>product 3</v>
      </c>
      <c r="H2706">
        <f t="shared" si="214"/>
        <v>2025</v>
      </c>
      <c r="I2706">
        <f t="shared" si="215"/>
        <v>1</v>
      </c>
      <c r="J2706">
        <f t="shared" si="211"/>
        <v>-16.989999999999998</v>
      </c>
    </row>
    <row r="2707" spans="1:10" ht="12.5" x14ac:dyDescent="0.25">
      <c r="A2707" s="1">
        <v>45667</v>
      </c>
      <c r="B2707" s="2" t="s">
        <v>10</v>
      </c>
      <c r="C2707" s="2" t="s">
        <v>6</v>
      </c>
      <c r="D2707" s="2" t="s">
        <v>6</v>
      </c>
      <c r="E2707" s="3">
        <v>101.95</v>
      </c>
      <c r="F2707" t="str">
        <f t="shared" si="212"/>
        <v>marketing</v>
      </c>
      <c r="G2707" s="7" t="s">
        <v>6</v>
      </c>
      <c r="H2707">
        <f t="shared" si="214"/>
        <v>2025</v>
      </c>
      <c r="I2707">
        <f t="shared" si="215"/>
        <v>1</v>
      </c>
      <c r="J2707">
        <f t="shared" si="211"/>
        <v>-1706.49</v>
      </c>
    </row>
    <row r="2708" spans="1:10" ht="12.5" x14ac:dyDescent="0.25">
      <c r="A2708" s="1">
        <v>45667</v>
      </c>
      <c r="B2708" s="2" t="s">
        <v>11</v>
      </c>
      <c r="C2708" s="3">
        <v>9.99</v>
      </c>
      <c r="D2708" s="3">
        <v>10</v>
      </c>
      <c r="E2708" s="3">
        <v>99.9</v>
      </c>
      <c r="F2708" t="str">
        <f t="shared" si="212"/>
        <v>net sales</v>
      </c>
      <c r="G2708" s="7" t="str">
        <f t="shared" si="213"/>
        <v>product 1</v>
      </c>
      <c r="H2708">
        <f t="shared" si="214"/>
        <v>2025</v>
      </c>
      <c r="I2708">
        <f t="shared" si="215"/>
        <v>1</v>
      </c>
      <c r="J2708">
        <f t="shared" si="211"/>
        <v>-100.07000000000001</v>
      </c>
    </row>
    <row r="2709" spans="1:10" ht="12.5" x14ac:dyDescent="0.25">
      <c r="A2709" s="1">
        <v>45667</v>
      </c>
      <c r="B2709" s="2" t="s">
        <v>12</v>
      </c>
      <c r="C2709" s="3">
        <v>24.99</v>
      </c>
      <c r="D2709" s="3">
        <v>7</v>
      </c>
      <c r="E2709" s="3">
        <v>174.92999999999998</v>
      </c>
      <c r="F2709" t="str">
        <f t="shared" si="212"/>
        <v>net sales</v>
      </c>
      <c r="G2709" s="7" t="str">
        <f t="shared" si="213"/>
        <v>product 2</v>
      </c>
      <c r="H2709">
        <f t="shared" si="214"/>
        <v>2025</v>
      </c>
      <c r="I2709">
        <f t="shared" si="215"/>
        <v>1</v>
      </c>
      <c r="J2709">
        <f t="shared" si="211"/>
        <v>459.54</v>
      </c>
    </row>
    <row r="2710" spans="1:10" ht="12.5" x14ac:dyDescent="0.25">
      <c r="A2710" s="1">
        <v>45667</v>
      </c>
      <c r="B2710" s="2" t="s">
        <v>13</v>
      </c>
      <c r="C2710" s="3">
        <v>12.49</v>
      </c>
      <c r="D2710" s="3">
        <v>22</v>
      </c>
      <c r="E2710" s="3">
        <v>274.78000000000003</v>
      </c>
      <c r="F2710" t="str">
        <f t="shared" si="212"/>
        <v>net sales</v>
      </c>
      <c r="G2710" s="7" t="str">
        <f t="shared" si="213"/>
        <v>product 3</v>
      </c>
      <c r="H2710">
        <f t="shared" si="214"/>
        <v>2025</v>
      </c>
      <c r="I2710">
        <f t="shared" si="215"/>
        <v>1</v>
      </c>
      <c r="J2710">
        <f t="shared" si="211"/>
        <v>24.99</v>
      </c>
    </row>
    <row r="2711" spans="1:10" ht="12.5" x14ac:dyDescent="0.25">
      <c r="A2711" s="1">
        <v>45668</v>
      </c>
      <c r="B2711" s="2" t="s">
        <v>7</v>
      </c>
      <c r="C2711" s="3">
        <v>5.49</v>
      </c>
      <c r="D2711" s="3">
        <v>0</v>
      </c>
      <c r="E2711" s="2">
        <f>C2711*D2711</f>
        <v>0</v>
      </c>
      <c r="F2711" t="str">
        <f t="shared" si="212"/>
        <v>cogs</v>
      </c>
      <c r="G2711" s="7" t="str">
        <f t="shared" si="213"/>
        <v>product 1</v>
      </c>
      <c r="H2711">
        <f t="shared" si="214"/>
        <v>2025</v>
      </c>
      <c r="I2711">
        <f t="shared" si="215"/>
        <v>1</v>
      </c>
      <c r="J2711">
        <f t="shared" si="211"/>
        <v>2510.4900000000002</v>
      </c>
    </row>
    <row r="2712" spans="1:10" ht="12.5" x14ac:dyDescent="0.25">
      <c r="A2712" s="1">
        <v>45668</v>
      </c>
      <c r="B2712" s="2" t="s">
        <v>8</v>
      </c>
      <c r="C2712" s="3">
        <v>19.989999999999998</v>
      </c>
      <c r="D2712" s="3">
        <v>6</v>
      </c>
      <c r="E2712" s="3">
        <v>119.94</v>
      </c>
      <c r="F2712" t="str">
        <f t="shared" si="212"/>
        <v>cogs</v>
      </c>
      <c r="G2712" s="7" t="str">
        <f t="shared" si="213"/>
        <v>product 2</v>
      </c>
      <c r="H2712">
        <f t="shared" si="214"/>
        <v>2025</v>
      </c>
      <c r="I2712">
        <f t="shared" si="215"/>
        <v>1</v>
      </c>
      <c r="J2712">
        <f t="shared" si="211"/>
        <v>-77.87</v>
      </c>
    </row>
    <row r="2713" spans="1:10" ht="12.5" x14ac:dyDescent="0.25">
      <c r="A2713" s="1">
        <v>45668</v>
      </c>
      <c r="B2713" s="2" t="s">
        <v>9</v>
      </c>
      <c r="C2713" s="3">
        <v>8.99</v>
      </c>
      <c r="D2713" s="3">
        <v>182</v>
      </c>
      <c r="E2713" s="3">
        <v>1636.18</v>
      </c>
      <c r="F2713" t="str">
        <f t="shared" si="212"/>
        <v>cogs</v>
      </c>
      <c r="G2713" s="7" t="str">
        <f t="shared" si="213"/>
        <v>product 3</v>
      </c>
      <c r="H2713">
        <f t="shared" si="214"/>
        <v>2025</v>
      </c>
      <c r="I2713">
        <f t="shared" si="215"/>
        <v>1</v>
      </c>
      <c r="J2713">
        <f t="shared" si="211"/>
        <v>-84.949999999999989</v>
      </c>
    </row>
    <row r="2714" spans="1:10" ht="12.5" x14ac:dyDescent="0.25">
      <c r="A2714" s="1">
        <v>45668</v>
      </c>
      <c r="B2714" s="2" t="s">
        <v>10</v>
      </c>
      <c r="C2714" s="2" t="s">
        <v>6</v>
      </c>
      <c r="D2714" s="2" t="s">
        <v>6</v>
      </c>
      <c r="E2714" s="3">
        <v>106.97</v>
      </c>
      <c r="F2714" t="str">
        <f t="shared" si="212"/>
        <v>marketing</v>
      </c>
      <c r="G2714" s="7" t="s">
        <v>6</v>
      </c>
      <c r="H2714">
        <f t="shared" si="214"/>
        <v>2025</v>
      </c>
      <c r="I2714">
        <f t="shared" si="215"/>
        <v>1</v>
      </c>
      <c r="J2714">
        <f t="shared" si="211"/>
        <v>-551.85</v>
      </c>
    </row>
    <row r="2715" spans="1:10" ht="12.5" x14ac:dyDescent="0.25">
      <c r="A2715" s="1">
        <v>45668</v>
      </c>
      <c r="B2715" s="2" t="s">
        <v>11</v>
      </c>
      <c r="C2715" s="3">
        <v>9.99</v>
      </c>
      <c r="D2715" s="3">
        <v>0</v>
      </c>
      <c r="E2715" s="2">
        <f>C2715*D2715</f>
        <v>0</v>
      </c>
      <c r="F2715" t="str">
        <f t="shared" si="212"/>
        <v>net sales</v>
      </c>
      <c r="G2715" s="7" t="str">
        <f t="shared" si="213"/>
        <v>product 1</v>
      </c>
      <c r="H2715">
        <f t="shared" si="214"/>
        <v>2025</v>
      </c>
      <c r="I2715">
        <f t="shared" si="215"/>
        <v>1</v>
      </c>
      <c r="J2715">
        <f t="shared" si="211"/>
        <v>-100.07000000000001</v>
      </c>
    </row>
    <row r="2716" spans="1:10" ht="12.5" x14ac:dyDescent="0.25">
      <c r="A2716" s="1">
        <v>45668</v>
      </c>
      <c r="B2716" s="2" t="s">
        <v>12</v>
      </c>
      <c r="C2716" s="3">
        <v>24.99</v>
      </c>
      <c r="D2716" s="3">
        <v>6</v>
      </c>
      <c r="E2716" s="3">
        <v>149.94</v>
      </c>
      <c r="F2716" t="str">
        <f t="shared" si="212"/>
        <v>net sales</v>
      </c>
      <c r="G2716" s="7" t="str">
        <f t="shared" si="213"/>
        <v>product 2</v>
      </c>
      <c r="H2716">
        <f t="shared" si="214"/>
        <v>2025</v>
      </c>
      <c r="I2716">
        <f t="shared" si="215"/>
        <v>1</v>
      </c>
      <c r="J2716">
        <f t="shared" ref="J2716:J2779" si="216">IF(F2499="net sales",E2499,
IF(F2499="cogs",-E2499,
IF(OR(F2499="marketing",F2499="overhead",F2499="payroll",F2499="interest","amortization"),-E2499,0)))</f>
        <v>129.87</v>
      </c>
    </row>
    <row r="2717" spans="1:10" ht="12.5" x14ac:dyDescent="0.25">
      <c r="A2717" s="1">
        <v>45668</v>
      </c>
      <c r="B2717" s="2" t="s">
        <v>13</v>
      </c>
      <c r="C2717" s="3">
        <v>12.49</v>
      </c>
      <c r="D2717" s="3">
        <v>182</v>
      </c>
      <c r="E2717" s="3">
        <v>2273.1799999999998</v>
      </c>
      <c r="F2717" t="str">
        <f t="shared" si="212"/>
        <v>net sales</v>
      </c>
      <c r="G2717" s="7" t="str">
        <f t="shared" si="213"/>
        <v>product 3</v>
      </c>
      <c r="H2717">
        <f t="shared" si="214"/>
        <v>2025</v>
      </c>
      <c r="I2717">
        <f t="shared" si="215"/>
        <v>1</v>
      </c>
      <c r="J2717">
        <f t="shared" si="216"/>
        <v>124.94999999999999</v>
      </c>
    </row>
    <row r="2718" spans="1:10" ht="12.5" x14ac:dyDescent="0.25">
      <c r="A2718" s="1">
        <v>45669</v>
      </c>
      <c r="B2718" s="2" t="s">
        <v>7</v>
      </c>
      <c r="C2718" s="3">
        <v>5.49</v>
      </c>
      <c r="D2718" s="3">
        <v>28</v>
      </c>
      <c r="E2718" s="3">
        <v>153.72</v>
      </c>
      <c r="F2718" t="str">
        <f t="shared" si="212"/>
        <v>cogs</v>
      </c>
      <c r="G2718" s="7" t="str">
        <f t="shared" si="213"/>
        <v>product 1</v>
      </c>
      <c r="H2718">
        <f t="shared" si="214"/>
        <v>2025</v>
      </c>
      <c r="I2718">
        <f t="shared" si="215"/>
        <v>1</v>
      </c>
      <c r="J2718">
        <f t="shared" si="216"/>
        <v>811.85</v>
      </c>
    </row>
    <row r="2719" spans="1:10" ht="12.5" x14ac:dyDescent="0.25">
      <c r="A2719" s="1">
        <v>45669</v>
      </c>
      <c r="B2719" s="2" t="s">
        <v>8</v>
      </c>
      <c r="C2719" s="3">
        <v>19.989999999999998</v>
      </c>
      <c r="D2719" s="3">
        <v>0</v>
      </c>
      <c r="E2719" s="2">
        <f>C2719*D2719</f>
        <v>0</v>
      </c>
      <c r="F2719" t="str">
        <f t="shared" si="212"/>
        <v>cogs</v>
      </c>
      <c r="G2719" s="7" t="str">
        <f t="shared" si="213"/>
        <v>product 2</v>
      </c>
      <c r="H2719">
        <f t="shared" si="214"/>
        <v>2025</v>
      </c>
      <c r="I2719">
        <f t="shared" si="215"/>
        <v>1</v>
      </c>
      <c r="J2719">
        <f t="shared" si="216"/>
        <v>-41.93</v>
      </c>
    </row>
    <row r="2720" spans="1:10" ht="12.5" x14ac:dyDescent="0.25">
      <c r="A2720" s="1">
        <v>45669</v>
      </c>
      <c r="B2720" s="2" t="s">
        <v>9</v>
      </c>
      <c r="C2720" s="3">
        <v>8.99</v>
      </c>
      <c r="D2720" s="3">
        <v>138</v>
      </c>
      <c r="E2720" s="3">
        <v>1240.6200000000001</v>
      </c>
      <c r="F2720" t="str">
        <f t="shared" si="212"/>
        <v>cogs</v>
      </c>
      <c r="G2720" s="7" t="str">
        <f t="shared" si="213"/>
        <v>product 3</v>
      </c>
      <c r="H2720">
        <f t="shared" si="214"/>
        <v>2025</v>
      </c>
      <c r="I2720">
        <f t="shared" si="215"/>
        <v>1</v>
      </c>
      <c r="J2720">
        <f t="shared" si="216"/>
        <v>-67.959999999999994</v>
      </c>
    </row>
    <row r="2721" spans="1:10" ht="12.5" x14ac:dyDescent="0.25">
      <c r="A2721" s="1">
        <v>45669</v>
      </c>
      <c r="B2721" s="2" t="s">
        <v>10</v>
      </c>
      <c r="C2721" s="2" t="s">
        <v>6</v>
      </c>
      <c r="D2721" s="2" t="s">
        <v>6</v>
      </c>
      <c r="E2721" s="3">
        <v>114.96000000000001</v>
      </c>
      <c r="F2721" t="str">
        <f t="shared" si="212"/>
        <v>marketing</v>
      </c>
      <c r="G2721" s="7" t="s">
        <v>6</v>
      </c>
      <c r="H2721">
        <f t="shared" si="214"/>
        <v>2025</v>
      </c>
      <c r="I2721">
        <f t="shared" si="215"/>
        <v>1</v>
      </c>
      <c r="J2721">
        <f t="shared" si="216"/>
        <v>-2003.64</v>
      </c>
    </row>
    <row r="2722" spans="1:10" ht="12.5" x14ac:dyDescent="0.25">
      <c r="A2722" s="1">
        <v>45669</v>
      </c>
      <c r="B2722" s="2" t="s">
        <v>11</v>
      </c>
      <c r="C2722" s="3">
        <v>9.99</v>
      </c>
      <c r="D2722" s="3">
        <v>28</v>
      </c>
      <c r="E2722" s="3">
        <v>279.72000000000003</v>
      </c>
      <c r="F2722" t="str">
        <f t="shared" si="212"/>
        <v>net sales</v>
      </c>
      <c r="G2722" s="7" t="str">
        <f t="shared" si="213"/>
        <v>product 1</v>
      </c>
      <c r="H2722">
        <f t="shared" si="214"/>
        <v>2025</v>
      </c>
      <c r="I2722">
        <f t="shared" si="215"/>
        <v>1</v>
      </c>
      <c r="J2722">
        <f t="shared" si="216"/>
        <v>-100.06</v>
      </c>
    </row>
    <row r="2723" spans="1:10" ht="12.5" x14ac:dyDescent="0.25">
      <c r="A2723" s="1">
        <v>45669</v>
      </c>
      <c r="B2723" s="2" t="s">
        <v>12</v>
      </c>
      <c r="C2723" s="3">
        <v>24.99</v>
      </c>
      <c r="D2723" s="3">
        <v>0</v>
      </c>
      <c r="E2723" s="2">
        <f>C2723*D2723</f>
        <v>0</v>
      </c>
      <c r="F2723" t="str">
        <f t="shared" si="212"/>
        <v>net sales</v>
      </c>
      <c r="G2723" s="7" t="str">
        <f t="shared" si="213"/>
        <v>product 2</v>
      </c>
      <c r="H2723">
        <f t="shared" si="214"/>
        <v>2025</v>
      </c>
      <c r="I2723">
        <f t="shared" si="215"/>
        <v>1</v>
      </c>
      <c r="J2723">
        <f t="shared" si="216"/>
        <v>69.930000000000007</v>
      </c>
    </row>
    <row r="2724" spans="1:10" ht="12.5" x14ac:dyDescent="0.25">
      <c r="A2724" s="1">
        <v>45669</v>
      </c>
      <c r="B2724" s="2" t="s">
        <v>13</v>
      </c>
      <c r="C2724" s="3">
        <v>12.49</v>
      </c>
      <c r="D2724" s="3">
        <v>138</v>
      </c>
      <c r="E2724" s="3">
        <v>1723.6200000000001</v>
      </c>
      <c r="F2724" t="str">
        <f t="shared" si="212"/>
        <v>net sales</v>
      </c>
      <c r="G2724" s="7" t="str">
        <f t="shared" si="213"/>
        <v>product 3</v>
      </c>
      <c r="H2724">
        <f t="shared" si="214"/>
        <v>2025</v>
      </c>
      <c r="I2724">
        <f t="shared" si="215"/>
        <v>1</v>
      </c>
      <c r="J2724">
        <f t="shared" si="216"/>
        <v>99.96</v>
      </c>
    </row>
    <row r="2725" spans="1:10" ht="12.5" x14ac:dyDescent="0.25">
      <c r="A2725" s="1">
        <v>45670</v>
      </c>
      <c r="B2725" s="2" t="s">
        <v>7</v>
      </c>
      <c r="C2725" s="3">
        <v>5.49</v>
      </c>
      <c r="D2725" s="3">
        <v>93</v>
      </c>
      <c r="E2725" s="3">
        <v>510.57</v>
      </c>
      <c r="F2725" t="str">
        <f t="shared" si="212"/>
        <v>cogs</v>
      </c>
      <c r="G2725" s="7" t="str">
        <f t="shared" si="213"/>
        <v>product 1</v>
      </c>
      <c r="H2725">
        <f t="shared" si="214"/>
        <v>2025</v>
      </c>
      <c r="I2725">
        <f t="shared" si="215"/>
        <v>1</v>
      </c>
      <c r="J2725">
        <f t="shared" si="216"/>
        <v>2947.64</v>
      </c>
    </row>
    <row r="2726" spans="1:10" ht="12.5" x14ac:dyDescent="0.25">
      <c r="A2726" s="1">
        <v>45670</v>
      </c>
      <c r="B2726" s="2" t="s">
        <v>8</v>
      </c>
      <c r="C2726" s="3">
        <v>19.989999999999998</v>
      </c>
      <c r="D2726" s="3">
        <v>0</v>
      </c>
      <c r="E2726" s="2">
        <f>C2726*D2726</f>
        <v>0</v>
      </c>
      <c r="F2726" t="str">
        <f t="shared" si="212"/>
        <v>cogs</v>
      </c>
      <c r="G2726" s="7" t="str">
        <f t="shared" si="213"/>
        <v>product 2</v>
      </c>
      <c r="H2726">
        <f t="shared" si="214"/>
        <v>2025</v>
      </c>
      <c r="I2726">
        <f t="shared" si="215"/>
        <v>1</v>
      </c>
      <c r="J2726">
        <f t="shared" si="216"/>
        <v>-131.78</v>
      </c>
    </row>
    <row r="2727" spans="1:10" ht="12.5" x14ac:dyDescent="0.25">
      <c r="A2727" s="1">
        <v>45670</v>
      </c>
      <c r="B2727" s="2" t="s">
        <v>9</v>
      </c>
      <c r="C2727" s="3">
        <v>8.99</v>
      </c>
      <c r="D2727" s="3">
        <v>72</v>
      </c>
      <c r="E2727" s="3">
        <v>647.28</v>
      </c>
      <c r="F2727" t="str">
        <f t="shared" si="212"/>
        <v>cogs</v>
      </c>
      <c r="G2727" s="7" t="str">
        <f t="shared" si="213"/>
        <v>product 3</v>
      </c>
      <c r="H2727">
        <f t="shared" si="214"/>
        <v>2025</v>
      </c>
      <c r="I2727">
        <f t="shared" si="215"/>
        <v>1</v>
      </c>
      <c r="J2727">
        <f t="shared" si="216"/>
        <v>-16.989999999999998</v>
      </c>
    </row>
    <row r="2728" spans="1:10" ht="12.5" x14ac:dyDescent="0.25">
      <c r="A2728" s="1">
        <v>45670</v>
      </c>
      <c r="B2728" s="2" t="s">
        <v>10</v>
      </c>
      <c r="C2728" s="2" t="s">
        <v>6</v>
      </c>
      <c r="D2728" s="2" t="s">
        <v>6</v>
      </c>
      <c r="E2728" s="3">
        <v>107.93</v>
      </c>
      <c r="F2728" t="str">
        <f t="shared" si="212"/>
        <v>marketing</v>
      </c>
      <c r="G2728" s="7" t="s">
        <v>6</v>
      </c>
      <c r="H2728">
        <f t="shared" si="214"/>
        <v>2025</v>
      </c>
      <c r="I2728">
        <f t="shared" si="215"/>
        <v>1</v>
      </c>
      <c r="J2728">
        <f t="shared" si="216"/>
        <v>-399.03000000000003</v>
      </c>
    </row>
    <row r="2729" spans="1:10" ht="12.5" x14ac:dyDescent="0.25">
      <c r="A2729" s="1">
        <v>45670</v>
      </c>
      <c r="B2729" s="2" t="s">
        <v>11</v>
      </c>
      <c r="C2729" s="3">
        <v>9.99</v>
      </c>
      <c r="D2729" s="3">
        <v>93</v>
      </c>
      <c r="E2729" s="3">
        <v>929.07</v>
      </c>
      <c r="F2729" t="str">
        <f t="shared" si="212"/>
        <v>net sales</v>
      </c>
      <c r="G2729" s="7" t="str">
        <f t="shared" si="213"/>
        <v>product 1</v>
      </c>
      <c r="H2729">
        <f t="shared" si="214"/>
        <v>2025</v>
      </c>
      <c r="I2729">
        <f t="shared" si="215"/>
        <v>1</v>
      </c>
      <c r="J2729">
        <f t="shared" si="216"/>
        <v>-100.03</v>
      </c>
    </row>
    <row r="2730" spans="1:10" ht="12.5" x14ac:dyDescent="0.25">
      <c r="A2730" s="1">
        <v>45670</v>
      </c>
      <c r="B2730" s="2" t="s">
        <v>12</v>
      </c>
      <c r="C2730" s="3">
        <v>24.99</v>
      </c>
      <c r="D2730" s="3">
        <v>0</v>
      </c>
      <c r="E2730" s="2">
        <f>C2730*D2730</f>
        <v>0</v>
      </c>
      <c r="F2730" t="str">
        <f t="shared" si="212"/>
        <v>net sales</v>
      </c>
      <c r="G2730" s="7" t="str">
        <f t="shared" si="213"/>
        <v>product 2</v>
      </c>
      <c r="H2730">
        <f t="shared" si="214"/>
        <v>2025</v>
      </c>
      <c r="I2730">
        <f t="shared" si="215"/>
        <v>1</v>
      </c>
      <c r="J2730">
        <f t="shared" si="216"/>
        <v>219.78</v>
      </c>
    </row>
    <row r="2731" spans="1:10" ht="12.5" x14ac:dyDescent="0.25">
      <c r="A2731" s="1">
        <v>45670</v>
      </c>
      <c r="B2731" s="2" t="s">
        <v>13</v>
      </c>
      <c r="C2731" s="3">
        <v>12.49</v>
      </c>
      <c r="D2731" s="3">
        <v>72</v>
      </c>
      <c r="E2731" s="3">
        <v>899.28</v>
      </c>
      <c r="F2731" t="str">
        <f t="shared" si="212"/>
        <v>net sales</v>
      </c>
      <c r="G2731" s="7" t="str">
        <f t="shared" si="213"/>
        <v>product 3</v>
      </c>
      <c r="H2731">
        <f t="shared" si="214"/>
        <v>2025</v>
      </c>
      <c r="I2731">
        <f t="shared" si="215"/>
        <v>1</v>
      </c>
      <c r="J2731">
        <f t="shared" si="216"/>
        <v>24.99</v>
      </c>
    </row>
    <row r="2732" spans="1:10" ht="12.5" x14ac:dyDescent="0.25">
      <c r="A2732" s="1">
        <v>45671</v>
      </c>
      <c r="B2732" s="2" t="s">
        <v>7</v>
      </c>
      <c r="C2732" s="3">
        <v>5.49</v>
      </c>
      <c r="D2732" s="3">
        <v>44</v>
      </c>
      <c r="E2732" s="3">
        <v>241.56</v>
      </c>
      <c r="F2732" t="str">
        <f t="shared" si="212"/>
        <v>cogs</v>
      </c>
      <c r="G2732" s="7" t="str">
        <f t="shared" si="213"/>
        <v>product 1</v>
      </c>
      <c r="H2732">
        <f t="shared" si="214"/>
        <v>2025</v>
      </c>
      <c r="I2732">
        <f t="shared" si="215"/>
        <v>1</v>
      </c>
      <c r="J2732">
        <f t="shared" si="216"/>
        <v>587.03</v>
      </c>
    </row>
    <row r="2733" spans="1:10" ht="12.5" x14ac:dyDescent="0.25">
      <c r="A2733" s="1">
        <v>45671</v>
      </c>
      <c r="B2733" s="2" t="s">
        <v>8</v>
      </c>
      <c r="C2733" s="3">
        <v>19.989999999999998</v>
      </c>
      <c r="D2733" s="3">
        <v>9</v>
      </c>
      <c r="E2733" s="3">
        <v>179.91</v>
      </c>
      <c r="F2733" t="str">
        <f t="shared" si="212"/>
        <v>cogs</v>
      </c>
      <c r="G2733" s="7" t="str">
        <f t="shared" si="213"/>
        <v>product 2</v>
      </c>
      <c r="H2733">
        <f t="shared" si="214"/>
        <v>2025</v>
      </c>
      <c r="I2733">
        <f t="shared" si="215"/>
        <v>1</v>
      </c>
      <c r="J2733">
        <f t="shared" si="216"/>
        <v>-479.20000000000005</v>
      </c>
    </row>
    <row r="2734" spans="1:10" ht="12.5" x14ac:dyDescent="0.25">
      <c r="A2734" s="1">
        <v>45671</v>
      </c>
      <c r="B2734" s="2" t="s">
        <v>9</v>
      </c>
      <c r="C2734" s="3">
        <v>8.99</v>
      </c>
      <c r="D2734" s="3">
        <v>123</v>
      </c>
      <c r="E2734" s="3">
        <v>1105.77</v>
      </c>
      <c r="F2734" t="str">
        <f t="shared" si="212"/>
        <v>cogs</v>
      </c>
      <c r="G2734" s="7" t="str">
        <f t="shared" si="213"/>
        <v>product 3</v>
      </c>
      <c r="H2734">
        <f t="shared" si="214"/>
        <v>2025</v>
      </c>
      <c r="I2734">
        <f t="shared" si="215"/>
        <v>1</v>
      </c>
      <c r="J2734">
        <f t="shared" si="216"/>
        <v>-169.89999999999998</v>
      </c>
    </row>
    <row r="2735" spans="1:10" ht="12.5" x14ac:dyDescent="0.25">
      <c r="A2735" s="1">
        <v>45671</v>
      </c>
      <c r="B2735" s="2" t="s">
        <v>10</v>
      </c>
      <c r="C2735" s="2" t="s">
        <v>6</v>
      </c>
      <c r="D2735" s="2" t="s">
        <v>6</v>
      </c>
      <c r="E2735" s="3">
        <v>115.97</v>
      </c>
      <c r="F2735" t="str">
        <f t="shared" si="212"/>
        <v>marketing</v>
      </c>
      <c r="G2735" s="7" t="s">
        <v>6</v>
      </c>
      <c r="H2735">
        <f t="shared" si="214"/>
        <v>2025</v>
      </c>
      <c r="I2735">
        <f t="shared" si="215"/>
        <v>1</v>
      </c>
      <c r="J2735">
        <f t="shared" si="216"/>
        <v>-1740.45</v>
      </c>
    </row>
    <row r="2736" spans="1:10" ht="12.5" x14ac:dyDescent="0.25">
      <c r="A2736" s="1">
        <v>45671</v>
      </c>
      <c r="B2736" s="2" t="s">
        <v>11</v>
      </c>
      <c r="C2736" s="3">
        <v>9.99</v>
      </c>
      <c r="D2736" s="3">
        <v>44</v>
      </c>
      <c r="E2736" s="3">
        <v>439.56</v>
      </c>
      <c r="F2736" t="str">
        <f t="shared" si="212"/>
        <v>net sales</v>
      </c>
      <c r="G2736" s="7" t="str">
        <f t="shared" si="213"/>
        <v>product 1</v>
      </c>
      <c r="H2736">
        <f t="shared" si="214"/>
        <v>2025</v>
      </c>
      <c r="I2736">
        <f t="shared" si="215"/>
        <v>1</v>
      </c>
      <c r="J2736">
        <f t="shared" si="216"/>
        <v>-1247.92</v>
      </c>
    </row>
    <row r="2737" spans="1:10" ht="12.5" x14ac:dyDescent="0.25">
      <c r="A2737" s="1">
        <v>45671</v>
      </c>
      <c r="B2737" s="2" t="s">
        <v>12</v>
      </c>
      <c r="C2737" s="3">
        <v>24.99</v>
      </c>
      <c r="D2737" s="3">
        <v>9</v>
      </c>
      <c r="E2737" s="3">
        <v>224.91</v>
      </c>
      <c r="F2737" t="str">
        <f t="shared" si="212"/>
        <v>net sales</v>
      </c>
      <c r="G2737" s="7" t="str">
        <f t="shared" si="213"/>
        <v>product 2</v>
      </c>
      <c r="H2737">
        <f t="shared" si="214"/>
        <v>2025</v>
      </c>
      <c r="I2737">
        <f t="shared" si="215"/>
        <v>1</v>
      </c>
      <c r="J2737">
        <f t="shared" si="216"/>
        <v>-99.95</v>
      </c>
    </row>
    <row r="2738" spans="1:10" ht="12.5" x14ac:dyDescent="0.25">
      <c r="A2738" s="1">
        <v>45671</v>
      </c>
      <c r="B2738" s="2" t="s">
        <v>13</v>
      </c>
      <c r="C2738" s="3">
        <v>12.49</v>
      </c>
      <c r="D2738" s="3">
        <v>123</v>
      </c>
      <c r="E2738" s="3">
        <v>1536.27</v>
      </c>
      <c r="F2738" t="str">
        <f t="shared" si="212"/>
        <v>net sales</v>
      </c>
      <c r="G2738" s="7" t="str">
        <f t="shared" si="213"/>
        <v>product 3</v>
      </c>
      <c r="H2738">
        <f t="shared" si="214"/>
        <v>2025</v>
      </c>
      <c r="I2738">
        <f t="shared" si="215"/>
        <v>1</v>
      </c>
      <c r="J2738">
        <f t="shared" si="216"/>
        <v>799.2</v>
      </c>
    </row>
    <row r="2739" spans="1:10" ht="12.5" x14ac:dyDescent="0.25">
      <c r="A2739" s="1">
        <v>45672</v>
      </c>
      <c r="B2739" s="2" t="s">
        <v>7</v>
      </c>
      <c r="C2739" s="3">
        <v>5.49</v>
      </c>
      <c r="D2739" s="3">
        <v>58</v>
      </c>
      <c r="E2739" s="3">
        <v>318.42</v>
      </c>
      <c r="F2739" t="str">
        <f t="shared" si="212"/>
        <v>cogs</v>
      </c>
      <c r="G2739" s="7" t="str">
        <f t="shared" si="213"/>
        <v>product 1</v>
      </c>
      <c r="H2739">
        <f t="shared" si="214"/>
        <v>2025</v>
      </c>
      <c r="I2739">
        <f t="shared" si="215"/>
        <v>1</v>
      </c>
      <c r="J2739">
        <f t="shared" si="216"/>
        <v>249.89999999999998</v>
      </c>
    </row>
    <row r="2740" spans="1:10" ht="12.5" x14ac:dyDescent="0.25">
      <c r="A2740" s="1">
        <v>45672</v>
      </c>
      <c r="B2740" s="2" t="s">
        <v>8</v>
      </c>
      <c r="C2740" s="3">
        <v>19.989999999999998</v>
      </c>
      <c r="D2740" s="3">
        <v>0</v>
      </c>
      <c r="E2740" s="2">
        <f>C2740*D2740</f>
        <v>0</v>
      </c>
      <c r="F2740" t="str">
        <f t="shared" si="212"/>
        <v>cogs</v>
      </c>
      <c r="G2740" s="7" t="str">
        <f t="shared" si="213"/>
        <v>product 2</v>
      </c>
      <c r="H2740">
        <f t="shared" si="214"/>
        <v>2025</v>
      </c>
      <c r="I2740">
        <f t="shared" si="215"/>
        <v>1</v>
      </c>
      <c r="J2740">
        <f t="shared" si="216"/>
        <v>2560.4499999999998</v>
      </c>
    </row>
    <row r="2741" spans="1:10" ht="12.5" x14ac:dyDescent="0.25">
      <c r="A2741" s="1">
        <v>45672</v>
      </c>
      <c r="B2741" s="2" t="s">
        <v>9</v>
      </c>
      <c r="C2741" s="3">
        <v>8.99</v>
      </c>
      <c r="D2741" s="3">
        <v>136</v>
      </c>
      <c r="E2741" s="3">
        <v>1222.6400000000001</v>
      </c>
      <c r="F2741" t="str">
        <f t="shared" si="212"/>
        <v>cogs</v>
      </c>
      <c r="G2741" s="7" t="str">
        <f t="shared" si="213"/>
        <v>product 3</v>
      </c>
      <c r="H2741">
        <f t="shared" si="214"/>
        <v>2025</v>
      </c>
      <c r="I2741">
        <f t="shared" si="215"/>
        <v>1</v>
      </c>
      <c r="J2741">
        <f t="shared" si="216"/>
        <v>-310.94</v>
      </c>
    </row>
    <row r="2742" spans="1:10" ht="12.5" x14ac:dyDescent="0.25">
      <c r="A2742" s="1">
        <v>45672</v>
      </c>
      <c r="B2742" s="2" t="s">
        <v>16</v>
      </c>
      <c r="C2742" s="2" t="s">
        <v>6</v>
      </c>
      <c r="D2742" s="2" t="s">
        <v>6</v>
      </c>
      <c r="E2742" s="3">
        <v>1271.6400000000001</v>
      </c>
      <c r="F2742" t="str">
        <f t="shared" si="212"/>
        <v>interest</v>
      </c>
      <c r="G2742" s="7" t="s">
        <v>6</v>
      </c>
      <c r="H2742">
        <f t="shared" si="214"/>
        <v>2025</v>
      </c>
      <c r="I2742">
        <f t="shared" si="215"/>
        <v>1</v>
      </c>
      <c r="J2742">
        <f t="shared" si="216"/>
        <v>-89.850000000000009</v>
      </c>
    </row>
    <row r="2743" spans="1:10" ht="12.5" x14ac:dyDescent="0.25">
      <c r="A2743" s="1">
        <v>45672</v>
      </c>
      <c r="B2743" s="2" t="s">
        <v>10</v>
      </c>
      <c r="C2743" s="2" t="s">
        <v>6</v>
      </c>
      <c r="D2743" s="2" t="s">
        <v>6</v>
      </c>
      <c r="E2743" s="3">
        <v>117.94</v>
      </c>
      <c r="F2743" t="str">
        <f t="shared" si="212"/>
        <v>marketing</v>
      </c>
      <c r="G2743" s="7" t="s">
        <v>6</v>
      </c>
      <c r="H2743">
        <f t="shared" si="214"/>
        <v>2025</v>
      </c>
      <c r="I2743">
        <f t="shared" si="215"/>
        <v>1</v>
      </c>
      <c r="J2743">
        <f t="shared" si="216"/>
        <v>-67.959999999999994</v>
      </c>
    </row>
    <row r="2744" spans="1:10" ht="12.5" x14ac:dyDescent="0.25">
      <c r="A2744" s="1">
        <v>45672</v>
      </c>
      <c r="B2744" s="2" t="s">
        <v>11</v>
      </c>
      <c r="C2744" s="3">
        <v>9.99</v>
      </c>
      <c r="D2744" s="3">
        <v>58</v>
      </c>
      <c r="E2744" s="3">
        <v>579.41999999999996</v>
      </c>
      <c r="F2744" t="str">
        <f t="shared" si="212"/>
        <v>net sales</v>
      </c>
      <c r="G2744" s="7" t="str">
        <f t="shared" si="213"/>
        <v>product 1</v>
      </c>
      <c r="H2744">
        <f t="shared" si="214"/>
        <v>2025</v>
      </c>
      <c r="I2744">
        <f t="shared" si="215"/>
        <v>1</v>
      </c>
      <c r="J2744">
        <f t="shared" si="216"/>
        <v>-1986.66</v>
      </c>
    </row>
    <row r="2745" spans="1:10" ht="12.5" x14ac:dyDescent="0.25">
      <c r="A2745" s="1">
        <v>45672</v>
      </c>
      <c r="B2745" s="2" t="s">
        <v>12</v>
      </c>
      <c r="C2745" s="3">
        <v>24.99</v>
      </c>
      <c r="D2745" s="3">
        <v>0</v>
      </c>
      <c r="E2745" s="2">
        <f>C2745*D2745</f>
        <v>0</v>
      </c>
      <c r="F2745" t="str">
        <f t="shared" si="212"/>
        <v>net sales</v>
      </c>
      <c r="G2745" s="7" t="str">
        <f t="shared" si="213"/>
        <v>product 2</v>
      </c>
      <c r="H2745">
        <f t="shared" si="214"/>
        <v>2025</v>
      </c>
      <c r="I2745">
        <f t="shared" si="215"/>
        <v>1</v>
      </c>
      <c r="J2745">
        <f t="shared" si="216"/>
        <v>-99.960000000000008</v>
      </c>
    </row>
    <row r="2746" spans="1:10" ht="12.5" x14ac:dyDescent="0.25">
      <c r="A2746" s="1">
        <v>45672</v>
      </c>
      <c r="B2746" s="2" t="s">
        <v>13</v>
      </c>
      <c r="C2746" s="3">
        <v>12.49</v>
      </c>
      <c r="D2746" s="3">
        <v>136</v>
      </c>
      <c r="E2746" s="3">
        <v>1698.64</v>
      </c>
      <c r="F2746" t="str">
        <f t="shared" si="212"/>
        <v>net sales</v>
      </c>
      <c r="G2746" s="7" t="str">
        <f t="shared" si="213"/>
        <v>product 3</v>
      </c>
      <c r="H2746">
        <f t="shared" si="214"/>
        <v>2025</v>
      </c>
      <c r="I2746">
        <f t="shared" si="215"/>
        <v>1</v>
      </c>
      <c r="J2746">
        <f t="shared" si="216"/>
        <v>149.85</v>
      </c>
    </row>
    <row r="2747" spans="1:10" ht="12.5" x14ac:dyDescent="0.25">
      <c r="A2747" s="1">
        <v>45672</v>
      </c>
      <c r="B2747" s="2" t="s">
        <v>14</v>
      </c>
      <c r="C2747" s="2" t="s">
        <v>6</v>
      </c>
      <c r="D2747" s="2" t="s">
        <v>6</v>
      </c>
      <c r="E2747" s="3">
        <v>317.91000000000003</v>
      </c>
      <c r="F2747" t="str">
        <f t="shared" si="212"/>
        <v>overhead</v>
      </c>
      <c r="G2747" s="7" t="s">
        <v>6</v>
      </c>
      <c r="H2747">
        <f t="shared" si="214"/>
        <v>2025</v>
      </c>
      <c r="I2747">
        <f t="shared" si="215"/>
        <v>1</v>
      </c>
      <c r="J2747">
        <f t="shared" si="216"/>
        <v>99.96</v>
      </c>
    </row>
    <row r="2748" spans="1:10" ht="12.5" x14ac:dyDescent="0.25">
      <c r="A2748" s="1">
        <v>45673</v>
      </c>
      <c r="B2748" s="2" t="s">
        <v>7</v>
      </c>
      <c r="C2748" s="3">
        <v>5.49</v>
      </c>
      <c r="D2748" s="3">
        <v>14</v>
      </c>
      <c r="E2748" s="3">
        <v>76.86</v>
      </c>
      <c r="F2748" t="str">
        <f t="shared" si="212"/>
        <v>cogs</v>
      </c>
      <c r="G2748" s="7" t="str">
        <f t="shared" si="213"/>
        <v>product 1</v>
      </c>
      <c r="H2748">
        <f t="shared" si="214"/>
        <v>2025</v>
      </c>
      <c r="I2748">
        <f t="shared" si="215"/>
        <v>1</v>
      </c>
      <c r="J2748">
        <f t="shared" si="216"/>
        <v>2922.66</v>
      </c>
    </row>
    <row r="2749" spans="1:10" ht="12.5" x14ac:dyDescent="0.25">
      <c r="A2749" s="1">
        <v>45673</v>
      </c>
      <c r="B2749" s="2" t="s">
        <v>8</v>
      </c>
      <c r="C2749" s="3">
        <v>19.989999999999998</v>
      </c>
      <c r="D2749" s="3">
        <v>5</v>
      </c>
      <c r="E2749" s="3">
        <v>99.949999999999989</v>
      </c>
      <c r="F2749" t="str">
        <f t="shared" si="212"/>
        <v>cogs</v>
      </c>
      <c r="G2749" s="7" t="str">
        <f t="shared" si="213"/>
        <v>product 2</v>
      </c>
      <c r="H2749">
        <f t="shared" si="214"/>
        <v>2025</v>
      </c>
      <c r="I2749">
        <f t="shared" si="215"/>
        <v>1</v>
      </c>
      <c r="J2749">
        <f t="shared" si="216"/>
        <v>-527.12</v>
      </c>
    </row>
    <row r="2750" spans="1:10" ht="12.5" x14ac:dyDescent="0.25">
      <c r="A2750" s="1">
        <v>45673</v>
      </c>
      <c r="B2750" s="2" t="s">
        <v>9</v>
      </c>
      <c r="C2750" s="3">
        <v>8.99</v>
      </c>
      <c r="D2750" s="3">
        <v>42</v>
      </c>
      <c r="E2750" s="3">
        <v>377.58</v>
      </c>
      <c r="F2750" t="str">
        <f t="shared" si="212"/>
        <v>cogs</v>
      </c>
      <c r="G2750" s="7" t="str">
        <f t="shared" si="213"/>
        <v>product 3</v>
      </c>
      <c r="H2750">
        <f t="shared" si="214"/>
        <v>2025</v>
      </c>
      <c r="I2750">
        <f t="shared" si="215"/>
        <v>1</v>
      </c>
      <c r="J2750">
        <f t="shared" si="216"/>
        <v>-84.949999999999989</v>
      </c>
    </row>
    <row r="2751" spans="1:10" ht="12.5" x14ac:dyDescent="0.25">
      <c r="A2751" s="1">
        <v>45673</v>
      </c>
      <c r="B2751" s="2" t="s">
        <v>10</v>
      </c>
      <c r="C2751" s="2" t="s">
        <v>6</v>
      </c>
      <c r="D2751" s="2" t="s">
        <v>6</v>
      </c>
      <c r="E2751" s="3">
        <v>117.9</v>
      </c>
      <c r="F2751" t="str">
        <f t="shared" si="212"/>
        <v>marketing</v>
      </c>
      <c r="G2751" s="7" t="s">
        <v>6</v>
      </c>
      <c r="H2751">
        <f t="shared" si="214"/>
        <v>2025</v>
      </c>
      <c r="I2751">
        <f t="shared" si="215"/>
        <v>1</v>
      </c>
      <c r="J2751">
        <f t="shared" si="216"/>
        <v>-772.59</v>
      </c>
    </row>
    <row r="2752" spans="1:10" ht="12.5" x14ac:dyDescent="0.25">
      <c r="A2752" s="1">
        <v>45673</v>
      </c>
      <c r="B2752" s="2" t="s">
        <v>11</v>
      </c>
      <c r="C2752" s="3">
        <v>9.99</v>
      </c>
      <c r="D2752" s="3">
        <v>14</v>
      </c>
      <c r="E2752" s="3">
        <v>139.86000000000001</v>
      </c>
      <c r="F2752" t="str">
        <f t="shared" si="212"/>
        <v>net sales</v>
      </c>
      <c r="G2752" s="7" t="str">
        <f t="shared" si="213"/>
        <v>product 1</v>
      </c>
      <c r="H2752">
        <f t="shared" si="214"/>
        <v>2025</v>
      </c>
      <c r="I2752">
        <f t="shared" si="215"/>
        <v>1</v>
      </c>
      <c r="J2752">
        <f t="shared" si="216"/>
        <v>-100.04</v>
      </c>
    </row>
    <row r="2753" spans="1:10" ht="12.5" x14ac:dyDescent="0.25">
      <c r="A2753" s="1">
        <v>45673</v>
      </c>
      <c r="B2753" s="2" t="s">
        <v>12</v>
      </c>
      <c r="C2753" s="3">
        <v>24.99</v>
      </c>
      <c r="D2753" s="3">
        <v>5</v>
      </c>
      <c r="E2753" s="3">
        <v>124.94999999999999</v>
      </c>
      <c r="F2753" t="str">
        <f t="shared" si="212"/>
        <v>net sales</v>
      </c>
      <c r="G2753" s="7" t="str">
        <f t="shared" si="213"/>
        <v>product 2</v>
      </c>
      <c r="H2753">
        <f t="shared" si="214"/>
        <v>2025</v>
      </c>
      <c r="I2753">
        <f t="shared" si="215"/>
        <v>1</v>
      </c>
      <c r="J2753">
        <f t="shared" si="216"/>
        <v>879.12</v>
      </c>
    </row>
    <row r="2754" spans="1:10" ht="12.5" x14ac:dyDescent="0.25">
      <c r="A2754" s="1">
        <v>45673</v>
      </c>
      <c r="B2754" s="2" t="s">
        <v>13</v>
      </c>
      <c r="C2754" s="3">
        <v>12.49</v>
      </c>
      <c r="D2754" s="3">
        <v>42</v>
      </c>
      <c r="E2754" s="3">
        <v>524.58000000000004</v>
      </c>
      <c r="F2754" t="str">
        <f t="shared" si="212"/>
        <v>net sales</v>
      </c>
      <c r="G2754" s="7" t="str">
        <f t="shared" si="213"/>
        <v>product 3</v>
      </c>
      <c r="H2754">
        <f t="shared" si="214"/>
        <v>2025</v>
      </c>
      <c r="I2754">
        <f t="shared" si="215"/>
        <v>1</v>
      </c>
      <c r="J2754">
        <f t="shared" si="216"/>
        <v>124.94999999999999</v>
      </c>
    </row>
    <row r="2755" spans="1:10" ht="12.5" x14ac:dyDescent="0.25">
      <c r="A2755" s="1">
        <v>45674</v>
      </c>
      <c r="B2755" s="2" t="s">
        <v>7</v>
      </c>
      <c r="C2755" s="3">
        <v>5.49</v>
      </c>
      <c r="D2755" s="3">
        <v>60</v>
      </c>
      <c r="E2755" s="3">
        <v>329.40000000000003</v>
      </c>
      <c r="F2755" t="str">
        <f t="shared" ref="F2755:F2818" si="217">IFERROR(LEFT(B2755,FIND(":",B2755)-1),B2755)</f>
        <v>cogs</v>
      </c>
      <c r="G2755" s="7" t="str">
        <f t="shared" ref="G2755:G2818" si="218">IFERROR(RIGHT(B2755,LEN(B2755)-FIND(":",B2755)),"")</f>
        <v>product 1</v>
      </c>
      <c r="H2755">
        <f t="shared" ref="H2755:H2818" si="219">YEAR(A2755)</f>
        <v>2025</v>
      </c>
      <c r="I2755">
        <f t="shared" ref="I2755:I2818" si="220">MONTH(A2755)</f>
        <v>1</v>
      </c>
      <c r="J2755">
        <f t="shared" si="216"/>
        <v>1136.5899999999999</v>
      </c>
    </row>
    <row r="2756" spans="1:10" ht="12.5" x14ac:dyDescent="0.25">
      <c r="A2756" s="1">
        <v>45674</v>
      </c>
      <c r="B2756" s="2" t="s">
        <v>8</v>
      </c>
      <c r="C2756" s="3">
        <v>19.989999999999998</v>
      </c>
      <c r="D2756" s="3">
        <v>5</v>
      </c>
      <c r="E2756" s="3">
        <v>99.949999999999989</v>
      </c>
      <c r="F2756" t="str">
        <f t="shared" si="217"/>
        <v>cogs</v>
      </c>
      <c r="G2756" s="7" t="str">
        <f t="shared" si="218"/>
        <v>product 2</v>
      </c>
      <c r="H2756">
        <f t="shared" si="219"/>
        <v>2025</v>
      </c>
      <c r="I2756">
        <f t="shared" si="220"/>
        <v>1</v>
      </c>
      <c r="J2756">
        <f t="shared" si="216"/>
        <v>-251.58</v>
      </c>
    </row>
    <row r="2757" spans="1:10" ht="12.5" x14ac:dyDescent="0.25">
      <c r="A2757" s="1">
        <v>45674</v>
      </c>
      <c r="B2757" s="2" t="s">
        <v>9</v>
      </c>
      <c r="C2757" s="3">
        <v>8.99</v>
      </c>
      <c r="D2757" s="3">
        <v>133</v>
      </c>
      <c r="E2757" s="3">
        <v>1195.67</v>
      </c>
      <c r="F2757" t="str">
        <f t="shared" si="217"/>
        <v>cogs</v>
      </c>
      <c r="G2757" s="7" t="str">
        <f t="shared" si="218"/>
        <v>product 3</v>
      </c>
      <c r="H2757">
        <f t="shared" si="219"/>
        <v>2025</v>
      </c>
      <c r="I2757">
        <f t="shared" si="220"/>
        <v>1</v>
      </c>
      <c r="J2757">
        <f t="shared" si="216"/>
        <v>-118.92999999999999</v>
      </c>
    </row>
    <row r="2758" spans="1:10" ht="12.5" x14ac:dyDescent="0.25">
      <c r="A2758" s="1">
        <v>45674</v>
      </c>
      <c r="B2758" s="2" t="s">
        <v>10</v>
      </c>
      <c r="C2758" s="2" t="s">
        <v>6</v>
      </c>
      <c r="D2758" s="2" t="s">
        <v>6</v>
      </c>
      <c r="E2758" s="3">
        <v>105.09</v>
      </c>
      <c r="F2758" t="str">
        <f t="shared" si="217"/>
        <v>marketing</v>
      </c>
      <c r="G2758" s="7" t="s">
        <v>6</v>
      </c>
      <c r="H2758">
        <f t="shared" si="219"/>
        <v>2025</v>
      </c>
      <c r="I2758">
        <f t="shared" si="220"/>
        <v>1</v>
      </c>
      <c r="J2758">
        <f t="shared" si="216"/>
        <v>-1511.22</v>
      </c>
    </row>
    <row r="2759" spans="1:10" ht="12.5" x14ac:dyDescent="0.25">
      <c r="A2759" s="1">
        <v>45674</v>
      </c>
      <c r="B2759" s="2" t="s">
        <v>11</v>
      </c>
      <c r="C2759" s="3">
        <v>9.99</v>
      </c>
      <c r="D2759" s="3">
        <v>60</v>
      </c>
      <c r="E2759" s="3">
        <v>599.4</v>
      </c>
      <c r="F2759" t="str">
        <f t="shared" si="217"/>
        <v>net sales</v>
      </c>
      <c r="G2759" s="7" t="str">
        <f t="shared" si="218"/>
        <v>product 1</v>
      </c>
      <c r="H2759">
        <f t="shared" si="219"/>
        <v>2025</v>
      </c>
      <c r="I2759">
        <f t="shared" si="220"/>
        <v>1</v>
      </c>
      <c r="J2759">
        <f t="shared" si="216"/>
        <v>-99.93</v>
      </c>
    </row>
    <row r="2760" spans="1:10" ht="12.5" x14ac:dyDescent="0.25">
      <c r="A2760" s="1">
        <v>45674</v>
      </c>
      <c r="B2760" s="2" t="s">
        <v>12</v>
      </c>
      <c r="C2760" s="3">
        <v>24.99</v>
      </c>
      <c r="D2760" s="3">
        <v>5</v>
      </c>
      <c r="E2760" s="3">
        <v>124.94999999999999</v>
      </c>
      <c r="F2760" t="str">
        <f t="shared" si="217"/>
        <v>net sales</v>
      </c>
      <c r="G2760" s="7" t="str">
        <f t="shared" si="218"/>
        <v>product 2</v>
      </c>
      <c r="H2760">
        <f t="shared" si="219"/>
        <v>2025</v>
      </c>
      <c r="I2760">
        <f t="shared" si="220"/>
        <v>1</v>
      </c>
      <c r="J2760">
        <f t="shared" si="216"/>
        <v>419.58</v>
      </c>
    </row>
    <row r="2761" spans="1:10" ht="12.5" x14ac:dyDescent="0.25">
      <c r="A2761" s="1">
        <v>45674</v>
      </c>
      <c r="B2761" s="2" t="s">
        <v>13</v>
      </c>
      <c r="C2761" s="3">
        <v>12.49</v>
      </c>
      <c r="D2761" s="3">
        <v>133</v>
      </c>
      <c r="E2761" s="3">
        <v>1661.17</v>
      </c>
      <c r="F2761" t="str">
        <f t="shared" si="217"/>
        <v>net sales</v>
      </c>
      <c r="G2761" s="7" t="str">
        <f t="shared" si="218"/>
        <v>product 3</v>
      </c>
      <c r="H2761">
        <f t="shared" si="219"/>
        <v>2025</v>
      </c>
      <c r="I2761">
        <f t="shared" si="220"/>
        <v>1</v>
      </c>
      <c r="J2761">
        <f t="shared" si="216"/>
        <v>174.92999999999998</v>
      </c>
    </row>
    <row r="2762" spans="1:10" ht="12.5" x14ac:dyDescent="0.25">
      <c r="A2762" s="1">
        <v>45674</v>
      </c>
      <c r="B2762" s="2" t="s">
        <v>15</v>
      </c>
      <c r="C2762" s="2" t="s">
        <v>6</v>
      </c>
      <c r="D2762" s="2" t="s">
        <v>6</v>
      </c>
      <c r="E2762" s="3">
        <v>1200</v>
      </c>
      <c r="F2762" t="str">
        <f t="shared" si="217"/>
        <v>payroll</v>
      </c>
      <c r="G2762" s="7" t="s">
        <v>6</v>
      </c>
      <c r="H2762">
        <f t="shared" si="219"/>
        <v>2025</v>
      </c>
      <c r="I2762">
        <f t="shared" si="220"/>
        <v>1</v>
      </c>
      <c r="J2762">
        <f t="shared" si="216"/>
        <v>2223.2200000000003</v>
      </c>
    </row>
    <row r="2763" spans="1:10" ht="12.5" x14ac:dyDescent="0.25">
      <c r="A2763" s="1">
        <v>45675</v>
      </c>
      <c r="B2763" s="2" t="s">
        <v>7</v>
      </c>
      <c r="C2763" s="3">
        <v>5.49</v>
      </c>
      <c r="D2763" s="3">
        <v>1</v>
      </c>
      <c r="E2763" s="3">
        <v>5.49</v>
      </c>
      <c r="F2763" t="str">
        <f t="shared" si="217"/>
        <v>cogs</v>
      </c>
      <c r="G2763" s="7" t="str">
        <f t="shared" si="218"/>
        <v>product 1</v>
      </c>
      <c r="H2763">
        <f t="shared" si="219"/>
        <v>2025</v>
      </c>
      <c r="I2763">
        <f t="shared" si="220"/>
        <v>1</v>
      </c>
      <c r="J2763">
        <f t="shared" si="216"/>
        <v>-41.93</v>
      </c>
    </row>
    <row r="2764" spans="1:10" ht="12.5" x14ac:dyDescent="0.25">
      <c r="A2764" s="1">
        <v>45675</v>
      </c>
      <c r="B2764" s="2" t="s">
        <v>8</v>
      </c>
      <c r="C2764" s="3">
        <v>19.989999999999998</v>
      </c>
      <c r="D2764" s="3">
        <v>8</v>
      </c>
      <c r="E2764" s="3">
        <v>159.91999999999999</v>
      </c>
      <c r="F2764" t="str">
        <f t="shared" si="217"/>
        <v>cogs</v>
      </c>
      <c r="G2764" s="7" t="str">
        <f t="shared" si="218"/>
        <v>product 2</v>
      </c>
      <c r="H2764">
        <f t="shared" si="219"/>
        <v>2025</v>
      </c>
      <c r="I2764">
        <f t="shared" si="220"/>
        <v>1</v>
      </c>
      <c r="J2764">
        <f t="shared" si="216"/>
        <v>-101.94</v>
      </c>
    </row>
    <row r="2765" spans="1:10" ht="12.5" x14ac:dyDescent="0.25">
      <c r="A2765" s="1">
        <v>45675</v>
      </c>
      <c r="B2765" s="2" t="s">
        <v>9</v>
      </c>
      <c r="C2765" s="3">
        <v>8.99</v>
      </c>
      <c r="D2765" s="3">
        <v>157</v>
      </c>
      <c r="E2765" s="3">
        <v>1411.43</v>
      </c>
      <c r="F2765" t="str">
        <f t="shared" si="217"/>
        <v>cogs</v>
      </c>
      <c r="G2765" s="7" t="str">
        <f t="shared" si="218"/>
        <v>product 3</v>
      </c>
      <c r="H2765">
        <f t="shared" si="219"/>
        <v>2025</v>
      </c>
      <c r="I2765">
        <f t="shared" si="220"/>
        <v>1</v>
      </c>
      <c r="J2765">
        <f t="shared" si="216"/>
        <v>-441.48</v>
      </c>
    </row>
    <row r="2766" spans="1:10" ht="12.5" x14ac:dyDescent="0.25">
      <c r="A2766" s="1">
        <v>45675</v>
      </c>
      <c r="B2766" s="2" t="s">
        <v>10</v>
      </c>
      <c r="C2766" s="2" t="s">
        <v>6</v>
      </c>
      <c r="D2766" s="2" t="s">
        <v>6</v>
      </c>
      <c r="E2766" s="3">
        <v>111</v>
      </c>
      <c r="F2766" t="str">
        <f t="shared" si="217"/>
        <v>marketing</v>
      </c>
      <c r="G2766" s="7" t="s">
        <v>6</v>
      </c>
      <c r="H2766">
        <f t="shared" si="219"/>
        <v>2025</v>
      </c>
      <c r="I2766">
        <f t="shared" si="220"/>
        <v>1</v>
      </c>
      <c r="J2766">
        <f t="shared" si="216"/>
        <v>-100.08</v>
      </c>
    </row>
    <row r="2767" spans="1:10" ht="12.5" x14ac:dyDescent="0.25">
      <c r="A2767" s="1">
        <v>45675</v>
      </c>
      <c r="B2767" s="2" t="s">
        <v>11</v>
      </c>
      <c r="C2767" s="3">
        <v>9.99</v>
      </c>
      <c r="D2767" s="3">
        <v>1</v>
      </c>
      <c r="E2767" s="3">
        <v>9.99</v>
      </c>
      <c r="F2767" t="str">
        <f t="shared" si="217"/>
        <v>net sales</v>
      </c>
      <c r="G2767" s="7" t="str">
        <f t="shared" si="218"/>
        <v>product 1</v>
      </c>
      <c r="H2767">
        <f t="shared" si="219"/>
        <v>2025</v>
      </c>
      <c r="I2767">
        <f t="shared" si="220"/>
        <v>1</v>
      </c>
      <c r="J2767">
        <f t="shared" si="216"/>
        <v>69.930000000000007</v>
      </c>
    </row>
    <row r="2768" spans="1:10" ht="12.5" x14ac:dyDescent="0.25">
      <c r="A2768" s="1">
        <v>45675</v>
      </c>
      <c r="B2768" s="2" t="s">
        <v>12</v>
      </c>
      <c r="C2768" s="3">
        <v>24.99</v>
      </c>
      <c r="D2768" s="3">
        <v>8</v>
      </c>
      <c r="E2768" s="3">
        <v>199.92</v>
      </c>
      <c r="F2768" t="str">
        <f t="shared" si="217"/>
        <v>net sales</v>
      </c>
      <c r="G2768" s="7" t="str">
        <f t="shared" si="218"/>
        <v>product 2</v>
      </c>
      <c r="H2768">
        <f t="shared" si="219"/>
        <v>2025</v>
      </c>
      <c r="I2768">
        <f t="shared" si="220"/>
        <v>1</v>
      </c>
      <c r="J2768">
        <f t="shared" si="216"/>
        <v>149.94</v>
      </c>
    </row>
    <row r="2769" spans="1:10" ht="12.5" x14ac:dyDescent="0.25">
      <c r="A2769" s="1">
        <v>45675</v>
      </c>
      <c r="B2769" s="2" t="s">
        <v>13</v>
      </c>
      <c r="C2769" s="3">
        <v>12.49</v>
      </c>
      <c r="D2769" s="3">
        <v>157</v>
      </c>
      <c r="E2769" s="3">
        <v>1960.93</v>
      </c>
      <c r="F2769" t="str">
        <f t="shared" si="217"/>
        <v>net sales</v>
      </c>
      <c r="G2769" s="7" t="str">
        <f t="shared" si="218"/>
        <v>product 3</v>
      </c>
      <c r="H2769">
        <f t="shared" si="219"/>
        <v>2025</v>
      </c>
      <c r="I2769">
        <f t="shared" si="220"/>
        <v>1</v>
      </c>
      <c r="J2769">
        <f t="shared" si="216"/>
        <v>649.48</v>
      </c>
    </row>
    <row r="2770" spans="1:10" ht="12.5" x14ac:dyDescent="0.25">
      <c r="A2770" s="1">
        <v>45676</v>
      </c>
      <c r="B2770" s="2" t="s">
        <v>7</v>
      </c>
      <c r="C2770" s="3">
        <v>5.49</v>
      </c>
      <c r="D2770" s="3">
        <v>37</v>
      </c>
      <c r="E2770" s="3">
        <v>203.13</v>
      </c>
      <c r="F2770" t="str">
        <f t="shared" si="217"/>
        <v>cogs</v>
      </c>
      <c r="G2770" s="7" t="str">
        <f t="shared" si="218"/>
        <v>product 1</v>
      </c>
      <c r="H2770">
        <f t="shared" si="219"/>
        <v>2025</v>
      </c>
      <c r="I2770">
        <f t="shared" si="220"/>
        <v>1</v>
      </c>
      <c r="J2770">
        <f t="shared" si="216"/>
        <v>-209.65</v>
      </c>
    </row>
    <row r="2771" spans="1:10" ht="12.5" x14ac:dyDescent="0.25">
      <c r="A2771" s="1">
        <v>45676</v>
      </c>
      <c r="B2771" s="2" t="s">
        <v>8</v>
      </c>
      <c r="C2771" s="3">
        <v>19.989999999999998</v>
      </c>
      <c r="D2771" s="3">
        <v>9</v>
      </c>
      <c r="E2771" s="3">
        <v>179.91</v>
      </c>
      <c r="F2771" t="str">
        <f t="shared" si="217"/>
        <v>cogs</v>
      </c>
      <c r="G2771" s="7" t="str">
        <f t="shared" si="218"/>
        <v>product 2</v>
      </c>
      <c r="H2771">
        <f t="shared" si="219"/>
        <v>2025</v>
      </c>
      <c r="I2771">
        <f t="shared" si="220"/>
        <v>1</v>
      </c>
      <c r="J2771">
        <f t="shared" si="216"/>
        <v>-50.97</v>
      </c>
    </row>
    <row r="2772" spans="1:10" ht="12.5" x14ac:dyDescent="0.25">
      <c r="A2772" s="1">
        <v>45676</v>
      </c>
      <c r="B2772" s="2" t="s">
        <v>9</v>
      </c>
      <c r="C2772" s="3">
        <v>8.99</v>
      </c>
      <c r="D2772" s="3">
        <v>159</v>
      </c>
      <c r="E2772" s="3">
        <v>1429.41</v>
      </c>
      <c r="F2772" t="str">
        <f t="shared" si="217"/>
        <v>cogs</v>
      </c>
      <c r="G2772" s="7" t="str">
        <f t="shared" si="218"/>
        <v>product 3</v>
      </c>
      <c r="H2772">
        <f t="shared" si="219"/>
        <v>2025</v>
      </c>
      <c r="I2772">
        <f t="shared" si="220"/>
        <v>1</v>
      </c>
      <c r="J2772">
        <f t="shared" si="216"/>
        <v>-509.40000000000003</v>
      </c>
    </row>
    <row r="2773" spans="1:10" ht="12.5" x14ac:dyDescent="0.25">
      <c r="A2773" s="1">
        <v>45676</v>
      </c>
      <c r="B2773" s="2" t="s">
        <v>10</v>
      </c>
      <c r="C2773" s="2" t="s">
        <v>6</v>
      </c>
      <c r="D2773" s="2" t="s">
        <v>6</v>
      </c>
      <c r="E2773" s="3">
        <v>107.02</v>
      </c>
      <c r="F2773" t="str">
        <f t="shared" si="217"/>
        <v>marketing</v>
      </c>
      <c r="G2773" s="7" t="s">
        <v>6</v>
      </c>
      <c r="H2773">
        <f t="shared" si="219"/>
        <v>2025</v>
      </c>
      <c r="I2773">
        <f t="shared" si="220"/>
        <v>1</v>
      </c>
      <c r="J2773">
        <f t="shared" si="216"/>
        <v>-99.960000000000008</v>
      </c>
    </row>
    <row r="2774" spans="1:10" ht="12.5" x14ac:dyDescent="0.25">
      <c r="A2774" s="1">
        <v>45676</v>
      </c>
      <c r="B2774" s="2" t="s">
        <v>11</v>
      </c>
      <c r="C2774" s="3">
        <v>9.99</v>
      </c>
      <c r="D2774" s="3">
        <v>37</v>
      </c>
      <c r="E2774" s="3">
        <v>369.63</v>
      </c>
      <c r="F2774" t="str">
        <f t="shared" si="217"/>
        <v>net sales</v>
      </c>
      <c r="G2774" s="7" t="str">
        <f t="shared" si="218"/>
        <v>product 1</v>
      </c>
      <c r="H2774">
        <f t="shared" si="219"/>
        <v>2025</v>
      </c>
      <c r="I2774">
        <f t="shared" si="220"/>
        <v>1</v>
      </c>
      <c r="J2774">
        <f t="shared" si="216"/>
        <v>349.65000000000003</v>
      </c>
    </row>
    <row r="2775" spans="1:10" ht="12.5" x14ac:dyDescent="0.25">
      <c r="A2775" s="1">
        <v>45676</v>
      </c>
      <c r="B2775" s="2" t="s">
        <v>12</v>
      </c>
      <c r="C2775" s="3">
        <v>24.99</v>
      </c>
      <c r="D2775" s="3">
        <v>9</v>
      </c>
      <c r="E2775" s="3">
        <v>224.91</v>
      </c>
      <c r="F2775" t="str">
        <f t="shared" si="217"/>
        <v>net sales</v>
      </c>
      <c r="G2775" s="7" t="str">
        <f t="shared" si="218"/>
        <v>product 2</v>
      </c>
      <c r="H2775">
        <f t="shared" si="219"/>
        <v>2025</v>
      </c>
      <c r="I2775">
        <f t="shared" si="220"/>
        <v>1</v>
      </c>
      <c r="J2775">
        <f t="shared" si="216"/>
        <v>74.97</v>
      </c>
    </row>
    <row r="2776" spans="1:10" ht="12.5" x14ac:dyDescent="0.25">
      <c r="A2776" s="1">
        <v>45676</v>
      </c>
      <c r="B2776" s="2" t="s">
        <v>13</v>
      </c>
      <c r="C2776" s="3">
        <v>12.49</v>
      </c>
      <c r="D2776" s="3">
        <v>159</v>
      </c>
      <c r="E2776" s="3">
        <v>1985.91</v>
      </c>
      <c r="F2776" t="str">
        <f t="shared" si="217"/>
        <v>net sales</v>
      </c>
      <c r="G2776" s="7" t="str">
        <f t="shared" si="218"/>
        <v>product 3</v>
      </c>
      <c r="H2776">
        <f t="shared" si="219"/>
        <v>2025</v>
      </c>
      <c r="I2776">
        <f t="shared" si="220"/>
        <v>1</v>
      </c>
      <c r="J2776">
        <f t="shared" si="216"/>
        <v>749.4</v>
      </c>
    </row>
    <row r="2777" spans="1:10" ht="12.5" x14ac:dyDescent="0.25">
      <c r="A2777" s="1">
        <v>45677</v>
      </c>
      <c r="B2777" s="2" t="s">
        <v>7</v>
      </c>
      <c r="C2777" s="3">
        <v>5.49</v>
      </c>
      <c r="D2777" s="3">
        <v>31</v>
      </c>
      <c r="E2777" s="3">
        <v>170.19</v>
      </c>
      <c r="F2777" t="str">
        <f t="shared" si="217"/>
        <v>cogs</v>
      </c>
      <c r="G2777" s="7" t="str">
        <f t="shared" si="218"/>
        <v>product 1</v>
      </c>
      <c r="H2777">
        <f t="shared" si="219"/>
        <v>2025</v>
      </c>
      <c r="I2777">
        <f t="shared" si="220"/>
        <v>1</v>
      </c>
      <c r="J2777">
        <f t="shared" si="216"/>
        <v>-1200</v>
      </c>
    </row>
    <row r="2778" spans="1:10" ht="12.5" x14ac:dyDescent="0.25">
      <c r="A2778" s="1">
        <v>45677</v>
      </c>
      <c r="B2778" s="2" t="s">
        <v>8</v>
      </c>
      <c r="C2778" s="3">
        <v>19.989999999999998</v>
      </c>
      <c r="D2778" s="3">
        <v>9</v>
      </c>
      <c r="E2778" s="3">
        <v>179.91</v>
      </c>
      <c r="F2778" t="str">
        <f t="shared" si="217"/>
        <v>cogs</v>
      </c>
      <c r="G2778" s="7" t="str">
        <f t="shared" si="218"/>
        <v>product 2</v>
      </c>
      <c r="H2778">
        <f t="shared" si="219"/>
        <v>2025</v>
      </c>
      <c r="I2778">
        <f t="shared" si="220"/>
        <v>1</v>
      </c>
      <c r="J2778">
        <f t="shared" si="216"/>
        <v>-359.40000000000003</v>
      </c>
    </row>
    <row r="2779" spans="1:10" ht="12.5" x14ac:dyDescent="0.25">
      <c r="A2779" s="1">
        <v>45677</v>
      </c>
      <c r="B2779" s="2" t="s">
        <v>9</v>
      </c>
      <c r="C2779" s="3">
        <v>8.99</v>
      </c>
      <c r="D2779" s="3">
        <v>9</v>
      </c>
      <c r="E2779" s="3">
        <v>80.91</v>
      </c>
      <c r="F2779" t="str">
        <f t="shared" si="217"/>
        <v>cogs</v>
      </c>
      <c r="G2779" s="7" t="str">
        <f t="shared" si="218"/>
        <v>product 3</v>
      </c>
      <c r="H2779">
        <f t="shared" si="219"/>
        <v>2025</v>
      </c>
      <c r="I2779">
        <f t="shared" si="220"/>
        <v>1</v>
      </c>
      <c r="J2779">
        <f t="shared" si="216"/>
        <v>-152.91</v>
      </c>
    </row>
    <row r="2780" spans="1:10" ht="12.5" x14ac:dyDescent="0.25">
      <c r="A2780" s="1">
        <v>45677</v>
      </c>
      <c r="B2780" s="2" t="s">
        <v>10</v>
      </c>
      <c r="C2780" s="2" t="s">
        <v>6</v>
      </c>
      <c r="D2780" s="2" t="s">
        <v>6</v>
      </c>
      <c r="E2780" s="3">
        <v>110.91</v>
      </c>
      <c r="F2780" t="str">
        <f t="shared" si="217"/>
        <v>marketing</v>
      </c>
      <c r="G2780" s="7" t="s">
        <v>6</v>
      </c>
      <c r="H2780">
        <f t="shared" si="219"/>
        <v>2025</v>
      </c>
      <c r="I2780">
        <f t="shared" si="220"/>
        <v>1</v>
      </c>
      <c r="J2780">
        <f t="shared" ref="J2780:J2843" si="221">IF(F2563="net sales",E2563,
IF(F2563="cogs",-E2563,
IF(OR(F2563="marketing",F2563="overhead",F2563="payroll",F2563="interest","amortization"),-E2563,0)))</f>
        <v>-1443.3</v>
      </c>
    </row>
    <row r="2781" spans="1:10" ht="12.5" x14ac:dyDescent="0.25">
      <c r="A2781" s="1">
        <v>45677</v>
      </c>
      <c r="B2781" s="2" t="s">
        <v>11</v>
      </c>
      <c r="C2781" s="3">
        <v>9.99</v>
      </c>
      <c r="D2781" s="3">
        <v>31</v>
      </c>
      <c r="E2781" s="3">
        <v>309.69</v>
      </c>
      <c r="F2781" t="str">
        <f t="shared" si="217"/>
        <v>net sales</v>
      </c>
      <c r="G2781" s="7" t="str">
        <f t="shared" si="218"/>
        <v>product 1</v>
      </c>
      <c r="H2781">
        <f t="shared" si="219"/>
        <v>2025</v>
      </c>
      <c r="I2781">
        <f t="shared" si="220"/>
        <v>1</v>
      </c>
      <c r="J2781">
        <f t="shared" si="221"/>
        <v>-99.95</v>
      </c>
    </row>
    <row r="2782" spans="1:10" ht="12.5" x14ac:dyDescent="0.25">
      <c r="A2782" s="1">
        <v>45677</v>
      </c>
      <c r="B2782" s="2" t="s">
        <v>12</v>
      </c>
      <c r="C2782" s="3">
        <v>24.99</v>
      </c>
      <c r="D2782" s="3">
        <v>9</v>
      </c>
      <c r="E2782" s="3">
        <v>224.91</v>
      </c>
      <c r="F2782" t="str">
        <f t="shared" si="217"/>
        <v>net sales</v>
      </c>
      <c r="G2782" s="7" t="str">
        <f t="shared" si="218"/>
        <v>product 2</v>
      </c>
      <c r="H2782">
        <f t="shared" si="219"/>
        <v>2025</v>
      </c>
      <c r="I2782">
        <f t="shared" si="220"/>
        <v>1</v>
      </c>
      <c r="J2782">
        <f t="shared" si="221"/>
        <v>599.4</v>
      </c>
    </row>
    <row r="2783" spans="1:10" ht="12.5" x14ac:dyDescent="0.25">
      <c r="A2783" s="1">
        <v>45677</v>
      </c>
      <c r="B2783" s="2" t="s">
        <v>13</v>
      </c>
      <c r="C2783" s="3">
        <v>12.49</v>
      </c>
      <c r="D2783" s="3">
        <v>9</v>
      </c>
      <c r="E2783" s="3">
        <v>112.41</v>
      </c>
      <c r="F2783" t="str">
        <f t="shared" si="217"/>
        <v>net sales</v>
      </c>
      <c r="G2783" s="7" t="str">
        <f t="shared" si="218"/>
        <v>product 3</v>
      </c>
      <c r="H2783">
        <f t="shared" si="219"/>
        <v>2025</v>
      </c>
      <c r="I2783">
        <f t="shared" si="220"/>
        <v>1</v>
      </c>
      <c r="J2783">
        <f t="shared" si="221"/>
        <v>224.91</v>
      </c>
    </row>
    <row r="2784" spans="1:10" ht="12.5" x14ac:dyDescent="0.25">
      <c r="A2784" s="1">
        <v>45678</v>
      </c>
      <c r="B2784" s="2" t="s">
        <v>7</v>
      </c>
      <c r="C2784" s="3">
        <v>5.49</v>
      </c>
      <c r="D2784" s="3">
        <v>90</v>
      </c>
      <c r="E2784" s="3">
        <v>494.1</v>
      </c>
      <c r="F2784" t="str">
        <f t="shared" si="217"/>
        <v>cogs</v>
      </c>
      <c r="G2784" s="7" t="str">
        <f t="shared" si="218"/>
        <v>product 1</v>
      </c>
      <c r="H2784">
        <f t="shared" si="219"/>
        <v>2025</v>
      </c>
      <c r="I2784">
        <f t="shared" si="220"/>
        <v>1</v>
      </c>
      <c r="J2784">
        <f t="shared" si="221"/>
        <v>2123.3000000000002</v>
      </c>
    </row>
    <row r="2785" spans="1:10" ht="12.5" x14ac:dyDescent="0.25">
      <c r="A2785" s="1">
        <v>45678</v>
      </c>
      <c r="B2785" s="2" t="s">
        <v>8</v>
      </c>
      <c r="C2785" s="3">
        <v>19.989999999999998</v>
      </c>
      <c r="D2785" s="3">
        <v>5</v>
      </c>
      <c r="E2785" s="3">
        <v>99.949999999999989</v>
      </c>
      <c r="F2785" t="str">
        <f t="shared" si="217"/>
        <v>cogs</v>
      </c>
      <c r="G2785" s="7" t="str">
        <f t="shared" si="218"/>
        <v>product 2</v>
      </c>
      <c r="H2785">
        <f t="shared" si="219"/>
        <v>2025</v>
      </c>
      <c r="I2785">
        <f t="shared" si="220"/>
        <v>1</v>
      </c>
      <c r="J2785">
        <f t="shared" si="221"/>
        <v>-299.5</v>
      </c>
    </row>
    <row r="2786" spans="1:10" ht="12.5" x14ac:dyDescent="0.25">
      <c r="A2786" s="1">
        <v>45678</v>
      </c>
      <c r="B2786" s="2" t="s">
        <v>9</v>
      </c>
      <c r="C2786" s="3">
        <v>8.99</v>
      </c>
      <c r="D2786" s="3">
        <v>237</v>
      </c>
      <c r="E2786" s="3">
        <v>2130.63</v>
      </c>
      <c r="F2786" t="str">
        <f t="shared" si="217"/>
        <v>cogs</v>
      </c>
      <c r="G2786" s="7" t="str">
        <f t="shared" si="218"/>
        <v>product 3</v>
      </c>
      <c r="H2786">
        <f t="shared" si="219"/>
        <v>2025</v>
      </c>
      <c r="I2786">
        <f t="shared" si="220"/>
        <v>1</v>
      </c>
      <c r="J2786">
        <f t="shared" si="221"/>
        <v>-101.94</v>
      </c>
    </row>
    <row r="2787" spans="1:10" ht="12.5" x14ac:dyDescent="0.25">
      <c r="A2787" s="1">
        <v>45678</v>
      </c>
      <c r="B2787" s="2" t="s">
        <v>10</v>
      </c>
      <c r="C2787" s="2" t="s">
        <v>6</v>
      </c>
      <c r="D2787" s="2" t="s">
        <v>6</v>
      </c>
      <c r="E2787" s="3">
        <v>116.97</v>
      </c>
      <c r="F2787" t="str">
        <f t="shared" si="217"/>
        <v>marketing</v>
      </c>
      <c r="G2787" s="7" t="s">
        <v>6</v>
      </c>
      <c r="H2787">
        <f t="shared" si="219"/>
        <v>2025</v>
      </c>
      <c r="I2787">
        <f t="shared" si="220"/>
        <v>1</v>
      </c>
      <c r="J2787">
        <f t="shared" si="221"/>
        <v>-1961.19</v>
      </c>
    </row>
    <row r="2788" spans="1:10" ht="12.5" x14ac:dyDescent="0.25">
      <c r="A2788" s="1">
        <v>45678</v>
      </c>
      <c r="B2788" s="2" t="s">
        <v>11</v>
      </c>
      <c r="C2788" s="3">
        <v>9.99</v>
      </c>
      <c r="D2788" s="3">
        <v>90</v>
      </c>
      <c r="E2788" s="3">
        <v>899.1</v>
      </c>
      <c r="F2788" t="str">
        <f t="shared" si="217"/>
        <v>net sales</v>
      </c>
      <c r="G2788" s="7" t="str">
        <f t="shared" si="218"/>
        <v>product 1</v>
      </c>
      <c r="H2788">
        <f t="shared" si="219"/>
        <v>2025</v>
      </c>
      <c r="I2788">
        <f t="shared" si="220"/>
        <v>1</v>
      </c>
      <c r="J2788">
        <f t="shared" si="221"/>
        <v>-99.960000000000008</v>
      </c>
    </row>
    <row r="2789" spans="1:10" ht="12.5" x14ac:dyDescent="0.25">
      <c r="A2789" s="1">
        <v>45678</v>
      </c>
      <c r="B2789" s="2" t="s">
        <v>12</v>
      </c>
      <c r="C2789" s="3">
        <v>24.99</v>
      </c>
      <c r="D2789" s="3">
        <v>5</v>
      </c>
      <c r="E2789" s="3">
        <v>124.94999999999999</v>
      </c>
      <c r="F2789" t="str">
        <f t="shared" si="217"/>
        <v>net sales</v>
      </c>
      <c r="G2789" s="7" t="str">
        <f t="shared" si="218"/>
        <v>product 2</v>
      </c>
      <c r="H2789">
        <f t="shared" si="219"/>
        <v>2025</v>
      </c>
      <c r="I2789">
        <f t="shared" si="220"/>
        <v>1</v>
      </c>
      <c r="J2789">
        <f t="shared" si="221"/>
        <v>499.5</v>
      </c>
    </row>
    <row r="2790" spans="1:10" ht="12.5" x14ac:dyDescent="0.25">
      <c r="A2790" s="1">
        <v>45678</v>
      </c>
      <c r="B2790" s="2" t="s">
        <v>13</v>
      </c>
      <c r="C2790" s="3">
        <v>12.49</v>
      </c>
      <c r="D2790" s="3">
        <v>237</v>
      </c>
      <c r="E2790" s="3">
        <v>2960.13</v>
      </c>
      <c r="F2790" t="str">
        <f t="shared" si="217"/>
        <v>net sales</v>
      </c>
      <c r="G2790" s="7" t="str">
        <f t="shared" si="218"/>
        <v>product 3</v>
      </c>
      <c r="H2790">
        <f t="shared" si="219"/>
        <v>2025</v>
      </c>
      <c r="I2790">
        <f t="shared" si="220"/>
        <v>1</v>
      </c>
      <c r="J2790">
        <f t="shared" si="221"/>
        <v>149.94</v>
      </c>
    </row>
    <row r="2791" spans="1:10" ht="12.5" x14ac:dyDescent="0.25">
      <c r="A2791" s="1">
        <v>45679</v>
      </c>
      <c r="B2791" s="2" t="s">
        <v>7</v>
      </c>
      <c r="C2791" s="3">
        <v>5.49</v>
      </c>
      <c r="D2791" s="3">
        <v>56</v>
      </c>
      <c r="E2791" s="3">
        <v>307.44</v>
      </c>
      <c r="F2791" t="str">
        <f t="shared" si="217"/>
        <v>cogs</v>
      </c>
      <c r="G2791" s="7" t="str">
        <f t="shared" si="218"/>
        <v>product 1</v>
      </c>
      <c r="H2791">
        <f t="shared" si="219"/>
        <v>2025</v>
      </c>
      <c r="I2791">
        <f t="shared" si="220"/>
        <v>1</v>
      </c>
      <c r="J2791">
        <f t="shared" si="221"/>
        <v>2885.19</v>
      </c>
    </row>
    <row r="2792" spans="1:10" ht="12.5" x14ac:dyDescent="0.25">
      <c r="A2792" s="1">
        <v>45679</v>
      </c>
      <c r="B2792" s="2" t="s">
        <v>8</v>
      </c>
      <c r="C2792" s="3">
        <v>19.989999999999998</v>
      </c>
      <c r="D2792" s="3">
        <v>0</v>
      </c>
      <c r="E2792" s="2">
        <f>C2792*D2792</f>
        <v>0</v>
      </c>
      <c r="F2792" t="str">
        <f t="shared" si="217"/>
        <v>cogs</v>
      </c>
      <c r="G2792" s="7" t="str">
        <f t="shared" si="218"/>
        <v>product 2</v>
      </c>
      <c r="H2792">
        <f t="shared" si="219"/>
        <v>2025</v>
      </c>
      <c r="I2792">
        <f t="shared" si="220"/>
        <v>1</v>
      </c>
      <c r="J2792">
        <f t="shared" si="221"/>
        <v>-371.38</v>
      </c>
    </row>
    <row r="2793" spans="1:10" ht="12.5" x14ac:dyDescent="0.25">
      <c r="A2793" s="1">
        <v>45679</v>
      </c>
      <c r="B2793" s="2" t="s">
        <v>9</v>
      </c>
      <c r="C2793" s="3">
        <v>8.99</v>
      </c>
      <c r="D2793" s="3">
        <v>185</v>
      </c>
      <c r="E2793" s="3">
        <v>1663.15</v>
      </c>
      <c r="F2793" t="str">
        <f t="shared" si="217"/>
        <v>cogs</v>
      </c>
      <c r="G2793" s="7" t="str">
        <f t="shared" si="218"/>
        <v>product 3</v>
      </c>
      <c r="H2793">
        <f t="shared" si="219"/>
        <v>2025</v>
      </c>
      <c r="I2793">
        <f t="shared" si="220"/>
        <v>1</v>
      </c>
      <c r="J2793">
        <f t="shared" si="221"/>
        <v>-169.89999999999998</v>
      </c>
    </row>
    <row r="2794" spans="1:10" ht="12.5" x14ac:dyDescent="0.25">
      <c r="A2794" s="1">
        <v>45679</v>
      </c>
      <c r="B2794" s="2" t="s">
        <v>10</v>
      </c>
      <c r="C2794" s="2" t="s">
        <v>6</v>
      </c>
      <c r="D2794" s="2" t="s">
        <v>6</v>
      </c>
      <c r="E2794" s="3">
        <v>101.97</v>
      </c>
      <c r="F2794" t="str">
        <f t="shared" si="217"/>
        <v>marketing</v>
      </c>
      <c r="G2794" s="7" t="s">
        <v>6</v>
      </c>
      <c r="H2794">
        <f t="shared" si="219"/>
        <v>2025</v>
      </c>
      <c r="I2794">
        <f t="shared" si="220"/>
        <v>1</v>
      </c>
      <c r="J2794">
        <f t="shared" si="221"/>
        <v>-203.76</v>
      </c>
    </row>
    <row r="2795" spans="1:10" ht="12.5" x14ac:dyDescent="0.25">
      <c r="A2795" s="1">
        <v>45679</v>
      </c>
      <c r="B2795" s="2" t="s">
        <v>11</v>
      </c>
      <c r="C2795" s="3">
        <v>9.99</v>
      </c>
      <c r="D2795" s="3">
        <v>56</v>
      </c>
      <c r="E2795" s="3">
        <v>559.44000000000005</v>
      </c>
      <c r="F2795" t="str">
        <f t="shared" si="217"/>
        <v>net sales</v>
      </c>
      <c r="G2795" s="7" t="str">
        <f t="shared" si="218"/>
        <v>product 1</v>
      </c>
      <c r="H2795">
        <f t="shared" si="219"/>
        <v>2025</v>
      </c>
      <c r="I2795">
        <f t="shared" si="220"/>
        <v>1</v>
      </c>
      <c r="J2795">
        <f t="shared" si="221"/>
        <v>-99.93</v>
      </c>
    </row>
    <row r="2796" spans="1:10" ht="12.5" x14ac:dyDescent="0.25">
      <c r="A2796" s="1">
        <v>45679</v>
      </c>
      <c r="B2796" s="2" t="s">
        <v>12</v>
      </c>
      <c r="C2796" s="3">
        <v>24.99</v>
      </c>
      <c r="D2796" s="3">
        <v>0</v>
      </c>
      <c r="E2796" s="2">
        <f>C2796*D2796</f>
        <v>0</v>
      </c>
      <c r="F2796" t="str">
        <f t="shared" si="217"/>
        <v>net sales</v>
      </c>
      <c r="G2796" s="7" t="str">
        <f t="shared" si="218"/>
        <v>product 2</v>
      </c>
      <c r="H2796">
        <f t="shared" si="219"/>
        <v>2025</v>
      </c>
      <c r="I2796">
        <f t="shared" si="220"/>
        <v>1</v>
      </c>
      <c r="J2796">
        <f t="shared" si="221"/>
        <v>619.38</v>
      </c>
    </row>
    <row r="2797" spans="1:10" ht="12.5" x14ac:dyDescent="0.25">
      <c r="A2797" s="1">
        <v>45679</v>
      </c>
      <c r="B2797" s="2" t="s">
        <v>13</v>
      </c>
      <c r="C2797" s="3">
        <v>12.49</v>
      </c>
      <c r="D2797" s="3">
        <v>185</v>
      </c>
      <c r="E2797" s="3">
        <v>2310.65</v>
      </c>
      <c r="F2797" t="str">
        <f t="shared" si="217"/>
        <v>net sales</v>
      </c>
      <c r="G2797" s="7" t="str">
        <f t="shared" si="218"/>
        <v>product 3</v>
      </c>
      <c r="H2797">
        <f t="shared" si="219"/>
        <v>2025</v>
      </c>
      <c r="I2797">
        <f t="shared" si="220"/>
        <v>1</v>
      </c>
      <c r="J2797">
        <f t="shared" si="221"/>
        <v>249.89999999999998</v>
      </c>
    </row>
    <row r="2798" spans="1:10" ht="12.5" x14ac:dyDescent="0.25">
      <c r="A2798" s="1">
        <v>45680</v>
      </c>
      <c r="B2798" s="2" t="s">
        <v>7</v>
      </c>
      <c r="C2798" s="3">
        <v>5.49</v>
      </c>
      <c r="D2798" s="3">
        <v>58</v>
      </c>
      <c r="E2798" s="3">
        <v>318.42</v>
      </c>
      <c r="F2798" t="str">
        <f t="shared" si="217"/>
        <v>cogs</v>
      </c>
      <c r="G2798" s="7" t="str">
        <f t="shared" si="218"/>
        <v>product 1</v>
      </c>
      <c r="H2798">
        <f t="shared" si="219"/>
        <v>2025</v>
      </c>
      <c r="I2798">
        <f t="shared" si="220"/>
        <v>1</v>
      </c>
      <c r="J2798">
        <f t="shared" si="221"/>
        <v>299.76</v>
      </c>
    </row>
    <row r="2799" spans="1:10" ht="12.5" x14ac:dyDescent="0.25">
      <c r="A2799" s="1">
        <v>45680</v>
      </c>
      <c r="B2799" s="2" t="s">
        <v>8</v>
      </c>
      <c r="C2799" s="3">
        <v>19.989999999999998</v>
      </c>
      <c r="D2799" s="3">
        <v>7</v>
      </c>
      <c r="E2799" s="3">
        <v>139.92999999999998</v>
      </c>
      <c r="F2799" t="str">
        <f t="shared" si="217"/>
        <v>cogs</v>
      </c>
      <c r="G2799" s="7" t="str">
        <f t="shared" si="218"/>
        <v>product 2</v>
      </c>
      <c r="H2799">
        <f t="shared" si="219"/>
        <v>2025</v>
      </c>
      <c r="I2799">
        <f t="shared" si="220"/>
        <v>1</v>
      </c>
      <c r="J2799">
        <f t="shared" si="221"/>
        <v>-413.31</v>
      </c>
    </row>
    <row r="2800" spans="1:10" ht="12.5" x14ac:dyDescent="0.25">
      <c r="A2800" s="1">
        <v>45680</v>
      </c>
      <c r="B2800" s="2" t="s">
        <v>9</v>
      </c>
      <c r="C2800" s="3">
        <v>8.99</v>
      </c>
      <c r="D2800" s="3">
        <v>233</v>
      </c>
      <c r="E2800" s="3">
        <v>2094.67</v>
      </c>
      <c r="F2800" t="str">
        <f t="shared" si="217"/>
        <v>cogs</v>
      </c>
      <c r="G2800" s="7" t="str">
        <f t="shared" si="218"/>
        <v>product 3</v>
      </c>
      <c r="H2800">
        <f t="shared" si="219"/>
        <v>2025</v>
      </c>
      <c r="I2800">
        <f t="shared" si="220"/>
        <v>1</v>
      </c>
      <c r="J2800">
        <f t="shared" si="221"/>
        <v>-84.949999999999989</v>
      </c>
    </row>
    <row r="2801" spans="1:10" ht="12.5" x14ac:dyDescent="0.25">
      <c r="A2801" s="1">
        <v>45680</v>
      </c>
      <c r="B2801" s="2" t="s">
        <v>10</v>
      </c>
      <c r="C2801" s="2" t="s">
        <v>6</v>
      </c>
      <c r="D2801" s="2" t="s">
        <v>6</v>
      </c>
      <c r="E2801" s="3">
        <v>119.93</v>
      </c>
      <c r="F2801" t="str">
        <f t="shared" si="217"/>
        <v>marketing</v>
      </c>
      <c r="G2801" s="7" t="s">
        <v>6</v>
      </c>
      <c r="H2801">
        <f t="shared" si="219"/>
        <v>2025</v>
      </c>
      <c r="I2801">
        <f t="shared" si="220"/>
        <v>1</v>
      </c>
      <c r="J2801">
        <f t="shared" si="221"/>
        <v>-577.32000000000005</v>
      </c>
    </row>
    <row r="2802" spans="1:10" ht="12.5" x14ac:dyDescent="0.25">
      <c r="A2802" s="1">
        <v>45680</v>
      </c>
      <c r="B2802" s="2" t="s">
        <v>11</v>
      </c>
      <c r="C2802" s="3">
        <v>9.99</v>
      </c>
      <c r="D2802" s="3">
        <v>58</v>
      </c>
      <c r="E2802" s="3">
        <v>579.41999999999996</v>
      </c>
      <c r="F2802" t="str">
        <f t="shared" si="217"/>
        <v>net sales</v>
      </c>
      <c r="G2802" s="7" t="str">
        <f t="shared" si="218"/>
        <v>product 1</v>
      </c>
      <c r="H2802">
        <f t="shared" si="219"/>
        <v>2025</v>
      </c>
      <c r="I2802">
        <f t="shared" si="220"/>
        <v>1</v>
      </c>
      <c r="J2802">
        <f t="shared" si="221"/>
        <v>-99.97</v>
      </c>
    </row>
    <row r="2803" spans="1:10" ht="12.5" x14ac:dyDescent="0.25">
      <c r="A2803" s="1">
        <v>45680</v>
      </c>
      <c r="B2803" s="2" t="s">
        <v>12</v>
      </c>
      <c r="C2803" s="3">
        <v>24.99</v>
      </c>
      <c r="D2803" s="3">
        <v>7</v>
      </c>
      <c r="E2803" s="3">
        <v>174.92999999999998</v>
      </c>
      <c r="F2803" t="str">
        <f t="shared" si="217"/>
        <v>net sales</v>
      </c>
      <c r="G2803" s="7" t="str">
        <f t="shared" si="218"/>
        <v>product 2</v>
      </c>
      <c r="H2803">
        <f t="shared" si="219"/>
        <v>2025</v>
      </c>
      <c r="I2803">
        <f t="shared" si="220"/>
        <v>1</v>
      </c>
      <c r="J2803">
        <f t="shared" si="221"/>
        <v>689.31000000000006</v>
      </c>
    </row>
    <row r="2804" spans="1:10" ht="12.5" x14ac:dyDescent="0.25">
      <c r="A2804" s="1">
        <v>45680</v>
      </c>
      <c r="B2804" s="2" t="s">
        <v>13</v>
      </c>
      <c r="C2804" s="3">
        <v>12.49</v>
      </c>
      <c r="D2804" s="3">
        <v>233</v>
      </c>
      <c r="E2804" s="3">
        <v>2910.17</v>
      </c>
      <c r="F2804" t="str">
        <f t="shared" si="217"/>
        <v>net sales</v>
      </c>
      <c r="G2804" s="7" t="str">
        <f t="shared" si="218"/>
        <v>product 3</v>
      </c>
      <c r="H2804">
        <f t="shared" si="219"/>
        <v>2025</v>
      </c>
      <c r="I2804">
        <f t="shared" si="220"/>
        <v>1</v>
      </c>
      <c r="J2804">
        <f t="shared" si="221"/>
        <v>124.94999999999999</v>
      </c>
    </row>
    <row r="2805" spans="1:10" ht="12.5" x14ac:dyDescent="0.25">
      <c r="A2805" s="1">
        <v>45681</v>
      </c>
      <c r="B2805" s="2" t="s">
        <v>7</v>
      </c>
      <c r="C2805" s="3">
        <v>5.49</v>
      </c>
      <c r="D2805" s="3">
        <v>2</v>
      </c>
      <c r="E2805" s="3">
        <v>10.98</v>
      </c>
      <c r="F2805" t="str">
        <f t="shared" si="217"/>
        <v>cogs</v>
      </c>
      <c r="G2805" s="7" t="str">
        <f t="shared" si="218"/>
        <v>product 1</v>
      </c>
      <c r="H2805">
        <f t="shared" si="219"/>
        <v>2025</v>
      </c>
      <c r="I2805">
        <f t="shared" si="220"/>
        <v>1</v>
      </c>
      <c r="J2805">
        <f t="shared" si="221"/>
        <v>849.32</v>
      </c>
    </row>
    <row r="2806" spans="1:10" ht="12.5" x14ac:dyDescent="0.25">
      <c r="A2806" s="1">
        <v>45681</v>
      </c>
      <c r="B2806" s="2" t="s">
        <v>8</v>
      </c>
      <c r="C2806" s="3">
        <v>19.989999999999998</v>
      </c>
      <c r="D2806" s="3">
        <v>0</v>
      </c>
      <c r="E2806" s="2">
        <f>C2806*D2806</f>
        <v>0</v>
      </c>
      <c r="F2806" t="str">
        <f t="shared" si="217"/>
        <v>cogs</v>
      </c>
      <c r="G2806" s="7" t="str">
        <f t="shared" si="218"/>
        <v>product 2</v>
      </c>
      <c r="H2806">
        <f t="shared" si="219"/>
        <v>2025</v>
      </c>
      <c r="I2806">
        <f t="shared" si="220"/>
        <v>1</v>
      </c>
      <c r="J2806">
        <f t="shared" si="221"/>
        <v>-185.69</v>
      </c>
    </row>
    <row r="2807" spans="1:10" ht="12.5" x14ac:dyDescent="0.25">
      <c r="A2807" s="1">
        <v>45681</v>
      </c>
      <c r="B2807" s="2" t="s">
        <v>9</v>
      </c>
      <c r="C2807" s="3">
        <v>8.99</v>
      </c>
      <c r="D2807" s="3">
        <v>215</v>
      </c>
      <c r="E2807" s="3">
        <v>1932.8500000000001</v>
      </c>
      <c r="F2807" t="str">
        <f t="shared" si="217"/>
        <v>cogs</v>
      </c>
      <c r="G2807" s="7" t="str">
        <f t="shared" si="218"/>
        <v>product 3</v>
      </c>
      <c r="H2807">
        <f t="shared" si="219"/>
        <v>2025</v>
      </c>
      <c r="I2807">
        <f t="shared" si="220"/>
        <v>1</v>
      </c>
      <c r="J2807">
        <f t="shared" si="221"/>
        <v>-50.97</v>
      </c>
    </row>
    <row r="2808" spans="1:10" ht="12.5" x14ac:dyDescent="0.25">
      <c r="A2808" s="1">
        <v>45681</v>
      </c>
      <c r="B2808" s="2" t="s">
        <v>10</v>
      </c>
      <c r="C2808" s="2" t="s">
        <v>6</v>
      </c>
      <c r="D2808" s="2" t="s">
        <v>6</v>
      </c>
      <c r="E2808" s="3">
        <v>118.02</v>
      </c>
      <c r="F2808" t="str">
        <f t="shared" si="217"/>
        <v>marketing</v>
      </c>
      <c r="G2808" s="7" t="s">
        <v>6</v>
      </c>
      <c r="H2808">
        <f t="shared" si="219"/>
        <v>2025</v>
      </c>
      <c r="I2808">
        <f t="shared" si="220"/>
        <v>1</v>
      </c>
      <c r="J2808">
        <f t="shared" si="221"/>
        <v>-1222.56</v>
      </c>
    </row>
    <row r="2809" spans="1:10" ht="12.5" x14ac:dyDescent="0.25">
      <c r="A2809" s="1">
        <v>45681</v>
      </c>
      <c r="B2809" s="2" t="s">
        <v>11</v>
      </c>
      <c r="C2809" s="3">
        <v>9.99</v>
      </c>
      <c r="D2809" s="3">
        <v>2</v>
      </c>
      <c r="E2809" s="3">
        <v>19.98</v>
      </c>
      <c r="F2809" t="str">
        <f t="shared" si="217"/>
        <v>net sales</v>
      </c>
      <c r="G2809" s="7" t="str">
        <f t="shared" si="218"/>
        <v>product 1</v>
      </c>
      <c r="H2809">
        <f t="shared" si="219"/>
        <v>2025</v>
      </c>
      <c r="I2809">
        <f t="shared" si="220"/>
        <v>1</v>
      </c>
      <c r="J2809">
        <f t="shared" si="221"/>
        <v>-100.09</v>
      </c>
    </row>
    <row r="2810" spans="1:10" ht="12.5" x14ac:dyDescent="0.25">
      <c r="A2810" s="1">
        <v>45681</v>
      </c>
      <c r="B2810" s="2" t="s">
        <v>12</v>
      </c>
      <c r="C2810" s="3">
        <v>24.99</v>
      </c>
      <c r="D2810" s="3">
        <v>0</v>
      </c>
      <c r="E2810" s="2">
        <f>C2810*D2810</f>
        <v>0</v>
      </c>
      <c r="F2810" t="str">
        <f t="shared" si="217"/>
        <v>net sales</v>
      </c>
      <c r="G2810" s="7" t="str">
        <f t="shared" si="218"/>
        <v>product 2</v>
      </c>
      <c r="H2810">
        <f t="shared" si="219"/>
        <v>2025</v>
      </c>
      <c r="I2810">
        <f t="shared" si="220"/>
        <v>1</v>
      </c>
      <c r="J2810">
        <f t="shared" si="221"/>
        <v>309.69</v>
      </c>
    </row>
    <row r="2811" spans="1:10" ht="12.5" x14ac:dyDescent="0.25">
      <c r="A2811" s="1">
        <v>45681</v>
      </c>
      <c r="B2811" s="2" t="s">
        <v>13</v>
      </c>
      <c r="C2811" s="3">
        <v>12.49</v>
      </c>
      <c r="D2811" s="3">
        <v>215</v>
      </c>
      <c r="E2811" s="3">
        <v>2685.35</v>
      </c>
      <c r="F2811" t="str">
        <f t="shared" si="217"/>
        <v>net sales</v>
      </c>
      <c r="G2811" s="7" t="str">
        <f t="shared" si="218"/>
        <v>product 3</v>
      </c>
      <c r="H2811">
        <f t="shared" si="219"/>
        <v>2025</v>
      </c>
      <c r="I2811">
        <f t="shared" si="220"/>
        <v>1</v>
      </c>
      <c r="J2811">
        <f t="shared" si="221"/>
        <v>74.97</v>
      </c>
    </row>
    <row r="2812" spans="1:10" ht="12.5" x14ac:dyDescent="0.25">
      <c r="A2812" s="1">
        <v>45682</v>
      </c>
      <c r="B2812" s="2" t="s">
        <v>7</v>
      </c>
      <c r="C2812" s="3">
        <v>5.49</v>
      </c>
      <c r="D2812" s="3">
        <v>70</v>
      </c>
      <c r="E2812" s="3">
        <v>384.3</v>
      </c>
      <c r="F2812" t="str">
        <f t="shared" si="217"/>
        <v>cogs</v>
      </c>
      <c r="G2812" s="7" t="str">
        <f t="shared" si="218"/>
        <v>product 1</v>
      </c>
      <c r="H2812">
        <f t="shared" si="219"/>
        <v>2025</v>
      </c>
      <c r="I2812">
        <f t="shared" si="220"/>
        <v>1</v>
      </c>
      <c r="J2812">
        <f t="shared" si="221"/>
        <v>1798.56</v>
      </c>
    </row>
    <row r="2813" spans="1:10" ht="12.5" x14ac:dyDescent="0.25">
      <c r="A2813" s="1">
        <v>45682</v>
      </c>
      <c r="B2813" s="2" t="s">
        <v>8</v>
      </c>
      <c r="C2813" s="3">
        <v>19.989999999999998</v>
      </c>
      <c r="D2813" s="3">
        <v>1</v>
      </c>
      <c r="E2813" s="3">
        <v>19.989999999999998</v>
      </c>
      <c r="F2813" t="str">
        <f t="shared" si="217"/>
        <v>cogs</v>
      </c>
      <c r="G2813" s="7" t="str">
        <f t="shared" si="218"/>
        <v>product 2</v>
      </c>
      <c r="H2813">
        <f t="shared" si="219"/>
        <v>2025</v>
      </c>
      <c r="I2813">
        <f t="shared" si="220"/>
        <v>1</v>
      </c>
      <c r="J2813">
        <f t="shared" si="221"/>
        <v>-563.06000000000006</v>
      </c>
    </row>
    <row r="2814" spans="1:10" ht="12.5" x14ac:dyDescent="0.25">
      <c r="A2814" s="1">
        <v>45682</v>
      </c>
      <c r="B2814" s="2" t="s">
        <v>9</v>
      </c>
      <c r="C2814" s="3">
        <v>8.99</v>
      </c>
      <c r="D2814" s="3">
        <v>8</v>
      </c>
      <c r="E2814" s="3">
        <v>71.92</v>
      </c>
      <c r="F2814" t="str">
        <f t="shared" si="217"/>
        <v>cogs</v>
      </c>
      <c r="G2814" s="7" t="str">
        <f t="shared" si="218"/>
        <v>product 3</v>
      </c>
      <c r="H2814">
        <f t="shared" si="219"/>
        <v>2025</v>
      </c>
      <c r="I2814">
        <f t="shared" si="220"/>
        <v>1</v>
      </c>
      <c r="J2814">
        <f t="shared" si="221"/>
        <v>-135.91999999999999</v>
      </c>
    </row>
    <row r="2815" spans="1:10" ht="12.5" x14ac:dyDescent="0.25">
      <c r="A2815" s="1">
        <v>45682</v>
      </c>
      <c r="B2815" s="2" t="s">
        <v>10</v>
      </c>
      <c r="C2815" s="2" t="s">
        <v>6</v>
      </c>
      <c r="D2815" s="2" t="s">
        <v>6</v>
      </c>
      <c r="E2815" s="3">
        <v>116.06</v>
      </c>
      <c r="F2815" t="str">
        <f t="shared" si="217"/>
        <v>marketing</v>
      </c>
      <c r="G2815" s="7" t="s">
        <v>6</v>
      </c>
      <c r="H2815">
        <f t="shared" si="219"/>
        <v>2025</v>
      </c>
      <c r="I2815">
        <f t="shared" si="220"/>
        <v>1</v>
      </c>
      <c r="J2815">
        <f t="shared" si="221"/>
        <v>-806.55000000000007</v>
      </c>
    </row>
    <row r="2816" spans="1:10" ht="12.5" x14ac:dyDescent="0.25">
      <c r="A2816" s="1">
        <v>45682</v>
      </c>
      <c r="B2816" s="2" t="s">
        <v>11</v>
      </c>
      <c r="C2816" s="3">
        <v>9.99</v>
      </c>
      <c r="D2816" s="3">
        <v>70</v>
      </c>
      <c r="E2816" s="3">
        <v>699.30000000000007</v>
      </c>
      <c r="F2816" t="str">
        <f t="shared" si="217"/>
        <v>net sales</v>
      </c>
      <c r="G2816" s="7" t="str">
        <f t="shared" si="218"/>
        <v>product 1</v>
      </c>
      <c r="H2816">
        <f t="shared" si="219"/>
        <v>2025</v>
      </c>
      <c r="I2816">
        <f t="shared" si="220"/>
        <v>1</v>
      </c>
      <c r="J2816">
        <f t="shared" si="221"/>
        <v>-100.03</v>
      </c>
    </row>
    <row r="2817" spans="1:10" ht="12.5" x14ac:dyDescent="0.25">
      <c r="A2817" s="1">
        <v>45682</v>
      </c>
      <c r="B2817" s="2" t="s">
        <v>12</v>
      </c>
      <c r="C2817" s="3">
        <v>24.99</v>
      </c>
      <c r="D2817" s="3">
        <v>1</v>
      </c>
      <c r="E2817" s="3">
        <v>24.99</v>
      </c>
      <c r="F2817" t="str">
        <f t="shared" si="217"/>
        <v>net sales</v>
      </c>
      <c r="G2817" s="7" t="str">
        <f t="shared" si="218"/>
        <v>product 2</v>
      </c>
      <c r="H2817">
        <f t="shared" si="219"/>
        <v>2025</v>
      </c>
      <c r="I2817">
        <f t="shared" si="220"/>
        <v>1</v>
      </c>
      <c r="J2817">
        <f t="shared" si="221"/>
        <v>939.06000000000006</v>
      </c>
    </row>
    <row r="2818" spans="1:10" ht="12.5" x14ac:dyDescent="0.25">
      <c r="A2818" s="1">
        <v>45682</v>
      </c>
      <c r="B2818" s="2" t="s">
        <v>13</v>
      </c>
      <c r="C2818" s="3">
        <v>12.49</v>
      </c>
      <c r="D2818" s="3">
        <v>8</v>
      </c>
      <c r="E2818" s="3">
        <v>99.92</v>
      </c>
      <c r="F2818" t="str">
        <f t="shared" si="217"/>
        <v>net sales</v>
      </c>
      <c r="G2818" s="7" t="str">
        <f t="shared" si="218"/>
        <v>product 3</v>
      </c>
      <c r="H2818">
        <f t="shared" si="219"/>
        <v>2025</v>
      </c>
      <c r="I2818">
        <f t="shared" si="220"/>
        <v>1</v>
      </c>
      <c r="J2818">
        <f t="shared" si="221"/>
        <v>199.92</v>
      </c>
    </row>
    <row r="2819" spans="1:10" ht="12.5" x14ac:dyDescent="0.25">
      <c r="A2819" s="1">
        <v>45683</v>
      </c>
      <c r="B2819" s="2" t="s">
        <v>7</v>
      </c>
      <c r="C2819" s="3">
        <v>5.49</v>
      </c>
      <c r="D2819" s="3">
        <v>89</v>
      </c>
      <c r="E2819" s="3">
        <v>488.61</v>
      </c>
      <c r="F2819" t="str">
        <f t="shared" ref="F2819:F2882" si="222">IFERROR(LEFT(B2819,FIND(":",B2819)-1),B2819)</f>
        <v>cogs</v>
      </c>
      <c r="G2819" s="7" t="str">
        <f t="shared" ref="G2819:G2882" si="223">IFERROR(RIGHT(B2819,LEN(B2819)-FIND(":",B2819)),"")</f>
        <v>product 1</v>
      </c>
      <c r="H2819">
        <f t="shared" ref="H2819:H2882" si="224">YEAR(A2819)</f>
        <v>2025</v>
      </c>
      <c r="I2819">
        <f t="shared" ref="I2819:I2882" si="225">MONTH(A2819)</f>
        <v>1</v>
      </c>
      <c r="J2819">
        <f t="shared" si="221"/>
        <v>1186.55</v>
      </c>
    </row>
    <row r="2820" spans="1:10" ht="12.5" x14ac:dyDescent="0.25">
      <c r="A2820" s="1">
        <v>45683</v>
      </c>
      <c r="B2820" s="2" t="s">
        <v>8</v>
      </c>
      <c r="C2820" s="3">
        <v>19.989999999999998</v>
      </c>
      <c r="D2820" s="3">
        <v>9</v>
      </c>
      <c r="E2820" s="3">
        <v>179.91</v>
      </c>
      <c r="F2820" t="str">
        <f t="shared" si="222"/>
        <v>cogs</v>
      </c>
      <c r="G2820" s="7" t="str">
        <f t="shared" si="223"/>
        <v>product 2</v>
      </c>
      <c r="H2820">
        <f t="shared" si="224"/>
        <v>2025</v>
      </c>
      <c r="I2820">
        <f t="shared" si="225"/>
        <v>1</v>
      </c>
      <c r="J2820">
        <f t="shared" si="221"/>
        <v>-173.71</v>
      </c>
    </row>
    <row r="2821" spans="1:10" ht="12.5" x14ac:dyDescent="0.25">
      <c r="A2821" s="1">
        <v>45683</v>
      </c>
      <c r="B2821" s="2" t="s">
        <v>9</v>
      </c>
      <c r="C2821" s="3">
        <v>8.99</v>
      </c>
      <c r="D2821" s="3">
        <v>182</v>
      </c>
      <c r="E2821" s="3">
        <v>1636.18</v>
      </c>
      <c r="F2821" t="str">
        <f t="shared" si="222"/>
        <v>cogs</v>
      </c>
      <c r="G2821" s="7" t="str">
        <f t="shared" si="223"/>
        <v>product 3</v>
      </c>
      <c r="H2821">
        <f t="shared" si="224"/>
        <v>2025</v>
      </c>
      <c r="I2821">
        <f t="shared" si="225"/>
        <v>1</v>
      </c>
      <c r="J2821">
        <f t="shared" si="221"/>
        <v>-33.979999999999997</v>
      </c>
    </row>
    <row r="2822" spans="1:10" ht="12.5" x14ac:dyDescent="0.25">
      <c r="A2822" s="1">
        <v>45683</v>
      </c>
      <c r="B2822" s="2" t="s">
        <v>10</v>
      </c>
      <c r="C2822" s="2" t="s">
        <v>6</v>
      </c>
      <c r="D2822" s="2" t="s">
        <v>6</v>
      </c>
      <c r="E2822" s="3">
        <v>114.95</v>
      </c>
      <c r="F2822" t="str">
        <f t="shared" si="222"/>
        <v>marketing</v>
      </c>
      <c r="G2822" s="7" t="s">
        <v>6</v>
      </c>
      <c r="H2822">
        <f t="shared" si="224"/>
        <v>2025</v>
      </c>
      <c r="I2822">
        <f t="shared" si="225"/>
        <v>1</v>
      </c>
      <c r="J2822">
        <f t="shared" si="221"/>
        <v>-1961.19</v>
      </c>
    </row>
    <row r="2823" spans="1:10" ht="12.5" x14ac:dyDescent="0.25">
      <c r="A2823" s="1">
        <v>45683</v>
      </c>
      <c r="B2823" s="2" t="s">
        <v>11</v>
      </c>
      <c r="C2823" s="3">
        <v>9.99</v>
      </c>
      <c r="D2823" s="3">
        <v>89</v>
      </c>
      <c r="E2823" s="3">
        <v>889.11</v>
      </c>
      <c r="F2823" t="str">
        <f t="shared" si="222"/>
        <v>net sales</v>
      </c>
      <c r="G2823" s="7" t="str">
        <f t="shared" si="223"/>
        <v>product 1</v>
      </c>
      <c r="H2823">
        <f t="shared" si="224"/>
        <v>2025</v>
      </c>
      <c r="I2823">
        <f t="shared" si="225"/>
        <v>1</v>
      </c>
      <c r="J2823">
        <f t="shared" si="221"/>
        <v>-99.95</v>
      </c>
    </row>
    <row r="2824" spans="1:10" ht="12.5" x14ac:dyDescent="0.25">
      <c r="A2824" s="1">
        <v>45683</v>
      </c>
      <c r="B2824" s="2" t="s">
        <v>12</v>
      </c>
      <c r="C2824" s="3">
        <v>24.99</v>
      </c>
      <c r="D2824" s="3">
        <v>9</v>
      </c>
      <c r="E2824" s="3">
        <v>224.91</v>
      </c>
      <c r="F2824" t="str">
        <f t="shared" si="222"/>
        <v>net sales</v>
      </c>
      <c r="G2824" s="7" t="str">
        <f t="shared" si="223"/>
        <v>product 2</v>
      </c>
      <c r="H2824">
        <f t="shared" si="224"/>
        <v>2025</v>
      </c>
      <c r="I2824">
        <f t="shared" si="225"/>
        <v>1</v>
      </c>
      <c r="J2824">
        <f t="shared" si="221"/>
        <v>289.70999999999998</v>
      </c>
    </row>
    <row r="2825" spans="1:10" ht="12.5" x14ac:dyDescent="0.25">
      <c r="A2825" s="1">
        <v>45683</v>
      </c>
      <c r="B2825" s="2" t="s">
        <v>13</v>
      </c>
      <c r="C2825" s="3">
        <v>12.49</v>
      </c>
      <c r="D2825" s="3">
        <v>182</v>
      </c>
      <c r="E2825" s="3">
        <v>2273.1799999999998</v>
      </c>
      <c r="F2825" t="str">
        <f t="shared" si="222"/>
        <v>net sales</v>
      </c>
      <c r="G2825" s="7" t="str">
        <f t="shared" si="223"/>
        <v>product 3</v>
      </c>
      <c r="H2825">
        <f t="shared" si="224"/>
        <v>2025</v>
      </c>
      <c r="I2825">
        <f t="shared" si="225"/>
        <v>1</v>
      </c>
      <c r="J2825">
        <f t="shared" si="221"/>
        <v>49.98</v>
      </c>
    </row>
    <row r="2826" spans="1:10" ht="12.5" x14ac:dyDescent="0.25">
      <c r="A2826" s="1">
        <v>45684</v>
      </c>
      <c r="B2826" s="2" t="s">
        <v>7</v>
      </c>
      <c r="C2826" s="3">
        <v>5.49</v>
      </c>
      <c r="D2826" s="3">
        <v>32</v>
      </c>
      <c r="E2826" s="3">
        <v>175.68</v>
      </c>
      <c r="F2826" t="str">
        <f t="shared" si="222"/>
        <v>cogs</v>
      </c>
      <c r="G2826" s="7" t="str">
        <f t="shared" si="223"/>
        <v>product 1</v>
      </c>
      <c r="H2826">
        <f t="shared" si="224"/>
        <v>2025</v>
      </c>
      <c r="I2826">
        <f t="shared" si="225"/>
        <v>1</v>
      </c>
      <c r="J2826">
        <f t="shared" si="221"/>
        <v>2885.19</v>
      </c>
    </row>
    <row r="2827" spans="1:10" ht="12.5" x14ac:dyDescent="0.25">
      <c r="A2827" s="1">
        <v>45684</v>
      </c>
      <c r="B2827" s="2" t="s">
        <v>8</v>
      </c>
      <c r="C2827" s="3">
        <v>19.989999999999998</v>
      </c>
      <c r="D2827" s="3">
        <v>0</v>
      </c>
      <c r="E2827" s="2">
        <f>C2827*D2827</f>
        <v>0</v>
      </c>
      <c r="F2827" t="str">
        <f t="shared" si="222"/>
        <v>cogs</v>
      </c>
      <c r="G2827" s="7" t="str">
        <f t="shared" si="223"/>
        <v>product 2</v>
      </c>
      <c r="H2827">
        <f t="shared" si="224"/>
        <v>2025</v>
      </c>
      <c r="I2827">
        <f t="shared" si="225"/>
        <v>1</v>
      </c>
      <c r="J2827">
        <f t="shared" si="221"/>
        <v>-329.45</v>
      </c>
    </row>
    <row r="2828" spans="1:10" ht="12.5" x14ac:dyDescent="0.25">
      <c r="A2828" s="1">
        <v>45684</v>
      </c>
      <c r="B2828" s="2" t="s">
        <v>9</v>
      </c>
      <c r="C2828" s="3">
        <v>8.99</v>
      </c>
      <c r="D2828" s="3">
        <v>17</v>
      </c>
      <c r="E2828" s="3">
        <v>152.83000000000001</v>
      </c>
      <c r="F2828" t="str">
        <f t="shared" si="222"/>
        <v>cogs</v>
      </c>
      <c r="G2828" s="7" t="str">
        <f t="shared" si="223"/>
        <v>product 3</v>
      </c>
      <c r="H2828">
        <f t="shared" si="224"/>
        <v>2025</v>
      </c>
      <c r="I2828">
        <f t="shared" si="225"/>
        <v>1</v>
      </c>
      <c r="J2828">
        <f t="shared" si="221"/>
        <v>-152.91</v>
      </c>
    </row>
    <row r="2829" spans="1:10" ht="12.5" x14ac:dyDescent="0.25">
      <c r="A2829" s="1">
        <v>45684</v>
      </c>
      <c r="B2829" s="2" t="s">
        <v>10</v>
      </c>
      <c r="C2829" s="2" t="s">
        <v>6</v>
      </c>
      <c r="D2829" s="2" t="s">
        <v>6</v>
      </c>
      <c r="E2829" s="3">
        <v>107.94</v>
      </c>
      <c r="F2829" t="str">
        <f t="shared" si="222"/>
        <v>marketing</v>
      </c>
      <c r="G2829" s="7" t="s">
        <v>6</v>
      </c>
      <c r="H2829">
        <f t="shared" si="224"/>
        <v>2025</v>
      </c>
      <c r="I2829">
        <f t="shared" si="225"/>
        <v>1</v>
      </c>
      <c r="J2829">
        <f t="shared" si="221"/>
        <v>-1494.24</v>
      </c>
    </row>
    <row r="2830" spans="1:10" ht="12.5" x14ac:dyDescent="0.25">
      <c r="A2830" s="1">
        <v>45684</v>
      </c>
      <c r="B2830" s="2" t="s">
        <v>11</v>
      </c>
      <c r="C2830" s="3">
        <v>9.99</v>
      </c>
      <c r="D2830" s="3">
        <v>32</v>
      </c>
      <c r="E2830" s="3">
        <v>319.68</v>
      </c>
      <c r="F2830" t="str">
        <f t="shared" si="222"/>
        <v>net sales</v>
      </c>
      <c r="G2830" s="7" t="str">
        <f t="shared" si="223"/>
        <v>product 1</v>
      </c>
      <c r="H2830">
        <f t="shared" si="224"/>
        <v>2025</v>
      </c>
      <c r="I2830">
        <f t="shared" si="225"/>
        <v>1</v>
      </c>
      <c r="J2830">
        <f t="shared" si="221"/>
        <v>-100.06</v>
      </c>
    </row>
    <row r="2831" spans="1:10" ht="12.5" x14ac:dyDescent="0.25">
      <c r="A2831" s="1">
        <v>45684</v>
      </c>
      <c r="B2831" s="2" t="s">
        <v>12</v>
      </c>
      <c r="C2831" s="3">
        <v>24.99</v>
      </c>
      <c r="D2831" s="3">
        <v>0</v>
      </c>
      <c r="E2831" s="2">
        <f>C2831*D2831</f>
        <v>0</v>
      </c>
      <c r="F2831" t="str">
        <f t="shared" si="222"/>
        <v>net sales</v>
      </c>
      <c r="G2831" s="7" t="str">
        <f t="shared" si="223"/>
        <v>product 2</v>
      </c>
      <c r="H2831">
        <f t="shared" si="224"/>
        <v>2025</v>
      </c>
      <c r="I2831">
        <f t="shared" si="225"/>
        <v>1</v>
      </c>
      <c r="J2831">
        <f t="shared" si="221"/>
        <v>549.45000000000005</v>
      </c>
    </row>
    <row r="2832" spans="1:10" ht="12.5" x14ac:dyDescent="0.25">
      <c r="A2832" s="1">
        <v>45684</v>
      </c>
      <c r="B2832" s="2" t="s">
        <v>13</v>
      </c>
      <c r="C2832" s="3">
        <v>12.49</v>
      </c>
      <c r="D2832" s="3">
        <v>17</v>
      </c>
      <c r="E2832" s="3">
        <v>212.33</v>
      </c>
      <c r="F2832" t="str">
        <f t="shared" si="222"/>
        <v>net sales</v>
      </c>
      <c r="G2832" s="7" t="str">
        <f t="shared" si="223"/>
        <v>product 3</v>
      </c>
      <c r="H2832">
        <f t="shared" si="224"/>
        <v>2025</v>
      </c>
      <c r="I2832">
        <f t="shared" si="225"/>
        <v>1</v>
      </c>
      <c r="J2832">
        <f t="shared" si="221"/>
        <v>224.91</v>
      </c>
    </row>
    <row r="2833" spans="1:10" ht="12.5" x14ac:dyDescent="0.25">
      <c r="A2833" s="1">
        <v>45685</v>
      </c>
      <c r="B2833" s="2" t="s">
        <v>7</v>
      </c>
      <c r="C2833" s="3">
        <v>5.49</v>
      </c>
      <c r="D2833" s="3">
        <v>53</v>
      </c>
      <c r="E2833" s="3">
        <v>290.97000000000003</v>
      </c>
      <c r="F2833" t="str">
        <f t="shared" si="222"/>
        <v>cogs</v>
      </c>
      <c r="G2833" s="7" t="str">
        <f t="shared" si="223"/>
        <v>product 1</v>
      </c>
      <c r="H2833">
        <f t="shared" si="224"/>
        <v>2025</v>
      </c>
      <c r="I2833">
        <f t="shared" si="225"/>
        <v>1</v>
      </c>
      <c r="J2833">
        <f t="shared" si="221"/>
        <v>2198.2400000000002</v>
      </c>
    </row>
    <row r="2834" spans="1:10" ht="12.5" x14ac:dyDescent="0.25">
      <c r="A2834" s="1">
        <v>45685</v>
      </c>
      <c r="B2834" s="2" t="s">
        <v>8</v>
      </c>
      <c r="C2834" s="3">
        <v>19.989999999999998</v>
      </c>
      <c r="D2834" s="3">
        <v>0</v>
      </c>
      <c r="E2834" s="2">
        <f t="shared" ref="E2834:E2835" si="226">C2834*D2834</f>
        <v>0</v>
      </c>
      <c r="F2834" t="str">
        <f t="shared" si="222"/>
        <v>cogs</v>
      </c>
      <c r="G2834" s="7" t="str">
        <f t="shared" si="223"/>
        <v>product 2</v>
      </c>
      <c r="H2834">
        <f t="shared" si="224"/>
        <v>2025</v>
      </c>
      <c r="I2834">
        <f t="shared" si="225"/>
        <v>1</v>
      </c>
      <c r="J2834">
        <f t="shared" si="221"/>
        <v>-59.900000000000006</v>
      </c>
    </row>
    <row r="2835" spans="1:10" ht="12.5" x14ac:dyDescent="0.25">
      <c r="A2835" s="1">
        <v>45685</v>
      </c>
      <c r="B2835" s="2" t="s">
        <v>9</v>
      </c>
      <c r="C2835" s="3">
        <v>8.99</v>
      </c>
      <c r="D2835" s="3">
        <v>0</v>
      </c>
      <c r="E2835" s="2">
        <f t="shared" si="226"/>
        <v>0</v>
      </c>
      <c r="F2835" t="str">
        <f t="shared" si="222"/>
        <v>cogs</v>
      </c>
      <c r="G2835" s="7" t="str">
        <f t="shared" si="223"/>
        <v>product 3</v>
      </c>
      <c r="H2835">
        <f t="shared" si="224"/>
        <v>2025</v>
      </c>
      <c r="I2835">
        <f t="shared" si="225"/>
        <v>1</v>
      </c>
      <c r="J2835">
        <f t="shared" si="221"/>
        <v>-67.959999999999994</v>
      </c>
    </row>
    <row r="2836" spans="1:10" ht="12.5" x14ac:dyDescent="0.25">
      <c r="A2836" s="1">
        <v>45685</v>
      </c>
      <c r="B2836" s="2" t="s">
        <v>10</v>
      </c>
      <c r="C2836" s="2" t="s">
        <v>6</v>
      </c>
      <c r="D2836" s="2" t="s">
        <v>6</v>
      </c>
      <c r="E2836" s="3">
        <v>110.95</v>
      </c>
      <c r="F2836" t="str">
        <f t="shared" si="222"/>
        <v>marketing</v>
      </c>
      <c r="G2836" s="7" t="s">
        <v>6</v>
      </c>
      <c r="H2836">
        <f t="shared" si="224"/>
        <v>2025</v>
      </c>
      <c r="I2836">
        <f t="shared" si="225"/>
        <v>1</v>
      </c>
      <c r="J2836">
        <f t="shared" si="221"/>
        <v>-1281.99</v>
      </c>
    </row>
    <row r="2837" spans="1:10" ht="12.5" x14ac:dyDescent="0.25">
      <c r="A2837" s="1">
        <v>45685</v>
      </c>
      <c r="B2837" s="2" t="s">
        <v>11</v>
      </c>
      <c r="C2837" s="3">
        <v>9.99</v>
      </c>
      <c r="D2837" s="3">
        <v>53</v>
      </c>
      <c r="E2837" s="3">
        <v>529.47</v>
      </c>
      <c r="F2837" t="str">
        <f t="shared" si="222"/>
        <v>net sales</v>
      </c>
      <c r="G2837" s="7" t="str">
        <f t="shared" si="223"/>
        <v>product 1</v>
      </c>
      <c r="H2837">
        <f t="shared" si="224"/>
        <v>2025</v>
      </c>
      <c r="I2837">
        <f t="shared" si="225"/>
        <v>1</v>
      </c>
      <c r="J2837">
        <f t="shared" si="221"/>
        <v>-99.94</v>
      </c>
    </row>
    <row r="2838" spans="1:10" ht="12.5" x14ac:dyDescent="0.25">
      <c r="A2838" s="1">
        <v>45685</v>
      </c>
      <c r="B2838" s="2" t="s">
        <v>12</v>
      </c>
      <c r="C2838" s="3">
        <v>24.99</v>
      </c>
      <c r="D2838" s="3">
        <v>0</v>
      </c>
      <c r="E2838" s="2">
        <f t="shared" ref="E2838:E2839" si="227">C2838*D2838</f>
        <v>0</v>
      </c>
      <c r="F2838" t="str">
        <f t="shared" si="222"/>
        <v>net sales</v>
      </c>
      <c r="G2838" s="7" t="str">
        <f t="shared" si="223"/>
        <v>product 2</v>
      </c>
      <c r="H2838">
        <f t="shared" si="224"/>
        <v>2025</v>
      </c>
      <c r="I2838">
        <f t="shared" si="225"/>
        <v>1</v>
      </c>
      <c r="J2838">
        <f t="shared" si="221"/>
        <v>99.9</v>
      </c>
    </row>
    <row r="2839" spans="1:10" ht="12.5" x14ac:dyDescent="0.25">
      <c r="A2839" s="1">
        <v>45685</v>
      </c>
      <c r="B2839" s="2" t="s">
        <v>13</v>
      </c>
      <c r="C2839" s="3">
        <v>12.49</v>
      </c>
      <c r="D2839" s="3">
        <v>0</v>
      </c>
      <c r="E2839" s="2">
        <f t="shared" si="227"/>
        <v>0</v>
      </c>
      <c r="F2839" t="str">
        <f t="shared" si="222"/>
        <v>net sales</v>
      </c>
      <c r="G2839" s="7" t="str">
        <f t="shared" si="223"/>
        <v>product 3</v>
      </c>
      <c r="H2839">
        <f t="shared" si="224"/>
        <v>2025</v>
      </c>
      <c r="I2839">
        <f t="shared" si="225"/>
        <v>1</v>
      </c>
      <c r="J2839">
        <f t="shared" si="221"/>
        <v>99.96</v>
      </c>
    </row>
    <row r="2840" spans="1:10" ht="12.5" x14ac:dyDescent="0.25">
      <c r="A2840" s="1">
        <v>45686</v>
      </c>
      <c r="B2840" s="2" t="s">
        <v>7</v>
      </c>
      <c r="C2840" s="3">
        <v>5.49</v>
      </c>
      <c r="D2840" s="3">
        <v>46</v>
      </c>
      <c r="E2840" s="3">
        <v>252.54000000000002</v>
      </c>
      <c r="F2840" t="str">
        <f t="shared" si="222"/>
        <v>cogs</v>
      </c>
      <c r="G2840" s="7" t="str">
        <f t="shared" si="223"/>
        <v>product 1</v>
      </c>
      <c r="H2840">
        <f t="shared" si="224"/>
        <v>2025</v>
      </c>
      <c r="I2840">
        <f t="shared" si="225"/>
        <v>1</v>
      </c>
      <c r="J2840">
        <f t="shared" si="221"/>
        <v>1885.99</v>
      </c>
    </row>
    <row r="2841" spans="1:10" ht="12.5" x14ac:dyDescent="0.25">
      <c r="A2841" s="1">
        <v>45686</v>
      </c>
      <c r="B2841" s="2" t="s">
        <v>8</v>
      </c>
      <c r="C2841" s="3">
        <v>19.989999999999998</v>
      </c>
      <c r="D2841" s="3">
        <v>4</v>
      </c>
      <c r="E2841" s="3">
        <v>79.959999999999994</v>
      </c>
      <c r="F2841" t="str">
        <f t="shared" si="222"/>
        <v>cogs</v>
      </c>
      <c r="G2841" s="7" t="str">
        <f t="shared" si="223"/>
        <v>product 2</v>
      </c>
      <c r="H2841">
        <f t="shared" si="224"/>
        <v>2025</v>
      </c>
      <c r="I2841">
        <f t="shared" si="225"/>
        <v>1</v>
      </c>
      <c r="J2841">
        <f t="shared" si="221"/>
        <v>-557.07000000000005</v>
      </c>
    </row>
    <row r="2842" spans="1:10" ht="12.5" x14ac:dyDescent="0.25">
      <c r="A2842" s="1">
        <v>45686</v>
      </c>
      <c r="B2842" s="2" t="s">
        <v>9</v>
      </c>
      <c r="C2842" s="3">
        <v>8.99</v>
      </c>
      <c r="D2842" s="3">
        <v>189</v>
      </c>
      <c r="E2842" s="3">
        <v>1699.1100000000001</v>
      </c>
      <c r="F2842" t="str">
        <f t="shared" si="222"/>
        <v>cogs</v>
      </c>
      <c r="G2842" s="7" t="str">
        <f t="shared" si="223"/>
        <v>product 3</v>
      </c>
      <c r="H2842">
        <f t="shared" si="224"/>
        <v>2025</v>
      </c>
      <c r="I2842">
        <f t="shared" si="225"/>
        <v>1</v>
      </c>
      <c r="J2842">
        <f t="shared" si="221"/>
        <v>-169.89999999999998</v>
      </c>
    </row>
    <row r="2843" spans="1:10" ht="12.5" x14ac:dyDescent="0.25">
      <c r="A2843" s="1">
        <v>45686</v>
      </c>
      <c r="B2843" s="2" t="s">
        <v>10</v>
      </c>
      <c r="C2843" s="2" t="s">
        <v>6</v>
      </c>
      <c r="D2843" s="2" t="s">
        <v>6</v>
      </c>
      <c r="E2843" s="3">
        <v>107.03</v>
      </c>
      <c r="F2843" t="str">
        <f t="shared" si="222"/>
        <v>marketing</v>
      </c>
      <c r="G2843" s="7" t="s">
        <v>6</v>
      </c>
      <c r="H2843">
        <f t="shared" si="224"/>
        <v>2025</v>
      </c>
      <c r="I2843">
        <f t="shared" si="225"/>
        <v>1</v>
      </c>
      <c r="J2843">
        <f t="shared" si="221"/>
        <v>-534.87</v>
      </c>
    </row>
    <row r="2844" spans="1:10" ht="12.5" x14ac:dyDescent="0.25">
      <c r="A2844" s="1">
        <v>45686</v>
      </c>
      <c r="B2844" s="2" t="s">
        <v>11</v>
      </c>
      <c r="C2844" s="3">
        <v>9.99</v>
      </c>
      <c r="D2844" s="3">
        <v>46</v>
      </c>
      <c r="E2844" s="3">
        <v>459.54</v>
      </c>
      <c r="F2844" t="str">
        <f t="shared" si="222"/>
        <v>net sales</v>
      </c>
      <c r="G2844" s="7" t="str">
        <f t="shared" si="223"/>
        <v>product 1</v>
      </c>
      <c r="H2844">
        <f t="shared" si="224"/>
        <v>2025</v>
      </c>
      <c r="I2844">
        <f t="shared" si="225"/>
        <v>1</v>
      </c>
      <c r="J2844">
        <f t="shared" ref="J2844:J2907" si="228">IF(F2627="net sales",E2627,
IF(F2627="cogs",-E2627,
IF(OR(F2627="marketing",F2627="overhead",F2627="payroll",F2627="interest","amortization"),-E2627,0)))</f>
        <v>-100.09</v>
      </c>
    </row>
    <row r="2845" spans="1:10" ht="12.5" x14ac:dyDescent="0.25">
      <c r="A2845" s="1">
        <v>45686</v>
      </c>
      <c r="B2845" s="2" t="s">
        <v>12</v>
      </c>
      <c r="C2845" s="3">
        <v>24.99</v>
      </c>
      <c r="D2845" s="3">
        <v>4</v>
      </c>
      <c r="E2845" s="3">
        <v>99.96</v>
      </c>
      <c r="F2845" t="str">
        <f t="shared" si="222"/>
        <v>net sales</v>
      </c>
      <c r="G2845" s="7" t="str">
        <f t="shared" si="223"/>
        <v>product 2</v>
      </c>
      <c r="H2845">
        <f t="shared" si="224"/>
        <v>2025</v>
      </c>
      <c r="I2845">
        <f t="shared" si="225"/>
        <v>1</v>
      </c>
      <c r="J2845">
        <f t="shared" si="228"/>
        <v>929.07</v>
      </c>
    </row>
    <row r="2846" spans="1:10" ht="12.5" x14ac:dyDescent="0.25">
      <c r="A2846" s="1">
        <v>45686</v>
      </c>
      <c r="B2846" s="2" t="s">
        <v>13</v>
      </c>
      <c r="C2846" s="3">
        <v>12.49</v>
      </c>
      <c r="D2846" s="3">
        <v>189</v>
      </c>
      <c r="E2846" s="3">
        <v>2360.61</v>
      </c>
      <c r="F2846" t="str">
        <f t="shared" si="222"/>
        <v>net sales</v>
      </c>
      <c r="G2846" s="7" t="str">
        <f t="shared" si="223"/>
        <v>product 3</v>
      </c>
      <c r="H2846">
        <f t="shared" si="224"/>
        <v>2025</v>
      </c>
      <c r="I2846">
        <f t="shared" si="225"/>
        <v>1</v>
      </c>
      <c r="J2846">
        <f t="shared" si="228"/>
        <v>249.89999999999998</v>
      </c>
    </row>
    <row r="2847" spans="1:10" ht="12.5" x14ac:dyDescent="0.25">
      <c r="A2847" s="1">
        <v>45687</v>
      </c>
      <c r="B2847" s="2" t="s">
        <v>7</v>
      </c>
      <c r="C2847" s="3">
        <v>5.49</v>
      </c>
      <c r="D2847" s="3">
        <v>7</v>
      </c>
      <c r="E2847" s="3">
        <v>38.43</v>
      </c>
      <c r="F2847" t="str">
        <f t="shared" si="222"/>
        <v>cogs</v>
      </c>
      <c r="G2847" s="7" t="str">
        <f t="shared" si="223"/>
        <v>product 1</v>
      </c>
      <c r="H2847">
        <f t="shared" si="224"/>
        <v>2025</v>
      </c>
      <c r="I2847">
        <f t="shared" si="225"/>
        <v>1</v>
      </c>
      <c r="J2847">
        <f t="shared" si="228"/>
        <v>786.87</v>
      </c>
    </row>
    <row r="2848" spans="1:10" ht="12.5" x14ac:dyDescent="0.25">
      <c r="A2848" s="1">
        <v>45687</v>
      </c>
      <c r="B2848" s="2" t="s">
        <v>8</v>
      </c>
      <c r="C2848" s="3">
        <v>19.989999999999998</v>
      </c>
      <c r="D2848" s="3">
        <v>6</v>
      </c>
      <c r="E2848" s="3">
        <v>119.94</v>
      </c>
      <c r="F2848" t="str">
        <f t="shared" si="222"/>
        <v>cogs</v>
      </c>
      <c r="G2848" s="7" t="str">
        <f t="shared" si="223"/>
        <v>product 2</v>
      </c>
      <c r="H2848">
        <f t="shared" si="224"/>
        <v>2025</v>
      </c>
      <c r="I2848">
        <f t="shared" si="225"/>
        <v>1</v>
      </c>
      <c r="J2848">
        <f t="shared" si="228"/>
        <v>-485.19</v>
      </c>
    </row>
    <row r="2849" spans="1:10" ht="12.5" x14ac:dyDescent="0.25">
      <c r="A2849" s="1">
        <v>45687</v>
      </c>
      <c r="B2849" s="2" t="s">
        <v>9</v>
      </c>
      <c r="C2849" s="3">
        <v>8.99</v>
      </c>
      <c r="D2849" s="3">
        <v>16</v>
      </c>
      <c r="E2849" s="3">
        <v>143.84</v>
      </c>
      <c r="F2849" t="str">
        <f t="shared" si="222"/>
        <v>cogs</v>
      </c>
      <c r="G2849" s="7" t="str">
        <f t="shared" si="223"/>
        <v>product 3</v>
      </c>
      <c r="H2849">
        <f t="shared" si="224"/>
        <v>2025</v>
      </c>
      <c r="I2849">
        <f t="shared" si="225"/>
        <v>1</v>
      </c>
      <c r="J2849">
        <f t="shared" si="228"/>
        <v>-33.979999999999997</v>
      </c>
    </row>
    <row r="2850" spans="1:10" ht="12.5" x14ac:dyDescent="0.25">
      <c r="A2850" s="1">
        <v>45687</v>
      </c>
      <c r="B2850" s="2" t="s">
        <v>10</v>
      </c>
      <c r="C2850" s="2" t="s">
        <v>6</v>
      </c>
      <c r="D2850" s="2" t="s">
        <v>6</v>
      </c>
      <c r="E2850" s="3">
        <v>107.97</v>
      </c>
      <c r="F2850" t="str">
        <f t="shared" si="222"/>
        <v>marketing</v>
      </c>
      <c r="G2850" s="7" t="s">
        <v>6</v>
      </c>
      <c r="H2850">
        <f t="shared" si="224"/>
        <v>2025</v>
      </c>
      <c r="I2850">
        <f t="shared" si="225"/>
        <v>1</v>
      </c>
      <c r="J2850">
        <f t="shared" si="228"/>
        <v>-135.84</v>
      </c>
    </row>
    <row r="2851" spans="1:10" ht="12.5" x14ac:dyDescent="0.25">
      <c r="A2851" s="1">
        <v>45687</v>
      </c>
      <c r="B2851" s="2" t="s">
        <v>11</v>
      </c>
      <c r="C2851" s="3">
        <v>9.99</v>
      </c>
      <c r="D2851" s="3">
        <v>7</v>
      </c>
      <c r="E2851" s="3">
        <v>69.930000000000007</v>
      </c>
      <c r="F2851" t="str">
        <f t="shared" si="222"/>
        <v>net sales</v>
      </c>
      <c r="G2851" s="7" t="str">
        <f t="shared" si="223"/>
        <v>product 1</v>
      </c>
      <c r="H2851">
        <f t="shared" si="224"/>
        <v>2025</v>
      </c>
      <c r="I2851">
        <f t="shared" si="225"/>
        <v>1</v>
      </c>
      <c r="J2851">
        <f t="shared" si="228"/>
        <v>-99.91</v>
      </c>
    </row>
    <row r="2852" spans="1:10" ht="12.5" x14ac:dyDescent="0.25">
      <c r="A2852" s="1">
        <v>45687</v>
      </c>
      <c r="B2852" s="2" t="s">
        <v>12</v>
      </c>
      <c r="C2852" s="3">
        <v>24.99</v>
      </c>
      <c r="D2852" s="3">
        <v>6</v>
      </c>
      <c r="E2852" s="3">
        <v>149.94</v>
      </c>
      <c r="F2852" t="str">
        <f t="shared" si="222"/>
        <v>net sales</v>
      </c>
      <c r="G2852" s="7" t="str">
        <f t="shared" si="223"/>
        <v>product 2</v>
      </c>
      <c r="H2852">
        <f t="shared" si="224"/>
        <v>2025</v>
      </c>
      <c r="I2852">
        <f t="shared" si="225"/>
        <v>1</v>
      </c>
      <c r="J2852">
        <f t="shared" si="228"/>
        <v>809.19</v>
      </c>
    </row>
    <row r="2853" spans="1:10" ht="12.5" x14ac:dyDescent="0.25">
      <c r="A2853" s="1">
        <v>45687</v>
      </c>
      <c r="B2853" s="2" t="s">
        <v>13</v>
      </c>
      <c r="C2853" s="3">
        <v>12.49</v>
      </c>
      <c r="D2853" s="3">
        <v>16</v>
      </c>
      <c r="E2853" s="3">
        <v>199.84</v>
      </c>
      <c r="F2853" t="str">
        <f t="shared" si="222"/>
        <v>net sales</v>
      </c>
      <c r="G2853" s="7" t="str">
        <f t="shared" si="223"/>
        <v>product 3</v>
      </c>
      <c r="H2853">
        <f t="shared" si="224"/>
        <v>2025</v>
      </c>
      <c r="I2853">
        <f t="shared" si="225"/>
        <v>1</v>
      </c>
      <c r="J2853">
        <f t="shared" si="228"/>
        <v>49.98</v>
      </c>
    </row>
    <row r="2854" spans="1:10" ht="12.5" x14ac:dyDescent="0.25">
      <c r="A2854" s="1">
        <v>45688</v>
      </c>
      <c r="B2854" s="2" t="s">
        <v>7</v>
      </c>
      <c r="C2854" s="3">
        <v>5.49</v>
      </c>
      <c r="D2854" s="3">
        <v>54</v>
      </c>
      <c r="E2854" s="3">
        <v>296.46000000000004</v>
      </c>
      <c r="F2854" t="str">
        <f t="shared" si="222"/>
        <v>cogs</v>
      </c>
      <c r="G2854" s="7" t="str">
        <f t="shared" si="223"/>
        <v>product 1</v>
      </c>
      <c r="H2854">
        <f t="shared" si="224"/>
        <v>2025</v>
      </c>
      <c r="I2854">
        <f t="shared" si="225"/>
        <v>1</v>
      </c>
      <c r="J2854">
        <f t="shared" si="228"/>
        <v>199.84</v>
      </c>
    </row>
    <row r="2855" spans="1:10" ht="12.5" x14ac:dyDescent="0.25">
      <c r="A2855" s="1">
        <v>45688</v>
      </c>
      <c r="B2855" s="2" t="s">
        <v>8</v>
      </c>
      <c r="C2855" s="3">
        <v>19.989999999999998</v>
      </c>
      <c r="D2855" s="3">
        <v>6</v>
      </c>
      <c r="E2855" s="3">
        <v>119.94</v>
      </c>
      <c r="F2855" t="str">
        <f t="shared" si="222"/>
        <v>cogs</v>
      </c>
      <c r="G2855" s="7" t="str">
        <f t="shared" si="223"/>
        <v>product 2</v>
      </c>
      <c r="H2855">
        <f t="shared" si="224"/>
        <v>2025</v>
      </c>
      <c r="I2855">
        <f t="shared" si="225"/>
        <v>1</v>
      </c>
      <c r="J2855">
        <f t="shared" si="228"/>
        <v>0</v>
      </c>
    </row>
    <row r="2856" spans="1:10" ht="12.5" x14ac:dyDescent="0.25">
      <c r="A2856" s="1">
        <v>45688</v>
      </c>
      <c r="B2856" s="2" t="s">
        <v>9</v>
      </c>
      <c r="C2856" s="3">
        <v>8.99</v>
      </c>
      <c r="D2856" s="3">
        <v>64</v>
      </c>
      <c r="E2856" s="3">
        <v>575.36</v>
      </c>
      <c r="F2856" t="str">
        <f t="shared" si="222"/>
        <v>cogs</v>
      </c>
      <c r="G2856" s="7" t="str">
        <f t="shared" si="223"/>
        <v>product 3</v>
      </c>
      <c r="H2856">
        <f t="shared" si="224"/>
        <v>2025</v>
      </c>
      <c r="I2856">
        <f t="shared" si="225"/>
        <v>1</v>
      </c>
      <c r="J2856">
        <f t="shared" si="228"/>
        <v>-318.42</v>
      </c>
    </row>
    <row r="2857" spans="1:10" ht="12.5" x14ac:dyDescent="0.25">
      <c r="A2857" s="1">
        <v>45688</v>
      </c>
      <c r="B2857" s="2" t="s">
        <v>10</v>
      </c>
      <c r="C2857" s="2" t="s">
        <v>6</v>
      </c>
      <c r="D2857" s="2" t="s">
        <v>6</v>
      </c>
      <c r="E2857" s="3">
        <v>116.05</v>
      </c>
      <c r="F2857" t="str">
        <f t="shared" si="222"/>
        <v>marketing</v>
      </c>
      <c r="G2857" s="7" t="s">
        <v>6</v>
      </c>
      <c r="H2857">
        <f t="shared" si="224"/>
        <v>2025</v>
      </c>
      <c r="I2857">
        <f t="shared" si="225"/>
        <v>1</v>
      </c>
      <c r="J2857">
        <f t="shared" si="228"/>
        <v>-139.92999999999998</v>
      </c>
    </row>
    <row r="2858" spans="1:10" ht="12.5" x14ac:dyDescent="0.25">
      <c r="A2858" s="1">
        <v>45688</v>
      </c>
      <c r="B2858" s="2" t="s">
        <v>11</v>
      </c>
      <c r="C2858" s="3">
        <v>9.99</v>
      </c>
      <c r="D2858" s="3">
        <v>54</v>
      </c>
      <c r="E2858" s="3">
        <v>539.46</v>
      </c>
      <c r="F2858" t="str">
        <f t="shared" si="222"/>
        <v>net sales</v>
      </c>
      <c r="G2858" s="7" t="str">
        <f t="shared" si="223"/>
        <v>product 1</v>
      </c>
      <c r="H2858">
        <f t="shared" si="224"/>
        <v>2025</v>
      </c>
      <c r="I2858">
        <f t="shared" si="225"/>
        <v>1</v>
      </c>
      <c r="J2858">
        <f t="shared" si="228"/>
        <v>-809.1</v>
      </c>
    </row>
    <row r="2859" spans="1:10" ht="12.5" x14ac:dyDescent="0.25">
      <c r="A2859" s="1">
        <v>45688</v>
      </c>
      <c r="B2859" s="2" t="s">
        <v>12</v>
      </c>
      <c r="C2859" s="3">
        <v>24.99</v>
      </c>
      <c r="D2859" s="3">
        <v>6</v>
      </c>
      <c r="E2859" s="3">
        <v>149.94</v>
      </c>
      <c r="F2859" t="str">
        <f t="shared" si="222"/>
        <v>net sales</v>
      </c>
      <c r="G2859" s="7" t="str">
        <f t="shared" si="223"/>
        <v>product 2</v>
      </c>
      <c r="H2859">
        <f t="shared" si="224"/>
        <v>2025</v>
      </c>
      <c r="I2859">
        <f t="shared" si="225"/>
        <v>1</v>
      </c>
      <c r="J2859">
        <f t="shared" si="228"/>
        <v>-118.02</v>
      </c>
    </row>
    <row r="2860" spans="1:10" ht="12.5" x14ac:dyDescent="0.25">
      <c r="A2860" s="1">
        <v>45688</v>
      </c>
      <c r="B2860" s="2" t="s">
        <v>13</v>
      </c>
      <c r="C2860" s="3">
        <v>12.49</v>
      </c>
      <c r="D2860" s="3">
        <v>64</v>
      </c>
      <c r="E2860" s="3">
        <v>799.36</v>
      </c>
      <c r="F2860" t="str">
        <f t="shared" si="222"/>
        <v>net sales</v>
      </c>
      <c r="G2860" s="7" t="str">
        <f t="shared" si="223"/>
        <v>product 3</v>
      </c>
      <c r="H2860">
        <f t="shared" si="224"/>
        <v>2025</v>
      </c>
      <c r="I2860">
        <f t="shared" si="225"/>
        <v>1</v>
      </c>
      <c r="J2860">
        <f t="shared" si="228"/>
        <v>579.41999999999996</v>
      </c>
    </row>
    <row r="2861" spans="1:10" ht="12.5" x14ac:dyDescent="0.25">
      <c r="A2861" s="1">
        <v>45688</v>
      </c>
      <c r="B2861" s="2" t="s">
        <v>15</v>
      </c>
      <c r="C2861" s="2" t="s">
        <v>6</v>
      </c>
      <c r="D2861" s="2" t="s">
        <v>6</v>
      </c>
      <c r="E2861" s="3">
        <v>1200</v>
      </c>
      <c r="F2861" t="str">
        <f t="shared" si="222"/>
        <v>payroll</v>
      </c>
      <c r="G2861" s="7" t="s">
        <v>6</v>
      </c>
      <c r="H2861">
        <f t="shared" si="224"/>
        <v>2025</v>
      </c>
      <c r="I2861">
        <f t="shared" si="225"/>
        <v>1</v>
      </c>
      <c r="J2861">
        <f t="shared" si="228"/>
        <v>174.92999999999998</v>
      </c>
    </row>
    <row r="2862" spans="1:10" ht="12.5" x14ac:dyDescent="0.25">
      <c r="A2862" s="1">
        <v>45689</v>
      </c>
      <c r="B2862" s="2" t="s">
        <v>5</v>
      </c>
      <c r="C2862" s="2" t="s">
        <v>6</v>
      </c>
      <c r="D2862" s="2" t="s">
        <v>6</v>
      </c>
      <c r="E2862" s="3">
        <v>50</v>
      </c>
      <c r="F2862" t="str">
        <f t="shared" si="222"/>
        <v>amortization</v>
      </c>
      <c r="G2862" s="7" t="s">
        <v>6</v>
      </c>
      <c r="H2862">
        <f t="shared" si="224"/>
        <v>2025</v>
      </c>
      <c r="I2862">
        <f t="shared" si="225"/>
        <v>2</v>
      </c>
      <c r="J2862">
        <f t="shared" si="228"/>
        <v>1124.0999999999999</v>
      </c>
    </row>
    <row r="2863" spans="1:10" ht="12.5" x14ac:dyDescent="0.25">
      <c r="A2863" s="1">
        <v>45689</v>
      </c>
      <c r="B2863" s="2" t="s">
        <v>7</v>
      </c>
      <c r="C2863" s="3">
        <v>5.49</v>
      </c>
      <c r="D2863" s="3">
        <v>23</v>
      </c>
      <c r="E2863" s="3">
        <v>126.27000000000001</v>
      </c>
      <c r="F2863" t="str">
        <f t="shared" si="222"/>
        <v>cogs</v>
      </c>
      <c r="G2863" s="7" t="str">
        <f t="shared" si="223"/>
        <v>product 1</v>
      </c>
      <c r="H2863">
        <f t="shared" si="224"/>
        <v>2025</v>
      </c>
      <c r="I2863">
        <f t="shared" si="225"/>
        <v>2</v>
      </c>
      <c r="J2863">
        <f t="shared" si="228"/>
        <v>-2000</v>
      </c>
    </row>
    <row r="2864" spans="1:10" ht="12.5" x14ac:dyDescent="0.25">
      <c r="A2864" s="1">
        <v>45689</v>
      </c>
      <c r="B2864" s="2" t="s">
        <v>8</v>
      </c>
      <c r="C2864" s="3">
        <v>19.989999999999998</v>
      </c>
      <c r="D2864" s="3">
        <v>9</v>
      </c>
      <c r="E2864" s="3">
        <v>179.91</v>
      </c>
      <c r="F2864" t="str">
        <f t="shared" si="222"/>
        <v>cogs</v>
      </c>
      <c r="G2864" s="7" t="str">
        <f t="shared" si="223"/>
        <v>product 2</v>
      </c>
      <c r="H2864">
        <f t="shared" si="224"/>
        <v>2025</v>
      </c>
      <c r="I2864">
        <f t="shared" si="225"/>
        <v>2</v>
      </c>
      <c r="J2864">
        <f t="shared" si="228"/>
        <v>-329.40000000000003</v>
      </c>
    </row>
    <row r="2865" spans="1:10" ht="12.5" x14ac:dyDescent="0.25">
      <c r="A2865" s="1">
        <v>45689</v>
      </c>
      <c r="B2865" s="2" t="s">
        <v>9</v>
      </c>
      <c r="C2865" s="3">
        <v>8.99</v>
      </c>
      <c r="D2865" s="3">
        <v>89</v>
      </c>
      <c r="E2865" s="3">
        <v>800.11</v>
      </c>
      <c r="F2865" t="str">
        <f t="shared" si="222"/>
        <v>cogs</v>
      </c>
      <c r="G2865" s="7" t="str">
        <f t="shared" si="223"/>
        <v>product 3</v>
      </c>
      <c r="H2865">
        <f t="shared" si="224"/>
        <v>2025</v>
      </c>
      <c r="I2865">
        <f t="shared" si="225"/>
        <v>2</v>
      </c>
      <c r="J2865">
        <f t="shared" si="228"/>
        <v>-59.97</v>
      </c>
    </row>
    <row r="2866" spans="1:10" ht="12.5" x14ac:dyDescent="0.25">
      <c r="A2866" s="1">
        <v>45689</v>
      </c>
      <c r="B2866" s="2" t="s">
        <v>10</v>
      </c>
      <c r="C2866" s="2" t="s">
        <v>6</v>
      </c>
      <c r="D2866" s="2" t="s">
        <v>6</v>
      </c>
      <c r="E2866" s="3">
        <v>112.02</v>
      </c>
      <c r="F2866" t="str">
        <f t="shared" si="222"/>
        <v>marketing</v>
      </c>
      <c r="G2866" s="7" t="s">
        <v>6</v>
      </c>
      <c r="H2866">
        <f t="shared" si="224"/>
        <v>2025</v>
      </c>
      <c r="I2866">
        <f t="shared" si="225"/>
        <v>2</v>
      </c>
      <c r="J2866">
        <f t="shared" si="228"/>
        <v>-1537.29</v>
      </c>
    </row>
    <row r="2867" spans="1:10" ht="12.5" x14ac:dyDescent="0.25">
      <c r="A2867" s="1">
        <v>45689</v>
      </c>
      <c r="B2867" s="2" t="s">
        <v>11</v>
      </c>
      <c r="C2867" s="3">
        <v>9.99</v>
      </c>
      <c r="D2867" s="3">
        <v>23</v>
      </c>
      <c r="E2867" s="3">
        <v>229.77</v>
      </c>
      <c r="F2867" t="str">
        <f t="shared" si="222"/>
        <v>net sales</v>
      </c>
      <c r="G2867" s="7" t="str">
        <f t="shared" si="223"/>
        <v>product 1</v>
      </c>
      <c r="H2867">
        <f t="shared" si="224"/>
        <v>2025</v>
      </c>
      <c r="I2867">
        <f t="shared" si="225"/>
        <v>2</v>
      </c>
      <c r="J2867">
        <f t="shared" si="228"/>
        <v>-119.10000000000001</v>
      </c>
    </row>
    <row r="2868" spans="1:10" ht="12.5" x14ac:dyDescent="0.25">
      <c r="A2868" s="1">
        <v>45689</v>
      </c>
      <c r="B2868" s="2" t="s">
        <v>12</v>
      </c>
      <c r="C2868" s="3">
        <v>24.99</v>
      </c>
      <c r="D2868" s="3">
        <v>9</v>
      </c>
      <c r="E2868" s="3">
        <v>224.91</v>
      </c>
      <c r="F2868" t="str">
        <f t="shared" si="222"/>
        <v>net sales</v>
      </c>
      <c r="G2868" s="7" t="str">
        <f t="shared" si="223"/>
        <v>product 2</v>
      </c>
      <c r="H2868">
        <f t="shared" si="224"/>
        <v>2025</v>
      </c>
      <c r="I2868">
        <f t="shared" si="225"/>
        <v>2</v>
      </c>
      <c r="J2868">
        <f t="shared" si="228"/>
        <v>599.4</v>
      </c>
    </row>
    <row r="2869" spans="1:10" ht="12.5" x14ac:dyDescent="0.25">
      <c r="A2869" s="1">
        <v>45689</v>
      </c>
      <c r="B2869" s="2" t="s">
        <v>13</v>
      </c>
      <c r="C2869" s="3">
        <v>12.49</v>
      </c>
      <c r="D2869" s="3">
        <v>89</v>
      </c>
      <c r="E2869" s="3">
        <v>1111.6100000000001</v>
      </c>
      <c r="F2869" t="str">
        <f t="shared" si="222"/>
        <v>net sales</v>
      </c>
      <c r="G2869" s="7" t="str">
        <f t="shared" si="223"/>
        <v>product 3</v>
      </c>
      <c r="H2869">
        <f t="shared" si="224"/>
        <v>2025</v>
      </c>
      <c r="I2869">
        <f t="shared" si="225"/>
        <v>2</v>
      </c>
      <c r="J2869">
        <f t="shared" si="228"/>
        <v>74.97</v>
      </c>
    </row>
    <row r="2870" spans="1:10" ht="12.5" x14ac:dyDescent="0.25">
      <c r="A2870" s="1">
        <v>45689</v>
      </c>
      <c r="B2870" s="2" t="s">
        <v>14</v>
      </c>
      <c r="C2870" s="2" t="s">
        <v>6</v>
      </c>
      <c r="D2870" s="2" t="s">
        <v>6</v>
      </c>
      <c r="E2870" s="3">
        <v>2000</v>
      </c>
      <c r="F2870" t="str">
        <f t="shared" si="222"/>
        <v>overhead</v>
      </c>
      <c r="G2870" s="7" t="s">
        <v>6</v>
      </c>
      <c r="H2870">
        <f t="shared" si="224"/>
        <v>2025</v>
      </c>
      <c r="I2870">
        <f t="shared" si="225"/>
        <v>2</v>
      </c>
      <c r="J2870">
        <f t="shared" si="228"/>
        <v>2135.79</v>
      </c>
    </row>
    <row r="2871" spans="1:10" ht="12.5" x14ac:dyDescent="0.25">
      <c r="A2871" s="1">
        <v>45690</v>
      </c>
      <c r="B2871" s="2" t="s">
        <v>7</v>
      </c>
      <c r="C2871" s="3">
        <v>5.49</v>
      </c>
      <c r="D2871" s="3">
        <v>82</v>
      </c>
      <c r="E2871" s="3">
        <v>450.18</v>
      </c>
      <c r="F2871" t="str">
        <f t="shared" si="222"/>
        <v>cogs</v>
      </c>
      <c r="G2871" s="7" t="str">
        <f t="shared" si="223"/>
        <v>product 1</v>
      </c>
      <c r="H2871">
        <f t="shared" si="224"/>
        <v>2025</v>
      </c>
      <c r="I2871">
        <f t="shared" si="225"/>
        <v>2</v>
      </c>
      <c r="J2871">
        <f t="shared" si="228"/>
        <v>-142.74</v>
      </c>
    </row>
    <row r="2872" spans="1:10" ht="12.5" x14ac:dyDescent="0.25">
      <c r="A2872" s="1">
        <v>45690</v>
      </c>
      <c r="B2872" s="2" t="s">
        <v>8</v>
      </c>
      <c r="C2872" s="3">
        <v>19.989999999999998</v>
      </c>
      <c r="D2872" s="3">
        <v>0</v>
      </c>
      <c r="E2872" s="2">
        <f>C2872*D2872</f>
        <v>0</v>
      </c>
      <c r="F2872" t="str">
        <f t="shared" si="222"/>
        <v>cogs</v>
      </c>
      <c r="G2872" s="7" t="str">
        <f t="shared" si="223"/>
        <v>product 2</v>
      </c>
      <c r="H2872">
        <f t="shared" si="224"/>
        <v>2025</v>
      </c>
      <c r="I2872">
        <f t="shared" si="225"/>
        <v>2</v>
      </c>
      <c r="J2872">
        <f t="shared" si="228"/>
        <v>-79.959999999999994</v>
      </c>
    </row>
    <row r="2873" spans="1:10" ht="12.5" x14ac:dyDescent="0.25">
      <c r="A2873" s="1">
        <v>45690</v>
      </c>
      <c r="B2873" s="2" t="s">
        <v>9</v>
      </c>
      <c r="C2873" s="3">
        <v>8.99</v>
      </c>
      <c r="D2873" s="3">
        <v>145</v>
      </c>
      <c r="E2873" s="3">
        <v>1303.55</v>
      </c>
      <c r="F2873" t="str">
        <f t="shared" si="222"/>
        <v>cogs</v>
      </c>
      <c r="G2873" s="7" t="str">
        <f t="shared" si="223"/>
        <v>product 3</v>
      </c>
      <c r="H2873">
        <f t="shared" si="224"/>
        <v>2025</v>
      </c>
      <c r="I2873">
        <f t="shared" si="225"/>
        <v>2</v>
      </c>
      <c r="J2873">
        <f t="shared" si="228"/>
        <v>-1474.3600000000001</v>
      </c>
    </row>
    <row r="2874" spans="1:10" ht="12.5" x14ac:dyDescent="0.25">
      <c r="A2874" s="1">
        <v>45690</v>
      </c>
      <c r="B2874" s="2" t="s">
        <v>10</v>
      </c>
      <c r="C2874" s="2" t="s">
        <v>6</v>
      </c>
      <c r="D2874" s="2" t="s">
        <v>6</v>
      </c>
      <c r="E2874" s="3">
        <v>102.07000000000001</v>
      </c>
      <c r="F2874" t="str">
        <f t="shared" si="222"/>
        <v>marketing</v>
      </c>
      <c r="G2874" s="7" t="s">
        <v>6</v>
      </c>
      <c r="H2874">
        <f t="shared" si="224"/>
        <v>2025</v>
      </c>
      <c r="I2874">
        <f t="shared" si="225"/>
        <v>2</v>
      </c>
      <c r="J2874">
        <f t="shared" si="228"/>
        <v>-118.93</v>
      </c>
    </row>
    <row r="2875" spans="1:10" ht="12.5" x14ac:dyDescent="0.25">
      <c r="A2875" s="1">
        <v>45690</v>
      </c>
      <c r="B2875" s="2" t="s">
        <v>11</v>
      </c>
      <c r="C2875" s="3">
        <v>9.99</v>
      </c>
      <c r="D2875" s="3">
        <v>82</v>
      </c>
      <c r="E2875" s="3">
        <v>819.18000000000006</v>
      </c>
      <c r="F2875" t="str">
        <f t="shared" si="222"/>
        <v>net sales</v>
      </c>
      <c r="G2875" s="7" t="str">
        <f t="shared" si="223"/>
        <v>product 1</v>
      </c>
      <c r="H2875">
        <f t="shared" si="224"/>
        <v>2025</v>
      </c>
      <c r="I2875">
        <f t="shared" si="225"/>
        <v>2</v>
      </c>
      <c r="J2875">
        <f t="shared" si="228"/>
        <v>259.74</v>
      </c>
    </row>
    <row r="2876" spans="1:10" ht="12.5" x14ac:dyDescent="0.25">
      <c r="A2876" s="1">
        <v>45690</v>
      </c>
      <c r="B2876" s="2" t="s">
        <v>12</v>
      </c>
      <c r="C2876" s="3">
        <v>24.99</v>
      </c>
      <c r="D2876" s="3">
        <v>0</v>
      </c>
      <c r="E2876" s="2">
        <f>C2876*D2876</f>
        <v>0</v>
      </c>
      <c r="F2876" t="str">
        <f t="shared" si="222"/>
        <v>net sales</v>
      </c>
      <c r="G2876" s="7" t="str">
        <f t="shared" si="223"/>
        <v>product 2</v>
      </c>
      <c r="H2876">
        <f t="shared" si="224"/>
        <v>2025</v>
      </c>
      <c r="I2876">
        <f t="shared" si="225"/>
        <v>2</v>
      </c>
      <c r="J2876">
        <f t="shared" si="228"/>
        <v>99.96</v>
      </c>
    </row>
    <row r="2877" spans="1:10" ht="12.5" x14ac:dyDescent="0.25">
      <c r="A2877" s="1">
        <v>45690</v>
      </c>
      <c r="B2877" s="2" t="s">
        <v>13</v>
      </c>
      <c r="C2877" s="3">
        <v>12.49</v>
      </c>
      <c r="D2877" s="3">
        <v>145</v>
      </c>
      <c r="E2877" s="3">
        <v>1811.05</v>
      </c>
      <c r="F2877" t="str">
        <f t="shared" si="222"/>
        <v>net sales</v>
      </c>
      <c r="G2877" s="7" t="str">
        <f t="shared" si="223"/>
        <v>product 3</v>
      </c>
      <c r="H2877">
        <f t="shared" si="224"/>
        <v>2025</v>
      </c>
      <c r="I2877">
        <f t="shared" si="225"/>
        <v>2</v>
      </c>
      <c r="J2877">
        <f t="shared" si="228"/>
        <v>2048.36</v>
      </c>
    </row>
    <row r="2878" spans="1:10" ht="12.5" x14ac:dyDescent="0.25">
      <c r="A2878" s="1">
        <v>45691</v>
      </c>
      <c r="B2878" s="2" t="s">
        <v>7</v>
      </c>
      <c r="C2878" s="3">
        <v>5.49</v>
      </c>
      <c r="D2878" s="3">
        <v>38</v>
      </c>
      <c r="E2878" s="3">
        <v>208.62</v>
      </c>
      <c r="F2878" t="str">
        <f t="shared" si="222"/>
        <v>cogs</v>
      </c>
      <c r="G2878" s="7" t="str">
        <f t="shared" si="223"/>
        <v>product 1</v>
      </c>
      <c r="H2878">
        <f t="shared" si="224"/>
        <v>2025</v>
      </c>
      <c r="I2878">
        <f t="shared" si="225"/>
        <v>2</v>
      </c>
      <c r="J2878">
        <f t="shared" si="228"/>
        <v>-1200</v>
      </c>
    </row>
    <row r="2879" spans="1:10" ht="12.5" x14ac:dyDescent="0.25">
      <c r="A2879" s="1">
        <v>45691</v>
      </c>
      <c r="B2879" s="2" t="s">
        <v>8</v>
      </c>
      <c r="C2879" s="3">
        <v>19.989999999999998</v>
      </c>
      <c r="D2879" s="3">
        <v>0</v>
      </c>
      <c r="E2879" s="2">
        <f>C2879*D2879</f>
        <v>0</v>
      </c>
      <c r="F2879" t="str">
        <f t="shared" si="222"/>
        <v>cogs</v>
      </c>
      <c r="G2879" s="7" t="str">
        <f t="shared" si="223"/>
        <v>product 2</v>
      </c>
      <c r="H2879">
        <f t="shared" si="224"/>
        <v>2025</v>
      </c>
      <c r="I2879">
        <f t="shared" si="225"/>
        <v>2</v>
      </c>
      <c r="J2879">
        <f t="shared" si="228"/>
        <v>-21.96</v>
      </c>
    </row>
    <row r="2880" spans="1:10" ht="12.5" x14ac:dyDescent="0.25">
      <c r="A2880" s="1">
        <v>45691</v>
      </c>
      <c r="B2880" s="2" t="s">
        <v>9</v>
      </c>
      <c r="C2880" s="3">
        <v>8.99</v>
      </c>
      <c r="D2880" s="3">
        <v>95</v>
      </c>
      <c r="E2880" s="3">
        <v>854.05000000000007</v>
      </c>
      <c r="F2880" t="str">
        <f t="shared" si="222"/>
        <v>cogs</v>
      </c>
      <c r="G2880" s="7" t="str">
        <f t="shared" si="223"/>
        <v>product 3</v>
      </c>
      <c r="H2880">
        <f t="shared" si="224"/>
        <v>2025</v>
      </c>
      <c r="I2880">
        <f t="shared" si="225"/>
        <v>2</v>
      </c>
      <c r="J2880">
        <f t="shared" si="228"/>
        <v>-99.949999999999989</v>
      </c>
    </row>
    <row r="2881" spans="1:10" ht="12.5" x14ac:dyDescent="0.25">
      <c r="A2881" s="1">
        <v>45691</v>
      </c>
      <c r="B2881" s="2" t="s">
        <v>10</v>
      </c>
      <c r="C2881" s="2" t="s">
        <v>6</v>
      </c>
      <c r="D2881" s="2" t="s">
        <v>6</v>
      </c>
      <c r="E2881" s="3">
        <v>107.09</v>
      </c>
      <c r="F2881" t="str">
        <f t="shared" si="222"/>
        <v>marketing</v>
      </c>
      <c r="G2881" s="7" t="s">
        <v>6</v>
      </c>
      <c r="H2881">
        <f t="shared" si="224"/>
        <v>2025</v>
      </c>
      <c r="I2881">
        <f t="shared" si="225"/>
        <v>2</v>
      </c>
      <c r="J2881">
        <f t="shared" si="228"/>
        <v>-503.44</v>
      </c>
    </row>
    <row r="2882" spans="1:10" ht="12.5" x14ac:dyDescent="0.25">
      <c r="A2882" s="1">
        <v>45691</v>
      </c>
      <c r="B2882" s="2" t="s">
        <v>11</v>
      </c>
      <c r="C2882" s="3">
        <v>9.99</v>
      </c>
      <c r="D2882" s="3">
        <v>38</v>
      </c>
      <c r="E2882" s="3">
        <v>379.62</v>
      </c>
      <c r="F2882" t="str">
        <f t="shared" si="222"/>
        <v>net sales</v>
      </c>
      <c r="G2882" s="7" t="str">
        <f t="shared" si="223"/>
        <v>product 1</v>
      </c>
      <c r="H2882">
        <f t="shared" si="224"/>
        <v>2025</v>
      </c>
      <c r="I2882">
        <f t="shared" si="225"/>
        <v>2</v>
      </c>
      <c r="J2882">
        <f t="shared" si="228"/>
        <v>-109</v>
      </c>
    </row>
    <row r="2883" spans="1:10" ht="12.5" x14ac:dyDescent="0.25">
      <c r="A2883" s="1">
        <v>45691</v>
      </c>
      <c r="B2883" s="2" t="s">
        <v>12</v>
      </c>
      <c r="C2883" s="3">
        <v>24.99</v>
      </c>
      <c r="D2883" s="3">
        <v>0</v>
      </c>
      <c r="E2883" s="2">
        <f>C2883*D2883</f>
        <v>0</v>
      </c>
      <c r="F2883" t="str">
        <f t="shared" ref="F2883:F2946" si="229">IFERROR(LEFT(B2883,FIND(":",B2883)-1),B2883)</f>
        <v>net sales</v>
      </c>
      <c r="G2883" s="7" t="str">
        <f t="shared" ref="G2883:G2946" si="230">IFERROR(RIGHT(B2883,LEN(B2883)-FIND(":",B2883)),"")</f>
        <v>product 2</v>
      </c>
      <c r="H2883">
        <f t="shared" ref="H2883:H2946" si="231">YEAR(A2883)</f>
        <v>2025</v>
      </c>
      <c r="I2883">
        <f t="shared" ref="I2883:I2946" si="232">MONTH(A2883)</f>
        <v>2</v>
      </c>
      <c r="J2883">
        <f t="shared" si="228"/>
        <v>39.96</v>
      </c>
    </row>
    <row r="2884" spans="1:10" ht="12.5" x14ac:dyDescent="0.25">
      <c r="A2884" s="1">
        <v>45691</v>
      </c>
      <c r="B2884" s="2" t="s">
        <v>13</v>
      </c>
      <c r="C2884" s="3">
        <v>12.49</v>
      </c>
      <c r="D2884" s="3">
        <v>95</v>
      </c>
      <c r="E2884" s="3">
        <v>1186.55</v>
      </c>
      <c r="F2884" t="str">
        <f t="shared" si="229"/>
        <v>net sales</v>
      </c>
      <c r="G2884" s="7" t="str">
        <f t="shared" si="230"/>
        <v>product 3</v>
      </c>
      <c r="H2884">
        <f t="shared" si="231"/>
        <v>2025</v>
      </c>
      <c r="I2884">
        <f t="shared" si="232"/>
        <v>2</v>
      </c>
      <c r="J2884">
        <f t="shared" si="228"/>
        <v>124.94999999999999</v>
      </c>
    </row>
    <row r="2885" spans="1:10" ht="12.5" x14ac:dyDescent="0.25">
      <c r="A2885" s="1">
        <v>45692</v>
      </c>
      <c r="B2885" s="2" t="s">
        <v>7</v>
      </c>
      <c r="C2885" s="3">
        <v>5.49</v>
      </c>
      <c r="D2885" s="3">
        <v>12</v>
      </c>
      <c r="E2885" s="3">
        <v>65.88</v>
      </c>
      <c r="F2885" t="str">
        <f t="shared" si="229"/>
        <v>cogs</v>
      </c>
      <c r="G2885" s="7" t="str">
        <f t="shared" si="230"/>
        <v>product 1</v>
      </c>
      <c r="H2885">
        <f t="shared" si="231"/>
        <v>2025</v>
      </c>
      <c r="I2885">
        <f t="shared" si="232"/>
        <v>2</v>
      </c>
      <c r="J2885">
        <f t="shared" si="228"/>
        <v>699.44</v>
      </c>
    </row>
    <row r="2886" spans="1:10" ht="12.5" x14ac:dyDescent="0.25">
      <c r="A2886" s="1">
        <v>45692</v>
      </c>
      <c r="B2886" s="2" t="s">
        <v>8</v>
      </c>
      <c r="C2886" s="3">
        <v>19.989999999999998</v>
      </c>
      <c r="D2886" s="3">
        <v>3</v>
      </c>
      <c r="E2886" s="3">
        <v>59.97</v>
      </c>
      <c r="F2886" t="str">
        <f t="shared" si="229"/>
        <v>cogs</v>
      </c>
      <c r="G2886" s="7" t="str">
        <f t="shared" si="230"/>
        <v>product 2</v>
      </c>
      <c r="H2886">
        <f t="shared" si="231"/>
        <v>2025</v>
      </c>
      <c r="I2886">
        <f t="shared" si="232"/>
        <v>2</v>
      </c>
      <c r="J2886">
        <f t="shared" si="228"/>
        <v>-521.55000000000007</v>
      </c>
    </row>
    <row r="2887" spans="1:10" ht="12.5" x14ac:dyDescent="0.25">
      <c r="A2887" s="1">
        <v>45692</v>
      </c>
      <c r="B2887" s="2" t="s">
        <v>9</v>
      </c>
      <c r="C2887" s="3">
        <v>8.99</v>
      </c>
      <c r="D2887" s="3">
        <v>50</v>
      </c>
      <c r="E2887" s="3">
        <v>449.5</v>
      </c>
      <c r="F2887" t="str">
        <f t="shared" si="229"/>
        <v>cogs</v>
      </c>
      <c r="G2887" s="7" t="str">
        <f t="shared" si="230"/>
        <v>product 3</v>
      </c>
      <c r="H2887">
        <f t="shared" si="231"/>
        <v>2025</v>
      </c>
      <c r="I2887">
        <f t="shared" si="232"/>
        <v>2</v>
      </c>
      <c r="J2887">
        <f t="shared" si="228"/>
        <v>-99.949999999999989</v>
      </c>
    </row>
    <row r="2888" spans="1:10" ht="12.5" x14ac:dyDescent="0.25">
      <c r="A2888" s="1">
        <v>45692</v>
      </c>
      <c r="B2888" s="2" t="s">
        <v>10</v>
      </c>
      <c r="C2888" s="2" t="s">
        <v>6</v>
      </c>
      <c r="D2888" s="2" t="s">
        <v>6</v>
      </c>
      <c r="E2888" s="3">
        <v>113.92</v>
      </c>
      <c r="F2888" t="str">
        <f t="shared" si="229"/>
        <v>marketing</v>
      </c>
      <c r="G2888" s="7" t="s">
        <v>6</v>
      </c>
      <c r="H2888">
        <f t="shared" si="231"/>
        <v>2025</v>
      </c>
      <c r="I2888">
        <f t="shared" si="232"/>
        <v>2</v>
      </c>
      <c r="J2888">
        <f t="shared" si="228"/>
        <v>-1474.3600000000001</v>
      </c>
    </row>
    <row r="2889" spans="1:10" ht="12.5" x14ac:dyDescent="0.25">
      <c r="A2889" s="1">
        <v>45692</v>
      </c>
      <c r="B2889" s="2" t="s">
        <v>11</v>
      </c>
      <c r="C2889" s="3">
        <v>9.99</v>
      </c>
      <c r="D2889" s="3">
        <v>12</v>
      </c>
      <c r="E2889" s="3">
        <v>119.88</v>
      </c>
      <c r="F2889" t="str">
        <f t="shared" si="229"/>
        <v>net sales</v>
      </c>
      <c r="G2889" s="7" t="str">
        <f t="shared" si="230"/>
        <v>product 1</v>
      </c>
      <c r="H2889">
        <f t="shared" si="231"/>
        <v>2025</v>
      </c>
      <c r="I2889">
        <f t="shared" si="232"/>
        <v>2</v>
      </c>
      <c r="J2889">
        <f t="shared" si="228"/>
        <v>-117.98</v>
      </c>
    </row>
    <row r="2890" spans="1:10" ht="12.5" x14ac:dyDescent="0.25">
      <c r="A2890" s="1">
        <v>45692</v>
      </c>
      <c r="B2890" s="2" t="s">
        <v>12</v>
      </c>
      <c r="C2890" s="3">
        <v>24.99</v>
      </c>
      <c r="D2890" s="3">
        <v>3</v>
      </c>
      <c r="E2890" s="3">
        <v>74.97</v>
      </c>
      <c r="F2890" t="str">
        <f t="shared" si="229"/>
        <v>net sales</v>
      </c>
      <c r="G2890" s="7" t="str">
        <f t="shared" si="230"/>
        <v>product 2</v>
      </c>
      <c r="H2890">
        <f t="shared" si="231"/>
        <v>2025</v>
      </c>
      <c r="I2890">
        <f t="shared" si="232"/>
        <v>2</v>
      </c>
      <c r="J2890">
        <f t="shared" si="228"/>
        <v>949.05000000000007</v>
      </c>
    </row>
    <row r="2891" spans="1:10" ht="12.5" x14ac:dyDescent="0.25">
      <c r="A2891" s="1">
        <v>45692</v>
      </c>
      <c r="B2891" s="2" t="s">
        <v>13</v>
      </c>
      <c r="C2891" s="3">
        <v>12.49</v>
      </c>
      <c r="D2891" s="3">
        <v>50</v>
      </c>
      <c r="E2891" s="3">
        <v>624.5</v>
      </c>
      <c r="F2891" t="str">
        <f t="shared" si="229"/>
        <v>net sales</v>
      </c>
      <c r="G2891" s="7" t="str">
        <f t="shared" si="230"/>
        <v>product 3</v>
      </c>
      <c r="H2891">
        <f t="shared" si="231"/>
        <v>2025</v>
      </c>
      <c r="I2891">
        <f t="shared" si="232"/>
        <v>2</v>
      </c>
      <c r="J2891">
        <f t="shared" si="228"/>
        <v>124.94999999999999</v>
      </c>
    </row>
    <row r="2892" spans="1:10" ht="12.5" x14ac:dyDescent="0.25">
      <c r="A2892" s="1">
        <v>45693</v>
      </c>
      <c r="B2892" s="2" t="s">
        <v>7</v>
      </c>
      <c r="C2892" s="3">
        <v>5.49</v>
      </c>
      <c r="D2892" s="3">
        <v>55</v>
      </c>
      <c r="E2892" s="3">
        <v>301.95</v>
      </c>
      <c r="F2892" t="str">
        <f t="shared" si="229"/>
        <v>cogs</v>
      </c>
      <c r="G2892" s="7" t="str">
        <f t="shared" si="230"/>
        <v>product 1</v>
      </c>
      <c r="H2892">
        <f t="shared" si="231"/>
        <v>2025</v>
      </c>
      <c r="I2892">
        <f t="shared" si="232"/>
        <v>2</v>
      </c>
      <c r="J2892">
        <f t="shared" si="228"/>
        <v>2048.36</v>
      </c>
    </row>
    <row r="2893" spans="1:10" ht="12.5" x14ac:dyDescent="0.25">
      <c r="A2893" s="1">
        <v>45693</v>
      </c>
      <c r="B2893" s="2" t="s">
        <v>8</v>
      </c>
      <c r="C2893" s="3">
        <v>19.989999999999998</v>
      </c>
      <c r="D2893" s="3">
        <v>6</v>
      </c>
      <c r="E2893" s="3">
        <v>119.94</v>
      </c>
      <c r="F2893" t="str">
        <f t="shared" si="229"/>
        <v>cogs</v>
      </c>
      <c r="G2893" s="7" t="str">
        <f t="shared" si="230"/>
        <v>product 2</v>
      </c>
      <c r="H2893">
        <f t="shared" si="231"/>
        <v>2025</v>
      </c>
      <c r="I2893">
        <f t="shared" si="232"/>
        <v>2</v>
      </c>
      <c r="J2893">
        <f t="shared" si="228"/>
        <v>-395.28000000000003</v>
      </c>
    </row>
    <row r="2894" spans="1:10" ht="12.5" x14ac:dyDescent="0.25">
      <c r="A2894" s="1">
        <v>45693</v>
      </c>
      <c r="B2894" s="2" t="s">
        <v>9</v>
      </c>
      <c r="C2894" s="3">
        <v>8.99</v>
      </c>
      <c r="D2894" s="3">
        <v>2</v>
      </c>
      <c r="E2894" s="3">
        <v>17.98</v>
      </c>
      <c r="F2894" t="str">
        <f t="shared" si="229"/>
        <v>cogs</v>
      </c>
      <c r="G2894" s="7" t="str">
        <f t="shared" si="230"/>
        <v>product 3</v>
      </c>
      <c r="H2894">
        <f t="shared" si="231"/>
        <v>2025</v>
      </c>
      <c r="I2894">
        <f t="shared" si="232"/>
        <v>2</v>
      </c>
      <c r="J2894">
        <f t="shared" si="228"/>
        <v>-119.94</v>
      </c>
    </row>
    <row r="2895" spans="1:10" ht="12.5" x14ac:dyDescent="0.25">
      <c r="A2895" s="1">
        <v>45693</v>
      </c>
      <c r="B2895" s="2" t="s">
        <v>10</v>
      </c>
      <c r="C2895" s="2" t="s">
        <v>6</v>
      </c>
      <c r="D2895" s="2" t="s">
        <v>6</v>
      </c>
      <c r="E2895" s="3">
        <v>104.04</v>
      </c>
      <c r="F2895" t="str">
        <f t="shared" si="229"/>
        <v>marketing</v>
      </c>
      <c r="G2895" s="7" t="s">
        <v>6</v>
      </c>
      <c r="H2895">
        <f t="shared" si="231"/>
        <v>2025</v>
      </c>
      <c r="I2895">
        <f t="shared" si="232"/>
        <v>2</v>
      </c>
      <c r="J2895">
        <f t="shared" si="228"/>
        <v>-1887.9</v>
      </c>
    </row>
    <row r="2896" spans="1:10" ht="12.5" x14ac:dyDescent="0.25">
      <c r="A2896" s="1">
        <v>45693</v>
      </c>
      <c r="B2896" s="2" t="s">
        <v>11</v>
      </c>
      <c r="C2896" s="3">
        <v>9.99</v>
      </c>
      <c r="D2896" s="3">
        <v>55</v>
      </c>
      <c r="E2896" s="3">
        <v>549.45000000000005</v>
      </c>
      <c r="F2896" t="str">
        <f t="shared" si="229"/>
        <v>net sales</v>
      </c>
      <c r="G2896" s="7" t="str">
        <f t="shared" si="230"/>
        <v>product 1</v>
      </c>
      <c r="H2896">
        <f t="shared" si="231"/>
        <v>2025</v>
      </c>
      <c r="I2896">
        <f t="shared" si="232"/>
        <v>2</v>
      </c>
      <c r="J2896">
        <f t="shared" si="228"/>
        <v>-119.95</v>
      </c>
    </row>
    <row r="2897" spans="1:10" ht="12.5" x14ac:dyDescent="0.25">
      <c r="A2897" s="1">
        <v>45693</v>
      </c>
      <c r="B2897" s="2" t="s">
        <v>12</v>
      </c>
      <c r="C2897" s="3">
        <v>24.99</v>
      </c>
      <c r="D2897" s="3">
        <v>6</v>
      </c>
      <c r="E2897" s="3">
        <v>149.94</v>
      </c>
      <c r="F2897" t="str">
        <f t="shared" si="229"/>
        <v>net sales</v>
      </c>
      <c r="G2897" s="7" t="str">
        <f t="shared" si="230"/>
        <v>product 2</v>
      </c>
      <c r="H2897">
        <f t="shared" si="231"/>
        <v>2025</v>
      </c>
      <c r="I2897">
        <f t="shared" si="232"/>
        <v>2</v>
      </c>
      <c r="J2897">
        <f t="shared" si="228"/>
        <v>719.28</v>
      </c>
    </row>
    <row r="2898" spans="1:10" ht="12.5" x14ac:dyDescent="0.25">
      <c r="A2898" s="1">
        <v>45693</v>
      </c>
      <c r="B2898" s="2" t="s">
        <v>13</v>
      </c>
      <c r="C2898" s="3">
        <v>12.49</v>
      </c>
      <c r="D2898" s="3">
        <v>2</v>
      </c>
      <c r="E2898" s="3">
        <v>24.98</v>
      </c>
      <c r="F2898" t="str">
        <f t="shared" si="229"/>
        <v>net sales</v>
      </c>
      <c r="G2898" s="7" t="str">
        <f t="shared" si="230"/>
        <v>product 3</v>
      </c>
      <c r="H2898">
        <f t="shared" si="231"/>
        <v>2025</v>
      </c>
      <c r="I2898">
        <f t="shared" si="232"/>
        <v>2</v>
      </c>
      <c r="J2898">
        <f t="shared" si="228"/>
        <v>149.94</v>
      </c>
    </row>
    <row r="2899" spans="1:10" ht="12.5" x14ac:dyDescent="0.25">
      <c r="A2899" s="1">
        <v>45694</v>
      </c>
      <c r="B2899" s="2" t="s">
        <v>7</v>
      </c>
      <c r="C2899" s="3">
        <v>5.49</v>
      </c>
      <c r="D2899" s="3">
        <v>38</v>
      </c>
      <c r="E2899" s="3">
        <v>208.62</v>
      </c>
      <c r="F2899" t="str">
        <f t="shared" si="229"/>
        <v>cogs</v>
      </c>
      <c r="G2899" s="7" t="str">
        <f t="shared" si="230"/>
        <v>product 1</v>
      </c>
      <c r="H2899">
        <f t="shared" si="231"/>
        <v>2025</v>
      </c>
      <c r="I2899">
        <f t="shared" si="232"/>
        <v>2</v>
      </c>
      <c r="J2899">
        <f t="shared" si="228"/>
        <v>2622.9</v>
      </c>
    </row>
    <row r="2900" spans="1:10" ht="12.5" x14ac:dyDescent="0.25">
      <c r="A2900" s="1">
        <v>45694</v>
      </c>
      <c r="B2900" s="2" t="s">
        <v>8</v>
      </c>
      <c r="C2900" s="3">
        <v>19.989999999999998</v>
      </c>
      <c r="D2900" s="3">
        <v>8</v>
      </c>
      <c r="E2900" s="3">
        <v>159.91999999999999</v>
      </c>
      <c r="F2900" t="str">
        <f t="shared" si="229"/>
        <v>cogs</v>
      </c>
      <c r="G2900" s="7" t="str">
        <f t="shared" si="230"/>
        <v>product 2</v>
      </c>
      <c r="H2900">
        <f t="shared" si="231"/>
        <v>2025</v>
      </c>
      <c r="I2900">
        <f t="shared" si="232"/>
        <v>2</v>
      </c>
      <c r="J2900">
        <f t="shared" si="228"/>
        <v>-510.57</v>
      </c>
    </row>
    <row r="2901" spans="1:10" ht="12.5" x14ac:dyDescent="0.25">
      <c r="A2901" s="1">
        <v>45694</v>
      </c>
      <c r="B2901" s="2" t="s">
        <v>9</v>
      </c>
      <c r="C2901" s="3">
        <v>8.99</v>
      </c>
      <c r="D2901" s="3">
        <v>204</v>
      </c>
      <c r="E2901" s="3">
        <v>1833.96</v>
      </c>
      <c r="F2901" t="str">
        <f t="shared" si="229"/>
        <v>cogs</v>
      </c>
      <c r="G2901" s="7" t="str">
        <f t="shared" si="230"/>
        <v>product 3</v>
      </c>
      <c r="H2901">
        <f t="shared" si="231"/>
        <v>2025</v>
      </c>
      <c r="I2901">
        <f t="shared" si="232"/>
        <v>2</v>
      </c>
      <c r="J2901">
        <f t="shared" si="228"/>
        <v>-139.92999999999998</v>
      </c>
    </row>
    <row r="2902" spans="1:10" ht="12.5" x14ac:dyDescent="0.25">
      <c r="A2902" s="1">
        <v>45694</v>
      </c>
      <c r="B2902" s="2" t="s">
        <v>10</v>
      </c>
      <c r="C2902" s="2" t="s">
        <v>6</v>
      </c>
      <c r="D2902" s="2" t="s">
        <v>6</v>
      </c>
      <c r="E2902" s="3">
        <v>111.9</v>
      </c>
      <c r="F2902" t="str">
        <f t="shared" si="229"/>
        <v>marketing</v>
      </c>
      <c r="G2902" s="7" t="s">
        <v>6</v>
      </c>
      <c r="H2902">
        <f t="shared" si="231"/>
        <v>2025</v>
      </c>
      <c r="I2902">
        <f t="shared" si="232"/>
        <v>2</v>
      </c>
      <c r="J2902">
        <f t="shared" si="228"/>
        <v>-890.01</v>
      </c>
    </row>
    <row r="2903" spans="1:10" ht="12.5" x14ac:dyDescent="0.25">
      <c r="A2903" s="1">
        <v>45694</v>
      </c>
      <c r="B2903" s="2" t="s">
        <v>11</v>
      </c>
      <c r="C2903" s="3">
        <v>9.99</v>
      </c>
      <c r="D2903" s="3">
        <v>38</v>
      </c>
      <c r="E2903" s="3">
        <v>379.62</v>
      </c>
      <c r="F2903" t="str">
        <f t="shared" si="229"/>
        <v>net sales</v>
      </c>
      <c r="G2903" s="7" t="str">
        <f t="shared" si="230"/>
        <v>product 1</v>
      </c>
      <c r="H2903">
        <f t="shared" si="231"/>
        <v>2025</v>
      </c>
      <c r="I2903">
        <f t="shared" si="232"/>
        <v>2</v>
      </c>
      <c r="J2903">
        <f t="shared" si="228"/>
        <v>-103.96000000000001</v>
      </c>
    </row>
    <row r="2904" spans="1:10" ht="12.5" x14ac:dyDescent="0.25">
      <c r="A2904" s="1">
        <v>45694</v>
      </c>
      <c r="B2904" s="2" t="s">
        <v>12</v>
      </c>
      <c r="C2904" s="3">
        <v>24.99</v>
      </c>
      <c r="D2904" s="3">
        <v>8</v>
      </c>
      <c r="E2904" s="3">
        <v>199.92</v>
      </c>
      <c r="F2904" t="str">
        <f t="shared" si="229"/>
        <v>net sales</v>
      </c>
      <c r="G2904" s="7" t="str">
        <f t="shared" si="230"/>
        <v>product 2</v>
      </c>
      <c r="H2904">
        <f t="shared" si="231"/>
        <v>2025</v>
      </c>
      <c r="I2904">
        <f t="shared" si="232"/>
        <v>2</v>
      </c>
      <c r="J2904">
        <f t="shared" si="228"/>
        <v>929.07</v>
      </c>
    </row>
    <row r="2905" spans="1:10" ht="12.5" x14ac:dyDescent="0.25">
      <c r="A2905" s="1">
        <v>45694</v>
      </c>
      <c r="B2905" s="2" t="s">
        <v>13</v>
      </c>
      <c r="C2905" s="3">
        <v>12.49</v>
      </c>
      <c r="D2905" s="3">
        <v>204</v>
      </c>
      <c r="E2905" s="3">
        <v>2547.96</v>
      </c>
      <c r="F2905" t="str">
        <f t="shared" si="229"/>
        <v>net sales</v>
      </c>
      <c r="G2905" s="7" t="str">
        <f t="shared" si="230"/>
        <v>product 3</v>
      </c>
      <c r="H2905">
        <f t="shared" si="231"/>
        <v>2025</v>
      </c>
      <c r="I2905">
        <f t="shared" si="232"/>
        <v>2</v>
      </c>
      <c r="J2905">
        <f t="shared" si="228"/>
        <v>174.92999999999998</v>
      </c>
    </row>
    <row r="2906" spans="1:10" ht="12.5" x14ac:dyDescent="0.25">
      <c r="A2906" s="1">
        <v>45695</v>
      </c>
      <c r="B2906" s="2" t="s">
        <v>7</v>
      </c>
      <c r="C2906" s="3">
        <v>5.49</v>
      </c>
      <c r="D2906" s="3">
        <v>8</v>
      </c>
      <c r="E2906" s="3">
        <v>43.92</v>
      </c>
      <c r="F2906" t="str">
        <f t="shared" si="229"/>
        <v>cogs</v>
      </c>
      <c r="G2906" s="7" t="str">
        <f t="shared" si="230"/>
        <v>product 1</v>
      </c>
      <c r="H2906">
        <f t="shared" si="231"/>
        <v>2025</v>
      </c>
      <c r="I2906">
        <f t="shared" si="232"/>
        <v>2</v>
      </c>
      <c r="J2906">
        <f t="shared" si="228"/>
        <v>1236.51</v>
      </c>
    </row>
    <row r="2907" spans="1:10" ht="12.5" x14ac:dyDescent="0.25">
      <c r="A2907" s="1">
        <v>45695</v>
      </c>
      <c r="B2907" s="2" t="s">
        <v>8</v>
      </c>
      <c r="C2907" s="3">
        <v>19.989999999999998</v>
      </c>
      <c r="D2907" s="3">
        <v>3</v>
      </c>
      <c r="E2907" s="3">
        <v>59.97</v>
      </c>
      <c r="F2907" t="str">
        <f t="shared" si="229"/>
        <v>cogs</v>
      </c>
      <c r="G2907" s="7" t="str">
        <f t="shared" si="230"/>
        <v>product 2</v>
      </c>
      <c r="H2907">
        <f t="shared" si="231"/>
        <v>2025</v>
      </c>
      <c r="I2907">
        <f t="shared" si="232"/>
        <v>2</v>
      </c>
      <c r="J2907">
        <f t="shared" si="228"/>
        <v>-285.48</v>
      </c>
    </row>
    <row r="2908" spans="1:10" ht="12.5" x14ac:dyDescent="0.25">
      <c r="A2908" s="1">
        <v>45695</v>
      </c>
      <c r="B2908" s="2" t="s">
        <v>9</v>
      </c>
      <c r="C2908" s="3">
        <v>8.99</v>
      </c>
      <c r="D2908" s="3">
        <v>56</v>
      </c>
      <c r="E2908" s="3">
        <v>503.44</v>
      </c>
      <c r="F2908" t="str">
        <f t="shared" si="229"/>
        <v>cogs</v>
      </c>
      <c r="G2908" s="7" t="str">
        <f t="shared" si="230"/>
        <v>product 3</v>
      </c>
      <c r="H2908">
        <f t="shared" si="231"/>
        <v>2025</v>
      </c>
      <c r="I2908">
        <f t="shared" si="232"/>
        <v>2</v>
      </c>
      <c r="J2908">
        <f t="shared" ref="J2908:J2971" si="233">IF(F2691="net sales",E2691,
IF(F2691="cogs",-E2691,
IF(OR(F2691="marketing",F2691="overhead",F2691="payroll",F2691="interest","amortization"),-E2691,0)))</f>
        <v>-159.91999999999999</v>
      </c>
    </row>
    <row r="2909" spans="1:10" ht="12.5" x14ac:dyDescent="0.25">
      <c r="A2909" s="1">
        <v>45695</v>
      </c>
      <c r="B2909" s="2" t="s">
        <v>10</v>
      </c>
      <c r="C2909" s="2" t="s">
        <v>6</v>
      </c>
      <c r="D2909" s="2" t="s">
        <v>6</v>
      </c>
      <c r="E2909" s="3">
        <v>100.9</v>
      </c>
      <c r="F2909" t="str">
        <f t="shared" si="229"/>
        <v>marketing</v>
      </c>
      <c r="G2909" s="7" t="s">
        <v>6</v>
      </c>
      <c r="H2909">
        <f t="shared" si="231"/>
        <v>2025</v>
      </c>
      <c r="I2909">
        <f t="shared" si="232"/>
        <v>2</v>
      </c>
      <c r="J2909">
        <f t="shared" si="233"/>
        <v>-710.21</v>
      </c>
    </row>
    <row r="2910" spans="1:10" ht="12.5" x14ac:dyDescent="0.25">
      <c r="A2910" s="1">
        <v>45695</v>
      </c>
      <c r="B2910" s="2" t="s">
        <v>11</v>
      </c>
      <c r="C2910" s="3">
        <v>9.99</v>
      </c>
      <c r="D2910" s="3">
        <v>8</v>
      </c>
      <c r="E2910" s="3">
        <v>79.92</v>
      </c>
      <c r="F2910" t="str">
        <f t="shared" si="229"/>
        <v>net sales</v>
      </c>
      <c r="G2910" s="7" t="str">
        <f t="shared" si="230"/>
        <v>product 1</v>
      </c>
      <c r="H2910">
        <f t="shared" si="231"/>
        <v>2025</v>
      </c>
      <c r="I2910">
        <f t="shared" si="232"/>
        <v>2</v>
      </c>
      <c r="J2910">
        <f t="shared" si="233"/>
        <v>-120.08</v>
      </c>
    </row>
    <row r="2911" spans="1:10" ht="12.5" x14ac:dyDescent="0.25">
      <c r="A2911" s="1">
        <v>45695</v>
      </c>
      <c r="B2911" s="2" t="s">
        <v>12</v>
      </c>
      <c r="C2911" s="3">
        <v>24.99</v>
      </c>
      <c r="D2911" s="3">
        <v>3</v>
      </c>
      <c r="E2911" s="3">
        <v>74.97</v>
      </c>
      <c r="F2911" t="str">
        <f t="shared" si="229"/>
        <v>net sales</v>
      </c>
      <c r="G2911" s="7" t="str">
        <f t="shared" si="230"/>
        <v>product 2</v>
      </c>
      <c r="H2911">
        <f t="shared" si="231"/>
        <v>2025</v>
      </c>
      <c r="I2911">
        <f t="shared" si="232"/>
        <v>2</v>
      </c>
      <c r="J2911">
        <f t="shared" si="233"/>
        <v>519.48</v>
      </c>
    </row>
    <row r="2912" spans="1:10" ht="12.5" x14ac:dyDescent="0.25">
      <c r="A2912" s="1">
        <v>45695</v>
      </c>
      <c r="B2912" s="2" t="s">
        <v>13</v>
      </c>
      <c r="C2912" s="3">
        <v>12.49</v>
      </c>
      <c r="D2912" s="3">
        <v>56</v>
      </c>
      <c r="E2912" s="3">
        <v>699.44</v>
      </c>
      <c r="F2912" t="str">
        <f t="shared" si="229"/>
        <v>net sales</v>
      </c>
      <c r="G2912" s="7" t="str">
        <f t="shared" si="230"/>
        <v>product 3</v>
      </c>
      <c r="H2912">
        <f t="shared" si="231"/>
        <v>2025</v>
      </c>
      <c r="I2912">
        <f t="shared" si="232"/>
        <v>2</v>
      </c>
      <c r="J2912">
        <f t="shared" si="233"/>
        <v>199.92</v>
      </c>
    </row>
    <row r="2913" spans="1:10" ht="12.5" x14ac:dyDescent="0.25">
      <c r="A2913" s="1">
        <v>45696</v>
      </c>
      <c r="B2913" s="2" t="s">
        <v>7</v>
      </c>
      <c r="C2913" s="3">
        <v>5.49</v>
      </c>
      <c r="D2913" s="3">
        <v>5</v>
      </c>
      <c r="E2913" s="3">
        <v>27.450000000000003</v>
      </c>
      <c r="F2913" t="str">
        <f t="shared" si="229"/>
        <v>cogs</v>
      </c>
      <c r="G2913" s="7" t="str">
        <f t="shared" si="230"/>
        <v>product 1</v>
      </c>
      <c r="H2913">
        <f t="shared" si="231"/>
        <v>2025</v>
      </c>
      <c r="I2913">
        <f t="shared" si="232"/>
        <v>2</v>
      </c>
      <c r="J2913">
        <f t="shared" si="233"/>
        <v>986.71</v>
      </c>
    </row>
    <row r="2914" spans="1:10" ht="12.5" x14ac:dyDescent="0.25">
      <c r="A2914" s="1">
        <v>45696</v>
      </c>
      <c r="B2914" s="2" t="s">
        <v>8</v>
      </c>
      <c r="C2914" s="3">
        <v>19.989999999999998</v>
      </c>
      <c r="D2914" s="3">
        <v>8</v>
      </c>
      <c r="E2914" s="3">
        <v>159.91999999999999</v>
      </c>
      <c r="F2914" t="str">
        <f t="shared" si="229"/>
        <v>cogs</v>
      </c>
      <c r="G2914" s="7" t="str">
        <f t="shared" si="230"/>
        <v>product 2</v>
      </c>
      <c r="H2914">
        <f t="shared" si="231"/>
        <v>2025</v>
      </c>
      <c r="I2914">
        <f t="shared" si="232"/>
        <v>2</v>
      </c>
      <c r="J2914">
        <f t="shared" si="233"/>
        <v>-296.46000000000004</v>
      </c>
    </row>
    <row r="2915" spans="1:10" ht="12.5" x14ac:dyDescent="0.25">
      <c r="A2915" s="1">
        <v>45696</v>
      </c>
      <c r="B2915" s="2" t="s">
        <v>9</v>
      </c>
      <c r="C2915" s="3">
        <v>8.99</v>
      </c>
      <c r="D2915" s="3">
        <v>169</v>
      </c>
      <c r="E2915" s="3">
        <v>1519.31</v>
      </c>
      <c r="F2915" t="str">
        <f t="shared" si="229"/>
        <v>cogs</v>
      </c>
      <c r="G2915" s="7" t="str">
        <f t="shared" si="230"/>
        <v>product 3</v>
      </c>
      <c r="H2915">
        <f t="shared" si="231"/>
        <v>2025</v>
      </c>
      <c r="I2915">
        <f t="shared" si="232"/>
        <v>2</v>
      </c>
      <c r="J2915">
        <f t="shared" si="233"/>
        <v>-159.91999999999999</v>
      </c>
    </row>
    <row r="2916" spans="1:10" ht="12.5" x14ac:dyDescent="0.25">
      <c r="A2916" s="1">
        <v>45696</v>
      </c>
      <c r="B2916" s="2" t="s">
        <v>10</v>
      </c>
      <c r="C2916" s="2" t="s">
        <v>6</v>
      </c>
      <c r="D2916" s="2" t="s">
        <v>6</v>
      </c>
      <c r="E2916" s="3">
        <v>102.99000000000001</v>
      </c>
      <c r="F2916" t="str">
        <f t="shared" si="229"/>
        <v>marketing</v>
      </c>
      <c r="G2916" s="7" t="s">
        <v>6</v>
      </c>
      <c r="H2916">
        <f t="shared" si="231"/>
        <v>2025</v>
      </c>
      <c r="I2916">
        <f t="shared" si="232"/>
        <v>2</v>
      </c>
      <c r="J2916">
        <f t="shared" si="233"/>
        <v>-377.58</v>
      </c>
    </row>
    <row r="2917" spans="1:10" ht="12.5" x14ac:dyDescent="0.25">
      <c r="A2917" s="1">
        <v>45696</v>
      </c>
      <c r="B2917" s="2" t="s">
        <v>11</v>
      </c>
      <c r="C2917" s="3">
        <v>9.99</v>
      </c>
      <c r="D2917" s="3">
        <v>5</v>
      </c>
      <c r="E2917" s="3">
        <v>49.95</v>
      </c>
      <c r="F2917" t="str">
        <f t="shared" si="229"/>
        <v>net sales</v>
      </c>
      <c r="G2917" s="7" t="str">
        <f t="shared" si="230"/>
        <v>product 1</v>
      </c>
      <c r="H2917">
        <f t="shared" si="231"/>
        <v>2025</v>
      </c>
      <c r="I2917">
        <f t="shared" si="232"/>
        <v>2</v>
      </c>
      <c r="J2917">
        <f t="shared" si="233"/>
        <v>-102.08</v>
      </c>
    </row>
    <row r="2918" spans="1:10" ht="12.5" x14ac:dyDescent="0.25">
      <c r="A2918" s="1">
        <v>45696</v>
      </c>
      <c r="B2918" s="2" t="s">
        <v>12</v>
      </c>
      <c r="C2918" s="3">
        <v>24.99</v>
      </c>
      <c r="D2918" s="3">
        <v>8</v>
      </c>
      <c r="E2918" s="3">
        <v>199.92</v>
      </c>
      <c r="F2918" t="str">
        <f t="shared" si="229"/>
        <v>net sales</v>
      </c>
      <c r="G2918" s="7" t="str">
        <f t="shared" si="230"/>
        <v>product 2</v>
      </c>
      <c r="H2918">
        <f t="shared" si="231"/>
        <v>2025</v>
      </c>
      <c r="I2918">
        <f t="shared" si="232"/>
        <v>2</v>
      </c>
      <c r="J2918">
        <f t="shared" si="233"/>
        <v>539.46</v>
      </c>
    </row>
    <row r="2919" spans="1:10" ht="12.5" x14ac:dyDescent="0.25">
      <c r="A2919" s="1">
        <v>45696</v>
      </c>
      <c r="B2919" s="2" t="s">
        <v>13</v>
      </c>
      <c r="C2919" s="3">
        <v>12.49</v>
      </c>
      <c r="D2919" s="3">
        <v>169</v>
      </c>
      <c r="E2919" s="3">
        <v>2110.81</v>
      </c>
      <c r="F2919" t="str">
        <f t="shared" si="229"/>
        <v>net sales</v>
      </c>
      <c r="G2919" s="7" t="str">
        <f t="shared" si="230"/>
        <v>product 3</v>
      </c>
      <c r="H2919">
        <f t="shared" si="231"/>
        <v>2025</v>
      </c>
      <c r="I2919">
        <f t="shared" si="232"/>
        <v>2</v>
      </c>
      <c r="J2919">
        <f t="shared" si="233"/>
        <v>199.92</v>
      </c>
    </row>
    <row r="2920" spans="1:10" ht="12.5" x14ac:dyDescent="0.25">
      <c r="A2920" s="1">
        <v>45697</v>
      </c>
      <c r="B2920" s="2" t="s">
        <v>7</v>
      </c>
      <c r="C2920" s="3">
        <v>5.49</v>
      </c>
      <c r="D2920" s="3">
        <v>82</v>
      </c>
      <c r="E2920" s="3">
        <v>450.18</v>
      </c>
      <c r="F2920" t="str">
        <f t="shared" si="229"/>
        <v>cogs</v>
      </c>
      <c r="G2920" s="7" t="str">
        <f t="shared" si="230"/>
        <v>product 1</v>
      </c>
      <c r="H2920">
        <f t="shared" si="231"/>
        <v>2025</v>
      </c>
      <c r="I2920">
        <f t="shared" si="232"/>
        <v>2</v>
      </c>
      <c r="J2920">
        <f t="shared" si="233"/>
        <v>524.58000000000004</v>
      </c>
    </row>
    <row r="2921" spans="1:10" ht="12.5" x14ac:dyDescent="0.25">
      <c r="A2921" s="1">
        <v>45697</v>
      </c>
      <c r="B2921" s="2" t="s">
        <v>8</v>
      </c>
      <c r="C2921" s="3">
        <v>19.989999999999998</v>
      </c>
      <c r="D2921" s="3">
        <v>4</v>
      </c>
      <c r="E2921" s="3">
        <v>79.959999999999994</v>
      </c>
      <c r="F2921" t="str">
        <f t="shared" si="229"/>
        <v>cogs</v>
      </c>
      <c r="G2921" s="7" t="str">
        <f t="shared" si="230"/>
        <v>product 2</v>
      </c>
      <c r="H2921">
        <f t="shared" si="231"/>
        <v>2025</v>
      </c>
      <c r="I2921">
        <f t="shared" si="232"/>
        <v>2</v>
      </c>
      <c r="J2921">
        <f t="shared" si="233"/>
        <v>-54.900000000000006</v>
      </c>
    </row>
    <row r="2922" spans="1:10" ht="12.5" x14ac:dyDescent="0.25">
      <c r="A2922" s="1">
        <v>45697</v>
      </c>
      <c r="B2922" s="2" t="s">
        <v>9</v>
      </c>
      <c r="C2922" s="3">
        <v>8.99</v>
      </c>
      <c r="D2922" s="3">
        <v>7</v>
      </c>
      <c r="E2922" s="3">
        <v>62.93</v>
      </c>
      <c r="F2922" t="str">
        <f t="shared" si="229"/>
        <v>cogs</v>
      </c>
      <c r="G2922" s="7" t="str">
        <f t="shared" si="230"/>
        <v>product 3</v>
      </c>
      <c r="H2922">
        <f t="shared" si="231"/>
        <v>2025</v>
      </c>
      <c r="I2922">
        <f t="shared" si="232"/>
        <v>2</v>
      </c>
      <c r="J2922">
        <f t="shared" si="233"/>
        <v>-139.92999999999998</v>
      </c>
    </row>
    <row r="2923" spans="1:10" ht="12.5" x14ac:dyDescent="0.25">
      <c r="A2923" s="1">
        <v>45697</v>
      </c>
      <c r="B2923" s="2" t="s">
        <v>10</v>
      </c>
      <c r="C2923" s="2" t="s">
        <v>6</v>
      </c>
      <c r="D2923" s="2" t="s">
        <v>6</v>
      </c>
      <c r="E2923" s="3">
        <v>115.94</v>
      </c>
      <c r="F2923" t="str">
        <f t="shared" si="229"/>
        <v>marketing</v>
      </c>
      <c r="G2923" s="7" t="s">
        <v>6</v>
      </c>
      <c r="H2923">
        <f t="shared" si="231"/>
        <v>2025</v>
      </c>
      <c r="I2923">
        <f t="shared" si="232"/>
        <v>2</v>
      </c>
      <c r="J2923">
        <f t="shared" si="233"/>
        <v>-197.78</v>
      </c>
    </row>
    <row r="2924" spans="1:10" ht="12.5" x14ac:dyDescent="0.25">
      <c r="A2924" s="1">
        <v>45697</v>
      </c>
      <c r="B2924" s="2" t="s">
        <v>11</v>
      </c>
      <c r="C2924" s="3">
        <v>9.99</v>
      </c>
      <c r="D2924" s="3">
        <v>82</v>
      </c>
      <c r="E2924" s="3">
        <v>819.18000000000006</v>
      </c>
      <c r="F2924" t="str">
        <f t="shared" si="229"/>
        <v>net sales</v>
      </c>
      <c r="G2924" s="7" t="str">
        <f t="shared" si="230"/>
        <v>product 1</v>
      </c>
      <c r="H2924">
        <f t="shared" si="231"/>
        <v>2025</v>
      </c>
      <c r="I2924">
        <f t="shared" si="232"/>
        <v>2</v>
      </c>
      <c r="J2924">
        <f t="shared" si="233"/>
        <v>-101.95</v>
      </c>
    </row>
    <row r="2925" spans="1:10" ht="12.5" x14ac:dyDescent="0.25">
      <c r="A2925" s="1">
        <v>45697</v>
      </c>
      <c r="B2925" s="2" t="s">
        <v>12</v>
      </c>
      <c r="C2925" s="3">
        <v>24.99</v>
      </c>
      <c r="D2925" s="3">
        <v>4</v>
      </c>
      <c r="E2925" s="3">
        <v>99.96</v>
      </c>
      <c r="F2925" t="str">
        <f t="shared" si="229"/>
        <v>net sales</v>
      </c>
      <c r="G2925" s="7" t="str">
        <f t="shared" si="230"/>
        <v>product 2</v>
      </c>
      <c r="H2925">
        <f t="shared" si="231"/>
        <v>2025</v>
      </c>
      <c r="I2925">
        <f t="shared" si="232"/>
        <v>2</v>
      </c>
      <c r="J2925">
        <f t="shared" si="233"/>
        <v>99.9</v>
      </c>
    </row>
    <row r="2926" spans="1:10" ht="12.5" x14ac:dyDescent="0.25">
      <c r="A2926" s="1">
        <v>45697</v>
      </c>
      <c r="B2926" s="2" t="s">
        <v>13</v>
      </c>
      <c r="C2926" s="3">
        <v>12.49</v>
      </c>
      <c r="D2926" s="3">
        <v>7</v>
      </c>
      <c r="E2926" s="3">
        <v>87.43</v>
      </c>
      <c r="F2926" t="str">
        <f t="shared" si="229"/>
        <v>net sales</v>
      </c>
      <c r="G2926" s="7" t="str">
        <f t="shared" si="230"/>
        <v>product 3</v>
      </c>
      <c r="H2926">
        <f t="shared" si="231"/>
        <v>2025</v>
      </c>
      <c r="I2926">
        <f t="shared" si="232"/>
        <v>2</v>
      </c>
      <c r="J2926">
        <f t="shared" si="233"/>
        <v>174.92999999999998</v>
      </c>
    </row>
    <row r="2927" spans="1:10" ht="12.5" x14ac:dyDescent="0.25">
      <c r="A2927" s="1">
        <v>45698</v>
      </c>
      <c r="B2927" s="2" t="s">
        <v>7</v>
      </c>
      <c r="C2927" s="3">
        <v>5.49</v>
      </c>
      <c r="D2927" s="3">
        <v>47</v>
      </c>
      <c r="E2927" s="3">
        <v>258.03000000000003</v>
      </c>
      <c r="F2927" t="str">
        <f t="shared" si="229"/>
        <v>cogs</v>
      </c>
      <c r="G2927" s="7" t="str">
        <f t="shared" si="230"/>
        <v>product 1</v>
      </c>
      <c r="H2927">
        <f t="shared" si="231"/>
        <v>2025</v>
      </c>
      <c r="I2927">
        <f t="shared" si="232"/>
        <v>2</v>
      </c>
      <c r="J2927">
        <f t="shared" si="233"/>
        <v>274.78000000000003</v>
      </c>
    </row>
    <row r="2928" spans="1:10" ht="12.5" x14ac:dyDescent="0.25">
      <c r="A2928" s="1">
        <v>45698</v>
      </c>
      <c r="B2928" s="2" t="s">
        <v>8</v>
      </c>
      <c r="C2928" s="3">
        <v>19.989999999999998</v>
      </c>
      <c r="D2928" s="3">
        <v>9</v>
      </c>
      <c r="E2928" s="3">
        <v>179.91</v>
      </c>
      <c r="F2928" t="str">
        <f t="shared" si="229"/>
        <v>cogs</v>
      </c>
      <c r="G2928" s="7" t="str">
        <f t="shared" si="230"/>
        <v>product 2</v>
      </c>
      <c r="H2928">
        <f t="shared" si="231"/>
        <v>2025</v>
      </c>
      <c r="I2928">
        <f t="shared" si="232"/>
        <v>2</v>
      </c>
      <c r="J2928">
        <f t="shared" si="233"/>
        <v>0</v>
      </c>
    </row>
    <row r="2929" spans="1:10" ht="12.5" x14ac:dyDescent="0.25">
      <c r="A2929" s="1">
        <v>45698</v>
      </c>
      <c r="B2929" s="2" t="s">
        <v>9</v>
      </c>
      <c r="C2929" s="3">
        <v>8.99</v>
      </c>
      <c r="D2929" s="3">
        <v>79</v>
      </c>
      <c r="E2929" s="3">
        <v>710.21</v>
      </c>
      <c r="F2929" t="str">
        <f t="shared" si="229"/>
        <v>cogs</v>
      </c>
      <c r="G2929" s="7" t="str">
        <f t="shared" si="230"/>
        <v>product 3</v>
      </c>
      <c r="H2929">
        <f t="shared" si="231"/>
        <v>2025</v>
      </c>
      <c r="I2929">
        <f t="shared" si="232"/>
        <v>2</v>
      </c>
      <c r="J2929">
        <f t="shared" si="233"/>
        <v>-119.94</v>
      </c>
    </row>
    <row r="2930" spans="1:10" ht="12.5" x14ac:dyDescent="0.25">
      <c r="A2930" s="1">
        <v>45698</v>
      </c>
      <c r="B2930" s="2" t="s">
        <v>10</v>
      </c>
      <c r="C2930" s="2" t="s">
        <v>6</v>
      </c>
      <c r="D2930" s="2" t="s">
        <v>6</v>
      </c>
      <c r="E2930" s="3">
        <v>103.07000000000001</v>
      </c>
      <c r="F2930" t="str">
        <f t="shared" si="229"/>
        <v>marketing</v>
      </c>
      <c r="G2930" s="7" t="s">
        <v>6</v>
      </c>
      <c r="H2930">
        <f t="shared" si="231"/>
        <v>2025</v>
      </c>
      <c r="I2930">
        <f t="shared" si="232"/>
        <v>2</v>
      </c>
      <c r="J2930">
        <f t="shared" si="233"/>
        <v>-1636.18</v>
      </c>
    </row>
    <row r="2931" spans="1:10" ht="12.5" x14ac:dyDescent="0.25">
      <c r="A2931" s="1">
        <v>45698</v>
      </c>
      <c r="B2931" s="2" t="s">
        <v>11</v>
      </c>
      <c r="C2931" s="3">
        <v>9.99</v>
      </c>
      <c r="D2931" s="3">
        <v>47</v>
      </c>
      <c r="E2931" s="3">
        <v>469.53000000000003</v>
      </c>
      <c r="F2931" t="str">
        <f t="shared" si="229"/>
        <v>net sales</v>
      </c>
      <c r="G2931" s="7" t="str">
        <f t="shared" si="230"/>
        <v>product 1</v>
      </c>
      <c r="H2931">
        <f t="shared" si="231"/>
        <v>2025</v>
      </c>
      <c r="I2931">
        <f t="shared" si="232"/>
        <v>2</v>
      </c>
      <c r="J2931">
        <f t="shared" si="233"/>
        <v>-106.97</v>
      </c>
    </row>
    <row r="2932" spans="1:10" ht="12.5" x14ac:dyDescent="0.25">
      <c r="A2932" s="1">
        <v>45698</v>
      </c>
      <c r="B2932" s="2" t="s">
        <v>12</v>
      </c>
      <c r="C2932" s="3">
        <v>24.99</v>
      </c>
      <c r="D2932" s="3">
        <v>9</v>
      </c>
      <c r="E2932" s="3">
        <v>224.91</v>
      </c>
      <c r="F2932" t="str">
        <f t="shared" si="229"/>
        <v>net sales</v>
      </c>
      <c r="G2932" s="7" t="str">
        <f t="shared" si="230"/>
        <v>product 2</v>
      </c>
      <c r="H2932">
        <f t="shared" si="231"/>
        <v>2025</v>
      </c>
      <c r="I2932">
        <f t="shared" si="232"/>
        <v>2</v>
      </c>
      <c r="J2932">
        <f t="shared" si="233"/>
        <v>0</v>
      </c>
    </row>
    <row r="2933" spans="1:10" ht="12.5" x14ac:dyDescent="0.25">
      <c r="A2933" s="1">
        <v>45698</v>
      </c>
      <c r="B2933" s="2" t="s">
        <v>13</v>
      </c>
      <c r="C2933" s="3">
        <v>12.49</v>
      </c>
      <c r="D2933" s="3">
        <v>79</v>
      </c>
      <c r="E2933" s="3">
        <v>986.71</v>
      </c>
      <c r="F2933" t="str">
        <f t="shared" si="229"/>
        <v>net sales</v>
      </c>
      <c r="G2933" s="7" t="str">
        <f t="shared" si="230"/>
        <v>product 3</v>
      </c>
      <c r="H2933">
        <f t="shared" si="231"/>
        <v>2025</v>
      </c>
      <c r="I2933">
        <f t="shared" si="232"/>
        <v>2</v>
      </c>
      <c r="J2933">
        <f t="shared" si="233"/>
        <v>149.94</v>
      </c>
    </row>
    <row r="2934" spans="1:10" ht="12.5" x14ac:dyDescent="0.25">
      <c r="A2934" s="1">
        <v>45699</v>
      </c>
      <c r="B2934" s="2" t="s">
        <v>7</v>
      </c>
      <c r="C2934" s="3">
        <v>5.49</v>
      </c>
      <c r="D2934" s="3">
        <v>72</v>
      </c>
      <c r="E2934" s="3">
        <v>395.28000000000003</v>
      </c>
      <c r="F2934" t="str">
        <f t="shared" si="229"/>
        <v>cogs</v>
      </c>
      <c r="G2934" s="7" t="str">
        <f t="shared" si="230"/>
        <v>product 1</v>
      </c>
      <c r="H2934">
        <f t="shared" si="231"/>
        <v>2025</v>
      </c>
      <c r="I2934">
        <f t="shared" si="232"/>
        <v>2</v>
      </c>
      <c r="J2934">
        <f t="shared" si="233"/>
        <v>2273.1799999999998</v>
      </c>
    </row>
    <row r="2935" spans="1:10" ht="12.5" x14ac:dyDescent="0.25">
      <c r="A2935" s="1">
        <v>45699</v>
      </c>
      <c r="B2935" s="2" t="s">
        <v>8</v>
      </c>
      <c r="C2935" s="3">
        <v>19.989999999999998</v>
      </c>
      <c r="D2935" s="3">
        <v>4</v>
      </c>
      <c r="E2935" s="3">
        <v>79.959999999999994</v>
      </c>
      <c r="F2935" t="str">
        <f t="shared" si="229"/>
        <v>cogs</v>
      </c>
      <c r="G2935" s="7" t="str">
        <f t="shared" si="230"/>
        <v>product 2</v>
      </c>
      <c r="H2935">
        <f t="shared" si="231"/>
        <v>2025</v>
      </c>
      <c r="I2935">
        <f t="shared" si="232"/>
        <v>2</v>
      </c>
      <c r="J2935">
        <f t="shared" si="233"/>
        <v>-153.72</v>
      </c>
    </row>
    <row r="2936" spans="1:10" ht="12.5" x14ac:dyDescent="0.25">
      <c r="A2936" s="1">
        <v>45699</v>
      </c>
      <c r="B2936" s="2" t="s">
        <v>9</v>
      </c>
      <c r="C2936" s="3">
        <v>8.99</v>
      </c>
      <c r="D2936" s="3">
        <v>2</v>
      </c>
      <c r="E2936" s="3">
        <v>17.98</v>
      </c>
      <c r="F2936" t="str">
        <f t="shared" si="229"/>
        <v>cogs</v>
      </c>
      <c r="G2936" s="7" t="str">
        <f t="shared" si="230"/>
        <v>product 3</v>
      </c>
      <c r="H2936">
        <f t="shared" si="231"/>
        <v>2025</v>
      </c>
      <c r="I2936">
        <f t="shared" si="232"/>
        <v>2</v>
      </c>
      <c r="J2936">
        <f t="shared" si="233"/>
        <v>0</v>
      </c>
    </row>
    <row r="2937" spans="1:10" ht="12.5" x14ac:dyDescent="0.25">
      <c r="A2937" s="1">
        <v>45699</v>
      </c>
      <c r="B2937" s="2" t="s">
        <v>10</v>
      </c>
      <c r="C2937" s="2" t="s">
        <v>6</v>
      </c>
      <c r="D2937" s="2" t="s">
        <v>6</v>
      </c>
      <c r="E2937" s="3">
        <v>118.94</v>
      </c>
      <c r="F2937" t="str">
        <f t="shared" si="229"/>
        <v>marketing</v>
      </c>
      <c r="G2937" s="7" t="s">
        <v>6</v>
      </c>
      <c r="H2937">
        <f t="shared" si="231"/>
        <v>2025</v>
      </c>
      <c r="I2937">
        <f t="shared" si="232"/>
        <v>2</v>
      </c>
      <c r="J2937">
        <f t="shared" si="233"/>
        <v>-1240.6200000000001</v>
      </c>
    </row>
    <row r="2938" spans="1:10" ht="12.5" x14ac:dyDescent="0.25">
      <c r="A2938" s="1">
        <v>45699</v>
      </c>
      <c r="B2938" s="2" t="s">
        <v>11</v>
      </c>
      <c r="C2938" s="3">
        <v>9.99</v>
      </c>
      <c r="D2938" s="3">
        <v>72</v>
      </c>
      <c r="E2938" s="3">
        <v>719.28</v>
      </c>
      <c r="F2938" t="str">
        <f t="shared" si="229"/>
        <v>net sales</v>
      </c>
      <c r="G2938" s="7" t="str">
        <f t="shared" si="230"/>
        <v>product 1</v>
      </c>
      <c r="H2938">
        <f t="shared" si="231"/>
        <v>2025</v>
      </c>
      <c r="I2938">
        <f t="shared" si="232"/>
        <v>2</v>
      </c>
      <c r="J2938">
        <f t="shared" si="233"/>
        <v>-114.96000000000001</v>
      </c>
    </row>
    <row r="2939" spans="1:10" ht="12.5" x14ac:dyDescent="0.25">
      <c r="A2939" s="1">
        <v>45699</v>
      </c>
      <c r="B2939" s="2" t="s">
        <v>12</v>
      </c>
      <c r="C2939" s="3">
        <v>24.99</v>
      </c>
      <c r="D2939" s="3">
        <v>4</v>
      </c>
      <c r="E2939" s="3">
        <v>99.96</v>
      </c>
      <c r="F2939" t="str">
        <f t="shared" si="229"/>
        <v>net sales</v>
      </c>
      <c r="G2939" s="7" t="str">
        <f t="shared" si="230"/>
        <v>product 2</v>
      </c>
      <c r="H2939">
        <f t="shared" si="231"/>
        <v>2025</v>
      </c>
      <c r="I2939">
        <f t="shared" si="232"/>
        <v>2</v>
      </c>
      <c r="J2939">
        <f t="shared" si="233"/>
        <v>279.72000000000003</v>
      </c>
    </row>
    <row r="2940" spans="1:10" ht="12.5" x14ac:dyDescent="0.25">
      <c r="A2940" s="1">
        <v>45699</v>
      </c>
      <c r="B2940" s="2" t="s">
        <v>13</v>
      </c>
      <c r="C2940" s="3">
        <v>12.49</v>
      </c>
      <c r="D2940" s="3">
        <v>2</v>
      </c>
      <c r="E2940" s="3">
        <v>24.98</v>
      </c>
      <c r="F2940" t="str">
        <f t="shared" si="229"/>
        <v>net sales</v>
      </c>
      <c r="G2940" s="7" t="str">
        <f t="shared" si="230"/>
        <v>product 3</v>
      </c>
      <c r="H2940">
        <f t="shared" si="231"/>
        <v>2025</v>
      </c>
      <c r="I2940">
        <f t="shared" si="232"/>
        <v>2</v>
      </c>
      <c r="J2940">
        <f t="shared" si="233"/>
        <v>0</v>
      </c>
    </row>
    <row r="2941" spans="1:10" ht="12.5" x14ac:dyDescent="0.25">
      <c r="A2941" s="1">
        <v>45700</v>
      </c>
      <c r="B2941" s="2" t="s">
        <v>7</v>
      </c>
      <c r="C2941" s="3">
        <v>5.49</v>
      </c>
      <c r="D2941" s="3">
        <v>32</v>
      </c>
      <c r="E2941" s="3">
        <v>175.68</v>
      </c>
      <c r="F2941" t="str">
        <f t="shared" si="229"/>
        <v>cogs</v>
      </c>
      <c r="G2941" s="7" t="str">
        <f t="shared" si="230"/>
        <v>product 1</v>
      </c>
      <c r="H2941">
        <f t="shared" si="231"/>
        <v>2025</v>
      </c>
      <c r="I2941">
        <f t="shared" si="232"/>
        <v>2</v>
      </c>
      <c r="J2941">
        <f t="shared" si="233"/>
        <v>1723.6200000000001</v>
      </c>
    </row>
    <row r="2942" spans="1:10" ht="12.5" x14ac:dyDescent="0.25">
      <c r="A2942" s="1">
        <v>45700</v>
      </c>
      <c r="B2942" s="2" t="s">
        <v>8</v>
      </c>
      <c r="C2942" s="3">
        <v>19.989999999999998</v>
      </c>
      <c r="D2942" s="3">
        <v>3</v>
      </c>
      <c r="E2942" s="3">
        <v>59.97</v>
      </c>
      <c r="F2942" t="str">
        <f t="shared" si="229"/>
        <v>cogs</v>
      </c>
      <c r="G2942" s="7" t="str">
        <f t="shared" si="230"/>
        <v>product 2</v>
      </c>
      <c r="H2942">
        <f t="shared" si="231"/>
        <v>2025</v>
      </c>
      <c r="I2942">
        <f t="shared" si="232"/>
        <v>2</v>
      </c>
      <c r="J2942">
        <f t="shared" si="233"/>
        <v>-510.57</v>
      </c>
    </row>
    <row r="2943" spans="1:10" ht="12.5" x14ac:dyDescent="0.25">
      <c r="A2943" s="1">
        <v>45700</v>
      </c>
      <c r="B2943" s="2" t="s">
        <v>9</v>
      </c>
      <c r="C2943" s="3">
        <v>8.99</v>
      </c>
      <c r="D2943" s="3">
        <v>131</v>
      </c>
      <c r="E2943" s="3">
        <v>1177.69</v>
      </c>
      <c r="F2943" t="str">
        <f t="shared" si="229"/>
        <v>cogs</v>
      </c>
      <c r="G2943" s="7" t="str">
        <f t="shared" si="230"/>
        <v>product 3</v>
      </c>
      <c r="H2943">
        <f t="shared" si="231"/>
        <v>2025</v>
      </c>
      <c r="I2943">
        <f t="shared" si="232"/>
        <v>2</v>
      </c>
      <c r="J2943">
        <f t="shared" si="233"/>
        <v>0</v>
      </c>
    </row>
    <row r="2944" spans="1:10" ht="12.5" x14ac:dyDescent="0.25">
      <c r="A2944" s="1">
        <v>45700</v>
      </c>
      <c r="B2944" s="2" t="s">
        <v>10</v>
      </c>
      <c r="C2944" s="2" t="s">
        <v>6</v>
      </c>
      <c r="D2944" s="2" t="s">
        <v>6</v>
      </c>
      <c r="E2944" s="3">
        <v>100.01</v>
      </c>
      <c r="F2944" t="str">
        <f t="shared" si="229"/>
        <v>marketing</v>
      </c>
      <c r="G2944" s="7" t="s">
        <v>6</v>
      </c>
      <c r="H2944">
        <f t="shared" si="231"/>
        <v>2025</v>
      </c>
      <c r="I2944">
        <f t="shared" si="232"/>
        <v>2</v>
      </c>
      <c r="J2944">
        <f t="shared" si="233"/>
        <v>-647.28</v>
      </c>
    </row>
    <row r="2945" spans="1:10" ht="12.5" x14ac:dyDescent="0.25">
      <c r="A2945" s="1">
        <v>45700</v>
      </c>
      <c r="B2945" s="2" t="s">
        <v>11</v>
      </c>
      <c r="C2945" s="3">
        <v>9.99</v>
      </c>
      <c r="D2945" s="3">
        <v>32</v>
      </c>
      <c r="E2945" s="3">
        <v>319.68</v>
      </c>
      <c r="F2945" t="str">
        <f t="shared" si="229"/>
        <v>net sales</v>
      </c>
      <c r="G2945" s="7" t="str">
        <f t="shared" si="230"/>
        <v>product 1</v>
      </c>
      <c r="H2945">
        <f t="shared" si="231"/>
        <v>2025</v>
      </c>
      <c r="I2945">
        <f t="shared" si="232"/>
        <v>2</v>
      </c>
      <c r="J2945">
        <f t="shared" si="233"/>
        <v>-107.93</v>
      </c>
    </row>
    <row r="2946" spans="1:10" ht="12.5" x14ac:dyDescent="0.25">
      <c r="A2946" s="1">
        <v>45700</v>
      </c>
      <c r="B2946" s="2" t="s">
        <v>12</v>
      </c>
      <c r="C2946" s="3">
        <v>24.99</v>
      </c>
      <c r="D2946" s="3">
        <v>3</v>
      </c>
      <c r="E2946" s="3">
        <v>74.97</v>
      </c>
      <c r="F2946" t="str">
        <f t="shared" si="229"/>
        <v>net sales</v>
      </c>
      <c r="G2946" s="7" t="str">
        <f t="shared" si="230"/>
        <v>product 2</v>
      </c>
      <c r="H2946">
        <f t="shared" si="231"/>
        <v>2025</v>
      </c>
      <c r="I2946">
        <f t="shared" si="232"/>
        <v>2</v>
      </c>
      <c r="J2946">
        <f t="shared" si="233"/>
        <v>929.07</v>
      </c>
    </row>
    <row r="2947" spans="1:10" ht="12.5" x14ac:dyDescent="0.25">
      <c r="A2947" s="1">
        <v>45700</v>
      </c>
      <c r="B2947" s="2" t="s">
        <v>13</v>
      </c>
      <c r="C2947" s="3">
        <v>12.49</v>
      </c>
      <c r="D2947" s="3">
        <v>131</v>
      </c>
      <c r="E2947" s="3">
        <v>1636.19</v>
      </c>
      <c r="F2947" t="str">
        <f t="shared" ref="F2947:F3010" si="234">IFERROR(LEFT(B2947,FIND(":",B2947)-1),B2947)</f>
        <v>net sales</v>
      </c>
      <c r="G2947" s="7" t="str">
        <f t="shared" ref="G2947:G3009" si="235">IFERROR(RIGHT(B2947,LEN(B2947)-FIND(":",B2947)),"")</f>
        <v>product 3</v>
      </c>
      <c r="H2947">
        <f t="shared" ref="H2947:H3010" si="236">YEAR(A2947)</f>
        <v>2025</v>
      </c>
      <c r="I2947">
        <f t="shared" ref="I2947:I3010" si="237">MONTH(A2947)</f>
        <v>2</v>
      </c>
      <c r="J2947">
        <f t="shared" si="233"/>
        <v>0</v>
      </c>
    </row>
    <row r="2948" spans="1:10" ht="12.5" x14ac:dyDescent="0.25">
      <c r="A2948" s="1">
        <v>45701</v>
      </c>
      <c r="B2948" s="2" t="s">
        <v>7</v>
      </c>
      <c r="C2948" s="3">
        <v>5.49</v>
      </c>
      <c r="D2948" s="3">
        <v>83</v>
      </c>
      <c r="E2948" s="3">
        <v>455.67</v>
      </c>
      <c r="F2948" t="str">
        <f t="shared" si="234"/>
        <v>cogs</v>
      </c>
      <c r="G2948" s="7" t="str">
        <f t="shared" si="235"/>
        <v>product 1</v>
      </c>
      <c r="H2948">
        <f t="shared" si="236"/>
        <v>2025</v>
      </c>
      <c r="I2948">
        <f t="shared" si="237"/>
        <v>2</v>
      </c>
      <c r="J2948">
        <f t="shared" si="233"/>
        <v>899.28</v>
      </c>
    </row>
    <row r="2949" spans="1:10" ht="12.5" x14ac:dyDescent="0.25">
      <c r="A2949" s="1">
        <v>45701</v>
      </c>
      <c r="B2949" s="2" t="s">
        <v>8</v>
      </c>
      <c r="C2949" s="3">
        <v>19.989999999999998</v>
      </c>
      <c r="D2949" s="3">
        <v>5</v>
      </c>
      <c r="E2949" s="3">
        <v>99.949999999999989</v>
      </c>
      <c r="F2949" t="str">
        <f t="shared" si="234"/>
        <v>cogs</v>
      </c>
      <c r="G2949" s="7" t="str">
        <f t="shared" si="235"/>
        <v>product 2</v>
      </c>
      <c r="H2949">
        <f t="shared" si="236"/>
        <v>2025</v>
      </c>
      <c r="I2949">
        <f t="shared" si="237"/>
        <v>2</v>
      </c>
      <c r="J2949">
        <f t="shared" si="233"/>
        <v>-241.56</v>
      </c>
    </row>
    <row r="2950" spans="1:10" ht="12.5" x14ac:dyDescent="0.25">
      <c r="A2950" s="1">
        <v>45701</v>
      </c>
      <c r="B2950" s="2" t="s">
        <v>9</v>
      </c>
      <c r="C2950" s="3">
        <v>8.99</v>
      </c>
      <c r="D2950" s="3">
        <v>197</v>
      </c>
      <c r="E2950" s="3">
        <v>1771.03</v>
      </c>
      <c r="F2950" t="str">
        <f t="shared" si="234"/>
        <v>cogs</v>
      </c>
      <c r="G2950" s="7" t="str">
        <f t="shared" si="235"/>
        <v>product 3</v>
      </c>
      <c r="H2950">
        <f t="shared" si="236"/>
        <v>2025</v>
      </c>
      <c r="I2950">
        <f t="shared" si="237"/>
        <v>2</v>
      </c>
      <c r="J2950">
        <f t="shared" si="233"/>
        <v>-179.91</v>
      </c>
    </row>
    <row r="2951" spans="1:10" ht="12.5" x14ac:dyDescent="0.25">
      <c r="A2951" s="1">
        <v>45701</v>
      </c>
      <c r="B2951" s="2" t="s">
        <v>10</v>
      </c>
      <c r="C2951" s="2" t="s">
        <v>6</v>
      </c>
      <c r="D2951" s="2" t="s">
        <v>6</v>
      </c>
      <c r="E2951" s="3">
        <v>110.96000000000001</v>
      </c>
      <c r="F2951" t="str">
        <f t="shared" si="234"/>
        <v>marketing</v>
      </c>
      <c r="G2951" s="7" t="s">
        <v>6</v>
      </c>
      <c r="H2951">
        <f t="shared" si="236"/>
        <v>2025</v>
      </c>
      <c r="I2951">
        <f t="shared" si="237"/>
        <v>2</v>
      </c>
      <c r="J2951">
        <f t="shared" si="233"/>
        <v>-1105.77</v>
      </c>
    </row>
    <row r="2952" spans="1:10" ht="12.5" x14ac:dyDescent="0.25">
      <c r="A2952" s="1">
        <v>45701</v>
      </c>
      <c r="B2952" s="2" t="s">
        <v>11</v>
      </c>
      <c r="C2952" s="3">
        <v>9.99</v>
      </c>
      <c r="D2952" s="3">
        <v>83</v>
      </c>
      <c r="E2952" s="3">
        <v>829.17000000000007</v>
      </c>
      <c r="F2952" t="str">
        <f t="shared" si="234"/>
        <v>net sales</v>
      </c>
      <c r="G2952" s="7" t="str">
        <f t="shared" si="235"/>
        <v>product 1</v>
      </c>
      <c r="H2952">
        <f t="shared" si="236"/>
        <v>2025</v>
      </c>
      <c r="I2952">
        <f t="shared" si="237"/>
        <v>2</v>
      </c>
      <c r="J2952">
        <f t="shared" si="233"/>
        <v>-115.97</v>
      </c>
    </row>
    <row r="2953" spans="1:10" ht="12.5" x14ac:dyDescent="0.25">
      <c r="A2953" s="1">
        <v>45701</v>
      </c>
      <c r="B2953" s="2" t="s">
        <v>12</v>
      </c>
      <c r="C2953" s="3">
        <v>24.99</v>
      </c>
      <c r="D2953" s="3">
        <v>5</v>
      </c>
      <c r="E2953" s="3">
        <v>124.94999999999999</v>
      </c>
      <c r="F2953" t="str">
        <f t="shared" si="234"/>
        <v>net sales</v>
      </c>
      <c r="G2953" s="7" t="str">
        <f t="shared" si="235"/>
        <v>product 2</v>
      </c>
      <c r="H2953">
        <f t="shared" si="236"/>
        <v>2025</v>
      </c>
      <c r="I2953">
        <f t="shared" si="237"/>
        <v>2</v>
      </c>
      <c r="J2953">
        <f t="shared" si="233"/>
        <v>439.56</v>
      </c>
    </row>
    <row r="2954" spans="1:10" ht="12.5" x14ac:dyDescent="0.25">
      <c r="A2954" s="1">
        <v>45701</v>
      </c>
      <c r="B2954" s="2" t="s">
        <v>13</v>
      </c>
      <c r="C2954" s="3">
        <v>12.49</v>
      </c>
      <c r="D2954" s="3">
        <v>197</v>
      </c>
      <c r="E2954" s="3">
        <v>2460.5300000000002</v>
      </c>
      <c r="F2954" t="str">
        <f t="shared" si="234"/>
        <v>net sales</v>
      </c>
      <c r="G2954" s="7" t="str">
        <f t="shared" si="235"/>
        <v>product 3</v>
      </c>
      <c r="H2954">
        <f t="shared" si="236"/>
        <v>2025</v>
      </c>
      <c r="I2954">
        <f t="shared" si="237"/>
        <v>2</v>
      </c>
      <c r="J2954">
        <f t="shared" si="233"/>
        <v>224.91</v>
      </c>
    </row>
    <row r="2955" spans="1:10" ht="12.5" x14ac:dyDescent="0.25">
      <c r="A2955" s="1">
        <v>45702</v>
      </c>
      <c r="B2955" s="2" t="s">
        <v>7</v>
      </c>
      <c r="C2955" s="3">
        <v>5.49</v>
      </c>
      <c r="D2955" s="3">
        <v>9</v>
      </c>
      <c r="E2955" s="3">
        <v>49.410000000000004</v>
      </c>
      <c r="F2955" t="str">
        <f t="shared" si="234"/>
        <v>cogs</v>
      </c>
      <c r="G2955" s="7" t="str">
        <f t="shared" si="235"/>
        <v>product 1</v>
      </c>
      <c r="H2955">
        <f t="shared" si="236"/>
        <v>2025</v>
      </c>
      <c r="I2955">
        <f t="shared" si="237"/>
        <v>2</v>
      </c>
      <c r="J2955">
        <f t="shared" si="233"/>
        <v>1536.27</v>
      </c>
    </row>
    <row r="2956" spans="1:10" ht="12.5" x14ac:dyDescent="0.25">
      <c r="A2956" s="1">
        <v>45702</v>
      </c>
      <c r="B2956" s="2" t="s">
        <v>8</v>
      </c>
      <c r="C2956" s="3">
        <v>19.989999999999998</v>
      </c>
      <c r="D2956" s="3">
        <v>6</v>
      </c>
      <c r="E2956" s="3">
        <v>119.94</v>
      </c>
      <c r="F2956" t="str">
        <f t="shared" si="234"/>
        <v>cogs</v>
      </c>
      <c r="G2956" s="7" t="str">
        <f t="shared" si="235"/>
        <v>product 2</v>
      </c>
      <c r="H2956">
        <f t="shared" si="236"/>
        <v>2025</v>
      </c>
      <c r="I2956">
        <f t="shared" si="237"/>
        <v>2</v>
      </c>
      <c r="J2956">
        <f t="shared" si="233"/>
        <v>-318.42</v>
      </c>
    </row>
    <row r="2957" spans="1:10" ht="12.5" x14ac:dyDescent="0.25">
      <c r="A2957" s="1">
        <v>45702</v>
      </c>
      <c r="B2957" s="2" t="s">
        <v>9</v>
      </c>
      <c r="C2957" s="3">
        <v>8.99</v>
      </c>
      <c r="D2957" s="3">
        <v>62</v>
      </c>
      <c r="E2957" s="3">
        <v>557.38</v>
      </c>
      <c r="F2957" t="str">
        <f t="shared" si="234"/>
        <v>cogs</v>
      </c>
      <c r="G2957" s="7" t="str">
        <f t="shared" si="235"/>
        <v>product 3</v>
      </c>
      <c r="H2957">
        <f t="shared" si="236"/>
        <v>2025</v>
      </c>
      <c r="I2957">
        <f t="shared" si="237"/>
        <v>2</v>
      </c>
      <c r="J2957">
        <f t="shared" si="233"/>
        <v>0</v>
      </c>
    </row>
    <row r="2958" spans="1:10" ht="12.5" x14ac:dyDescent="0.25">
      <c r="A2958" s="1">
        <v>45702</v>
      </c>
      <c r="B2958" s="2" t="s">
        <v>10</v>
      </c>
      <c r="C2958" s="2" t="s">
        <v>6</v>
      </c>
      <c r="D2958" s="2" t="s">
        <v>6</v>
      </c>
      <c r="E2958" s="3">
        <v>112.01</v>
      </c>
      <c r="F2958" t="str">
        <f t="shared" si="234"/>
        <v>marketing</v>
      </c>
      <c r="G2958" s="7" t="s">
        <v>6</v>
      </c>
      <c r="H2958">
        <f t="shared" si="236"/>
        <v>2025</v>
      </c>
      <c r="I2958">
        <f t="shared" si="237"/>
        <v>2</v>
      </c>
      <c r="J2958">
        <f t="shared" si="233"/>
        <v>-1222.6400000000001</v>
      </c>
    </row>
    <row r="2959" spans="1:10" ht="12.5" x14ac:dyDescent="0.25">
      <c r="A2959" s="1">
        <v>45702</v>
      </c>
      <c r="B2959" s="2" t="s">
        <v>11</v>
      </c>
      <c r="C2959" s="3">
        <v>9.99</v>
      </c>
      <c r="D2959" s="3">
        <v>9</v>
      </c>
      <c r="E2959" s="3">
        <v>89.91</v>
      </c>
      <c r="F2959" t="str">
        <f t="shared" si="234"/>
        <v>net sales</v>
      </c>
      <c r="G2959" s="7" t="str">
        <f t="shared" si="235"/>
        <v>product 1</v>
      </c>
      <c r="H2959">
        <f t="shared" si="236"/>
        <v>2025</v>
      </c>
      <c r="I2959">
        <f t="shared" si="237"/>
        <v>2</v>
      </c>
      <c r="J2959">
        <f t="shared" si="233"/>
        <v>-1271.6400000000001</v>
      </c>
    </row>
    <row r="2960" spans="1:10" ht="12.5" x14ac:dyDescent="0.25">
      <c r="A2960" s="1">
        <v>45702</v>
      </c>
      <c r="B2960" s="2" t="s">
        <v>12</v>
      </c>
      <c r="C2960" s="3">
        <v>24.99</v>
      </c>
      <c r="D2960" s="3">
        <v>6</v>
      </c>
      <c r="E2960" s="3">
        <v>149.94</v>
      </c>
      <c r="F2960" t="str">
        <f t="shared" si="234"/>
        <v>net sales</v>
      </c>
      <c r="G2960" s="7" t="str">
        <f t="shared" si="235"/>
        <v>product 2</v>
      </c>
      <c r="H2960">
        <f t="shared" si="236"/>
        <v>2025</v>
      </c>
      <c r="I2960">
        <f t="shared" si="237"/>
        <v>2</v>
      </c>
      <c r="J2960">
        <f t="shared" si="233"/>
        <v>-117.94</v>
      </c>
    </row>
    <row r="2961" spans="1:10" ht="12.5" x14ac:dyDescent="0.25">
      <c r="A2961" s="1">
        <v>45702</v>
      </c>
      <c r="B2961" s="2" t="s">
        <v>13</v>
      </c>
      <c r="C2961" s="3">
        <v>12.49</v>
      </c>
      <c r="D2961" s="3">
        <v>62</v>
      </c>
      <c r="E2961" s="3">
        <v>774.38</v>
      </c>
      <c r="F2961" t="str">
        <f t="shared" si="234"/>
        <v>net sales</v>
      </c>
      <c r="G2961" s="7" t="str">
        <f t="shared" si="235"/>
        <v>product 3</v>
      </c>
      <c r="H2961">
        <f t="shared" si="236"/>
        <v>2025</v>
      </c>
      <c r="I2961">
        <f t="shared" si="237"/>
        <v>2</v>
      </c>
      <c r="J2961">
        <f t="shared" si="233"/>
        <v>579.41999999999996</v>
      </c>
    </row>
    <row r="2962" spans="1:10" ht="12.5" x14ac:dyDescent="0.25">
      <c r="A2962" s="1">
        <v>45702</v>
      </c>
      <c r="B2962" s="2" t="s">
        <v>15</v>
      </c>
      <c r="C2962" s="2" t="s">
        <v>6</v>
      </c>
      <c r="D2962" s="2" t="s">
        <v>6</v>
      </c>
      <c r="E2962" s="3">
        <v>1200</v>
      </c>
      <c r="F2962" t="str">
        <f t="shared" si="234"/>
        <v>payroll</v>
      </c>
      <c r="G2962" s="7" t="s">
        <v>6</v>
      </c>
      <c r="H2962">
        <f t="shared" si="236"/>
        <v>2025</v>
      </c>
      <c r="I2962">
        <f t="shared" si="237"/>
        <v>2</v>
      </c>
      <c r="J2962">
        <f t="shared" si="233"/>
        <v>0</v>
      </c>
    </row>
    <row r="2963" spans="1:10" ht="12.5" x14ac:dyDescent="0.25">
      <c r="A2963" s="1">
        <v>45703</v>
      </c>
      <c r="B2963" s="2" t="s">
        <v>7</v>
      </c>
      <c r="C2963" s="3">
        <v>5.49</v>
      </c>
      <c r="D2963" s="3">
        <v>76</v>
      </c>
      <c r="E2963" s="3">
        <v>417.24</v>
      </c>
      <c r="F2963" t="str">
        <f t="shared" si="234"/>
        <v>cogs</v>
      </c>
      <c r="G2963" s="7" t="str">
        <f t="shared" si="235"/>
        <v>product 1</v>
      </c>
      <c r="H2963">
        <f t="shared" si="236"/>
        <v>2025</v>
      </c>
      <c r="I2963">
        <f t="shared" si="237"/>
        <v>2</v>
      </c>
      <c r="J2963">
        <f t="shared" si="233"/>
        <v>1698.64</v>
      </c>
    </row>
    <row r="2964" spans="1:10" ht="12.5" x14ac:dyDescent="0.25">
      <c r="A2964" s="1">
        <v>45703</v>
      </c>
      <c r="B2964" s="2" t="s">
        <v>8</v>
      </c>
      <c r="C2964" s="3">
        <v>19.989999999999998</v>
      </c>
      <c r="D2964" s="3">
        <v>6</v>
      </c>
      <c r="E2964" s="3">
        <v>119.94</v>
      </c>
      <c r="F2964" t="str">
        <f t="shared" si="234"/>
        <v>cogs</v>
      </c>
      <c r="G2964" s="7" t="str">
        <f t="shared" si="235"/>
        <v>product 2</v>
      </c>
      <c r="H2964">
        <f t="shared" si="236"/>
        <v>2025</v>
      </c>
      <c r="I2964">
        <f t="shared" si="237"/>
        <v>2</v>
      </c>
      <c r="J2964">
        <f t="shared" si="233"/>
        <v>-317.91000000000003</v>
      </c>
    </row>
    <row r="2965" spans="1:10" ht="12.5" x14ac:dyDescent="0.25">
      <c r="A2965" s="1">
        <v>45703</v>
      </c>
      <c r="B2965" s="2" t="s">
        <v>9</v>
      </c>
      <c r="C2965" s="3">
        <v>8.99</v>
      </c>
      <c r="D2965" s="3">
        <v>0</v>
      </c>
      <c r="E2965" s="2">
        <f>C2965*D2965</f>
        <v>0</v>
      </c>
      <c r="F2965" t="str">
        <f t="shared" si="234"/>
        <v>cogs</v>
      </c>
      <c r="G2965" s="7" t="str">
        <f t="shared" si="235"/>
        <v>product 3</v>
      </c>
      <c r="H2965">
        <f t="shared" si="236"/>
        <v>2025</v>
      </c>
      <c r="I2965">
        <f t="shared" si="237"/>
        <v>2</v>
      </c>
      <c r="J2965">
        <f t="shared" si="233"/>
        <v>-76.86</v>
      </c>
    </row>
    <row r="2966" spans="1:10" ht="12.5" x14ac:dyDescent="0.25">
      <c r="A2966" s="1">
        <v>45703</v>
      </c>
      <c r="B2966" s="2" t="s">
        <v>16</v>
      </c>
      <c r="C2966" s="2" t="s">
        <v>6</v>
      </c>
      <c r="D2966" s="2" t="s">
        <v>6</v>
      </c>
      <c r="E2966" s="3">
        <v>1243.76</v>
      </c>
      <c r="F2966" t="str">
        <f t="shared" si="234"/>
        <v>interest</v>
      </c>
      <c r="G2966" s="7" t="s">
        <v>6</v>
      </c>
      <c r="H2966">
        <f t="shared" si="236"/>
        <v>2025</v>
      </c>
      <c r="I2966">
        <f t="shared" si="237"/>
        <v>2</v>
      </c>
      <c r="J2966">
        <f t="shared" si="233"/>
        <v>-99.949999999999989</v>
      </c>
    </row>
    <row r="2967" spans="1:10" ht="12.5" x14ac:dyDescent="0.25">
      <c r="A2967" s="1">
        <v>45703</v>
      </c>
      <c r="B2967" s="2" t="s">
        <v>10</v>
      </c>
      <c r="C2967" s="2" t="s">
        <v>6</v>
      </c>
      <c r="D2967" s="2" t="s">
        <v>6</v>
      </c>
      <c r="E2967" s="3">
        <v>120.07000000000001</v>
      </c>
      <c r="F2967" t="str">
        <f t="shared" si="234"/>
        <v>marketing</v>
      </c>
      <c r="G2967" s="7" t="s">
        <v>6</v>
      </c>
      <c r="H2967">
        <f t="shared" si="236"/>
        <v>2025</v>
      </c>
      <c r="I2967">
        <f t="shared" si="237"/>
        <v>2</v>
      </c>
      <c r="J2967">
        <f t="shared" si="233"/>
        <v>-377.58</v>
      </c>
    </row>
    <row r="2968" spans="1:10" ht="12.5" x14ac:dyDescent="0.25">
      <c r="A2968" s="1">
        <v>45703</v>
      </c>
      <c r="B2968" s="2" t="s">
        <v>11</v>
      </c>
      <c r="C2968" s="3">
        <v>9.99</v>
      </c>
      <c r="D2968" s="3">
        <v>76</v>
      </c>
      <c r="E2968" s="3">
        <v>759.24</v>
      </c>
      <c r="F2968" t="str">
        <f t="shared" si="234"/>
        <v>net sales</v>
      </c>
      <c r="G2968" s="7" t="str">
        <f t="shared" si="235"/>
        <v>product 1</v>
      </c>
      <c r="H2968">
        <f t="shared" si="236"/>
        <v>2025</v>
      </c>
      <c r="I2968">
        <f t="shared" si="237"/>
        <v>2</v>
      </c>
      <c r="J2968">
        <f t="shared" si="233"/>
        <v>-117.9</v>
      </c>
    </row>
    <row r="2969" spans="1:10" ht="12.5" x14ac:dyDescent="0.25">
      <c r="A2969" s="1">
        <v>45703</v>
      </c>
      <c r="B2969" s="2" t="s">
        <v>12</v>
      </c>
      <c r="C2969" s="3">
        <v>24.99</v>
      </c>
      <c r="D2969" s="3">
        <v>6</v>
      </c>
      <c r="E2969" s="3">
        <v>149.94</v>
      </c>
      <c r="F2969" t="str">
        <f t="shared" si="234"/>
        <v>net sales</v>
      </c>
      <c r="G2969" s="7" t="str">
        <f t="shared" si="235"/>
        <v>product 2</v>
      </c>
      <c r="H2969">
        <f t="shared" si="236"/>
        <v>2025</v>
      </c>
      <c r="I2969">
        <f t="shared" si="237"/>
        <v>2</v>
      </c>
      <c r="J2969">
        <f t="shared" si="233"/>
        <v>139.86000000000001</v>
      </c>
    </row>
    <row r="2970" spans="1:10" ht="12.5" x14ac:dyDescent="0.25">
      <c r="A2970" s="1">
        <v>45703</v>
      </c>
      <c r="B2970" s="2" t="s">
        <v>13</v>
      </c>
      <c r="C2970" s="3">
        <v>12.49</v>
      </c>
      <c r="D2970" s="3">
        <v>0</v>
      </c>
      <c r="E2970" s="2">
        <f>C2970*D2970</f>
        <v>0</v>
      </c>
      <c r="F2970" t="str">
        <f t="shared" si="234"/>
        <v>net sales</v>
      </c>
      <c r="G2970" s="7" t="str">
        <f t="shared" si="235"/>
        <v>product 3</v>
      </c>
      <c r="H2970">
        <f t="shared" si="236"/>
        <v>2025</v>
      </c>
      <c r="I2970">
        <f t="shared" si="237"/>
        <v>2</v>
      </c>
      <c r="J2970">
        <f t="shared" si="233"/>
        <v>124.94999999999999</v>
      </c>
    </row>
    <row r="2971" spans="1:10" ht="12.5" x14ac:dyDescent="0.25">
      <c r="A2971" s="1">
        <v>45703</v>
      </c>
      <c r="B2971" s="2" t="s">
        <v>14</v>
      </c>
      <c r="C2971" s="2" t="s">
        <v>6</v>
      </c>
      <c r="D2971" s="2" t="s">
        <v>6</v>
      </c>
      <c r="E2971" s="3">
        <v>311.98</v>
      </c>
      <c r="F2971" t="str">
        <f t="shared" si="234"/>
        <v>overhead</v>
      </c>
      <c r="G2971" s="7" t="s">
        <v>6</v>
      </c>
      <c r="H2971">
        <f t="shared" si="236"/>
        <v>2025</v>
      </c>
      <c r="I2971">
        <f t="shared" si="237"/>
        <v>2</v>
      </c>
      <c r="J2971">
        <f t="shared" si="233"/>
        <v>524.58000000000004</v>
      </c>
    </row>
    <row r="2972" spans="1:10" ht="12.5" x14ac:dyDescent="0.25">
      <c r="A2972" s="1">
        <v>45704</v>
      </c>
      <c r="B2972" s="2" t="s">
        <v>7</v>
      </c>
      <c r="C2972" s="3">
        <v>5.49</v>
      </c>
      <c r="D2972" s="3">
        <v>7</v>
      </c>
      <c r="E2972" s="3">
        <v>38.43</v>
      </c>
      <c r="F2972" t="str">
        <f t="shared" si="234"/>
        <v>cogs</v>
      </c>
      <c r="G2972" s="7" t="str">
        <f t="shared" si="235"/>
        <v>product 1</v>
      </c>
      <c r="H2972">
        <f t="shared" si="236"/>
        <v>2025</v>
      </c>
      <c r="I2972">
        <f t="shared" si="237"/>
        <v>2</v>
      </c>
      <c r="J2972">
        <f t="shared" ref="J2972:J3035" si="238">IF(F2755="net sales",E2755,
IF(F2755="cogs",-E2755,
IF(OR(F2755="marketing",F2755="overhead",F2755="payroll",F2755="interest","amortization"),-E2755,0)))</f>
        <v>-329.40000000000003</v>
      </c>
    </row>
    <row r="2973" spans="1:10" ht="12.5" x14ac:dyDescent="0.25">
      <c r="A2973" s="1">
        <v>45704</v>
      </c>
      <c r="B2973" s="2" t="s">
        <v>8</v>
      </c>
      <c r="C2973" s="3">
        <v>19.989999999999998</v>
      </c>
      <c r="D2973" s="3">
        <v>6</v>
      </c>
      <c r="E2973" s="3">
        <v>119.94</v>
      </c>
      <c r="F2973" t="str">
        <f t="shared" si="234"/>
        <v>cogs</v>
      </c>
      <c r="G2973" s="7" t="str">
        <f t="shared" si="235"/>
        <v>product 2</v>
      </c>
      <c r="H2973">
        <f t="shared" si="236"/>
        <v>2025</v>
      </c>
      <c r="I2973">
        <f t="shared" si="237"/>
        <v>2</v>
      </c>
      <c r="J2973">
        <f t="shared" si="238"/>
        <v>-99.949999999999989</v>
      </c>
    </row>
    <row r="2974" spans="1:10" ht="12.5" x14ac:dyDescent="0.25">
      <c r="A2974" s="1">
        <v>45704</v>
      </c>
      <c r="B2974" s="2" t="s">
        <v>9</v>
      </c>
      <c r="C2974" s="3">
        <v>8.99</v>
      </c>
      <c r="D2974" s="3">
        <v>246</v>
      </c>
      <c r="E2974" s="3">
        <v>2211.54</v>
      </c>
      <c r="F2974" t="str">
        <f t="shared" si="234"/>
        <v>cogs</v>
      </c>
      <c r="G2974" s="7" t="str">
        <f t="shared" si="235"/>
        <v>product 3</v>
      </c>
      <c r="H2974">
        <f t="shared" si="236"/>
        <v>2025</v>
      </c>
      <c r="I2974">
        <f t="shared" si="237"/>
        <v>2</v>
      </c>
      <c r="J2974">
        <f t="shared" si="238"/>
        <v>-1195.67</v>
      </c>
    </row>
    <row r="2975" spans="1:10" ht="12.5" x14ac:dyDescent="0.25">
      <c r="A2975" s="1">
        <v>45704</v>
      </c>
      <c r="B2975" s="2" t="s">
        <v>10</v>
      </c>
      <c r="C2975" s="2" t="s">
        <v>6</v>
      </c>
      <c r="D2975" s="2" t="s">
        <v>6</v>
      </c>
      <c r="E2975" s="3">
        <v>112.97</v>
      </c>
      <c r="F2975" t="str">
        <f t="shared" si="234"/>
        <v>marketing</v>
      </c>
      <c r="G2975" s="7" t="s">
        <v>6</v>
      </c>
      <c r="H2975">
        <f t="shared" si="236"/>
        <v>2025</v>
      </c>
      <c r="I2975">
        <f t="shared" si="237"/>
        <v>2</v>
      </c>
      <c r="J2975">
        <f t="shared" si="238"/>
        <v>-105.09</v>
      </c>
    </row>
    <row r="2976" spans="1:10" ht="12.5" x14ac:dyDescent="0.25">
      <c r="A2976" s="1">
        <v>45704</v>
      </c>
      <c r="B2976" s="2" t="s">
        <v>11</v>
      </c>
      <c r="C2976" s="3">
        <v>9.99</v>
      </c>
      <c r="D2976" s="3">
        <v>7</v>
      </c>
      <c r="E2976" s="3">
        <v>69.930000000000007</v>
      </c>
      <c r="F2976" t="str">
        <f t="shared" si="234"/>
        <v>net sales</v>
      </c>
      <c r="G2976" s="7" t="str">
        <f t="shared" si="235"/>
        <v>product 1</v>
      </c>
      <c r="H2976">
        <f t="shared" si="236"/>
        <v>2025</v>
      </c>
      <c r="I2976">
        <f t="shared" si="237"/>
        <v>2</v>
      </c>
      <c r="J2976">
        <f t="shared" si="238"/>
        <v>599.4</v>
      </c>
    </row>
    <row r="2977" spans="1:10" ht="12.5" x14ac:dyDescent="0.25">
      <c r="A2977" s="1">
        <v>45704</v>
      </c>
      <c r="B2977" s="2" t="s">
        <v>12</v>
      </c>
      <c r="C2977" s="3">
        <v>24.99</v>
      </c>
      <c r="D2977" s="3">
        <v>6</v>
      </c>
      <c r="E2977" s="3">
        <v>149.94</v>
      </c>
      <c r="F2977" t="str">
        <f t="shared" si="234"/>
        <v>net sales</v>
      </c>
      <c r="G2977" s="7" t="str">
        <f t="shared" si="235"/>
        <v>product 2</v>
      </c>
      <c r="H2977">
        <f t="shared" si="236"/>
        <v>2025</v>
      </c>
      <c r="I2977">
        <f t="shared" si="237"/>
        <v>2</v>
      </c>
      <c r="J2977">
        <f t="shared" si="238"/>
        <v>124.94999999999999</v>
      </c>
    </row>
    <row r="2978" spans="1:10" ht="12.5" x14ac:dyDescent="0.25">
      <c r="A2978" s="1">
        <v>45704</v>
      </c>
      <c r="B2978" s="2" t="s">
        <v>13</v>
      </c>
      <c r="C2978" s="3">
        <v>12.49</v>
      </c>
      <c r="D2978" s="3">
        <v>246</v>
      </c>
      <c r="E2978" s="3">
        <v>3072.54</v>
      </c>
      <c r="F2978" t="str">
        <f t="shared" si="234"/>
        <v>net sales</v>
      </c>
      <c r="G2978" s="7" t="str">
        <f t="shared" si="235"/>
        <v>product 3</v>
      </c>
      <c r="H2978">
        <f t="shared" si="236"/>
        <v>2025</v>
      </c>
      <c r="I2978">
        <f t="shared" si="237"/>
        <v>2</v>
      </c>
      <c r="J2978">
        <f t="shared" si="238"/>
        <v>1661.17</v>
      </c>
    </row>
    <row r="2979" spans="1:10" ht="12.5" x14ac:dyDescent="0.25">
      <c r="A2979" s="1">
        <v>45705</v>
      </c>
      <c r="B2979" s="2" t="s">
        <v>7</v>
      </c>
      <c r="C2979" s="3">
        <v>5.49</v>
      </c>
      <c r="D2979" s="3">
        <v>42</v>
      </c>
      <c r="E2979" s="3">
        <v>230.58</v>
      </c>
      <c r="F2979" t="str">
        <f t="shared" si="234"/>
        <v>cogs</v>
      </c>
      <c r="G2979" s="7" t="str">
        <f t="shared" si="235"/>
        <v>product 1</v>
      </c>
      <c r="H2979">
        <f t="shared" si="236"/>
        <v>2025</v>
      </c>
      <c r="I2979">
        <f t="shared" si="237"/>
        <v>2</v>
      </c>
      <c r="J2979">
        <f t="shared" si="238"/>
        <v>-1200</v>
      </c>
    </row>
    <row r="2980" spans="1:10" ht="12.5" x14ac:dyDescent="0.25">
      <c r="A2980" s="1">
        <v>45705</v>
      </c>
      <c r="B2980" s="2" t="s">
        <v>8</v>
      </c>
      <c r="C2980" s="3">
        <v>19.989999999999998</v>
      </c>
      <c r="D2980" s="3">
        <v>2</v>
      </c>
      <c r="E2980" s="3">
        <v>39.979999999999997</v>
      </c>
      <c r="F2980" t="str">
        <f t="shared" si="234"/>
        <v>cogs</v>
      </c>
      <c r="G2980" s="7" t="str">
        <f t="shared" si="235"/>
        <v>product 2</v>
      </c>
      <c r="H2980">
        <f t="shared" si="236"/>
        <v>2025</v>
      </c>
      <c r="I2980">
        <f t="shared" si="237"/>
        <v>2</v>
      </c>
      <c r="J2980">
        <f t="shared" si="238"/>
        <v>-5.49</v>
      </c>
    </row>
    <row r="2981" spans="1:10" ht="12.5" x14ac:dyDescent="0.25">
      <c r="A2981" s="1">
        <v>45705</v>
      </c>
      <c r="B2981" s="2" t="s">
        <v>9</v>
      </c>
      <c r="C2981" s="3">
        <v>8.99</v>
      </c>
      <c r="D2981" s="3">
        <v>191</v>
      </c>
      <c r="E2981" s="3">
        <v>1717.0900000000001</v>
      </c>
      <c r="F2981" t="str">
        <f t="shared" si="234"/>
        <v>cogs</v>
      </c>
      <c r="G2981" s="7" t="str">
        <f t="shared" si="235"/>
        <v>product 3</v>
      </c>
      <c r="H2981">
        <f t="shared" si="236"/>
        <v>2025</v>
      </c>
      <c r="I2981">
        <f t="shared" si="237"/>
        <v>2</v>
      </c>
      <c r="J2981">
        <f t="shared" si="238"/>
        <v>-159.91999999999999</v>
      </c>
    </row>
    <row r="2982" spans="1:10" ht="12.5" x14ac:dyDescent="0.25">
      <c r="A2982" s="1">
        <v>45705</v>
      </c>
      <c r="B2982" s="2" t="s">
        <v>10</v>
      </c>
      <c r="C2982" s="2" t="s">
        <v>6</v>
      </c>
      <c r="D2982" s="2" t="s">
        <v>6</v>
      </c>
      <c r="E2982" s="3">
        <v>113.07000000000001</v>
      </c>
      <c r="F2982" t="str">
        <f t="shared" si="234"/>
        <v>marketing</v>
      </c>
      <c r="G2982" s="7" t="s">
        <v>6</v>
      </c>
      <c r="H2982">
        <f t="shared" si="236"/>
        <v>2025</v>
      </c>
      <c r="I2982">
        <f t="shared" si="237"/>
        <v>2</v>
      </c>
      <c r="J2982">
        <f t="shared" si="238"/>
        <v>-1411.43</v>
      </c>
    </row>
    <row r="2983" spans="1:10" ht="12.5" x14ac:dyDescent="0.25">
      <c r="A2983" s="1">
        <v>45705</v>
      </c>
      <c r="B2983" s="2" t="s">
        <v>11</v>
      </c>
      <c r="C2983" s="3">
        <v>9.99</v>
      </c>
      <c r="D2983" s="3">
        <v>42</v>
      </c>
      <c r="E2983" s="3">
        <v>419.58</v>
      </c>
      <c r="F2983" t="str">
        <f t="shared" si="234"/>
        <v>net sales</v>
      </c>
      <c r="G2983" s="7" t="str">
        <f t="shared" si="235"/>
        <v>product 1</v>
      </c>
      <c r="H2983">
        <f t="shared" si="236"/>
        <v>2025</v>
      </c>
      <c r="I2983">
        <f t="shared" si="237"/>
        <v>2</v>
      </c>
      <c r="J2983">
        <f t="shared" si="238"/>
        <v>-111</v>
      </c>
    </row>
    <row r="2984" spans="1:10" ht="12.5" x14ac:dyDescent="0.25">
      <c r="A2984" s="1">
        <v>45705</v>
      </c>
      <c r="B2984" s="2" t="s">
        <v>12</v>
      </c>
      <c r="C2984" s="3">
        <v>24.99</v>
      </c>
      <c r="D2984" s="3">
        <v>2</v>
      </c>
      <c r="E2984" s="3">
        <v>49.98</v>
      </c>
      <c r="F2984" t="str">
        <f t="shared" si="234"/>
        <v>net sales</v>
      </c>
      <c r="G2984" s="7" t="str">
        <f t="shared" si="235"/>
        <v>product 2</v>
      </c>
      <c r="H2984">
        <f t="shared" si="236"/>
        <v>2025</v>
      </c>
      <c r="I2984">
        <f t="shared" si="237"/>
        <v>2</v>
      </c>
      <c r="J2984">
        <f t="shared" si="238"/>
        <v>9.99</v>
      </c>
    </row>
    <row r="2985" spans="1:10" ht="12.5" x14ac:dyDescent="0.25">
      <c r="A2985" s="1">
        <v>45705</v>
      </c>
      <c r="B2985" s="2" t="s">
        <v>13</v>
      </c>
      <c r="C2985" s="3">
        <v>12.49</v>
      </c>
      <c r="D2985" s="3">
        <v>191</v>
      </c>
      <c r="E2985" s="3">
        <v>2385.59</v>
      </c>
      <c r="F2985" t="str">
        <f t="shared" si="234"/>
        <v>net sales</v>
      </c>
      <c r="G2985" s="7" t="str">
        <f t="shared" si="235"/>
        <v>product 3</v>
      </c>
      <c r="H2985">
        <f t="shared" si="236"/>
        <v>2025</v>
      </c>
      <c r="I2985">
        <f t="shared" si="237"/>
        <v>2</v>
      </c>
      <c r="J2985">
        <f t="shared" si="238"/>
        <v>199.92</v>
      </c>
    </row>
    <row r="2986" spans="1:10" ht="12.5" x14ac:dyDescent="0.25">
      <c r="A2986" s="1">
        <v>45706</v>
      </c>
      <c r="B2986" s="2" t="s">
        <v>7</v>
      </c>
      <c r="C2986" s="3">
        <v>5.49</v>
      </c>
      <c r="D2986" s="3">
        <v>19</v>
      </c>
      <c r="E2986" s="3">
        <v>104.31</v>
      </c>
      <c r="F2986" t="str">
        <f t="shared" si="234"/>
        <v>cogs</v>
      </c>
      <c r="G2986" s="7" t="str">
        <f t="shared" si="235"/>
        <v>product 1</v>
      </c>
      <c r="H2986">
        <f t="shared" si="236"/>
        <v>2025</v>
      </c>
      <c r="I2986">
        <f t="shared" si="237"/>
        <v>2</v>
      </c>
      <c r="J2986">
        <f t="shared" si="238"/>
        <v>1960.93</v>
      </c>
    </row>
    <row r="2987" spans="1:10" ht="12.5" x14ac:dyDescent="0.25">
      <c r="A2987" s="1">
        <v>45706</v>
      </c>
      <c r="B2987" s="2" t="s">
        <v>8</v>
      </c>
      <c r="C2987" s="3">
        <v>19.989999999999998</v>
      </c>
      <c r="D2987" s="3">
        <v>6</v>
      </c>
      <c r="E2987" s="3">
        <v>119.94</v>
      </c>
      <c r="F2987" t="str">
        <f t="shared" si="234"/>
        <v>cogs</v>
      </c>
      <c r="G2987" s="7" t="str">
        <f t="shared" si="235"/>
        <v>product 2</v>
      </c>
      <c r="H2987">
        <f t="shared" si="236"/>
        <v>2025</v>
      </c>
      <c r="I2987">
        <f t="shared" si="237"/>
        <v>2</v>
      </c>
      <c r="J2987">
        <f t="shared" si="238"/>
        <v>-203.13</v>
      </c>
    </row>
    <row r="2988" spans="1:10" ht="12.5" x14ac:dyDescent="0.25">
      <c r="A2988" s="1">
        <v>45706</v>
      </c>
      <c r="B2988" s="2" t="s">
        <v>9</v>
      </c>
      <c r="C2988" s="3">
        <v>8.99</v>
      </c>
      <c r="D2988" s="3">
        <v>160</v>
      </c>
      <c r="E2988" s="3">
        <v>1438.4</v>
      </c>
      <c r="F2988" t="str">
        <f t="shared" si="234"/>
        <v>cogs</v>
      </c>
      <c r="G2988" s="7" t="str">
        <f t="shared" si="235"/>
        <v>product 3</v>
      </c>
      <c r="H2988">
        <f t="shared" si="236"/>
        <v>2025</v>
      </c>
      <c r="I2988">
        <f t="shared" si="237"/>
        <v>2</v>
      </c>
      <c r="J2988">
        <f t="shared" si="238"/>
        <v>-179.91</v>
      </c>
    </row>
    <row r="2989" spans="1:10" ht="12.5" x14ac:dyDescent="0.25">
      <c r="A2989" s="1">
        <v>45706</v>
      </c>
      <c r="B2989" s="2" t="s">
        <v>10</v>
      </c>
      <c r="C2989" s="2" t="s">
        <v>6</v>
      </c>
      <c r="D2989" s="2" t="s">
        <v>6</v>
      </c>
      <c r="E2989" s="3">
        <v>114.07000000000001</v>
      </c>
      <c r="F2989" t="str">
        <f t="shared" si="234"/>
        <v>marketing</v>
      </c>
      <c r="G2989" s="7" t="s">
        <v>6</v>
      </c>
      <c r="H2989">
        <f t="shared" si="236"/>
        <v>2025</v>
      </c>
      <c r="I2989">
        <f t="shared" si="237"/>
        <v>2</v>
      </c>
      <c r="J2989">
        <f t="shared" si="238"/>
        <v>-1429.41</v>
      </c>
    </row>
    <row r="2990" spans="1:10" ht="12.5" x14ac:dyDescent="0.25">
      <c r="A2990" s="1">
        <v>45706</v>
      </c>
      <c r="B2990" s="2" t="s">
        <v>11</v>
      </c>
      <c r="C2990" s="3">
        <v>9.99</v>
      </c>
      <c r="D2990" s="3">
        <v>19</v>
      </c>
      <c r="E2990" s="3">
        <v>189.81</v>
      </c>
      <c r="F2990" t="str">
        <f t="shared" si="234"/>
        <v>net sales</v>
      </c>
      <c r="G2990" s="7" t="str">
        <f t="shared" si="235"/>
        <v>product 1</v>
      </c>
      <c r="H2990">
        <f t="shared" si="236"/>
        <v>2025</v>
      </c>
      <c r="I2990">
        <f t="shared" si="237"/>
        <v>2</v>
      </c>
      <c r="J2990">
        <f t="shared" si="238"/>
        <v>-107.02</v>
      </c>
    </row>
    <row r="2991" spans="1:10" ht="12.5" x14ac:dyDescent="0.25">
      <c r="A2991" s="1">
        <v>45706</v>
      </c>
      <c r="B2991" s="2" t="s">
        <v>12</v>
      </c>
      <c r="C2991" s="3">
        <v>24.99</v>
      </c>
      <c r="D2991" s="3">
        <v>6</v>
      </c>
      <c r="E2991" s="3">
        <v>149.94</v>
      </c>
      <c r="F2991" t="str">
        <f t="shared" si="234"/>
        <v>net sales</v>
      </c>
      <c r="G2991" s="7" t="str">
        <f t="shared" si="235"/>
        <v>product 2</v>
      </c>
      <c r="H2991">
        <f t="shared" si="236"/>
        <v>2025</v>
      </c>
      <c r="I2991">
        <f t="shared" si="237"/>
        <v>2</v>
      </c>
      <c r="J2991">
        <f t="shared" si="238"/>
        <v>369.63</v>
      </c>
    </row>
    <row r="2992" spans="1:10" ht="12.5" x14ac:dyDescent="0.25">
      <c r="A2992" s="1">
        <v>45706</v>
      </c>
      <c r="B2992" s="2" t="s">
        <v>13</v>
      </c>
      <c r="C2992" s="3">
        <v>12.49</v>
      </c>
      <c r="D2992" s="3">
        <v>160</v>
      </c>
      <c r="E2992" s="3">
        <v>1998.4</v>
      </c>
      <c r="F2992" t="str">
        <f t="shared" si="234"/>
        <v>net sales</v>
      </c>
      <c r="G2992" s="7" t="str">
        <f t="shared" si="235"/>
        <v>product 3</v>
      </c>
      <c r="H2992">
        <f t="shared" si="236"/>
        <v>2025</v>
      </c>
      <c r="I2992">
        <f t="shared" si="237"/>
        <v>2</v>
      </c>
      <c r="J2992">
        <f t="shared" si="238"/>
        <v>224.91</v>
      </c>
    </row>
    <row r="2993" spans="1:10" ht="12.5" x14ac:dyDescent="0.25">
      <c r="A2993" s="1">
        <v>45707</v>
      </c>
      <c r="B2993" s="2" t="s">
        <v>7</v>
      </c>
      <c r="C2993" s="3">
        <v>5.49</v>
      </c>
      <c r="D2993" s="3">
        <v>43</v>
      </c>
      <c r="E2993" s="3">
        <v>236.07000000000002</v>
      </c>
      <c r="F2993" t="str">
        <f t="shared" si="234"/>
        <v>cogs</v>
      </c>
      <c r="G2993" s="7" t="str">
        <f t="shared" si="235"/>
        <v>product 1</v>
      </c>
      <c r="H2993">
        <f t="shared" si="236"/>
        <v>2025</v>
      </c>
      <c r="I2993">
        <f t="shared" si="237"/>
        <v>2</v>
      </c>
      <c r="J2993">
        <f t="shared" si="238"/>
        <v>1985.91</v>
      </c>
    </row>
    <row r="2994" spans="1:10" ht="12.5" x14ac:dyDescent="0.25">
      <c r="A2994" s="1">
        <v>45707</v>
      </c>
      <c r="B2994" s="2" t="s">
        <v>8</v>
      </c>
      <c r="C2994" s="3">
        <v>19.989999999999998</v>
      </c>
      <c r="D2994" s="3">
        <v>7</v>
      </c>
      <c r="E2994" s="3">
        <v>139.92999999999998</v>
      </c>
      <c r="F2994" t="str">
        <f t="shared" si="234"/>
        <v>cogs</v>
      </c>
      <c r="G2994" s="7" t="str">
        <f t="shared" si="235"/>
        <v>product 2</v>
      </c>
      <c r="H2994">
        <f t="shared" si="236"/>
        <v>2025</v>
      </c>
      <c r="I2994">
        <f t="shared" si="237"/>
        <v>2</v>
      </c>
      <c r="J2994">
        <f t="shared" si="238"/>
        <v>-170.19</v>
      </c>
    </row>
    <row r="2995" spans="1:10" ht="12.5" x14ac:dyDescent="0.25">
      <c r="A2995" s="1">
        <v>45707</v>
      </c>
      <c r="B2995" s="2" t="s">
        <v>9</v>
      </c>
      <c r="C2995" s="3">
        <v>8.99</v>
      </c>
      <c r="D2995" s="3">
        <v>149</v>
      </c>
      <c r="E2995" s="3">
        <v>1339.51</v>
      </c>
      <c r="F2995" t="str">
        <f t="shared" si="234"/>
        <v>cogs</v>
      </c>
      <c r="G2995" s="7" t="str">
        <f t="shared" si="235"/>
        <v>product 3</v>
      </c>
      <c r="H2995">
        <f t="shared" si="236"/>
        <v>2025</v>
      </c>
      <c r="I2995">
        <f t="shared" si="237"/>
        <v>2</v>
      </c>
      <c r="J2995">
        <f t="shared" si="238"/>
        <v>-179.91</v>
      </c>
    </row>
    <row r="2996" spans="1:10" ht="12.5" x14ac:dyDescent="0.25">
      <c r="A2996" s="1">
        <v>45707</v>
      </c>
      <c r="B2996" s="2" t="s">
        <v>10</v>
      </c>
      <c r="C2996" s="2" t="s">
        <v>6</v>
      </c>
      <c r="D2996" s="2" t="s">
        <v>6</v>
      </c>
      <c r="E2996" s="3">
        <v>105.99000000000001</v>
      </c>
      <c r="F2996" t="str">
        <f t="shared" si="234"/>
        <v>marketing</v>
      </c>
      <c r="G2996" s="7" t="s">
        <v>6</v>
      </c>
      <c r="H2996">
        <f t="shared" si="236"/>
        <v>2025</v>
      </c>
      <c r="I2996">
        <f t="shared" si="237"/>
        <v>2</v>
      </c>
      <c r="J2996">
        <f t="shared" si="238"/>
        <v>-80.91</v>
      </c>
    </row>
    <row r="2997" spans="1:10" ht="12.5" x14ac:dyDescent="0.25">
      <c r="A2997" s="1">
        <v>45707</v>
      </c>
      <c r="B2997" s="2" t="s">
        <v>11</v>
      </c>
      <c r="C2997" s="3">
        <v>9.99</v>
      </c>
      <c r="D2997" s="3">
        <v>43</v>
      </c>
      <c r="E2997" s="3">
        <v>429.57</v>
      </c>
      <c r="F2997" t="str">
        <f t="shared" si="234"/>
        <v>net sales</v>
      </c>
      <c r="G2997" s="7" t="str">
        <f t="shared" si="235"/>
        <v>product 1</v>
      </c>
      <c r="H2997">
        <f t="shared" si="236"/>
        <v>2025</v>
      </c>
      <c r="I2997">
        <f t="shared" si="237"/>
        <v>2</v>
      </c>
      <c r="J2997">
        <f t="shared" si="238"/>
        <v>-110.91</v>
      </c>
    </row>
    <row r="2998" spans="1:10" ht="12.5" x14ac:dyDescent="0.25">
      <c r="A2998" s="1">
        <v>45707</v>
      </c>
      <c r="B2998" s="2" t="s">
        <v>12</v>
      </c>
      <c r="C2998" s="3">
        <v>24.99</v>
      </c>
      <c r="D2998" s="3">
        <v>7</v>
      </c>
      <c r="E2998" s="3">
        <v>174.92999999999998</v>
      </c>
      <c r="F2998" t="str">
        <f t="shared" si="234"/>
        <v>net sales</v>
      </c>
      <c r="G2998" s="7" t="str">
        <f t="shared" si="235"/>
        <v>product 2</v>
      </c>
      <c r="H2998">
        <f t="shared" si="236"/>
        <v>2025</v>
      </c>
      <c r="I2998">
        <f t="shared" si="237"/>
        <v>2</v>
      </c>
      <c r="J2998">
        <f t="shared" si="238"/>
        <v>309.69</v>
      </c>
    </row>
    <row r="2999" spans="1:10" ht="12.5" x14ac:dyDescent="0.25">
      <c r="A2999" s="1">
        <v>45707</v>
      </c>
      <c r="B2999" s="2" t="s">
        <v>13</v>
      </c>
      <c r="C2999" s="3">
        <v>12.49</v>
      </c>
      <c r="D2999" s="3">
        <v>149</v>
      </c>
      <c r="E2999" s="3">
        <v>1861.01</v>
      </c>
      <c r="F2999" t="str">
        <f t="shared" si="234"/>
        <v>net sales</v>
      </c>
      <c r="G2999" s="7" t="str">
        <f t="shared" si="235"/>
        <v>product 3</v>
      </c>
      <c r="H2999">
        <f t="shared" si="236"/>
        <v>2025</v>
      </c>
      <c r="I2999">
        <f t="shared" si="237"/>
        <v>2</v>
      </c>
      <c r="J2999">
        <f t="shared" si="238"/>
        <v>224.91</v>
      </c>
    </row>
    <row r="3000" spans="1:10" ht="12.5" x14ac:dyDescent="0.25">
      <c r="A3000" s="1">
        <v>45708</v>
      </c>
      <c r="B3000" s="2" t="s">
        <v>7</v>
      </c>
      <c r="C3000" s="3">
        <v>5.49</v>
      </c>
      <c r="D3000" s="3">
        <v>21</v>
      </c>
      <c r="E3000" s="3">
        <v>115.29</v>
      </c>
      <c r="F3000" t="str">
        <f t="shared" si="234"/>
        <v>cogs</v>
      </c>
      <c r="G3000" s="7" t="str">
        <f t="shared" si="235"/>
        <v>product 1</v>
      </c>
      <c r="H3000">
        <f t="shared" si="236"/>
        <v>2025</v>
      </c>
      <c r="I3000">
        <f t="shared" si="237"/>
        <v>2</v>
      </c>
      <c r="J3000">
        <f t="shared" si="238"/>
        <v>112.41</v>
      </c>
    </row>
    <row r="3001" spans="1:10" ht="12.5" x14ac:dyDescent="0.25">
      <c r="A3001" s="1">
        <v>45708</v>
      </c>
      <c r="B3001" s="2" t="s">
        <v>8</v>
      </c>
      <c r="C3001" s="3">
        <v>19.989999999999998</v>
      </c>
      <c r="D3001" s="3">
        <v>4</v>
      </c>
      <c r="E3001" s="3">
        <v>79.959999999999994</v>
      </c>
      <c r="F3001" t="str">
        <f t="shared" si="234"/>
        <v>cogs</v>
      </c>
      <c r="G3001" s="7" t="str">
        <f t="shared" si="235"/>
        <v>product 2</v>
      </c>
      <c r="H3001">
        <f t="shared" si="236"/>
        <v>2025</v>
      </c>
      <c r="I3001">
        <f t="shared" si="237"/>
        <v>2</v>
      </c>
      <c r="J3001">
        <f t="shared" si="238"/>
        <v>-494.1</v>
      </c>
    </row>
    <row r="3002" spans="1:10" ht="12.5" x14ac:dyDescent="0.25">
      <c r="A3002" s="1">
        <v>45708</v>
      </c>
      <c r="B3002" s="2" t="s">
        <v>9</v>
      </c>
      <c r="C3002" s="3">
        <v>8.99</v>
      </c>
      <c r="D3002" s="3">
        <v>187</v>
      </c>
      <c r="E3002" s="3">
        <v>1681.13</v>
      </c>
      <c r="F3002" t="str">
        <f t="shared" si="234"/>
        <v>cogs</v>
      </c>
      <c r="G3002" s="7" t="str">
        <f t="shared" si="235"/>
        <v>product 3</v>
      </c>
      <c r="H3002">
        <f t="shared" si="236"/>
        <v>2025</v>
      </c>
      <c r="I3002">
        <f t="shared" si="237"/>
        <v>2</v>
      </c>
      <c r="J3002">
        <f t="shared" si="238"/>
        <v>-99.949999999999989</v>
      </c>
    </row>
    <row r="3003" spans="1:10" ht="12.5" x14ac:dyDescent="0.25">
      <c r="A3003" s="1">
        <v>45708</v>
      </c>
      <c r="B3003" s="2" t="s">
        <v>10</v>
      </c>
      <c r="C3003" s="2" t="s">
        <v>6</v>
      </c>
      <c r="D3003" s="2" t="s">
        <v>6</v>
      </c>
      <c r="E3003" s="3">
        <v>107.03</v>
      </c>
      <c r="F3003" t="str">
        <f t="shared" si="234"/>
        <v>marketing</v>
      </c>
      <c r="G3003" s="7" t="s">
        <v>6</v>
      </c>
      <c r="H3003">
        <f t="shared" si="236"/>
        <v>2025</v>
      </c>
      <c r="I3003">
        <f t="shared" si="237"/>
        <v>2</v>
      </c>
      <c r="J3003">
        <f t="shared" si="238"/>
        <v>-2130.63</v>
      </c>
    </row>
    <row r="3004" spans="1:10" ht="12.5" x14ac:dyDescent="0.25">
      <c r="A3004" s="1">
        <v>45708</v>
      </c>
      <c r="B3004" s="2" t="s">
        <v>11</v>
      </c>
      <c r="C3004" s="3">
        <v>9.99</v>
      </c>
      <c r="D3004" s="3">
        <v>21</v>
      </c>
      <c r="E3004" s="3">
        <v>209.79</v>
      </c>
      <c r="F3004" t="str">
        <f t="shared" si="234"/>
        <v>net sales</v>
      </c>
      <c r="G3004" s="7" t="str">
        <f t="shared" si="235"/>
        <v>product 1</v>
      </c>
      <c r="H3004">
        <f t="shared" si="236"/>
        <v>2025</v>
      </c>
      <c r="I3004">
        <f t="shared" si="237"/>
        <v>2</v>
      </c>
      <c r="J3004">
        <f t="shared" si="238"/>
        <v>-116.97</v>
      </c>
    </row>
    <row r="3005" spans="1:10" ht="12.5" x14ac:dyDescent="0.25">
      <c r="A3005" s="1">
        <v>45708</v>
      </c>
      <c r="B3005" s="2" t="s">
        <v>12</v>
      </c>
      <c r="C3005" s="3">
        <v>24.99</v>
      </c>
      <c r="D3005" s="3">
        <v>4</v>
      </c>
      <c r="E3005" s="3">
        <v>99.96</v>
      </c>
      <c r="F3005" t="str">
        <f t="shared" si="234"/>
        <v>net sales</v>
      </c>
      <c r="G3005" s="7" t="str">
        <f t="shared" si="235"/>
        <v>product 2</v>
      </c>
      <c r="H3005">
        <f t="shared" si="236"/>
        <v>2025</v>
      </c>
      <c r="I3005">
        <f t="shared" si="237"/>
        <v>2</v>
      </c>
      <c r="J3005">
        <f t="shared" si="238"/>
        <v>899.1</v>
      </c>
    </row>
    <row r="3006" spans="1:10" ht="12.5" x14ac:dyDescent="0.25">
      <c r="A3006" s="1">
        <v>45708</v>
      </c>
      <c r="B3006" s="2" t="s">
        <v>13</v>
      </c>
      <c r="C3006" s="3">
        <v>12.49</v>
      </c>
      <c r="D3006" s="3">
        <v>187</v>
      </c>
      <c r="E3006" s="3">
        <v>2335.63</v>
      </c>
      <c r="F3006" t="str">
        <f t="shared" si="234"/>
        <v>net sales</v>
      </c>
      <c r="G3006" s="7" t="str">
        <f t="shared" si="235"/>
        <v>product 3</v>
      </c>
      <c r="H3006">
        <f t="shared" si="236"/>
        <v>2025</v>
      </c>
      <c r="I3006">
        <f t="shared" si="237"/>
        <v>2</v>
      </c>
      <c r="J3006">
        <f t="shared" si="238"/>
        <v>124.94999999999999</v>
      </c>
    </row>
    <row r="3007" spans="1:10" ht="12.5" x14ac:dyDescent="0.25">
      <c r="A3007" s="1">
        <v>45709</v>
      </c>
      <c r="B3007" s="2" t="s">
        <v>7</v>
      </c>
      <c r="C3007" s="3">
        <v>5.49</v>
      </c>
      <c r="D3007" s="3">
        <v>30</v>
      </c>
      <c r="E3007" s="3">
        <v>164.70000000000002</v>
      </c>
      <c r="F3007" t="str">
        <f t="shared" si="234"/>
        <v>cogs</v>
      </c>
      <c r="G3007" s="7" t="str">
        <f t="shared" si="235"/>
        <v>product 1</v>
      </c>
      <c r="H3007">
        <f t="shared" si="236"/>
        <v>2025</v>
      </c>
      <c r="I3007">
        <f t="shared" si="237"/>
        <v>2</v>
      </c>
      <c r="J3007">
        <f t="shared" si="238"/>
        <v>2960.13</v>
      </c>
    </row>
    <row r="3008" spans="1:10" ht="12.5" x14ac:dyDescent="0.25">
      <c r="A3008" s="1">
        <v>45709</v>
      </c>
      <c r="B3008" s="2" t="s">
        <v>8</v>
      </c>
      <c r="C3008" s="3">
        <v>19.989999999999998</v>
      </c>
      <c r="D3008" s="3">
        <v>7</v>
      </c>
      <c r="E3008" s="3">
        <v>139.92999999999998</v>
      </c>
      <c r="F3008" t="str">
        <f t="shared" si="234"/>
        <v>cogs</v>
      </c>
      <c r="G3008" s="7" t="str">
        <f t="shared" si="235"/>
        <v>product 2</v>
      </c>
      <c r="H3008">
        <f t="shared" si="236"/>
        <v>2025</v>
      </c>
      <c r="I3008">
        <f t="shared" si="237"/>
        <v>2</v>
      </c>
      <c r="J3008">
        <f t="shared" si="238"/>
        <v>-307.44</v>
      </c>
    </row>
    <row r="3009" spans="1:10" ht="12.5" x14ac:dyDescent="0.25">
      <c r="A3009" s="1">
        <v>45709</v>
      </c>
      <c r="B3009" s="2" t="s">
        <v>9</v>
      </c>
      <c r="C3009" s="3">
        <v>8.99</v>
      </c>
      <c r="D3009" s="3">
        <v>119</v>
      </c>
      <c r="E3009" s="3">
        <v>1069.81</v>
      </c>
      <c r="F3009" t="str">
        <f t="shared" si="234"/>
        <v>cogs</v>
      </c>
      <c r="G3009" s="7" t="str">
        <f t="shared" si="235"/>
        <v>product 3</v>
      </c>
      <c r="H3009">
        <f t="shared" si="236"/>
        <v>2025</v>
      </c>
      <c r="I3009">
        <f t="shared" si="237"/>
        <v>2</v>
      </c>
      <c r="J3009">
        <f t="shared" si="238"/>
        <v>0</v>
      </c>
    </row>
    <row r="3010" spans="1:10" ht="12.5" x14ac:dyDescent="0.25">
      <c r="A3010" s="1">
        <v>45709</v>
      </c>
      <c r="B3010" s="2" t="s">
        <v>10</v>
      </c>
      <c r="C3010" s="2" t="s">
        <v>6</v>
      </c>
      <c r="D3010" s="2" t="s">
        <v>6</v>
      </c>
      <c r="E3010" s="3">
        <v>103.07000000000001</v>
      </c>
      <c r="F3010" t="str">
        <f t="shared" si="234"/>
        <v>marketing</v>
      </c>
      <c r="G3010" s="7" t="s">
        <v>6</v>
      </c>
      <c r="H3010">
        <f t="shared" si="236"/>
        <v>2025</v>
      </c>
      <c r="I3010">
        <f t="shared" si="237"/>
        <v>2</v>
      </c>
      <c r="J3010">
        <f t="shared" si="238"/>
        <v>-1663.15</v>
      </c>
    </row>
    <row r="3011" spans="1:10" ht="12.5" x14ac:dyDescent="0.25">
      <c r="A3011" s="1">
        <v>45709</v>
      </c>
      <c r="B3011" s="2" t="s">
        <v>11</v>
      </c>
      <c r="C3011" s="3">
        <v>9.99</v>
      </c>
      <c r="D3011" s="3">
        <v>30</v>
      </c>
      <c r="E3011" s="3">
        <v>299.7</v>
      </c>
      <c r="F3011" t="str">
        <f t="shared" ref="F3011:F3074" si="239">IFERROR(LEFT(B3011,FIND(":",B3011)-1),B3011)</f>
        <v>net sales</v>
      </c>
      <c r="G3011" s="7" t="str">
        <f t="shared" ref="G3011:G3074" si="240">IFERROR(RIGHT(B3011,LEN(B3011)-FIND(":",B3011)),"")</f>
        <v>product 1</v>
      </c>
      <c r="H3011">
        <f t="shared" ref="H3011:H3074" si="241">YEAR(A3011)</f>
        <v>2025</v>
      </c>
      <c r="I3011">
        <f t="shared" ref="I3011:I3074" si="242">MONTH(A3011)</f>
        <v>2</v>
      </c>
      <c r="J3011">
        <f t="shared" si="238"/>
        <v>-101.97</v>
      </c>
    </row>
    <row r="3012" spans="1:10" ht="12.5" x14ac:dyDescent="0.25">
      <c r="A3012" s="1">
        <v>45709</v>
      </c>
      <c r="B3012" s="2" t="s">
        <v>12</v>
      </c>
      <c r="C3012" s="3">
        <v>24.99</v>
      </c>
      <c r="D3012" s="3">
        <v>7</v>
      </c>
      <c r="E3012" s="3">
        <v>174.92999999999998</v>
      </c>
      <c r="F3012" t="str">
        <f t="shared" si="239"/>
        <v>net sales</v>
      </c>
      <c r="G3012" s="7" t="str">
        <f t="shared" si="240"/>
        <v>product 2</v>
      </c>
      <c r="H3012">
        <f t="shared" si="241"/>
        <v>2025</v>
      </c>
      <c r="I3012">
        <f t="shared" si="242"/>
        <v>2</v>
      </c>
      <c r="J3012">
        <f t="shared" si="238"/>
        <v>559.44000000000005</v>
      </c>
    </row>
    <row r="3013" spans="1:10" ht="12.5" x14ac:dyDescent="0.25">
      <c r="A3013" s="1">
        <v>45709</v>
      </c>
      <c r="B3013" s="2" t="s">
        <v>13</v>
      </c>
      <c r="C3013" s="3">
        <v>12.49</v>
      </c>
      <c r="D3013" s="3">
        <v>119</v>
      </c>
      <c r="E3013" s="3">
        <v>1486.31</v>
      </c>
      <c r="F3013" t="str">
        <f t="shared" si="239"/>
        <v>net sales</v>
      </c>
      <c r="G3013" s="7" t="str">
        <f t="shared" si="240"/>
        <v>product 3</v>
      </c>
      <c r="H3013">
        <f t="shared" si="241"/>
        <v>2025</v>
      </c>
      <c r="I3013">
        <f t="shared" si="242"/>
        <v>2</v>
      </c>
      <c r="J3013">
        <f t="shared" si="238"/>
        <v>0</v>
      </c>
    </row>
    <row r="3014" spans="1:10" ht="12.5" x14ac:dyDescent="0.25">
      <c r="A3014" s="1">
        <v>45710</v>
      </c>
      <c r="B3014" s="2" t="s">
        <v>7</v>
      </c>
      <c r="C3014" s="3">
        <v>5.49</v>
      </c>
      <c r="D3014" s="3">
        <v>71</v>
      </c>
      <c r="E3014" s="3">
        <v>389.79</v>
      </c>
      <c r="F3014" t="str">
        <f t="shared" si="239"/>
        <v>cogs</v>
      </c>
      <c r="G3014" s="7" t="str">
        <f t="shared" si="240"/>
        <v>product 1</v>
      </c>
      <c r="H3014">
        <f t="shared" si="241"/>
        <v>2025</v>
      </c>
      <c r="I3014">
        <f t="shared" si="242"/>
        <v>2</v>
      </c>
      <c r="J3014">
        <f t="shared" si="238"/>
        <v>2310.65</v>
      </c>
    </row>
    <row r="3015" spans="1:10" ht="12.5" x14ac:dyDescent="0.25">
      <c r="A3015" s="1">
        <v>45710</v>
      </c>
      <c r="B3015" s="2" t="s">
        <v>8</v>
      </c>
      <c r="C3015" s="3">
        <v>19.989999999999998</v>
      </c>
      <c r="D3015" s="3">
        <v>9</v>
      </c>
      <c r="E3015" s="3">
        <v>179.91</v>
      </c>
      <c r="F3015" t="str">
        <f t="shared" si="239"/>
        <v>cogs</v>
      </c>
      <c r="G3015" s="7" t="str">
        <f t="shared" si="240"/>
        <v>product 2</v>
      </c>
      <c r="H3015">
        <f t="shared" si="241"/>
        <v>2025</v>
      </c>
      <c r="I3015">
        <f t="shared" si="242"/>
        <v>2</v>
      </c>
      <c r="J3015">
        <f t="shared" si="238"/>
        <v>-318.42</v>
      </c>
    </row>
    <row r="3016" spans="1:10" ht="12.5" x14ac:dyDescent="0.25">
      <c r="A3016" s="1">
        <v>45710</v>
      </c>
      <c r="B3016" s="2" t="s">
        <v>9</v>
      </c>
      <c r="C3016" s="3">
        <v>8.99</v>
      </c>
      <c r="D3016" s="3">
        <v>124</v>
      </c>
      <c r="E3016" s="3">
        <v>1114.76</v>
      </c>
      <c r="F3016" t="str">
        <f t="shared" si="239"/>
        <v>cogs</v>
      </c>
      <c r="G3016" s="7" t="str">
        <f t="shared" si="240"/>
        <v>product 3</v>
      </c>
      <c r="H3016">
        <f t="shared" si="241"/>
        <v>2025</v>
      </c>
      <c r="I3016">
        <f t="shared" si="242"/>
        <v>2</v>
      </c>
      <c r="J3016">
        <f t="shared" si="238"/>
        <v>-139.92999999999998</v>
      </c>
    </row>
    <row r="3017" spans="1:10" ht="12.5" x14ac:dyDescent="0.25">
      <c r="A3017" s="1">
        <v>45710</v>
      </c>
      <c r="B3017" s="2" t="s">
        <v>10</v>
      </c>
      <c r="C3017" s="2" t="s">
        <v>6</v>
      </c>
      <c r="D3017" s="2" t="s">
        <v>6</v>
      </c>
      <c r="E3017" s="3">
        <v>117.02</v>
      </c>
      <c r="F3017" t="str">
        <f t="shared" si="239"/>
        <v>marketing</v>
      </c>
      <c r="G3017" s="7" t="s">
        <v>6</v>
      </c>
      <c r="H3017">
        <f t="shared" si="241"/>
        <v>2025</v>
      </c>
      <c r="I3017">
        <f t="shared" si="242"/>
        <v>2</v>
      </c>
      <c r="J3017">
        <f t="shared" si="238"/>
        <v>-2094.67</v>
      </c>
    </row>
    <row r="3018" spans="1:10" ht="12.5" x14ac:dyDescent="0.25">
      <c r="A3018" s="1">
        <v>45710</v>
      </c>
      <c r="B3018" s="2" t="s">
        <v>11</v>
      </c>
      <c r="C3018" s="3">
        <v>9.99</v>
      </c>
      <c r="D3018" s="3">
        <v>71</v>
      </c>
      <c r="E3018" s="3">
        <v>709.29</v>
      </c>
      <c r="F3018" t="str">
        <f t="shared" si="239"/>
        <v>net sales</v>
      </c>
      <c r="G3018" s="7" t="str">
        <f t="shared" si="240"/>
        <v>product 1</v>
      </c>
      <c r="H3018">
        <f t="shared" si="241"/>
        <v>2025</v>
      </c>
      <c r="I3018">
        <f t="shared" si="242"/>
        <v>2</v>
      </c>
      <c r="J3018">
        <f t="shared" si="238"/>
        <v>-119.93</v>
      </c>
    </row>
    <row r="3019" spans="1:10" ht="12.5" x14ac:dyDescent="0.25">
      <c r="A3019" s="1">
        <v>45710</v>
      </c>
      <c r="B3019" s="2" t="s">
        <v>12</v>
      </c>
      <c r="C3019" s="3">
        <v>24.99</v>
      </c>
      <c r="D3019" s="3">
        <v>9</v>
      </c>
      <c r="E3019" s="3">
        <v>224.91</v>
      </c>
      <c r="F3019" t="str">
        <f t="shared" si="239"/>
        <v>net sales</v>
      </c>
      <c r="G3019" s="7" t="str">
        <f t="shared" si="240"/>
        <v>product 2</v>
      </c>
      <c r="H3019">
        <f t="shared" si="241"/>
        <v>2025</v>
      </c>
      <c r="I3019">
        <f t="shared" si="242"/>
        <v>2</v>
      </c>
      <c r="J3019">
        <f t="shared" si="238"/>
        <v>579.41999999999996</v>
      </c>
    </row>
    <row r="3020" spans="1:10" ht="12.5" x14ac:dyDescent="0.25">
      <c r="A3020" s="1">
        <v>45710</v>
      </c>
      <c r="B3020" s="2" t="s">
        <v>13</v>
      </c>
      <c r="C3020" s="3">
        <v>12.49</v>
      </c>
      <c r="D3020" s="3">
        <v>124</v>
      </c>
      <c r="E3020" s="3">
        <v>1548.76</v>
      </c>
      <c r="F3020" t="str">
        <f t="shared" si="239"/>
        <v>net sales</v>
      </c>
      <c r="G3020" s="7" t="str">
        <f t="shared" si="240"/>
        <v>product 3</v>
      </c>
      <c r="H3020">
        <f t="shared" si="241"/>
        <v>2025</v>
      </c>
      <c r="I3020">
        <f t="shared" si="242"/>
        <v>2</v>
      </c>
      <c r="J3020">
        <f t="shared" si="238"/>
        <v>174.92999999999998</v>
      </c>
    </row>
    <row r="3021" spans="1:10" ht="12.5" x14ac:dyDescent="0.25">
      <c r="A3021" s="1">
        <v>45711</v>
      </c>
      <c r="B3021" s="2" t="s">
        <v>7</v>
      </c>
      <c r="C3021" s="3">
        <v>5.49</v>
      </c>
      <c r="D3021" s="3">
        <v>86</v>
      </c>
      <c r="E3021" s="3">
        <v>472.14000000000004</v>
      </c>
      <c r="F3021" t="str">
        <f t="shared" si="239"/>
        <v>cogs</v>
      </c>
      <c r="G3021" s="7" t="str">
        <f t="shared" si="240"/>
        <v>product 1</v>
      </c>
      <c r="H3021">
        <f t="shared" si="241"/>
        <v>2025</v>
      </c>
      <c r="I3021">
        <f t="shared" si="242"/>
        <v>2</v>
      </c>
      <c r="J3021">
        <f t="shared" si="238"/>
        <v>2910.17</v>
      </c>
    </row>
    <row r="3022" spans="1:10" ht="12.5" x14ac:dyDescent="0.25">
      <c r="A3022" s="1">
        <v>45711</v>
      </c>
      <c r="B3022" s="2" t="s">
        <v>8</v>
      </c>
      <c r="C3022" s="3">
        <v>19.989999999999998</v>
      </c>
      <c r="D3022" s="3">
        <v>2</v>
      </c>
      <c r="E3022" s="3">
        <v>39.979999999999997</v>
      </c>
      <c r="F3022" t="str">
        <f t="shared" si="239"/>
        <v>cogs</v>
      </c>
      <c r="G3022" s="7" t="str">
        <f t="shared" si="240"/>
        <v>product 2</v>
      </c>
      <c r="H3022">
        <f t="shared" si="241"/>
        <v>2025</v>
      </c>
      <c r="I3022">
        <f t="shared" si="242"/>
        <v>2</v>
      </c>
      <c r="J3022">
        <f t="shared" si="238"/>
        <v>-10.98</v>
      </c>
    </row>
    <row r="3023" spans="1:10" ht="12.5" x14ac:dyDescent="0.25">
      <c r="A3023" s="1">
        <v>45711</v>
      </c>
      <c r="B3023" s="2" t="s">
        <v>9</v>
      </c>
      <c r="C3023" s="3">
        <v>8.99</v>
      </c>
      <c r="D3023" s="3">
        <v>15</v>
      </c>
      <c r="E3023" s="3">
        <v>134.85</v>
      </c>
      <c r="F3023" t="str">
        <f t="shared" si="239"/>
        <v>cogs</v>
      </c>
      <c r="G3023" s="7" t="str">
        <f t="shared" si="240"/>
        <v>product 3</v>
      </c>
      <c r="H3023">
        <f t="shared" si="241"/>
        <v>2025</v>
      </c>
      <c r="I3023">
        <f t="shared" si="242"/>
        <v>2</v>
      </c>
      <c r="J3023">
        <f t="shared" si="238"/>
        <v>0</v>
      </c>
    </row>
    <row r="3024" spans="1:10" ht="12.5" x14ac:dyDescent="0.25">
      <c r="A3024" s="1">
        <v>45711</v>
      </c>
      <c r="B3024" s="2" t="s">
        <v>10</v>
      </c>
      <c r="C3024" s="2" t="s">
        <v>6</v>
      </c>
      <c r="D3024" s="2" t="s">
        <v>6</v>
      </c>
      <c r="E3024" s="3">
        <v>105.94</v>
      </c>
      <c r="F3024" t="str">
        <f t="shared" si="239"/>
        <v>marketing</v>
      </c>
      <c r="G3024" s="7" t="s">
        <v>6</v>
      </c>
      <c r="H3024">
        <f t="shared" si="241"/>
        <v>2025</v>
      </c>
      <c r="I3024">
        <f t="shared" si="242"/>
        <v>2</v>
      </c>
      <c r="J3024">
        <f t="shared" si="238"/>
        <v>-1932.8500000000001</v>
      </c>
    </row>
    <row r="3025" spans="1:10" ht="12.5" x14ac:dyDescent="0.25">
      <c r="A3025" s="1">
        <v>45711</v>
      </c>
      <c r="B3025" s="2" t="s">
        <v>11</v>
      </c>
      <c r="C3025" s="3">
        <v>9.99</v>
      </c>
      <c r="D3025" s="3">
        <v>86</v>
      </c>
      <c r="E3025" s="3">
        <v>859.14</v>
      </c>
      <c r="F3025" t="str">
        <f t="shared" si="239"/>
        <v>net sales</v>
      </c>
      <c r="G3025" s="7" t="str">
        <f t="shared" si="240"/>
        <v>product 1</v>
      </c>
      <c r="H3025">
        <f t="shared" si="241"/>
        <v>2025</v>
      </c>
      <c r="I3025">
        <f t="shared" si="242"/>
        <v>2</v>
      </c>
      <c r="J3025">
        <f t="shared" si="238"/>
        <v>-118.02</v>
      </c>
    </row>
    <row r="3026" spans="1:10" ht="12.5" x14ac:dyDescent="0.25">
      <c r="A3026" s="1">
        <v>45711</v>
      </c>
      <c r="B3026" s="2" t="s">
        <v>12</v>
      </c>
      <c r="C3026" s="3">
        <v>24.99</v>
      </c>
      <c r="D3026" s="3">
        <v>2</v>
      </c>
      <c r="E3026" s="3">
        <v>49.98</v>
      </c>
      <c r="F3026" t="str">
        <f t="shared" si="239"/>
        <v>net sales</v>
      </c>
      <c r="G3026" s="7" t="str">
        <f t="shared" si="240"/>
        <v>product 2</v>
      </c>
      <c r="H3026">
        <f t="shared" si="241"/>
        <v>2025</v>
      </c>
      <c r="I3026">
        <f t="shared" si="242"/>
        <v>2</v>
      </c>
      <c r="J3026">
        <f t="shared" si="238"/>
        <v>19.98</v>
      </c>
    </row>
    <row r="3027" spans="1:10" ht="12.5" x14ac:dyDescent="0.25">
      <c r="A3027" s="1">
        <v>45711</v>
      </c>
      <c r="B3027" s="2" t="s">
        <v>13</v>
      </c>
      <c r="C3027" s="3">
        <v>12.49</v>
      </c>
      <c r="D3027" s="3">
        <v>15</v>
      </c>
      <c r="E3027" s="3">
        <v>187.35</v>
      </c>
      <c r="F3027" t="str">
        <f t="shared" si="239"/>
        <v>net sales</v>
      </c>
      <c r="G3027" s="7" t="str">
        <f t="shared" si="240"/>
        <v>product 3</v>
      </c>
      <c r="H3027">
        <f t="shared" si="241"/>
        <v>2025</v>
      </c>
      <c r="I3027">
        <f t="shared" si="242"/>
        <v>2</v>
      </c>
      <c r="J3027">
        <f t="shared" si="238"/>
        <v>0</v>
      </c>
    </row>
    <row r="3028" spans="1:10" ht="12.5" x14ac:dyDescent="0.25">
      <c r="A3028" s="1">
        <v>45712</v>
      </c>
      <c r="B3028" s="2" t="s">
        <v>7</v>
      </c>
      <c r="C3028" s="3">
        <v>5.49</v>
      </c>
      <c r="D3028" s="3">
        <v>35</v>
      </c>
      <c r="E3028" s="3">
        <v>192.15</v>
      </c>
      <c r="F3028" t="str">
        <f t="shared" si="239"/>
        <v>cogs</v>
      </c>
      <c r="G3028" s="7" t="str">
        <f t="shared" si="240"/>
        <v>product 1</v>
      </c>
      <c r="H3028">
        <f t="shared" si="241"/>
        <v>2025</v>
      </c>
      <c r="I3028">
        <f t="shared" si="242"/>
        <v>2</v>
      </c>
      <c r="J3028">
        <f t="shared" si="238"/>
        <v>2685.35</v>
      </c>
    </row>
    <row r="3029" spans="1:10" ht="12.5" x14ac:dyDescent="0.25">
      <c r="A3029" s="1">
        <v>45712</v>
      </c>
      <c r="B3029" s="2" t="s">
        <v>8</v>
      </c>
      <c r="C3029" s="3">
        <v>19.989999999999998</v>
      </c>
      <c r="D3029" s="3">
        <v>5</v>
      </c>
      <c r="E3029" s="3">
        <v>99.949999999999989</v>
      </c>
      <c r="F3029" t="str">
        <f t="shared" si="239"/>
        <v>cogs</v>
      </c>
      <c r="G3029" s="7" t="str">
        <f t="shared" si="240"/>
        <v>product 2</v>
      </c>
      <c r="H3029">
        <f t="shared" si="241"/>
        <v>2025</v>
      </c>
      <c r="I3029">
        <f t="shared" si="242"/>
        <v>2</v>
      </c>
      <c r="J3029">
        <f t="shared" si="238"/>
        <v>-384.3</v>
      </c>
    </row>
    <row r="3030" spans="1:10" ht="12.5" x14ac:dyDescent="0.25">
      <c r="A3030" s="1">
        <v>45712</v>
      </c>
      <c r="B3030" s="2" t="s">
        <v>9</v>
      </c>
      <c r="C3030" s="3">
        <v>8.99</v>
      </c>
      <c r="D3030" s="3">
        <v>151</v>
      </c>
      <c r="E3030" s="3">
        <v>1357.49</v>
      </c>
      <c r="F3030" t="str">
        <f t="shared" si="239"/>
        <v>cogs</v>
      </c>
      <c r="G3030" s="7" t="str">
        <f t="shared" si="240"/>
        <v>product 3</v>
      </c>
      <c r="H3030">
        <f t="shared" si="241"/>
        <v>2025</v>
      </c>
      <c r="I3030">
        <f t="shared" si="242"/>
        <v>2</v>
      </c>
      <c r="J3030">
        <f t="shared" si="238"/>
        <v>-19.989999999999998</v>
      </c>
    </row>
    <row r="3031" spans="1:10" ht="12.5" x14ac:dyDescent="0.25">
      <c r="A3031" s="1">
        <v>45712</v>
      </c>
      <c r="B3031" s="2" t="s">
        <v>10</v>
      </c>
      <c r="C3031" s="2" t="s">
        <v>6</v>
      </c>
      <c r="D3031" s="2" t="s">
        <v>6</v>
      </c>
      <c r="E3031" s="3">
        <v>117.94</v>
      </c>
      <c r="F3031" t="str">
        <f t="shared" si="239"/>
        <v>marketing</v>
      </c>
      <c r="G3031" s="7" t="s">
        <v>6</v>
      </c>
      <c r="H3031">
        <f t="shared" si="241"/>
        <v>2025</v>
      </c>
      <c r="I3031">
        <f t="shared" si="242"/>
        <v>2</v>
      </c>
      <c r="J3031">
        <f t="shared" si="238"/>
        <v>-71.92</v>
      </c>
    </row>
    <row r="3032" spans="1:10" ht="12.5" x14ac:dyDescent="0.25">
      <c r="A3032" s="1">
        <v>45712</v>
      </c>
      <c r="B3032" s="2" t="s">
        <v>11</v>
      </c>
      <c r="C3032" s="3">
        <v>9.99</v>
      </c>
      <c r="D3032" s="3">
        <v>35</v>
      </c>
      <c r="E3032" s="3">
        <v>349.65000000000003</v>
      </c>
      <c r="F3032" t="str">
        <f t="shared" si="239"/>
        <v>net sales</v>
      </c>
      <c r="G3032" s="7" t="str">
        <f t="shared" si="240"/>
        <v>product 1</v>
      </c>
      <c r="H3032">
        <f t="shared" si="241"/>
        <v>2025</v>
      </c>
      <c r="I3032">
        <f t="shared" si="242"/>
        <v>2</v>
      </c>
      <c r="J3032">
        <f t="shared" si="238"/>
        <v>-116.06</v>
      </c>
    </row>
    <row r="3033" spans="1:10" ht="12.5" x14ac:dyDescent="0.25">
      <c r="A3033" s="1">
        <v>45712</v>
      </c>
      <c r="B3033" s="2" t="s">
        <v>12</v>
      </c>
      <c r="C3033" s="3">
        <v>24.99</v>
      </c>
      <c r="D3033" s="3">
        <v>5</v>
      </c>
      <c r="E3033" s="3">
        <v>124.94999999999999</v>
      </c>
      <c r="F3033" t="str">
        <f t="shared" si="239"/>
        <v>net sales</v>
      </c>
      <c r="G3033" s="7" t="str">
        <f t="shared" si="240"/>
        <v>product 2</v>
      </c>
      <c r="H3033">
        <f t="shared" si="241"/>
        <v>2025</v>
      </c>
      <c r="I3033">
        <f t="shared" si="242"/>
        <v>2</v>
      </c>
      <c r="J3033">
        <f t="shared" si="238"/>
        <v>699.30000000000007</v>
      </c>
    </row>
    <row r="3034" spans="1:10" ht="12.5" x14ac:dyDescent="0.25">
      <c r="A3034" s="1">
        <v>45712</v>
      </c>
      <c r="B3034" s="2" t="s">
        <v>13</v>
      </c>
      <c r="C3034" s="3">
        <v>12.49</v>
      </c>
      <c r="D3034" s="3">
        <v>151</v>
      </c>
      <c r="E3034" s="3">
        <v>1885.99</v>
      </c>
      <c r="F3034" t="str">
        <f t="shared" si="239"/>
        <v>net sales</v>
      </c>
      <c r="G3034" s="7" t="str">
        <f t="shared" si="240"/>
        <v>product 3</v>
      </c>
      <c r="H3034">
        <f t="shared" si="241"/>
        <v>2025</v>
      </c>
      <c r="I3034">
        <f t="shared" si="242"/>
        <v>2</v>
      </c>
      <c r="J3034">
        <f t="shared" si="238"/>
        <v>24.99</v>
      </c>
    </row>
    <row r="3035" spans="1:10" ht="12.5" x14ac:dyDescent="0.25">
      <c r="A3035" s="1">
        <v>45713</v>
      </c>
      <c r="B3035" s="2" t="s">
        <v>7</v>
      </c>
      <c r="C3035" s="3">
        <v>5.49</v>
      </c>
      <c r="D3035" s="3">
        <v>34</v>
      </c>
      <c r="E3035" s="3">
        <v>186.66</v>
      </c>
      <c r="F3035" t="str">
        <f t="shared" si="239"/>
        <v>cogs</v>
      </c>
      <c r="G3035" s="7" t="str">
        <f t="shared" si="240"/>
        <v>product 1</v>
      </c>
      <c r="H3035">
        <f t="shared" si="241"/>
        <v>2025</v>
      </c>
      <c r="I3035">
        <f t="shared" si="242"/>
        <v>2</v>
      </c>
      <c r="J3035">
        <f t="shared" si="238"/>
        <v>99.92</v>
      </c>
    </row>
    <row r="3036" spans="1:10" ht="12.5" x14ac:dyDescent="0.25">
      <c r="A3036" s="1">
        <v>45713</v>
      </c>
      <c r="B3036" s="2" t="s">
        <v>8</v>
      </c>
      <c r="C3036" s="3">
        <v>19.989999999999998</v>
      </c>
      <c r="D3036" s="3">
        <v>0</v>
      </c>
      <c r="E3036" s="2">
        <f>C3036*D3036</f>
        <v>0</v>
      </c>
      <c r="F3036" t="str">
        <f t="shared" si="239"/>
        <v>cogs</v>
      </c>
      <c r="G3036" s="7" t="str">
        <f t="shared" si="240"/>
        <v>product 2</v>
      </c>
      <c r="H3036">
        <f t="shared" si="241"/>
        <v>2025</v>
      </c>
      <c r="I3036">
        <f t="shared" si="242"/>
        <v>2</v>
      </c>
      <c r="J3036">
        <f t="shared" ref="J3036:J3099" si="243">IF(F2819="net sales",E2819,
IF(F2819="cogs",-E2819,
IF(OR(F2819="marketing",F2819="overhead",F2819="payroll",F2819="interest","amortization"),-E2819,0)))</f>
        <v>-488.61</v>
      </c>
    </row>
    <row r="3037" spans="1:10" ht="12.5" x14ac:dyDescent="0.25">
      <c r="A3037" s="1">
        <v>45713</v>
      </c>
      <c r="B3037" s="2" t="s">
        <v>9</v>
      </c>
      <c r="C3037" s="3">
        <v>8.99</v>
      </c>
      <c r="D3037" s="3">
        <v>78</v>
      </c>
      <c r="E3037" s="3">
        <v>701.22</v>
      </c>
      <c r="F3037" t="str">
        <f t="shared" si="239"/>
        <v>cogs</v>
      </c>
      <c r="G3037" s="7" t="str">
        <f t="shared" si="240"/>
        <v>product 3</v>
      </c>
      <c r="H3037">
        <f t="shared" si="241"/>
        <v>2025</v>
      </c>
      <c r="I3037">
        <f t="shared" si="242"/>
        <v>2</v>
      </c>
      <c r="J3037">
        <f t="shared" si="243"/>
        <v>-179.91</v>
      </c>
    </row>
    <row r="3038" spans="1:10" ht="12.5" x14ac:dyDescent="0.25">
      <c r="A3038" s="1">
        <v>45713</v>
      </c>
      <c r="B3038" s="2" t="s">
        <v>10</v>
      </c>
      <c r="C3038" s="2" t="s">
        <v>6</v>
      </c>
      <c r="D3038" s="2" t="s">
        <v>6</v>
      </c>
      <c r="E3038" s="3">
        <v>106.03</v>
      </c>
      <c r="F3038" t="str">
        <f t="shared" si="239"/>
        <v>marketing</v>
      </c>
      <c r="G3038" s="7" t="s">
        <v>6</v>
      </c>
      <c r="H3038">
        <f t="shared" si="241"/>
        <v>2025</v>
      </c>
      <c r="I3038">
        <f t="shared" si="242"/>
        <v>2</v>
      </c>
      <c r="J3038">
        <f t="shared" si="243"/>
        <v>-1636.18</v>
      </c>
    </row>
    <row r="3039" spans="1:10" ht="12.5" x14ac:dyDescent="0.25">
      <c r="A3039" s="1">
        <v>45713</v>
      </c>
      <c r="B3039" s="2" t="s">
        <v>11</v>
      </c>
      <c r="C3039" s="3">
        <v>9.99</v>
      </c>
      <c r="D3039" s="3">
        <v>34</v>
      </c>
      <c r="E3039" s="3">
        <v>339.66</v>
      </c>
      <c r="F3039" t="str">
        <f t="shared" si="239"/>
        <v>net sales</v>
      </c>
      <c r="G3039" s="7" t="str">
        <f t="shared" si="240"/>
        <v>product 1</v>
      </c>
      <c r="H3039">
        <f t="shared" si="241"/>
        <v>2025</v>
      </c>
      <c r="I3039">
        <f t="shared" si="242"/>
        <v>2</v>
      </c>
      <c r="J3039">
        <f t="shared" si="243"/>
        <v>-114.95</v>
      </c>
    </row>
    <row r="3040" spans="1:10" ht="12.5" x14ac:dyDescent="0.25">
      <c r="A3040" s="1">
        <v>45713</v>
      </c>
      <c r="B3040" s="2" t="s">
        <v>12</v>
      </c>
      <c r="C3040" s="3">
        <v>24.99</v>
      </c>
      <c r="D3040" s="3">
        <v>0</v>
      </c>
      <c r="E3040" s="2">
        <f>C3040*D3040</f>
        <v>0</v>
      </c>
      <c r="F3040" t="str">
        <f t="shared" si="239"/>
        <v>net sales</v>
      </c>
      <c r="G3040" s="7" t="str">
        <f t="shared" si="240"/>
        <v>product 2</v>
      </c>
      <c r="H3040">
        <f t="shared" si="241"/>
        <v>2025</v>
      </c>
      <c r="I3040">
        <f t="shared" si="242"/>
        <v>2</v>
      </c>
      <c r="J3040">
        <f t="shared" si="243"/>
        <v>889.11</v>
      </c>
    </row>
    <row r="3041" spans="1:10" ht="12.5" x14ac:dyDescent="0.25">
      <c r="A3041" s="1">
        <v>45713</v>
      </c>
      <c r="B3041" s="2" t="s">
        <v>13</v>
      </c>
      <c r="C3041" s="3">
        <v>12.49</v>
      </c>
      <c r="D3041" s="3">
        <v>78</v>
      </c>
      <c r="E3041" s="3">
        <v>974.22</v>
      </c>
      <c r="F3041" t="str">
        <f t="shared" si="239"/>
        <v>net sales</v>
      </c>
      <c r="G3041" s="7" t="str">
        <f t="shared" si="240"/>
        <v>product 3</v>
      </c>
      <c r="H3041">
        <f t="shared" si="241"/>
        <v>2025</v>
      </c>
      <c r="I3041">
        <f t="shared" si="242"/>
        <v>2</v>
      </c>
      <c r="J3041">
        <f t="shared" si="243"/>
        <v>224.91</v>
      </c>
    </row>
    <row r="3042" spans="1:10" ht="12.5" x14ac:dyDescent="0.25">
      <c r="A3042" s="1">
        <v>45714</v>
      </c>
      <c r="B3042" s="2" t="s">
        <v>7</v>
      </c>
      <c r="C3042" s="3">
        <v>5.49</v>
      </c>
      <c r="D3042" s="3">
        <v>44</v>
      </c>
      <c r="E3042" s="3">
        <v>241.56</v>
      </c>
      <c r="F3042" t="str">
        <f t="shared" si="239"/>
        <v>cogs</v>
      </c>
      <c r="G3042" s="7" t="str">
        <f t="shared" si="240"/>
        <v>product 1</v>
      </c>
      <c r="H3042">
        <f t="shared" si="241"/>
        <v>2025</v>
      </c>
      <c r="I3042">
        <f t="shared" si="242"/>
        <v>2</v>
      </c>
      <c r="J3042">
        <f t="shared" si="243"/>
        <v>2273.1799999999998</v>
      </c>
    </row>
    <row r="3043" spans="1:10" ht="12.5" x14ac:dyDescent="0.25">
      <c r="A3043" s="1">
        <v>45714</v>
      </c>
      <c r="B3043" s="2" t="s">
        <v>8</v>
      </c>
      <c r="C3043" s="3">
        <v>19.989999999999998</v>
      </c>
      <c r="D3043" s="3">
        <v>7</v>
      </c>
      <c r="E3043" s="3">
        <v>139.92999999999998</v>
      </c>
      <c r="F3043" t="str">
        <f t="shared" si="239"/>
        <v>cogs</v>
      </c>
      <c r="G3043" s="7" t="str">
        <f t="shared" si="240"/>
        <v>product 2</v>
      </c>
      <c r="H3043">
        <f t="shared" si="241"/>
        <v>2025</v>
      </c>
      <c r="I3043">
        <f t="shared" si="242"/>
        <v>2</v>
      </c>
      <c r="J3043">
        <f t="shared" si="243"/>
        <v>-175.68</v>
      </c>
    </row>
    <row r="3044" spans="1:10" ht="12.5" x14ac:dyDescent="0.25">
      <c r="A3044" s="1">
        <v>45714</v>
      </c>
      <c r="B3044" s="2" t="s">
        <v>9</v>
      </c>
      <c r="C3044" s="3">
        <v>8.99</v>
      </c>
      <c r="D3044" s="3">
        <v>116</v>
      </c>
      <c r="E3044" s="3">
        <v>1042.8399999999999</v>
      </c>
      <c r="F3044" t="str">
        <f t="shared" si="239"/>
        <v>cogs</v>
      </c>
      <c r="G3044" s="7" t="str">
        <f t="shared" si="240"/>
        <v>product 3</v>
      </c>
      <c r="H3044">
        <f t="shared" si="241"/>
        <v>2025</v>
      </c>
      <c r="I3044">
        <f t="shared" si="242"/>
        <v>2</v>
      </c>
      <c r="J3044">
        <f t="shared" si="243"/>
        <v>0</v>
      </c>
    </row>
    <row r="3045" spans="1:10" ht="12.5" x14ac:dyDescent="0.25">
      <c r="A3045" s="1">
        <v>45714</v>
      </c>
      <c r="B3045" s="2" t="s">
        <v>10</v>
      </c>
      <c r="C3045" s="2" t="s">
        <v>6</v>
      </c>
      <c r="D3045" s="2" t="s">
        <v>6</v>
      </c>
      <c r="E3045" s="3">
        <v>116.02</v>
      </c>
      <c r="F3045" t="str">
        <f t="shared" si="239"/>
        <v>marketing</v>
      </c>
      <c r="G3045" s="7" t="s">
        <v>6</v>
      </c>
      <c r="H3045">
        <f t="shared" si="241"/>
        <v>2025</v>
      </c>
      <c r="I3045">
        <f t="shared" si="242"/>
        <v>2</v>
      </c>
      <c r="J3045">
        <f t="shared" si="243"/>
        <v>-152.83000000000001</v>
      </c>
    </row>
    <row r="3046" spans="1:10" ht="12.5" x14ac:dyDescent="0.25">
      <c r="A3046" s="1">
        <v>45714</v>
      </c>
      <c r="B3046" s="2" t="s">
        <v>11</v>
      </c>
      <c r="C3046" s="3">
        <v>9.99</v>
      </c>
      <c r="D3046" s="3">
        <v>44</v>
      </c>
      <c r="E3046" s="3">
        <v>439.56</v>
      </c>
      <c r="F3046" t="str">
        <f t="shared" si="239"/>
        <v>net sales</v>
      </c>
      <c r="G3046" s="7" t="str">
        <f t="shared" si="240"/>
        <v>product 1</v>
      </c>
      <c r="H3046">
        <f t="shared" si="241"/>
        <v>2025</v>
      </c>
      <c r="I3046">
        <f t="shared" si="242"/>
        <v>2</v>
      </c>
      <c r="J3046">
        <f t="shared" si="243"/>
        <v>-107.94</v>
      </c>
    </row>
    <row r="3047" spans="1:10" ht="12.5" x14ac:dyDescent="0.25">
      <c r="A3047" s="1">
        <v>45714</v>
      </c>
      <c r="B3047" s="2" t="s">
        <v>12</v>
      </c>
      <c r="C3047" s="3">
        <v>24.99</v>
      </c>
      <c r="D3047" s="3">
        <v>7</v>
      </c>
      <c r="E3047" s="3">
        <v>174.92999999999998</v>
      </c>
      <c r="F3047" t="str">
        <f t="shared" si="239"/>
        <v>net sales</v>
      </c>
      <c r="G3047" s="7" t="str">
        <f t="shared" si="240"/>
        <v>product 2</v>
      </c>
      <c r="H3047">
        <f t="shared" si="241"/>
        <v>2025</v>
      </c>
      <c r="I3047">
        <f t="shared" si="242"/>
        <v>2</v>
      </c>
      <c r="J3047">
        <f t="shared" si="243"/>
        <v>319.68</v>
      </c>
    </row>
    <row r="3048" spans="1:10" ht="12.5" x14ac:dyDescent="0.25">
      <c r="A3048" s="1">
        <v>45714</v>
      </c>
      <c r="B3048" s="2" t="s">
        <v>13</v>
      </c>
      <c r="C3048" s="3">
        <v>12.49</v>
      </c>
      <c r="D3048" s="3">
        <v>116</v>
      </c>
      <c r="E3048" s="3">
        <v>1448.84</v>
      </c>
      <c r="F3048" t="str">
        <f t="shared" si="239"/>
        <v>net sales</v>
      </c>
      <c r="G3048" s="7" t="str">
        <f t="shared" si="240"/>
        <v>product 3</v>
      </c>
      <c r="H3048">
        <f t="shared" si="241"/>
        <v>2025</v>
      </c>
      <c r="I3048">
        <f t="shared" si="242"/>
        <v>2</v>
      </c>
      <c r="J3048">
        <f t="shared" si="243"/>
        <v>0</v>
      </c>
    </row>
    <row r="3049" spans="1:10" ht="12.5" x14ac:dyDescent="0.25">
      <c r="A3049" s="1">
        <v>45715</v>
      </c>
      <c r="B3049" s="2" t="s">
        <v>7</v>
      </c>
      <c r="C3049" s="3">
        <v>5.49</v>
      </c>
      <c r="D3049" s="3">
        <v>47</v>
      </c>
      <c r="E3049" s="3">
        <v>258.03000000000003</v>
      </c>
      <c r="F3049" t="str">
        <f t="shared" si="239"/>
        <v>cogs</v>
      </c>
      <c r="G3049" s="7" t="str">
        <f t="shared" si="240"/>
        <v>product 1</v>
      </c>
      <c r="H3049">
        <f t="shared" si="241"/>
        <v>2025</v>
      </c>
      <c r="I3049">
        <f t="shared" si="242"/>
        <v>2</v>
      </c>
      <c r="J3049">
        <f t="shared" si="243"/>
        <v>212.33</v>
      </c>
    </row>
    <row r="3050" spans="1:10" ht="12.5" x14ac:dyDescent="0.25">
      <c r="A3050" s="1">
        <v>45715</v>
      </c>
      <c r="B3050" s="2" t="s">
        <v>8</v>
      </c>
      <c r="C3050" s="3">
        <v>19.989999999999998</v>
      </c>
      <c r="D3050" s="3">
        <v>3</v>
      </c>
      <c r="E3050" s="3">
        <v>59.97</v>
      </c>
      <c r="F3050" t="str">
        <f t="shared" si="239"/>
        <v>cogs</v>
      </c>
      <c r="G3050" s="7" t="str">
        <f t="shared" si="240"/>
        <v>product 2</v>
      </c>
      <c r="H3050">
        <f t="shared" si="241"/>
        <v>2025</v>
      </c>
      <c r="I3050">
        <f t="shared" si="242"/>
        <v>2</v>
      </c>
      <c r="J3050">
        <f t="shared" si="243"/>
        <v>-290.97000000000003</v>
      </c>
    </row>
    <row r="3051" spans="1:10" ht="12.5" x14ac:dyDescent="0.25">
      <c r="A3051" s="1">
        <v>45715</v>
      </c>
      <c r="B3051" s="2" t="s">
        <v>9</v>
      </c>
      <c r="C3051" s="3">
        <v>8.99</v>
      </c>
      <c r="D3051" s="3">
        <v>0</v>
      </c>
      <c r="E3051" s="2">
        <f>C3051*D3051</f>
        <v>0</v>
      </c>
      <c r="F3051" t="str">
        <f t="shared" si="239"/>
        <v>cogs</v>
      </c>
      <c r="G3051" s="7" t="str">
        <f t="shared" si="240"/>
        <v>product 3</v>
      </c>
      <c r="H3051">
        <f t="shared" si="241"/>
        <v>2025</v>
      </c>
      <c r="I3051">
        <f t="shared" si="242"/>
        <v>2</v>
      </c>
      <c r="J3051">
        <f t="shared" si="243"/>
        <v>0</v>
      </c>
    </row>
    <row r="3052" spans="1:10" ht="12.5" x14ac:dyDescent="0.25">
      <c r="A3052" s="1">
        <v>45715</v>
      </c>
      <c r="B3052" s="2" t="s">
        <v>10</v>
      </c>
      <c r="C3052" s="2" t="s">
        <v>6</v>
      </c>
      <c r="D3052" s="2" t="s">
        <v>6</v>
      </c>
      <c r="E3052" s="3">
        <v>108.91</v>
      </c>
      <c r="F3052" t="str">
        <f t="shared" si="239"/>
        <v>marketing</v>
      </c>
      <c r="G3052" s="7" t="s">
        <v>6</v>
      </c>
      <c r="H3052">
        <f t="shared" si="241"/>
        <v>2025</v>
      </c>
      <c r="I3052">
        <f t="shared" si="242"/>
        <v>2</v>
      </c>
      <c r="J3052">
        <f t="shared" si="243"/>
        <v>0</v>
      </c>
    </row>
    <row r="3053" spans="1:10" ht="12.5" x14ac:dyDescent="0.25">
      <c r="A3053" s="1">
        <v>45715</v>
      </c>
      <c r="B3053" s="2" t="s">
        <v>11</v>
      </c>
      <c r="C3053" s="3">
        <v>9.99</v>
      </c>
      <c r="D3053" s="3">
        <v>47</v>
      </c>
      <c r="E3053" s="3">
        <v>469.53000000000003</v>
      </c>
      <c r="F3053" t="str">
        <f t="shared" si="239"/>
        <v>net sales</v>
      </c>
      <c r="G3053" s="7" t="str">
        <f t="shared" si="240"/>
        <v>product 1</v>
      </c>
      <c r="H3053">
        <f t="shared" si="241"/>
        <v>2025</v>
      </c>
      <c r="I3053">
        <f t="shared" si="242"/>
        <v>2</v>
      </c>
      <c r="J3053">
        <f t="shared" si="243"/>
        <v>-110.95</v>
      </c>
    </row>
    <row r="3054" spans="1:10" ht="12.5" x14ac:dyDescent="0.25">
      <c r="A3054" s="1">
        <v>45715</v>
      </c>
      <c r="B3054" s="2" t="s">
        <v>12</v>
      </c>
      <c r="C3054" s="3">
        <v>24.99</v>
      </c>
      <c r="D3054" s="3">
        <v>3</v>
      </c>
      <c r="E3054" s="3">
        <v>74.97</v>
      </c>
      <c r="F3054" t="str">
        <f t="shared" si="239"/>
        <v>net sales</v>
      </c>
      <c r="G3054" s="7" t="str">
        <f t="shared" si="240"/>
        <v>product 2</v>
      </c>
      <c r="H3054">
        <f t="shared" si="241"/>
        <v>2025</v>
      </c>
      <c r="I3054">
        <f t="shared" si="242"/>
        <v>2</v>
      </c>
      <c r="J3054">
        <f t="shared" si="243"/>
        <v>529.47</v>
      </c>
    </row>
    <row r="3055" spans="1:10" ht="12.5" x14ac:dyDescent="0.25">
      <c r="A3055" s="1">
        <v>45715</v>
      </c>
      <c r="B3055" s="2" t="s">
        <v>13</v>
      </c>
      <c r="C3055" s="3">
        <v>12.49</v>
      </c>
      <c r="D3055" s="3">
        <v>0</v>
      </c>
      <c r="E3055" s="2">
        <f>C3055*D3055</f>
        <v>0</v>
      </c>
      <c r="F3055" t="str">
        <f t="shared" si="239"/>
        <v>net sales</v>
      </c>
      <c r="G3055" s="7" t="str">
        <f t="shared" si="240"/>
        <v>product 3</v>
      </c>
      <c r="H3055">
        <f t="shared" si="241"/>
        <v>2025</v>
      </c>
      <c r="I3055">
        <f t="shared" si="242"/>
        <v>2</v>
      </c>
      <c r="J3055">
        <f t="shared" si="243"/>
        <v>0</v>
      </c>
    </row>
    <row r="3056" spans="1:10" ht="12.5" x14ac:dyDescent="0.25">
      <c r="A3056" s="1">
        <v>45716</v>
      </c>
      <c r="B3056" s="2" t="s">
        <v>7</v>
      </c>
      <c r="C3056" s="3">
        <v>5.49</v>
      </c>
      <c r="D3056" s="3">
        <v>28</v>
      </c>
      <c r="E3056" s="3">
        <v>153.72</v>
      </c>
      <c r="F3056" t="str">
        <f t="shared" si="239"/>
        <v>cogs</v>
      </c>
      <c r="G3056" s="7" t="str">
        <f t="shared" si="240"/>
        <v>product 1</v>
      </c>
      <c r="H3056">
        <f t="shared" si="241"/>
        <v>2025</v>
      </c>
      <c r="I3056">
        <f t="shared" si="242"/>
        <v>2</v>
      </c>
      <c r="J3056">
        <f t="shared" si="243"/>
        <v>0</v>
      </c>
    </row>
    <row r="3057" spans="1:10" ht="12.5" x14ac:dyDescent="0.25">
      <c r="A3057" s="1">
        <v>45716</v>
      </c>
      <c r="B3057" s="2" t="s">
        <v>8</v>
      </c>
      <c r="C3057" s="3">
        <v>19.989999999999998</v>
      </c>
      <c r="D3057" s="3">
        <v>0</v>
      </c>
      <c r="E3057" s="2">
        <f>C3057*D3057</f>
        <v>0</v>
      </c>
      <c r="F3057" t="str">
        <f t="shared" si="239"/>
        <v>cogs</v>
      </c>
      <c r="G3057" s="7" t="str">
        <f t="shared" si="240"/>
        <v>product 2</v>
      </c>
      <c r="H3057">
        <f t="shared" si="241"/>
        <v>2025</v>
      </c>
      <c r="I3057">
        <f t="shared" si="242"/>
        <v>2</v>
      </c>
      <c r="J3057">
        <f t="shared" si="243"/>
        <v>-252.54000000000002</v>
      </c>
    </row>
    <row r="3058" spans="1:10" ht="12.5" x14ac:dyDescent="0.25">
      <c r="A3058" s="1">
        <v>45716</v>
      </c>
      <c r="B3058" s="2" t="s">
        <v>9</v>
      </c>
      <c r="C3058" s="3">
        <v>8.99</v>
      </c>
      <c r="D3058" s="3">
        <v>53</v>
      </c>
      <c r="E3058" s="3">
        <v>476.47</v>
      </c>
      <c r="F3058" t="str">
        <f t="shared" si="239"/>
        <v>cogs</v>
      </c>
      <c r="G3058" s="7" t="str">
        <f t="shared" si="240"/>
        <v>product 3</v>
      </c>
      <c r="H3058">
        <f t="shared" si="241"/>
        <v>2025</v>
      </c>
      <c r="I3058">
        <f t="shared" si="242"/>
        <v>2</v>
      </c>
      <c r="J3058">
        <f t="shared" si="243"/>
        <v>-79.959999999999994</v>
      </c>
    </row>
    <row r="3059" spans="1:10" ht="12.5" x14ac:dyDescent="0.25">
      <c r="A3059" s="1">
        <v>45716</v>
      </c>
      <c r="B3059" s="2" t="s">
        <v>10</v>
      </c>
      <c r="C3059" s="2" t="s">
        <v>6</v>
      </c>
      <c r="D3059" s="2" t="s">
        <v>6</v>
      </c>
      <c r="E3059" s="3">
        <v>106.04</v>
      </c>
      <c r="F3059" t="str">
        <f t="shared" si="239"/>
        <v>marketing</v>
      </c>
      <c r="G3059" s="7" t="s">
        <v>6</v>
      </c>
      <c r="H3059">
        <f t="shared" si="241"/>
        <v>2025</v>
      </c>
      <c r="I3059">
        <f t="shared" si="242"/>
        <v>2</v>
      </c>
      <c r="J3059">
        <f t="shared" si="243"/>
        <v>-1699.1100000000001</v>
      </c>
    </row>
    <row r="3060" spans="1:10" ht="12.5" x14ac:dyDescent="0.25">
      <c r="A3060" s="1">
        <v>45716</v>
      </c>
      <c r="B3060" s="2" t="s">
        <v>11</v>
      </c>
      <c r="C3060" s="3">
        <v>9.99</v>
      </c>
      <c r="D3060" s="3">
        <v>28</v>
      </c>
      <c r="E3060" s="3">
        <v>279.72000000000003</v>
      </c>
      <c r="F3060" t="str">
        <f t="shared" si="239"/>
        <v>net sales</v>
      </c>
      <c r="G3060" s="7" t="str">
        <f t="shared" si="240"/>
        <v>product 1</v>
      </c>
      <c r="H3060">
        <f t="shared" si="241"/>
        <v>2025</v>
      </c>
      <c r="I3060">
        <f t="shared" si="242"/>
        <v>2</v>
      </c>
      <c r="J3060">
        <f t="shared" si="243"/>
        <v>-107.03</v>
      </c>
    </row>
    <row r="3061" spans="1:10" ht="12.5" x14ac:dyDescent="0.25">
      <c r="A3061" s="1">
        <v>45716</v>
      </c>
      <c r="B3061" s="2" t="s">
        <v>12</v>
      </c>
      <c r="C3061" s="3">
        <v>24.99</v>
      </c>
      <c r="D3061" s="3">
        <v>0</v>
      </c>
      <c r="E3061" s="2">
        <f>C3061*D3061</f>
        <v>0</v>
      </c>
      <c r="F3061" t="str">
        <f t="shared" si="239"/>
        <v>net sales</v>
      </c>
      <c r="G3061" s="7" t="str">
        <f t="shared" si="240"/>
        <v>product 2</v>
      </c>
      <c r="H3061">
        <f t="shared" si="241"/>
        <v>2025</v>
      </c>
      <c r="I3061">
        <f t="shared" si="242"/>
        <v>2</v>
      </c>
      <c r="J3061">
        <f t="shared" si="243"/>
        <v>459.54</v>
      </c>
    </row>
    <row r="3062" spans="1:10" ht="12.5" x14ac:dyDescent="0.25">
      <c r="A3062" s="1">
        <v>45716</v>
      </c>
      <c r="B3062" s="2" t="s">
        <v>13</v>
      </c>
      <c r="C3062" s="3">
        <v>12.49</v>
      </c>
      <c r="D3062" s="3">
        <v>53</v>
      </c>
      <c r="E3062" s="3">
        <v>661.97</v>
      </c>
      <c r="F3062" t="str">
        <f t="shared" si="239"/>
        <v>net sales</v>
      </c>
      <c r="G3062" s="7" t="str">
        <f t="shared" si="240"/>
        <v>product 3</v>
      </c>
      <c r="H3062">
        <f t="shared" si="241"/>
        <v>2025</v>
      </c>
      <c r="I3062">
        <f t="shared" si="242"/>
        <v>2</v>
      </c>
      <c r="J3062">
        <f t="shared" si="243"/>
        <v>99.96</v>
      </c>
    </row>
    <row r="3063" spans="1:10" ht="12.5" x14ac:dyDescent="0.25">
      <c r="A3063" s="1">
        <v>45716</v>
      </c>
      <c r="B3063" s="2" t="s">
        <v>15</v>
      </c>
      <c r="C3063" s="2" t="s">
        <v>6</v>
      </c>
      <c r="D3063" s="2" t="s">
        <v>6</v>
      </c>
      <c r="E3063" s="3">
        <v>1200</v>
      </c>
      <c r="F3063" t="str">
        <f t="shared" si="239"/>
        <v>payroll</v>
      </c>
      <c r="G3063" s="7" t="s">
        <v>6</v>
      </c>
      <c r="H3063">
        <f t="shared" si="241"/>
        <v>2025</v>
      </c>
      <c r="I3063">
        <f t="shared" si="242"/>
        <v>2</v>
      </c>
      <c r="J3063">
        <f t="shared" si="243"/>
        <v>2360.61</v>
      </c>
    </row>
    <row r="3064" spans="1:10" ht="12.5" x14ac:dyDescent="0.25">
      <c r="A3064" s="1">
        <v>45717</v>
      </c>
      <c r="B3064" s="2" t="s">
        <v>5</v>
      </c>
      <c r="C3064" s="2" t="s">
        <v>6</v>
      </c>
      <c r="D3064" s="2" t="s">
        <v>6</v>
      </c>
      <c r="E3064" s="3">
        <v>50</v>
      </c>
      <c r="F3064" t="str">
        <f t="shared" si="239"/>
        <v>amortization</v>
      </c>
      <c r="G3064" s="7" t="s">
        <v>6</v>
      </c>
      <c r="H3064">
        <f t="shared" si="241"/>
        <v>2025</v>
      </c>
      <c r="I3064">
        <f t="shared" si="242"/>
        <v>3</v>
      </c>
      <c r="J3064">
        <f t="shared" si="243"/>
        <v>-38.43</v>
      </c>
    </row>
    <row r="3065" spans="1:10" ht="12.5" x14ac:dyDescent="0.25">
      <c r="A3065" s="1">
        <v>45717</v>
      </c>
      <c r="B3065" s="2" t="s">
        <v>7</v>
      </c>
      <c r="C3065" s="3">
        <v>5.49</v>
      </c>
      <c r="D3065" s="3">
        <v>72</v>
      </c>
      <c r="E3065" s="3">
        <v>395.28000000000003</v>
      </c>
      <c r="F3065" t="str">
        <f t="shared" si="239"/>
        <v>cogs</v>
      </c>
      <c r="G3065" s="7" t="str">
        <f t="shared" si="240"/>
        <v>product 1</v>
      </c>
      <c r="H3065">
        <f t="shared" si="241"/>
        <v>2025</v>
      </c>
      <c r="I3065">
        <f t="shared" si="242"/>
        <v>3</v>
      </c>
      <c r="J3065">
        <f t="shared" si="243"/>
        <v>-119.94</v>
      </c>
    </row>
    <row r="3066" spans="1:10" ht="12.5" x14ac:dyDescent="0.25">
      <c r="A3066" s="1">
        <v>45717</v>
      </c>
      <c r="B3066" s="2" t="s">
        <v>8</v>
      </c>
      <c r="C3066" s="3">
        <v>19.989999999999998</v>
      </c>
      <c r="D3066" s="3">
        <v>1</v>
      </c>
      <c r="E3066" s="3">
        <v>19.989999999999998</v>
      </c>
      <c r="F3066" t="str">
        <f t="shared" si="239"/>
        <v>cogs</v>
      </c>
      <c r="G3066" s="7" t="str">
        <f t="shared" si="240"/>
        <v>product 2</v>
      </c>
      <c r="H3066">
        <f t="shared" si="241"/>
        <v>2025</v>
      </c>
      <c r="I3066">
        <f t="shared" si="242"/>
        <v>3</v>
      </c>
      <c r="J3066">
        <f t="shared" si="243"/>
        <v>-143.84</v>
      </c>
    </row>
    <row r="3067" spans="1:10" ht="12.5" x14ac:dyDescent="0.25">
      <c r="A3067" s="1">
        <v>45717</v>
      </c>
      <c r="B3067" s="2" t="s">
        <v>9</v>
      </c>
      <c r="C3067" s="3">
        <v>8.99</v>
      </c>
      <c r="D3067" s="3">
        <v>87</v>
      </c>
      <c r="E3067" s="3">
        <v>782.13</v>
      </c>
      <c r="F3067" t="str">
        <f t="shared" si="239"/>
        <v>cogs</v>
      </c>
      <c r="G3067" s="7" t="str">
        <f t="shared" si="240"/>
        <v>product 3</v>
      </c>
      <c r="H3067">
        <f t="shared" si="241"/>
        <v>2025</v>
      </c>
      <c r="I3067">
        <f t="shared" si="242"/>
        <v>3</v>
      </c>
      <c r="J3067">
        <f t="shared" si="243"/>
        <v>-107.97</v>
      </c>
    </row>
    <row r="3068" spans="1:10" ht="12.5" x14ac:dyDescent="0.25">
      <c r="A3068" s="1">
        <v>45717</v>
      </c>
      <c r="B3068" s="2" t="s">
        <v>10</v>
      </c>
      <c r="C3068" s="2" t="s">
        <v>6</v>
      </c>
      <c r="D3068" s="2" t="s">
        <v>6</v>
      </c>
      <c r="E3068" s="3">
        <v>112.05</v>
      </c>
      <c r="F3068" t="str">
        <f t="shared" si="239"/>
        <v>marketing</v>
      </c>
      <c r="G3068" s="7" t="s">
        <v>6</v>
      </c>
      <c r="H3068">
        <f t="shared" si="241"/>
        <v>2025</v>
      </c>
      <c r="I3068">
        <f t="shared" si="242"/>
        <v>3</v>
      </c>
      <c r="J3068">
        <f t="shared" si="243"/>
        <v>69.930000000000007</v>
      </c>
    </row>
    <row r="3069" spans="1:10" ht="12.5" x14ac:dyDescent="0.25">
      <c r="A3069" s="1">
        <v>45717</v>
      </c>
      <c r="B3069" s="2" t="s">
        <v>11</v>
      </c>
      <c r="C3069" s="3">
        <v>9.99</v>
      </c>
      <c r="D3069" s="3">
        <v>72</v>
      </c>
      <c r="E3069" s="3">
        <v>719.28</v>
      </c>
      <c r="F3069" t="str">
        <f t="shared" si="239"/>
        <v>net sales</v>
      </c>
      <c r="G3069" s="7" t="str">
        <f t="shared" si="240"/>
        <v>product 1</v>
      </c>
      <c r="H3069">
        <f t="shared" si="241"/>
        <v>2025</v>
      </c>
      <c r="I3069">
        <f t="shared" si="242"/>
        <v>3</v>
      </c>
      <c r="J3069">
        <f t="shared" si="243"/>
        <v>149.94</v>
      </c>
    </row>
    <row r="3070" spans="1:10" ht="12.5" x14ac:dyDescent="0.25">
      <c r="A3070" s="1">
        <v>45717</v>
      </c>
      <c r="B3070" s="2" t="s">
        <v>12</v>
      </c>
      <c r="C3070" s="3">
        <v>24.99</v>
      </c>
      <c r="D3070" s="3">
        <v>1</v>
      </c>
      <c r="E3070" s="3">
        <v>24.99</v>
      </c>
      <c r="F3070" t="str">
        <f t="shared" si="239"/>
        <v>net sales</v>
      </c>
      <c r="G3070" s="7" t="str">
        <f t="shared" si="240"/>
        <v>product 2</v>
      </c>
      <c r="H3070">
        <f t="shared" si="241"/>
        <v>2025</v>
      </c>
      <c r="I3070">
        <f t="shared" si="242"/>
        <v>3</v>
      </c>
      <c r="J3070">
        <f t="shared" si="243"/>
        <v>199.84</v>
      </c>
    </row>
    <row r="3071" spans="1:10" ht="12.5" x14ac:dyDescent="0.25">
      <c r="A3071" s="1">
        <v>45717</v>
      </c>
      <c r="B3071" s="2" t="s">
        <v>13</v>
      </c>
      <c r="C3071" s="3">
        <v>12.49</v>
      </c>
      <c r="D3071" s="3">
        <v>87</v>
      </c>
      <c r="E3071" s="3">
        <v>1086.6300000000001</v>
      </c>
      <c r="F3071" t="str">
        <f t="shared" si="239"/>
        <v>net sales</v>
      </c>
      <c r="G3071" s="7" t="str">
        <f t="shared" si="240"/>
        <v>product 3</v>
      </c>
      <c r="H3071">
        <f t="shared" si="241"/>
        <v>2025</v>
      </c>
      <c r="I3071">
        <f t="shared" si="242"/>
        <v>3</v>
      </c>
      <c r="J3071">
        <f t="shared" si="243"/>
        <v>-296.46000000000004</v>
      </c>
    </row>
    <row r="3072" spans="1:10" ht="12.5" x14ac:dyDescent="0.25">
      <c r="A3072" s="1">
        <v>45717</v>
      </c>
      <c r="B3072" s="2" t="s">
        <v>14</v>
      </c>
      <c r="C3072" s="2" t="s">
        <v>6</v>
      </c>
      <c r="D3072" s="2" t="s">
        <v>6</v>
      </c>
      <c r="E3072" s="3">
        <v>2000</v>
      </c>
      <c r="F3072" t="str">
        <f t="shared" si="239"/>
        <v>overhead</v>
      </c>
      <c r="G3072" s="7" t="s">
        <v>6</v>
      </c>
      <c r="H3072">
        <f t="shared" si="241"/>
        <v>2025</v>
      </c>
      <c r="I3072">
        <f t="shared" si="242"/>
        <v>3</v>
      </c>
      <c r="J3072">
        <f t="shared" si="243"/>
        <v>-119.94</v>
      </c>
    </row>
    <row r="3073" spans="1:10" ht="12.5" x14ac:dyDescent="0.25">
      <c r="A3073" s="1">
        <v>45718</v>
      </c>
      <c r="B3073" s="2" t="s">
        <v>7</v>
      </c>
      <c r="C3073" s="3">
        <v>5.49</v>
      </c>
      <c r="D3073" s="3">
        <v>88</v>
      </c>
      <c r="E3073" s="3">
        <v>483.12</v>
      </c>
      <c r="F3073" t="str">
        <f t="shared" si="239"/>
        <v>cogs</v>
      </c>
      <c r="G3073" s="7" t="str">
        <f t="shared" si="240"/>
        <v>product 1</v>
      </c>
      <c r="H3073">
        <f t="shared" si="241"/>
        <v>2025</v>
      </c>
      <c r="I3073">
        <f t="shared" si="242"/>
        <v>3</v>
      </c>
      <c r="J3073">
        <f t="shared" si="243"/>
        <v>-575.36</v>
      </c>
    </row>
    <row r="3074" spans="1:10" ht="12.5" x14ac:dyDescent="0.25">
      <c r="A3074" s="1">
        <v>45718</v>
      </c>
      <c r="B3074" s="2" t="s">
        <v>8</v>
      </c>
      <c r="C3074" s="3">
        <v>19.989999999999998</v>
      </c>
      <c r="D3074" s="3">
        <v>4</v>
      </c>
      <c r="E3074" s="3">
        <v>79.959999999999994</v>
      </c>
      <c r="F3074" t="str">
        <f t="shared" si="239"/>
        <v>cogs</v>
      </c>
      <c r="G3074" s="7" t="str">
        <f t="shared" si="240"/>
        <v>product 2</v>
      </c>
      <c r="H3074">
        <f t="shared" si="241"/>
        <v>2025</v>
      </c>
      <c r="I3074">
        <f t="shared" si="242"/>
        <v>3</v>
      </c>
      <c r="J3074">
        <f t="shared" si="243"/>
        <v>-116.05</v>
      </c>
    </row>
    <row r="3075" spans="1:10" ht="12.5" x14ac:dyDescent="0.25">
      <c r="A3075" s="1">
        <v>45718</v>
      </c>
      <c r="B3075" s="2" t="s">
        <v>9</v>
      </c>
      <c r="C3075" s="3">
        <v>8.99</v>
      </c>
      <c r="D3075" s="3">
        <v>148</v>
      </c>
      <c r="E3075" s="3">
        <v>1330.52</v>
      </c>
      <c r="F3075" t="str">
        <f t="shared" ref="F3075:F3138" si="244">IFERROR(LEFT(B3075,FIND(":",B3075)-1),B3075)</f>
        <v>cogs</v>
      </c>
      <c r="G3075" s="7" t="str">
        <f t="shared" ref="G3075:G3138" si="245">IFERROR(RIGHT(B3075,LEN(B3075)-FIND(":",B3075)),"")</f>
        <v>product 3</v>
      </c>
      <c r="H3075">
        <f t="shared" ref="H3075:H3138" si="246">YEAR(A3075)</f>
        <v>2025</v>
      </c>
      <c r="I3075">
        <f t="shared" ref="I3075:I3138" si="247">MONTH(A3075)</f>
        <v>3</v>
      </c>
      <c r="J3075">
        <f t="shared" si="243"/>
        <v>539.46</v>
      </c>
    </row>
    <row r="3076" spans="1:10" ht="12.5" x14ac:dyDescent="0.25">
      <c r="A3076" s="1">
        <v>45718</v>
      </c>
      <c r="B3076" s="2" t="s">
        <v>10</v>
      </c>
      <c r="C3076" s="2" t="s">
        <v>6</v>
      </c>
      <c r="D3076" s="2" t="s">
        <v>6</v>
      </c>
      <c r="E3076" s="3">
        <v>112.08</v>
      </c>
      <c r="F3076" t="str">
        <f t="shared" si="244"/>
        <v>marketing</v>
      </c>
      <c r="G3076" s="7" t="s">
        <v>6</v>
      </c>
      <c r="H3076">
        <f t="shared" si="246"/>
        <v>2025</v>
      </c>
      <c r="I3076">
        <f t="shared" si="247"/>
        <v>3</v>
      </c>
      <c r="J3076">
        <f t="shared" si="243"/>
        <v>149.94</v>
      </c>
    </row>
    <row r="3077" spans="1:10" ht="12.5" x14ac:dyDescent="0.25">
      <c r="A3077" s="1">
        <v>45718</v>
      </c>
      <c r="B3077" s="2" t="s">
        <v>11</v>
      </c>
      <c r="C3077" s="3">
        <v>9.99</v>
      </c>
      <c r="D3077" s="3">
        <v>88</v>
      </c>
      <c r="E3077" s="3">
        <v>879.12</v>
      </c>
      <c r="F3077" t="str">
        <f t="shared" si="244"/>
        <v>net sales</v>
      </c>
      <c r="G3077" s="7" t="str">
        <f t="shared" si="245"/>
        <v>product 1</v>
      </c>
      <c r="H3077">
        <f t="shared" si="246"/>
        <v>2025</v>
      </c>
      <c r="I3077">
        <f t="shared" si="247"/>
        <v>3</v>
      </c>
      <c r="J3077">
        <f t="shared" si="243"/>
        <v>799.36</v>
      </c>
    </row>
    <row r="3078" spans="1:10" ht="12.5" x14ac:dyDescent="0.25">
      <c r="A3078" s="1">
        <v>45718</v>
      </c>
      <c r="B3078" s="2" t="s">
        <v>12</v>
      </c>
      <c r="C3078" s="3">
        <v>24.99</v>
      </c>
      <c r="D3078" s="3">
        <v>4</v>
      </c>
      <c r="E3078" s="3">
        <v>99.96</v>
      </c>
      <c r="F3078" t="str">
        <f t="shared" si="244"/>
        <v>net sales</v>
      </c>
      <c r="G3078" s="7" t="str">
        <f t="shared" si="245"/>
        <v>product 2</v>
      </c>
      <c r="H3078">
        <f t="shared" si="246"/>
        <v>2025</v>
      </c>
      <c r="I3078">
        <f t="shared" si="247"/>
        <v>3</v>
      </c>
      <c r="J3078">
        <f t="shared" si="243"/>
        <v>-1200</v>
      </c>
    </row>
    <row r="3079" spans="1:10" ht="12.5" x14ac:dyDescent="0.25">
      <c r="A3079" s="1">
        <v>45718</v>
      </c>
      <c r="B3079" s="2" t="s">
        <v>13</v>
      </c>
      <c r="C3079" s="3">
        <v>12.49</v>
      </c>
      <c r="D3079" s="3">
        <v>148</v>
      </c>
      <c r="E3079" s="3">
        <v>1848.52</v>
      </c>
      <c r="F3079" t="str">
        <f t="shared" si="244"/>
        <v>net sales</v>
      </c>
      <c r="G3079" s="7" t="str">
        <f t="shared" si="245"/>
        <v>product 3</v>
      </c>
      <c r="H3079">
        <f t="shared" si="246"/>
        <v>2025</v>
      </c>
      <c r="I3079">
        <f t="shared" si="247"/>
        <v>3</v>
      </c>
      <c r="J3079">
        <f t="shared" si="243"/>
        <v>0</v>
      </c>
    </row>
    <row r="3080" spans="1:10" ht="12.5" x14ac:dyDescent="0.25">
      <c r="A3080" s="1">
        <v>45719</v>
      </c>
      <c r="B3080" s="2" t="s">
        <v>7</v>
      </c>
      <c r="C3080" s="3">
        <v>5.49</v>
      </c>
      <c r="D3080" s="3">
        <v>41</v>
      </c>
      <c r="E3080" s="3">
        <v>225.09</v>
      </c>
      <c r="F3080" t="str">
        <f t="shared" si="244"/>
        <v>cogs</v>
      </c>
      <c r="G3080" s="7" t="str">
        <f t="shared" si="245"/>
        <v>product 1</v>
      </c>
      <c r="H3080">
        <f t="shared" si="246"/>
        <v>2025</v>
      </c>
      <c r="I3080">
        <f t="shared" si="247"/>
        <v>3</v>
      </c>
      <c r="J3080">
        <f t="shared" si="243"/>
        <v>-126.27000000000001</v>
      </c>
    </row>
    <row r="3081" spans="1:10" ht="12.5" x14ac:dyDescent="0.25">
      <c r="A3081" s="1">
        <v>45719</v>
      </c>
      <c r="B3081" s="2" t="s">
        <v>8</v>
      </c>
      <c r="C3081" s="3">
        <v>19.989999999999998</v>
      </c>
      <c r="D3081" s="3">
        <v>1</v>
      </c>
      <c r="E3081" s="3">
        <v>19.989999999999998</v>
      </c>
      <c r="F3081" t="str">
        <f t="shared" si="244"/>
        <v>cogs</v>
      </c>
      <c r="G3081" s="7" t="str">
        <f t="shared" si="245"/>
        <v>product 2</v>
      </c>
      <c r="H3081">
        <f t="shared" si="246"/>
        <v>2025</v>
      </c>
      <c r="I3081">
        <f t="shared" si="247"/>
        <v>3</v>
      </c>
      <c r="J3081">
        <f t="shared" si="243"/>
        <v>-179.91</v>
      </c>
    </row>
    <row r="3082" spans="1:10" ht="12.5" x14ac:dyDescent="0.25">
      <c r="A3082" s="1">
        <v>45719</v>
      </c>
      <c r="B3082" s="2" t="s">
        <v>9</v>
      </c>
      <c r="C3082" s="3">
        <v>8.99</v>
      </c>
      <c r="D3082" s="3">
        <v>65</v>
      </c>
      <c r="E3082" s="3">
        <v>584.35</v>
      </c>
      <c r="F3082" t="str">
        <f t="shared" si="244"/>
        <v>cogs</v>
      </c>
      <c r="G3082" s="7" t="str">
        <f t="shared" si="245"/>
        <v>product 3</v>
      </c>
      <c r="H3082">
        <f t="shared" si="246"/>
        <v>2025</v>
      </c>
      <c r="I3082">
        <f t="shared" si="247"/>
        <v>3</v>
      </c>
      <c r="J3082">
        <f t="shared" si="243"/>
        <v>-800.11</v>
      </c>
    </row>
    <row r="3083" spans="1:10" ht="12.5" x14ac:dyDescent="0.25">
      <c r="A3083" s="1">
        <v>45719</v>
      </c>
      <c r="B3083" s="2" t="s">
        <v>10</v>
      </c>
      <c r="C3083" s="2" t="s">
        <v>6</v>
      </c>
      <c r="D3083" s="2" t="s">
        <v>6</v>
      </c>
      <c r="E3083" s="3">
        <v>113.94</v>
      </c>
      <c r="F3083" t="str">
        <f t="shared" si="244"/>
        <v>marketing</v>
      </c>
      <c r="G3083" s="7" t="s">
        <v>6</v>
      </c>
      <c r="H3083">
        <f t="shared" si="246"/>
        <v>2025</v>
      </c>
      <c r="I3083">
        <f t="shared" si="247"/>
        <v>3</v>
      </c>
      <c r="J3083">
        <f t="shared" si="243"/>
        <v>-112.02</v>
      </c>
    </row>
    <row r="3084" spans="1:10" ht="12.5" x14ac:dyDescent="0.25">
      <c r="A3084" s="1">
        <v>45719</v>
      </c>
      <c r="B3084" s="2" t="s">
        <v>11</v>
      </c>
      <c r="C3084" s="3">
        <v>9.99</v>
      </c>
      <c r="D3084" s="3">
        <v>41</v>
      </c>
      <c r="E3084" s="3">
        <v>409.59000000000003</v>
      </c>
      <c r="F3084" t="str">
        <f t="shared" si="244"/>
        <v>net sales</v>
      </c>
      <c r="G3084" s="7" t="str">
        <f t="shared" si="245"/>
        <v>product 1</v>
      </c>
      <c r="H3084">
        <f t="shared" si="246"/>
        <v>2025</v>
      </c>
      <c r="I3084">
        <f t="shared" si="247"/>
        <v>3</v>
      </c>
      <c r="J3084">
        <f t="shared" si="243"/>
        <v>229.77</v>
      </c>
    </row>
    <row r="3085" spans="1:10" ht="12.5" x14ac:dyDescent="0.25">
      <c r="A3085" s="1">
        <v>45719</v>
      </c>
      <c r="B3085" s="2" t="s">
        <v>12</v>
      </c>
      <c r="C3085" s="3">
        <v>24.99</v>
      </c>
      <c r="D3085" s="3">
        <v>1</v>
      </c>
      <c r="E3085" s="3">
        <v>24.99</v>
      </c>
      <c r="F3085" t="str">
        <f t="shared" si="244"/>
        <v>net sales</v>
      </c>
      <c r="G3085" s="7" t="str">
        <f t="shared" si="245"/>
        <v>product 2</v>
      </c>
      <c r="H3085">
        <f t="shared" si="246"/>
        <v>2025</v>
      </c>
      <c r="I3085">
        <f t="shared" si="247"/>
        <v>3</v>
      </c>
      <c r="J3085">
        <f t="shared" si="243"/>
        <v>224.91</v>
      </c>
    </row>
    <row r="3086" spans="1:10" ht="12.5" x14ac:dyDescent="0.25">
      <c r="A3086" s="1">
        <v>45719</v>
      </c>
      <c r="B3086" s="2" t="s">
        <v>13</v>
      </c>
      <c r="C3086" s="3">
        <v>12.49</v>
      </c>
      <c r="D3086" s="3">
        <v>65</v>
      </c>
      <c r="E3086" s="3">
        <v>811.85</v>
      </c>
      <c r="F3086" t="str">
        <f t="shared" si="244"/>
        <v>net sales</v>
      </c>
      <c r="G3086" s="7" t="str">
        <f t="shared" si="245"/>
        <v>product 3</v>
      </c>
      <c r="H3086">
        <f t="shared" si="246"/>
        <v>2025</v>
      </c>
      <c r="I3086">
        <f t="shared" si="247"/>
        <v>3</v>
      </c>
      <c r="J3086">
        <f t="shared" si="243"/>
        <v>1111.6100000000001</v>
      </c>
    </row>
    <row r="3087" spans="1:10" ht="12.5" x14ac:dyDescent="0.25">
      <c r="A3087" s="1">
        <v>45720</v>
      </c>
      <c r="B3087" s="2" t="s">
        <v>7</v>
      </c>
      <c r="C3087" s="3">
        <v>5.49</v>
      </c>
      <c r="D3087" s="3">
        <v>3</v>
      </c>
      <c r="E3087" s="3">
        <v>16.47</v>
      </c>
      <c r="F3087" t="str">
        <f t="shared" si="244"/>
        <v>cogs</v>
      </c>
      <c r="G3087" s="7" t="str">
        <f t="shared" si="245"/>
        <v>product 1</v>
      </c>
      <c r="H3087">
        <f t="shared" si="246"/>
        <v>2025</v>
      </c>
      <c r="I3087">
        <f t="shared" si="247"/>
        <v>3</v>
      </c>
      <c r="J3087">
        <f t="shared" si="243"/>
        <v>-2000</v>
      </c>
    </row>
    <row r="3088" spans="1:10" ht="12.5" x14ac:dyDescent="0.25">
      <c r="A3088" s="1">
        <v>45720</v>
      </c>
      <c r="B3088" s="2" t="s">
        <v>8</v>
      </c>
      <c r="C3088" s="3">
        <v>19.989999999999998</v>
      </c>
      <c r="D3088" s="3">
        <v>3</v>
      </c>
      <c r="E3088" s="3">
        <v>59.97</v>
      </c>
      <c r="F3088" t="str">
        <f t="shared" si="244"/>
        <v>cogs</v>
      </c>
      <c r="G3088" s="7" t="str">
        <f t="shared" si="245"/>
        <v>product 2</v>
      </c>
      <c r="H3088">
        <f t="shared" si="246"/>
        <v>2025</v>
      </c>
      <c r="I3088">
        <f t="shared" si="247"/>
        <v>3</v>
      </c>
      <c r="J3088">
        <f t="shared" si="243"/>
        <v>-450.18</v>
      </c>
    </row>
    <row r="3089" spans="1:10" ht="12.5" x14ac:dyDescent="0.25">
      <c r="A3089" s="1">
        <v>45720</v>
      </c>
      <c r="B3089" s="2" t="s">
        <v>9</v>
      </c>
      <c r="C3089" s="3">
        <v>8.99</v>
      </c>
      <c r="D3089" s="3">
        <v>0</v>
      </c>
      <c r="E3089" s="2">
        <f>C3089*D3089</f>
        <v>0</v>
      </c>
      <c r="F3089" t="str">
        <f t="shared" si="244"/>
        <v>cogs</v>
      </c>
      <c r="G3089" s="7" t="str">
        <f t="shared" si="245"/>
        <v>product 3</v>
      </c>
      <c r="H3089">
        <f t="shared" si="246"/>
        <v>2025</v>
      </c>
      <c r="I3089">
        <f t="shared" si="247"/>
        <v>3</v>
      </c>
      <c r="J3089">
        <f t="shared" si="243"/>
        <v>0</v>
      </c>
    </row>
    <row r="3090" spans="1:10" ht="12.5" x14ac:dyDescent="0.25">
      <c r="A3090" s="1">
        <v>45720</v>
      </c>
      <c r="B3090" s="2" t="s">
        <v>10</v>
      </c>
      <c r="C3090" s="2" t="s">
        <v>6</v>
      </c>
      <c r="D3090" s="2" t="s">
        <v>6</v>
      </c>
      <c r="E3090" s="3">
        <v>114.07000000000001</v>
      </c>
      <c r="F3090" t="str">
        <f t="shared" si="244"/>
        <v>marketing</v>
      </c>
      <c r="G3090" s="7" t="s">
        <v>6</v>
      </c>
      <c r="H3090">
        <f t="shared" si="246"/>
        <v>2025</v>
      </c>
      <c r="I3090">
        <f t="shared" si="247"/>
        <v>3</v>
      </c>
      <c r="J3090">
        <f t="shared" si="243"/>
        <v>-1303.55</v>
      </c>
    </row>
    <row r="3091" spans="1:10" ht="12.5" x14ac:dyDescent="0.25">
      <c r="A3091" s="1">
        <v>45720</v>
      </c>
      <c r="B3091" s="2" t="s">
        <v>11</v>
      </c>
      <c r="C3091" s="3">
        <v>9.99</v>
      </c>
      <c r="D3091" s="3">
        <v>3</v>
      </c>
      <c r="E3091" s="3">
        <v>29.97</v>
      </c>
      <c r="F3091" t="str">
        <f t="shared" si="244"/>
        <v>net sales</v>
      </c>
      <c r="G3091" s="7" t="str">
        <f t="shared" si="245"/>
        <v>product 1</v>
      </c>
      <c r="H3091">
        <f t="shared" si="246"/>
        <v>2025</v>
      </c>
      <c r="I3091">
        <f t="shared" si="247"/>
        <v>3</v>
      </c>
      <c r="J3091">
        <f t="shared" si="243"/>
        <v>-102.07000000000001</v>
      </c>
    </row>
    <row r="3092" spans="1:10" ht="12.5" x14ac:dyDescent="0.25">
      <c r="A3092" s="1">
        <v>45720</v>
      </c>
      <c r="B3092" s="2" t="s">
        <v>12</v>
      </c>
      <c r="C3092" s="3">
        <v>24.99</v>
      </c>
      <c r="D3092" s="3">
        <v>3</v>
      </c>
      <c r="E3092" s="3">
        <v>74.97</v>
      </c>
      <c r="F3092" t="str">
        <f t="shared" si="244"/>
        <v>net sales</v>
      </c>
      <c r="G3092" s="7" t="str">
        <f t="shared" si="245"/>
        <v>product 2</v>
      </c>
      <c r="H3092">
        <f t="shared" si="246"/>
        <v>2025</v>
      </c>
      <c r="I3092">
        <f t="shared" si="247"/>
        <v>3</v>
      </c>
      <c r="J3092">
        <f t="shared" si="243"/>
        <v>819.18000000000006</v>
      </c>
    </row>
    <row r="3093" spans="1:10" ht="12.5" x14ac:dyDescent="0.25">
      <c r="A3093" s="1">
        <v>45720</v>
      </c>
      <c r="B3093" s="2" t="s">
        <v>13</v>
      </c>
      <c r="C3093" s="3">
        <v>12.49</v>
      </c>
      <c r="D3093" s="3">
        <v>0</v>
      </c>
      <c r="E3093" s="2">
        <f>C3093*D3093</f>
        <v>0</v>
      </c>
      <c r="F3093" t="str">
        <f t="shared" si="244"/>
        <v>net sales</v>
      </c>
      <c r="G3093" s="7" t="str">
        <f t="shared" si="245"/>
        <v>product 3</v>
      </c>
      <c r="H3093">
        <f t="shared" si="246"/>
        <v>2025</v>
      </c>
      <c r="I3093">
        <f t="shared" si="247"/>
        <v>3</v>
      </c>
      <c r="J3093">
        <f t="shared" si="243"/>
        <v>0</v>
      </c>
    </row>
    <row r="3094" spans="1:10" ht="12.5" x14ac:dyDescent="0.25">
      <c r="A3094" s="1">
        <v>45721</v>
      </c>
      <c r="B3094" s="2" t="s">
        <v>7</v>
      </c>
      <c r="C3094" s="3">
        <v>5.49</v>
      </c>
      <c r="D3094" s="3">
        <v>46</v>
      </c>
      <c r="E3094" s="3">
        <v>252.54000000000002</v>
      </c>
      <c r="F3094" t="str">
        <f t="shared" si="244"/>
        <v>cogs</v>
      </c>
      <c r="G3094" s="7" t="str">
        <f t="shared" si="245"/>
        <v>product 1</v>
      </c>
      <c r="H3094">
        <f t="shared" si="246"/>
        <v>2025</v>
      </c>
      <c r="I3094">
        <f t="shared" si="247"/>
        <v>3</v>
      </c>
      <c r="J3094">
        <f t="shared" si="243"/>
        <v>1811.05</v>
      </c>
    </row>
    <row r="3095" spans="1:10" ht="12.5" x14ac:dyDescent="0.25">
      <c r="A3095" s="1">
        <v>45721</v>
      </c>
      <c r="B3095" s="2" t="s">
        <v>8</v>
      </c>
      <c r="C3095" s="3">
        <v>19.989999999999998</v>
      </c>
      <c r="D3095" s="3">
        <v>1</v>
      </c>
      <c r="E3095" s="3">
        <v>19.989999999999998</v>
      </c>
      <c r="F3095" t="str">
        <f t="shared" si="244"/>
        <v>cogs</v>
      </c>
      <c r="G3095" s="7" t="str">
        <f t="shared" si="245"/>
        <v>product 2</v>
      </c>
      <c r="H3095">
        <f t="shared" si="246"/>
        <v>2025</v>
      </c>
      <c r="I3095">
        <f t="shared" si="247"/>
        <v>3</v>
      </c>
      <c r="J3095">
        <f t="shared" si="243"/>
        <v>-208.62</v>
      </c>
    </row>
    <row r="3096" spans="1:10" ht="12.5" x14ac:dyDescent="0.25">
      <c r="A3096" s="1">
        <v>45721</v>
      </c>
      <c r="B3096" s="2" t="s">
        <v>9</v>
      </c>
      <c r="C3096" s="3">
        <v>8.99</v>
      </c>
      <c r="D3096" s="3">
        <v>226</v>
      </c>
      <c r="E3096" s="3">
        <v>2031.74</v>
      </c>
      <c r="F3096" t="str">
        <f t="shared" si="244"/>
        <v>cogs</v>
      </c>
      <c r="G3096" s="7" t="str">
        <f t="shared" si="245"/>
        <v>product 3</v>
      </c>
      <c r="H3096">
        <f t="shared" si="246"/>
        <v>2025</v>
      </c>
      <c r="I3096">
        <f t="shared" si="247"/>
        <v>3</v>
      </c>
      <c r="J3096">
        <f t="shared" si="243"/>
        <v>0</v>
      </c>
    </row>
    <row r="3097" spans="1:10" ht="12.5" x14ac:dyDescent="0.25">
      <c r="A3097" s="1">
        <v>45721</v>
      </c>
      <c r="B3097" s="2" t="s">
        <v>10</v>
      </c>
      <c r="C3097" s="2" t="s">
        <v>6</v>
      </c>
      <c r="D3097" s="2" t="s">
        <v>6</v>
      </c>
      <c r="E3097" s="3">
        <v>101.95</v>
      </c>
      <c r="F3097" t="str">
        <f t="shared" si="244"/>
        <v>marketing</v>
      </c>
      <c r="G3097" s="7" t="s">
        <v>6</v>
      </c>
      <c r="H3097">
        <f t="shared" si="246"/>
        <v>2025</v>
      </c>
      <c r="I3097">
        <f t="shared" si="247"/>
        <v>3</v>
      </c>
      <c r="J3097">
        <f t="shared" si="243"/>
        <v>-854.05000000000007</v>
      </c>
    </row>
    <row r="3098" spans="1:10" ht="12.5" x14ac:dyDescent="0.25">
      <c r="A3098" s="1">
        <v>45721</v>
      </c>
      <c r="B3098" s="2" t="s">
        <v>11</v>
      </c>
      <c r="C3098" s="3">
        <v>9.99</v>
      </c>
      <c r="D3098" s="3">
        <v>46</v>
      </c>
      <c r="E3098" s="3">
        <v>459.54</v>
      </c>
      <c r="F3098" t="str">
        <f t="shared" si="244"/>
        <v>net sales</v>
      </c>
      <c r="G3098" s="7" t="str">
        <f t="shared" si="245"/>
        <v>product 1</v>
      </c>
      <c r="H3098">
        <f t="shared" si="246"/>
        <v>2025</v>
      </c>
      <c r="I3098">
        <f t="shared" si="247"/>
        <v>3</v>
      </c>
      <c r="J3098">
        <f t="shared" si="243"/>
        <v>-107.09</v>
      </c>
    </row>
    <row r="3099" spans="1:10" ht="12.5" x14ac:dyDescent="0.25">
      <c r="A3099" s="1">
        <v>45721</v>
      </c>
      <c r="B3099" s="2" t="s">
        <v>12</v>
      </c>
      <c r="C3099" s="3">
        <v>24.99</v>
      </c>
      <c r="D3099" s="3">
        <v>1</v>
      </c>
      <c r="E3099" s="3">
        <v>24.99</v>
      </c>
      <c r="F3099" t="str">
        <f t="shared" si="244"/>
        <v>net sales</v>
      </c>
      <c r="G3099" s="7" t="str">
        <f t="shared" si="245"/>
        <v>product 2</v>
      </c>
      <c r="H3099">
        <f t="shared" si="246"/>
        <v>2025</v>
      </c>
      <c r="I3099">
        <f t="shared" si="247"/>
        <v>3</v>
      </c>
      <c r="J3099">
        <f t="shared" si="243"/>
        <v>379.62</v>
      </c>
    </row>
    <row r="3100" spans="1:10" ht="12.5" x14ac:dyDescent="0.25">
      <c r="A3100" s="1">
        <v>45721</v>
      </c>
      <c r="B3100" s="2" t="s">
        <v>13</v>
      </c>
      <c r="C3100" s="3">
        <v>12.49</v>
      </c>
      <c r="D3100" s="3">
        <v>226</v>
      </c>
      <c r="E3100" s="3">
        <v>2822.7400000000002</v>
      </c>
      <c r="F3100" t="str">
        <f t="shared" si="244"/>
        <v>net sales</v>
      </c>
      <c r="G3100" s="7" t="str">
        <f t="shared" si="245"/>
        <v>product 3</v>
      </c>
      <c r="H3100">
        <f t="shared" si="246"/>
        <v>2025</v>
      </c>
      <c r="I3100">
        <f t="shared" si="247"/>
        <v>3</v>
      </c>
      <c r="J3100">
        <f t="shared" ref="J3100:J3163" si="248">IF(F2883="net sales",E2883,
IF(F2883="cogs",-E2883,
IF(OR(F2883="marketing",F2883="overhead",F2883="payroll",F2883="interest","amortization"),-E2883,0)))</f>
        <v>0</v>
      </c>
    </row>
    <row r="3101" spans="1:10" ht="12.5" x14ac:dyDescent="0.25">
      <c r="A3101" s="1">
        <v>45722</v>
      </c>
      <c r="B3101" s="2" t="s">
        <v>7</v>
      </c>
      <c r="C3101" s="3">
        <v>5.49</v>
      </c>
      <c r="D3101" s="3">
        <v>90</v>
      </c>
      <c r="E3101" s="3">
        <v>494.1</v>
      </c>
      <c r="F3101" t="str">
        <f t="shared" si="244"/>
        <v>cogs</v>
      </c>
      <c r="G3101" s="7" t="str">
        <f t="shared" si="245"/>
        <v>product 1</v>
      </c>
      <c r="H3101">
        <f t="shared" si="246"/>
        <v>2025</v>
      </c>
      <c r="I3101">
        <f t="shared" si="247"/>
        <v>3</v>
      </c>
      <c r="J3101">
        <f t="shared" si="248"/>
        <v>1186.55</v>
      </c>
    </row>
    <row r="3102" spans="1:10" ht="12.5" x14ac:dyDescent="0.25">
      <c r="A3102" s="1">
        <v>45722</v>
      </c>
      <c r="B3102" s="2" t="s">
        <v>8</v>
      </c>
      <c r="C3102" s="3">
        <v>19.989999999999998</v>
      </c>
      <c r="D3102" s="3">
        <v>1</v>
      </c>
      <c r="E3102" s="3">
        <v>19.989999999999998</v>
      </c>
      <c r="F3102" t="str">
        <f t="shared" si="244"/>
        <v>cogs</v>
      </c>
      <c r="G3102" s="7" t="str">
        <f t="shared" si="245"/>
        <v>product 2</v>
      </c>
      <c r="H3102">
        <f t="shared" si="246"/>
        <v>2025</v>
      </c>
      <c r="I3102">
        <f t="shared" si="247"/>
        <v>3</v>
      </c>
      <c r="J3102">
        <f t="shared" si="248"/>
        <v>-65.88</v>
      </c>
    </row>
    <row r="3103" spans="1:10" ht="12.5" x14ac:dyDescent="0.25">
      <c r="A3103" s="1">
        <v>45722</v>
      </c>
      <c r="B3103" s="2" t="s">
        <v>9</v>
      </c>
      <c r="C3103" s="3">
        <v>8.99</v>
      </c>
      <c r="D3103" s="3">
        <v>2</v>
      </c>
      <c r="E3103" s="3">
        <v>17.98</v>
      </c>
      <c r="F3103" t="str">
        <f t="shared" si="244"/>
        <v>cogs</v>
      </c>
      <c r="G3103" s="7" t="str">
        <f t="shared" si="245"/>
        <v>product 3</v>
      </c>
      <c r="H3103">
        <f t="shared" si="246"/>
        <v>2025</v>
      </c>
      <c r="I3103">
        <f t="shared" si="247"/>
        <v>3</v>
      </c>
      <c r="J3103">
        <f t="shared" si="248"/>
        <v>-59.97</v>
      </c>
    </row>
    <row r="3104" spans="1:10" ht="12.5" x14ac:dyDescent="0.25">
      <c r="A3104" s="1">
        <v>45722</v>
      </c>
      <c r="B3104" s="2" t="s">
        <v>10</v>
      </c>
      <c r="C3104" s="2" t="s">
        <v>6</v>
      </c>
      <c r="D3104" s="2" t="s">
        <v>6</v>
      </c>
      <c r="E3104" s="3">
        <v>109.93</v>
      </c>
      <c r="F3104" t="str">
        <f t="shared" si="244"/>
        <v>marketing</v>
      </c>
      <c r="G3104" s="7" t="s">
        <v>6</v>
      </c>
      <c r="H3104">
        <f t="shared" si="246"/>
        <v>2025</v>
      </c>
      <c r="I3104">
        <f t="shared" si="247"/>
        <v>3</v>
      </c>
      <c r="J3104">
        <f t="shared" si="248"/>
        <v>-449.5</v>
      </c>
    </row>
    <row r="3105" spans="1:10" ht="12.5" x14ac:dyDescent="0.25">
      <c r="A3105" s="1">
        <v>45722</v>
      </c>
      <c r="B3105" s="2" t="s">
        <v>11</v>
      </c>
      <c r="C3105" s="3">
        <v>9.99</v>
      </c>
      <c r="D3105" s="3">
        <v>90</v>
      </c>
      <c r="E3105" s="3">
        <v>899.1</v>
      </c>
      <c r="F3105" t="str">
        <f t="shared" si="244"/>
        <v>net sales</v>
      </c>
      <c r="G3105" s="7" t="str">
        <f t="shared" si="245"/>
        <v>product 1</v>
      </c>
      <c r="H3105">
        <f t="shared" si="246"/>
        <v>2025</v>
      </c>
      <c r="I3105">
        <f t="shared" si="247"/>
        <v>3</v>
      </c>
      <c r="J3105">
        <f t="shared" si="248"/>
        <v>-113.92</v>
      </c>
    </row>
    <row r="3106" spans="1:10" ht="12.5" x14ac:dyDescent="0.25">
      <c r="A3106" s="1">
        <v>45722</v>
      </c>
      <c r="B3106" s="2" t="s">
        <v>12</v>
      </c>
      <c r="C3106" s="3">
        <v>24.99</v>
      </c>
      <c r="D3106" s="3">
        <v>1</v>
      </c>
      <c r="E3106" s="3">
        <v>24.99</v>
      </c>
      <c r="F3106" t="str">
        <f t="shared" si="244"/>
        <v>net sales</v>
      </c>
      <c r="G3106" s="7" t="str">
        <f t="shared" si="245"/>
        <v>product 2</v>
      </c>
      <c r="H3106">
        <f t="shared" si="246"/>
        <v>2025</v>
      </c>
      <c r="I3106">
        <f t="shared" si="247"/>
        <v>3</v>
      </c>
      <c r="J3106">
        <f t="shared" si="248"/>
        <v>119.88</v>
      </c>
    </row>
    <row r="3107" spans="1:10" ht="12.5" x14ac:dyDescent="0.25">
      <c r="A3107" s="1">
        <v>45722</v>
      </c>
      <c r="B3107" s="2" t="s">
        <v>13</v>
      </c>
      <c r="C3107" s="3">
        <v>12.49</v>
      </c>
      <c r="D3107" s="3">
        <v>2</v>
      </c>
      <c r="E3107" s="3">
        <v>24.98</v>
      </c>
      <c r="F3107" t="str">
        <f t="shared" si="244"/>
        <v>net sales</v>
      </c>
      <c r="G3107" s="7" t="str">
        <f t="shared" si="245"/>
        <v>product 3</v>
      </c>
      <c r="H3107">
        <f t="shared" si="246"/>
        <v>2025</v>
      </c>
      <c r="I3107">
        <f t="shared" si="247"/>
        <v>3</v>
      </c>
      <c r="J3107">
        <f t="shared" si="248"/>
        <v>74.97</v>
      </c>
    </row>
    <row r="3108" spans="1:10" ht="12.5" x14ac:dyDescent="0.25">
      <c r="A3108" s="1">
        <v>45723</v>
      </c>
      <c r="B3108" s="2" t="s">
        <v>7</v>
      </c>
      <c r="C3108" s="3">
        <v>5.49</v>
      </c>
      <c r="D3108" s="3">
        <v>49</v>
      </c>
      <c r="E3108" s="3">
        <v>269.01</v>
      </c>
      <c r="F3108" t="str">
        <f t="shared" si="244"/>
        <v>cogs</v>
      </c>
      <c r="G3108" s="7" t="str">
        <f t="shared" si="245"/>
        <v>product 1</v>
      </c>
      <c r="H3108">
        <f t="shared" si="246"/>
        <v>2025</v>
      </c>
      <c r="I3108">
        <f t="shared" si="247"/>
        <v>3</v>
      </c>
      <c r="J3108">
        <f t="shared" si="248"/>
        <v>624.5</v>
      </c>
    </row>
    <row r="3109" spans="1:10" ht="12.5" x14ac:dyDescent="0.25">
      <c r="A3109" s="1">
        <v>45723</v>
      </c>
      <c r="B3109" s="2" t="s">
        <v>8</v>
      </c>
      <c r="C3109" s="3">
        <v>19.989999999999998</v>
      </c>
      <c r="D3109" s="3">
        <v>5</v>
      </c>
      <c r="E3109" s="3">
        <v>99.949999999999989</v>
      </c>
      <c r="F3109" t="str">
        <f t="shared" si="244"/>
        <v>cogs</v>
      </c>
      <c r="G3109" s="7" t="str">
        <f t="shared" si="245"/>
        <v>product 2</v>
      </c>
      <c r="H3109">
        <f t="shared" si="246"/>
        <v>2025</v>
      </c>
      <c r="I3109">
        <f t="shared" si="247"/>
        <v>3</v>
      </c>
      <c r="J3109">
        <f t="shared" si="248"/>
        <v>-301.95</v>
      </c>
    </row>
    <row r="3110" spans="1:10" ht="12.5" x14ac:dyDescent="0.25">
      <c r="A3110" s="1">
        <v>45723</v>
      </c>
      <c r="B3110" s="2" t="s">
        <v>9</v>
      </c>
      <c r="C3110" s="3">
        <v>8.99</v>
      </c>
      <c r="D3110" s="3">
        <v>44</v>
      </c>
      <c r="E3110" s="3">
        <v>395.56</v>
      </c>
      <c r="F3110" t="str">
        <f t="shared" si="244"/>
        <v>cogs</v>
      </c>
      <c r="G3110" s="7" t="str">
        <f t="shared" si="245"/>
        <v>product 3</v>
      </c>
      <c r="H3110">
        <f t="shared" si="246"/>
        <v>2025</v>
      </c>
      <c r="I3110">
        <f t="shared" si="247"/>
        <v>3</v>
      </c>
      <c r="J3110">
        <f t="shared" si="248"/>
        <v>-119.94</v>
      </c>
    </row>
    <row r="3111" spans="1:10" ht="12.5" x14ac:dyDescent="0.25">
      <c r="A3111" s="1">
        <v>45723</v>
      </c>
      <c r="B3111" s="2" t="s">
        <v>10</v>
      </c>
      <c r="C3111" s="2" t="s">
        <v>6</v>
      </c>
      <c r="D3111" s="2" t="s">
        <v>6</v>
      </c>
      <c r="E3111" s="3">
        <v>102.91</v>
      </c>
      <c r="F3111" t="str">
        <f t="shared" si="244"/>
        <v>marketing</v>
      </c>
      <c r="G3111" s="7" t="s">
        <v>6</v>
      </c>
      <c r="H3111">
        <f t="shared" si="246"/>
        <v>2025</v>
      </c>
      <c r="I3111">
        <f t="shared" si="247"/>
        <v>3</v>
      </c>
      <c r="J3111">
        <f t="shared" si="248"/>
        <v>-17.98</v>
      </c>
    </row>
    <row r="3112" spans="1:10" ht="12.5" x14ac:dyDescent="0.25">
      <c r="A3112" s="1">
        <v>45723</v>
      </c>
      <c r="B3112" s="2" t="s">
        <v>11</v>
      </c>
      <c r="C3112" s="3">
        <v>9.99</v>
      </c>
      <c r="D3112" s="3">
        <v>49</v>
      </c>
      <c r="E3112" s="3">
        <v>489.51</v>
      </c>
      <c r="F3112" t="str">
        <f t="shared" si="244"/>
        <v>net sales</v>
      </c>
      <c r="G3112" s="7" t="str">
        <f t="shared" si="245"/>
        <v>product 1</v>
      </c>
      <c r="H3112">
        <f t="shared" si="246"/>
        <v>2025</v>
      </c>
      <c r="I3112">
        <f t="shared" si="247"/>
        <v>3</v>
      </c>
      <c r="J3112">
        <f t="shared" si="248"/>
        <v>-104.04</v>
      </c>
    </row>
    <row r="3113" spans="1:10" ht="12.5" x14ac:dyDescent="0.25">
      <c r="A3113" s="1">
        <v>45723</v>
      </c>
      <c r="B3113" s="2" t="s">
        <v>12</v>
      </c>
      <c r="C3113" s="3">
        <v>24.99</v>
      </c>
      <c r="D3113" s="3">
        <v>5</v>
      </c>
      <c r="E3113" s="3">
        <v>124.94999999999999</v>
      </c>
      <c r="F3113" t="str">
        <f t="shared" si="244"/>
        <v>net sales</v>
      </c>
      <c r="G3113" s="7" t="str">
        <f t="shared" si="245"/>
        <v>product 2</v>
      </c>
      <c r="H3113">
        <f t="shared" si="246"/>
        <v>2025</v>
      </c>
      <c r="I3113">
        <f t="shared" si="247"/>
        <v>3</v>
      </c>
      <c r="J3113">
        <f t="shared" si="248"/>
        <v>549.45000000000005</v>
      </c>
    </row>
    <row r="3114" spans="1:10" ht="12.5" x14ac:dyDescent="0.25">
      <c r="A3114" s="1">
        <v>45723</v>
      </c>
      <c r="B3114" s="2" t="s">
        <v>13</v>
      </c>
      <c r="C3114" s="3">
        <v>12.49</v>
      </c>
      <c r="D3114" s="3">
        <v>44</v>
      </c>
      <c r="E3114" s="3">
        <v>549.56000000000006</v>
      </c>
      <c r="F3114" t="str">
        <f t="shared" si="244"/>
        <v>net sales</v>
      </c>
      <c r="G3114" s="7" t="str">
        <f t="shared" si="245"/>
        <v>product 3</v>
      </c>
      <c r="H3114">
        <f t="shared" si="246"/>
        <v>2025</v>
      </c>
      <c r="I3114">
        <f t="shared" si="247"/>
        <v>3</v>
      </c>
      <c r="J3114">
        <f t="shared" si="248"/>
        <v>149.94</v>
      </c>
    </row>
    <row r="3115" spans="1:10" ht="12.5" x14ac:dyDescent="0.25">
      <c r="A3115" s="1">
        <v>45724</v>
      </c>
      <c r="B3115" s="2" t="s">
        <v>7</v>
      </c>
      <c r="C3115" s="3">
        <v>5.49</v>
      </c>
      <c r="D3115" s="3">
        <v>26</v>
      </c>
      <c r="E3115" s="3">
        <v>142.74</v>
      </c>
      <c r="F3115" t="str">
        <f t="shared" si="244"/>
        <v>cogs</v>
      </c>
      <c r="G3115" s="7" t="str">
        <f t="shared" si="245"/>
        <v>product 1</v>
      </c>
      <c r="H3115">
        <f t="shared" si="246"/>
        <v>2025</v>
      </c>
      <c r="I3115">
        <f t="shared" si="247"/>
        <v>3</v>
      </c>
      <c r="J3115">
        <f t="shared" si="248"/>
        <v>24.98</v>
      </c>
    </row>
    <row r="3116" spans="1:10" ht="12.5" x14ac:dyDescent="0.25">
      <c r="A3116" s="1">
        <v>45724</v>
      </c>
      <c r="B3116" s="2" t="s">
        <v>8</v>
      </c>
      <c r="C3116" s="3">
        <v>19.989999999999998</v>
      </c>
      <c r="D3116" s="3">
        <v>2</v>
      </c>
      <c r="E3116" s="3">
        <v>39.979999999999997</v>
      </c>
      <c r="F3116" t="str">
        <f t="shared" si="244"/>
        <v>cogs</v>
      </c>
      <c r="G3116" s="7" t="str">
        <f t="shared" si="245"/>
        <v>product 2</v>
      </c>
      <c r="H3116">
        <f t="shared" si="246"/>
        <v>2025</v>
      </c>
      <c r="I3116">
        <f t="shared" si="247"/>
        <v>3</v>
      </c>
      <c r="J3116">
        <f t="shared" si="248"/>
        <v>-208.62</v>
      </c>
    </row>
    <row r="3117" spans="1:10" ht="12.5" x14ac:dyDescent="0.25">
      <c r="A3117" s="1">
        <v>45724</v>
      </c>
      <c r="B3117" s="2" t="s">
        <v>9</v>
      </c>
      <c r="C3117" s="3">
        <v>8.99</v>
      </c>
      <c r="D3117" s="3">
        <v>107</v>
      </c>
      <c r="E3117" s="3">
        <v>961.93000000000006</v>
      </c>
      <c r="F3117" t="str">
        <f t="shared" si="244"/>
        <v>cogs</v>
      </c>
      <c r="G3117" s="7" t="str">
        <f t="shared" si="245"/>
        <v>product 3</v>
      </c>
      <c r="H3117">
        <f t="shared" si="246"/>
        <v>2025</v>
      </c>
      <c r="I3117">
        <f t="shared" si="247"/>
        <v>3</v>
      </c>
      <c r="J3117">
        <f t="shared" si="248"/>
        <v>-159.91999999999999</v>
      </c>
    </row>
    <row r="3118" spans="1:10" ht="12.5" x14ac:dyDescent="0.25">
      <c r="A3118" s="1">
        <v>45724</v>
      </c>
      <c r="B3118" s="2" t="s">
        <v>10</v>
      </c>
      <c r="C3118" s="2" t="s">
        <v>6</v>
      </c>
      <c r="D3118" s="2" t="s">
        <v>6</v>
      </c>
      <c r="E3118" s="3">
        <v>103.08</v>
      </c>
      <c r="F3118" t="str">
        <f t="shared" si="244"/>
        <v>marketing</v>
      </c>
      <c r="G3118" s="7" t="s">
        <v>6</v>
      </c>
      <c r="H3118">
        <f t="shared" si="246"/>
        <v>2025</v>
      </c>
      <c r="I3118">
        <f t="shared" si="247"/>
        <v>3</v>
      </c>
      <c r="J3118">
        <f t="shared" si="248"/>
        <v>-1833.96</v>
      </c>
    </row>
    <row r="3119" spans="1:10" ht="12.5" x14ac:dyDescent="0.25">
      <c r="A3119" s="1">
        <v>45724</v>
      </c>
      <c r="B3119" s="2" t="s">
        <v>11</v>
      </c>
      <c r="C3119" s="3">
        <v>9.99</v>
      </c>
      <c r="D3119" s="3">
        <v>26</v>
      </c>
      <c r="E3119" s="3">
        <v>259.74</v>
      </c>
      <c r="F3119" t="str">
        <f t="shared" si="244"/>
        <v>net sales</v>
      </c>
      <c r="G3119" s="7" t="str">
        <f t="shared" si="245"/>
        <v>product 1</v>
      </c>
      <c r="H3119">
        <f t="shared" si="246"/>
        <v>2025</v>
      </c>
      <c r="I3119">
        <f t="shared" si="247"/>
        <v>3</v>
      </c>
      <c r="J3119">
        <f t="shared" si="248"/>
        <v>-111.9</v>
      </c>
    </row>
    <row r="3120" spans="1:10" ht="12.5" x14ac:dyDescent="0.25">
      <c r="A3120" s="1">
        <v>45724</v>
      </c>
      <c r="B3120" s="2" t="s">
        <v>12</v>
      </c>
      <c r="C3120" s="3">
        <v>24.99</v>
      </c>
      <c r="D3120" s="3">
        <v>2</v>
      </c>
      <c r="E3120" s="3">
        <v>49.98</v>
      </c>
      <c r="F3120" t="str">
        <f t="shared" si="244"/>
        <v>net sales</v>
      </c>
      <c r="G3120" s="7" t="str">
        <f t="shared" si="245"/>
        <v>product 2</v>
      </c>
      <c r="H3120">
        <f t="shared" si="246"/>
        <v>2025</v>
      </c>
      <c r="I3120">
        <f t="shared" si="247"/>
        <v>3</v>
      </c>
      <c r="J3120">
        <f t="shared" si="248"/>
        <v>379.62</v>
      </c>
    </row>
    <row r="3121" spans="1:10" ht="12.5" x14ac:dyDescent="0.25">
      <c r="A3121" s="1">
        <v>45724</v>
      </c>
      <c r="B3121" s="2" t="s">
        <v>13</v>
      </c>
      <c r="C3121" s="3">
        <v>12.49</v>
      </c>
      <c r="D3121" s="3">
        <v>107</v>
      </c>
      <c r="E3121" s="3">
        <v>1336.43</v>
      </c>
      <c r="F3121" t="str">
        <f t="shared" si="244"/>
        <v>net sales</v>
      </c>
      <c r="G3121" s="7" t="str">
        <f t="shared" si="245"/>
        <v>product 3</v>
      </c>
      <c r="H3121">
        <f t="shared" si="246"/>
        <v>2025</v>
      </c>
      <c r="I3121">
        <f t="shared" si="247"/>
        <v>3</v>
      </c>
      <c r="J3121">
        <f t="shared" si="248"/>
        <v>199.92</v>
      </c>
    </row>
    <row r="3122" spans="1:10" ht="12.5" x14ac:dyDescent="0.25">
      <c r="A3122" s="1">
        <v>45725</v>
      </c>
      <c r="B3122" s="2" t="s">
        <v>7</v>
      </c>
      <c r="C3122" s="3">
        <v>5.49</v>
      </c>
      <c r="D3122" s="3">
        <v>73</v>
      </c>
      <c r="E3122" s="3">
        <v>400.77000000000004</v>
      </c>
      <c r="F3122" t="str">
        <f t="shared" si="244"/>
        <v>cogs</v>
      </c>
      <c r="G3122" s="7" t="str">
        <f t="shared" si="245"/>
        <v>product 1</v>
      </c>
      <c r="H3122">
        <f t="shared" si="246"/>
        <v>2025</v>
      </c>
      <c r="I3122">
        <f t="shared" si="247"/>
        <v>3</v>
      </c>
      <c r="J3122">
        <f t="shared" si="248"/>
        <v>2547.96</v>
      </c>
    </row>
    <row r="3123" spans="1:10" ht="12.5" x14ac:dyDescent="0.25">
      <c r="A3123" s="1">
        <v>45725</v>
      </c>
      <c r="B3123" s="2" t="s">
        <v>8</v>
      </c>
      <c r="C3123" s="3">
        <v>19.989999999999998</v>
      </c>
      <c r="D3123" s="3">
        <v>0</v>
      </c>
      <c r="E3123" s="2">
        <f>C3123*D3123</f>
        <v>0</v>
      </c>
      <c r="F3123" t="str">
        <f t="shared" si="244"/>
        <v>cogs</v>
      </c>
      <c r="G3123" s="7" t="str">
        <f t="shared" si="245"/>
        <v>product 2</v>
      </c>
      <c r="H3123">
        <f t="shared" si="246"/>
        <v>2025</v>
      </c>
      <c r="I3123">
        <f t="shared" si="247"/>
        <v>3</v>
      </c>
      <c r="J3123">
        <f t="shared" si="248"/>
        <v>-43.92</v>
      </c>
    </row>
    <row r="3124" spans="1:10" ht="12.5" x14ac:dyDescent="0.25">
      <c r="A3124" s="1">
        <v>45725</v>
      </c>
      <c r="B3124" s="2" t="s">
        <v>9</v>
      </c>
      <c r="C3124" s="3">
        <v>8.99</v>
      </c>
      <c r="D3124" s="3">
        <v>74</v>
      </c>
      <c r="E3124" s="3">
        <v>665.26</v>
      </c>
      <c r="F3124" t="str">
        <f t="shared" si="244"/>
        <v>cogs</v>
      </c>
      <c r="G3124" s="7" t="str">
        <f t="shared" si="245"/>
        <v>product 3</v>
      </c>
      <c r="H3124">
        <f t="shared" si="246"/>
        <v>2025</v>
      </c>
      <c r="I3124">
        <f t="shared" si="247"/>
        <v>3</v>
      </c>
      <c r="J3124">
        <f t="shared" si="248"/>
        <v>-59.97</v>
      </c>
    </row>
    <row r="3125" spans="1:10" ht="12.5" x14ac:dyDescent="0.25">
      <c r="A3125" s="1">
        <v>45725</v>
      </c>
      <c r="B3125" s="2" t="s">
        <v>10</v>
      </c>
      <c r="C3125" s="2" t="s">
        <v>6</v>
      </c>
      <c r="D3125" s="2" t="s">
        <v>6</v>
      </c>
      <c r="E3125" s="3">
        <v>112.08</v>
      </c>
      <c r="F3125" t="str">
        <f t="shared" si="244"/>
        <v>marketing</v>
      </c>
      <c r="G3125" s="7" t="s">
        <v>6</v>
      </c>
      <c r="H3125">
        <f t="shared" si="246"/>
        <v>2025</v>
      </c>
      <c r="I3125">
        <f t="shared" si="247"/>
        <v>3</v>
      </c>
      <c r="J3125">
        <f t="shared" si="248"/>
        <v>-503.44</v>
      </c>
    </row>
    <row r="3126" spans="1:10" ht="12.5" x14ac:dyDescent="0.25">
      <c r="A3126" s="1">
        <v>45725</v>
      </c>
      <c r="B3126" s="2" t="s">
        <v>11</v>
      </c>
      <c r="C3126" s="3">
        <v>9.99</v>
      </c>
      <c r="D3126" s="3">
        <v>73</v>
      </c>
      <c r="E3126" s="3">
        <v>729.27</v>
      </c>
      <c r="F3126" t="str">
        <f t="shared" si="244"/>
        <v>net sales</v>
      </c>
      <c r="G3126" s="7" t="str">
        <f t="shared" si="245"/>
        <v>product 1</v>
      </c>
      <c r="H3126">
        <f t="shared" si="246"/>
        <v>2025</v>
      </c>
      <c r="I3126">
        <f t="shared" si="247"/>
        <v>3</v>
      </c>
      <c r="J3126">
        <f t="shared" si="248"/>
        <v>-100.9</v>
      </c>
    </row>
    <row r="3127" spans="1:10" ht="12.5" x14ac:dyDescent="0.25">
      <c r="A3127" s="1">
        <v>45725</v>
      </c>
      <c r="B3127" s="2" t="s">
        <v>12</v>
      </c>
      <c r="C3127" s="3">
        <v>24.99</v>
      </c>
      <c r="D3127" s="3">
        <v>0</v>
      </c>
      <c r="E3127" s="2">
        <f>C3127*D3127</f>
        <v>0</v>
      </c>
      <c r="F3127" t="str">
        <f t="shared" si="244"/>
        <v>net sales</v>
      </c>
      <c r="G3127" s="7" t="str">
        <f t="shared" si="245"/>
        <v>product 2</v>
      </c>
      <c r="H3127">
        <f t="shared" si="246"/>
        <v>2025</v>
      </c>
      <c r="I3127">
        <f t="shared" si="247"/>
        <v>3</v>
      </c>
      <c r="J3127">
        <f t="shared" si="248"/>
        <v>79.92</v>
      </c>
    </row>
    <row r="3128" spans="1:10" ht="12.5" x14ac:dyDescent="0.25">
      <c r="A3128" s="1">
        <v>45725</v>
      </c>
      <c r="B3128" s="2" t="s">
        <v>13</v>
      </c>
      <c r="C3128" s="3">
        <v>12.49</v>
      </c>
      <c r="D3128" s="3">
        <v>74</v>
      </c>
      <c r="E3128" s="3">
        <v>924.26</v>
      </c>
      <c r="F3128" t="str">
        <f t="shared" si="244"/>
        <v>net sales</v>
      </c>
      <c r="G3128" s="7" t="str">
        <f t="shared" si="245"/>
        <v>product 3</v>
      </c>
      <c r="H3128">
        <f t="shared" si="246"/>
        <v>2025</v>
      </c>
      <c r="I3128">
        <f t="shared" si="247"/>
        <v>3</v>
      </c>
      <c r="J3128">
        <f t="shared" si="248"/>
        <v>74.97</v>
      </c>
    </row>
    <row r="3129" spans="1:10" ht="12.5" x14ac:dyDescent="0.25">
      <c r="A3129" s="1">
        <v>45726</v>
      </c>
      <c r="B3129" s="2" t="s">
        <v>7</v>
      </c>
      <c r="C3129" s="3">
        <v>5.49</v>
      </c>
      <c r="D3129" s="3">
        <v>72</v>
      </c>
      <c r="E3129" s="3">
        <v>395.28000000000003</v>
      </c>
      <c r="F3129" t="str">
        <f t="shared" si="244"/>
        <v>cogs</v>
      </c>
      <c r="G3129" s="7" t="str">
        <f t="shared" si="245"/>
        <v>product 1</v>
      </c>
      <c r="H3129">
        <f t="shared" si="246"/>
        <v>2025</v>
      </c>
      <c r="I3129">
        <f t="shared" si="247"/>
        <v>3</v>
      </c>
      <c r="J3129">
        <f t="shared" si="248"/>
        <v>699.44</v>
      </c>
    </row>
    <row r="3130" spans="1:10" ht="12.5" x14ac:dyDescent="0.25">
      <c r="A3130" s="1">
        <v>45726</v>
      </c>
      <c r="B3130" s="2" t="s">
        <v>8</v>
      </c>
      <c r="C3130" s="3">
        <v>19.989999999999998</v>
      </c>
      <c r="D3130" s="3">
        <v>3</v>
      </c>
      <c r="E3130" s="3">
        <v>59.97</v>
      </c>
      <c r="F3130" t="str">
        <f t="shared" si="244"/>
        <v>cogs</v>
      </c>
      <c r="G3130" s="7" t="str">
        <f t="shared" si="245"/>
        <v>product 2</v>
      </c>
      <c r="H3130">
        <f t="shared" si="246"/>
        <v>2025</v>
      </c>
      <c r="I3130">
        <f t="shared" si="247"/>
        <v>3</v>
      </c>
      <c r="J3130">
        <f t="shared" si="248"/>
        <v>-27.450000000000003</v>
      </c>
    </row>
    <row r="3131" spans="1:10" ht="12.5" x14ac:dyDescent="0.25">
      <c r="A3131" s="1">
        <v>45726</v>
      </c>
      <c r="B3131" s="2" t="s">
        <v>9</v>
      </c>
      <c r="C3131" s="3">
        <v>8.99</v>
      </c>
      <c r="D3131" s="3">
        <v>99</v>
      </c>
      <c r="E3131" s="3">
        <v>890.01</v>
      </c>
      <c r="F3131" t="str">
        <f t="shared" si="244"/>
        <v>cogs</v>
      </c>
      <c r="G3131" s="7" t="str">
        <f t="shared" si="245"/>
        <v>product 3</v>
      </c>
      <c r="H3131">
        <f t="shared" si="246"/>
        <v>2025</v>
      </c>
      <c r="I3131">
        <f t="shared" si="247"/>
        <v>3</v>
      </c>
      <c r="J3131">
        <f t="shared" si="248"/>
        <v>-159.91999999999999</v>
      </c>
    </row>
    <row r="3132" spans="1:10" ht="12.5" x14ac:dyDescent="0.25">
      <c r="A3132" s="1">
        <v>45726</v>
      </c>
      <c r="B3132" s="2" t="s">
        <v>10</v>
      </c>
      <c r="C3132" s="2" t="s">
        <v>6</v>
      </c>
      <c r="D3132" s="2" t="s">
        <v>6</v>
      </c>
      <c r="E3132" s="3">
        <v>120.05</v>
      </c>
      <c r="F3132" t="str">
        <f t="shared" si="244"/>
        <v>marketing</v>
      </c>
      <c r="G3132" s="7" t="s">
        <v>6</v>
      </c>
      <c r="H3132">
        <f t="shared" si="246"/>
        <v>2025</v>
      </c>
      <c r="I3132">
        <f t="shared" si="247"/>
        <v>3</v>
      </c>
      <c r="J3132">
        <f t="shared" si="248"/>
        <v>-1519.31</v>
      </c>
    </row>
    <row r="3133" spans="1:10" ht="12.5" x14ac:dyDescent="0.25">
      <c r="A3133" s="1">
        <v>45726</v>
      </c>
      <c r="B3133" s="2" t="s">
        <v>11</v>
      </c>
      <c r="C3133" s="3">
        <v>9.99</v>
      </c>
      <c r="D3133" s="3">
        <v>72</v>
      </c>
      <c r="E3133" s="3">
        <v>719.28</v>
      </c>
      <c r="F3133" t="str">
        <f t="shared" si="244"/>
        <v>net sales</v>
      </c>
      <c r="G3133" s="7" t="str">
        <f t="shared" si="245"/>
        <v>product 1</v>
      </c>
      <c r="H3133">
        <f t="shared" si="246"/>
        <v>2025</v>
      </c>
      <c r="I3133">
        <f t="shared" si="247"/>
        <v>3</v>
      </c>
      <c r="J3133">
        <f t="shared" si="248"/>
        <v>-102.99000000000001</v>
      </c>
    </row>
    <row r="3134" spans="1:10" ht="12.5" x14ac:dyDescent="0.25">
      <c r="A3134" s="1">
        <v>45726</v>
      </c>
      <c r="B3134" s="2" t="s">
        <v>12</v>
      </c>
      <c r="C3134" s="3">
        <v>24.99</v>
      </c>
      <c r="D3134" s="3">
        <v>3</v>
      </c>
      <c r="E3134" s="3">
        <v>74.97</v>
      </c>
      <c r="F3134" t="str">
        <f t="shared" si="244"/>
        <v>net sales</v>
      </c>
      <c r="G3134" s="7" t="str">
        <f t="shared" si="245"/>
        <v>product 2</v>
      </c>
      <c r="H3134">
        <f t="shared" si="246"/>
        <v>2025</v>
      </c>
      <c r="I3134">
        <f t="shared" si="247"/>
        <v>3</v>
      </c>
      <c r="J3134">
        <f t="shared" si="248"/>
        <v>49.95</v>
      </c>
    </row>
    <row r="3135" spans="1:10" ht="12.5" x14ac:dyDescent="0.25">
      <c r="A3135" s="1">
        <v>45726</v>
      </c>
      <c r="B3135" s="2" t="s">
        <v>13</v>
      </c>
      <c r="C3135" s="3">
        <v>12.49</v>
      </c>
      <c r="D3135" s="3">
        <v>99</v>
      </c>
      <c r="E3135" s="3">
        <v>1236.51</v>
      </c>
      <c r="F3135" t="str">
        <f t="shared" si="244"/>
        <v>net sales</v>
      </c>
      <c r="G3135" s="7" t="str">
        <f t="shared" si="245"/>
        <v>product 3</v>
      </c>
      <c r="H3135">
        <f t="shared" si="246"/>
        <v>2025</v>
      </c>
      <c r="I3135">
        <f t="shared" si="247"/>
        <v>3</v>
      </c>
      <c r="J3135">
        <f t="shared" si="248"/>
        <v>199.92</v>
      </c>
    </row>
    <row r="3136" spans="1:10" ht="12.5" x14ac:dyDescent="0.25">
      <c r="A3136" s="1">
        <v>45727</v>
      </c>
      <c r="B3136" s="2" t="s">
        <v>7</v>
      </c>
      <c r="C3136" s="3">
        <v>5.49</v>
      </c>
      <c r="D3136" s="3">
        <v>21</v>
      </c>
      <c r="E3136" s="3">
        <v>115.29</v>
      </c>
      <c r="F3136" t="str">
        <f t="shared" si="244"/>
        <v>cogs</v>
      </c>
      <c r="G3136" s="7" t="str">
        <f t="shared" si="245"/>
        <v>product 1</v>
      </c>
      <c r="H3136">
        <f t="shared" si="246"/>
        <v>2025</v>
      </c>
      <c r="I3136">
        <f t="shared" si="247"/>
        <v>3</v>
      </c>
      <c r="J3136">
        <f t="shared" si="248"/>
        <v>2110.81</v>
      </c>
    </row>
    <row r="3137" spans="1:10" ht="12.5" x14ac:dyDescent="0.25">
      <c r="A3137" s="1">
        <v>45727</v>
      </c>
      <c r="B3137" s="2" t="s">
        <v>8</v>
      </c>
      <c r="C3137" s="3">
        <v>19.989999999999998</v>
      </c>
      <c r="D3137" s="3">
        <v>4</v>
      </c>
      <c r="E3137" s="3">
        <v>79.959999999999994</v>
      </c>
      <c r="F3137" t="str">
        <f t="shared" si="244"/>
        <v>cogs</v>
      </c>
      <c r="G3137" s="7" t="str">
        <f t="shared" si="245"/>
        <v>product 2</v>
      </c>
      <c r="H3137">
        <f t="shared" si="246"/>
        <v>2025</v>
      </c>
      <c r="I3137">
        <f t="shared" si="247"/>
        <v>3</v>
      </c>
      <c r="J3137">
        <f t="shared" si="248"/>
        <v>-450.18</v>
      </c>
    </row>
    <row r="3138" spans="1:10" ht="12.5" x14ac:dyDescent="0.25">
      <c r="A3138" s="1">
        <v>45727</v>
      </c>
      <c r="B3138" s="2" t="s">
        <v>9</v>
      </c>
      <c r="C3138" s="3">
        <v>8.99</v>
      </c>
      <c r="D3138" s="3">
        <v>95</v>
      </c>
      <c r="E3138" s="3">
        <v>854.05000000000007</v>
      </c>
      <c r="F3138" t="str">
        <f t="shared" si="244"/>
        <v>cogs</v>
      </c>
      <c r="G3138" s="7" t="str">
        <f t="shared" si="245"/>
        <v>product 3</v>
      </c>
      <c r="H3138">
        <f t="shared" si="246"/>
        <v>2025</v>
      </c>
      <c r="I3138">
        <f t="shared" si="247"/>
        <v>3</v>
      </c>
      <c r="J3138">
        <f t="shared" si="248"/>
        <v>-79.959999999999994</v>
      </c>
    </row>
    <row r="3139" spans="1:10" ht="12.5" x14ac:dyDescent="0.25">
      <c r="A3139" s="1">
        <v>45727</v>
      </c>
      <c r="B3139" s="2" t="s">
        <v>10</v>
      </c>
      <c r="C3139" s="2" t="s">
        <v>6</v>
      </c>
      <c r="D3139" s="2" t="s">
        <v>6</v>
      </c>
      <c r="E3139" s="3">
        <v>105.06</v>
      </c>
      <c r="F3139" t="str">
        <f t="shared" ref="F3139:F3202" si="249">IFERROR(LEFT(B3139,FIND(":",B3139)-1),B3139)</f>
        <v>marketing</v>
      </c>
      <c r="G3139" s="7" t="s">
        <v>6</v>
      </c>
      <c r="H3139">
        <f t="shared" ref="H3139:H3202" si="250">YEAR(A3139)</f>
        <v>2025</v>
      </c>
      <c r="I3139">
        <f t="shared" ref="I3139:I3202" si="251">MONTH(A3139)</f>
        <v>3</v>
      </c>
      <c r="J3139">
        <f t="shared" si="248"/>
        <v>-62.93</v>
      </c>
    </row>
    <row r="3140" spans="1:10" ht="12.5" x14ac:dyDescent="0.25">
      <c r="A3140" s="1">
        <v>45727</v>
      </c>
      <c r="B3140" s="2" t="s">
        <v>11</v>
      </c>
      <c r="C3140" s="3">
        <v>9.99</v>
      </c>
      <c r="D3140" s="3">
        <v>21</v>
      </c>
      <c r="E3140" s="3">
        <v>209.79</v>
      </c>
      <c r="F3140" t="str">
        <f t="shared" si="249"/>
        <v>net sales</v>
      </c>
      <c r="G3140" s="7" t="str">
        <f t="shared" ref="G3140:G3202" si="252">IFERROR(RIGHT(B3140,LEN(B3140)-FIND(":",B3140)),"")</f>
        <v>product 1</v>
      </c>
      <c r="H3140">
        <f t="shared" si="250"/>
        <v>2025</v>
      </c>
      <c r="I3140">
        <f t="shared" si="251"/>
        <v>3</v>
      </c>
      <c r="J3140">
        <f t="shared" si="248"/>
        <v>-115.94</v>
      </c>
    </row>
    <row r="3141" spans="1:10" ht="12.5" x14ac:dyDescent="0.25">
      <c r="A3141" s="1">
        <v>45727</v>
      </c>
      <c r="B3141" s="2" t="s">
        <v>12</v>
      </c>
      <c r="C3141" s="3">
        <v>24.99</v>
      </c>
      <c r="D3141" s="3">
        <v>4</v>
      </c>
      <c r="E3141" s="3">
        <v>99.96</v>
      </c>
      <c r="F3141" t="str">
        <f t="shared" si="249"/>
        <v>net sales</v>
      </c>
      <c r="G3141" s="7" t="str">
        <f t="shared" si="252"/>
        <v>product 2</v>
      </c>
      <c r="H3141">
        <f t="shared" si="250"/>
        <v>2025</v>
      </c>
      <c r="I3141">
        <f t="shared" si="251"/>
        <v>3</v>
      </c>
      <c r="J3141">
        <f t="shared" si="248"/>
        <v>819.18000000000006</v>
      </c>
    </row>
    <row r="3142" spans="1:10" ht="12.5" x14ac:dyDescent="0.25">
      <c r="A3142" s="1">
        <v>45727</v>
      </c>
      <c r="B3142" s="2" t="s">
        <v>13</v>
      </c>
      <c r="C3142" s="3">
        <v>12.49</v>
      </c>
      <c r="D3142" s="3">
        <v>95</v>
      </c>
      <c r="E3142" s="3">
        <v>1186.55</v>
      </c>
      <c r="F3142" t="str">
        <f t="shared" si="249"/>
        <v>net sales</v>
      </c>
      <c r="G3142" s="7" t="str">
        <f t="shared" si="252"/>
        <v>product 3</v>
      </c>
      <c r="H3142">
        <f t="shared" si="250"/>
        <v>2025</v>
      </c>
      <c r="I3142">
        <f t="shared" si="251"/>
        <v>3</v>
      </c>
      <c r="J3142">
        <f t="shared" si="248"/>
        <v>99.96</v>
      </c>
    </row>
    <row r="3143" spans="1:10" ht="12.5" x14ac:dyDescent="0.25">
      <c r="A3143" s="1">
        <v>45728</v>
      </c>
      <c r="B3143" s="2" t="s">
        <v>7</v>
      </c>
      <c r="C3143" s="3">
        <v>5.49</v>
      </c>
      <c r="D3143" s="3">
        <v>71</v>
      </c>
      <c r="E3143" s="3">
        <v>389.79</v>
      </c>
      <c r="F3143" t="str">
        <f t="shared" si="249"/>
        <v>cogs</v>
      </c>
      <c r="G3143" s="7" t="str">
        <f t="shared" si="252"/>
        <v>product 1</v>
      </c>
      <c r="H3143">
        <f t="shared" si="250"/>
        <v>2025</v>
      </c>
      <c r="I3143">
        <f t="shared" si="251"/>
        <v>3</v>
      </c>
      <c r="J3143">
        <f t="shared" si="248"/>
        <v>87.43</v>
      </c>
    </row>
    <row r="3144" spans="1:10" ht="12.5" x14ac:dyDescent="0.25">
      <c r="A3144" s="1">
        <v>45728</v>
      </c>
      <c r="B3144" s="2" t="s">
        <v>8</v>
      </c>
      <c r="C3144" s="3">
        <v>19.989999999999998</v>
      </c>
      <c r="D3144" s="3">
        <v>4</v>
      </c>
      <c r="E3144" s="3">
        <v>79.959999999999994</v>
      </c>
      <c r="F3144" t="str">
        <f t="shared" si="249"/>
        <v>cogs</v>
      </c>
      <c r="G3144" s="7" t="str">
        <f t="shared" si="252"/>
        <v>product 2</v>
      </c>
      <c r="H3144">
        <f t="shared" si="250"/>
        <v>2025</v>
      </c>
      <c r="I3144">
        <f t="shared" si="251"/>
        <v>3</v>
      </c>
      <c r="J3144">
        <f t="shared" si="248"/>
        <v>-258.03000000000003</v>
      </c>
    </row>
    <row r="3145" spans="1:10" ht="12.5" x14ac:dyDescent="0.25">
      <c r="A3145" s="1">
        <v>45728</v>
      </c>
      <c r="B3145" s="2" t="s">
        <v>9</v>
      </c>
      <c r="C3145" s="3">
        <v>8.99</v>
      </c>
      <c r="D3145" s="3">
        <v>148</v>
      </c>
      <c r="E3145" s="3">
        <v>1330.52</v>
      </c>
      <c r="F3145" t="str">
        <f t="shared" si="249"/>
        <v>cogs</v>
      </c>
      <c r="G3145" s="7" t="str">
        <f t="shared" si="252"/>
        <v>product 3</v>
      </c>
      <c r="H3145">
        <f t="shared" si="250"/>
        <v>2025</v>
      </c>
      <c r="I3145">
        <f t="shared" si="251"/>
        <v>3</v>
      </c>
      <c r="J3145">
        <f t="shared" si="248"/>
        <v>-179.91</v>
      </c>
    </row>
    <row r="3146" spans="1:10" ht="12.5" x14ac:dyDescent="0.25">
      <c r="A3146" s="1">
        <v>45728</v>
      </c>
      <c r="B3146" s="2" t="s">
        <v>10</v>
      </c>
      <c r="C3146" s="2" t="s">
        <v>6</v>
      </c>
      <c r="D3146" s="2" t="s">
        <v>6</v>
      </c>
      <c r="E3146" s="3">
        <v>114.96000000000001</v>
      </c>
      <c r="F3146" t="str">
        <f t="shared" si="249"/>
        <v>marketing</v>
      </c>
      <c r="G3146" s="7" t="s">
        <v>6</v>
      </c>
      <c r="H3146">
        <f t="shared" si="250"/>
        <v>2025</v>
      </c>
      <c r="I3146">
        <f t="shared" si="251"/>
        <v>3</v>
      </c>
      <c r="J3146">
        <f t="shared" si="248"/>
        <v>-710.21</v>
      </c>
    </row>
    <row r="3147" spans="1:10" ht="12.5" x14ac:dyDescent="0.25">
      <c r="A3147" s="1">
        <v>45728</v>
      </c>
      <c r="B3147" s="2" t="s">
        <v>11</v>
      </c>
      <c r="C3147" s="3">
        <v>9.99</v>
      </c>
      <c r="D3147" s="3">
        <v>71</v>
      </c>
      <c r="E3147" s="3">
        <v>709.29</v>
      </c>
      <c r="F3147" t="str">
        <f t="shared" si="249"/>
        <v>net sales</v>
      </c>
      <c r="G3147" s="7" t="str">
        <f t="shared" si="252"/>
        <v>product 1</v>
      </c>
      <c r="H3147">
        <f t="shared" si="250"/>
        <v>2025</v>
      </c>
      <c r="I3147">
        <f t="shared" si="251"/>
        <v>3</v>
      </c>
      <c r="J3147">
        <f t="shared" si="248"/>
        <v>-103.07000000000001</v>
      </c>
    </row>
    <row r="3148" spans="1:10" ht="12.5" x14ac:dyDescent="0.25">
      <c r="A3148" s="1">
        <v>45728</v>
      </c>
      <c r="B3148" s="2" t="s">
        <v>12</v>
      </c>
      <c r="C3148" s="3">
        <v>24.99</v>
      </c>
      <c r="D3148" s="3">
        <v>4</v>
      </c>
      <c r="E3148" s="3">
        <v>99.96</v>
      </c>
      <c r="F3148" t="str">
        <f t="shared" si="249"/>
        <v>net sales</v>
      </c>
      <c r="G3148" s="7" t="str">
        <f t="shared" si="252"/>
        <v>product 2</v>
      </c>
      <c r="H3148">
        <f t="shared" si="250"/>
        <v>2025</v>
      </c>
      <c r="I3148">
        <f t="shared" si="251"/>
        <v>3</v>
      </c>
      <c r="J3148">
        <f t="shared" si="248"/>
        <v>469.53000000000003</v>
      </c>
    </row>
    <row r="3149" spans="1:10" ht="12.5" x14ac:dyDescent="0.25">
      <c r="A3149" s="1">
        <v>45728</v>
      </c>
      <c r="B3149" s="2" t="s">
        <v>13</v>
      </c>
      <c r="C3149" s="3">
        <v>12.49</v>
      </c>
      <c r="D3149" s="3">
        <v>148</v>
      </c>
      <c r="E3149" s="3">
        <v>1848.52</v>
      </c>
      <c r="F3149" t="str">
        <f t="shared" si="249"/>
        <v>net sales</v>
      </c>
      <c r="G3149" s="7" t="str">
        <f t="shared" si="252"/>
        <v>product 3</v>
      </c>
      <c r="H3149">
        <f t="shared" si="250"/>
        <v>2025</v>
      </c>
      <c r="I3149">
        <f t="shared" si="251"/>
        <v>3</v>
      </c>
      <c r="J3149">
        <f t="shared" si="248"/>
        <v>224.91</v>
      </c>
    </row>
    <row r="3150" spans="1:10" ht="12.5" x14ac:dyDescent="0.25">
      <c r="A3150" s="1">
        <v>45729</v>
      </c>
      <c r="B3150" s="2" t="s">
        <v>7</v>
      </c>
      <c r="C3150" s="3">
        <v>5.49</v>
      </c>
      <c r="D3150" s="3">
        <v>41</v>
      </c>
      <c r="E3150" s="3">
        <v>225.09</v>
      </c>
      <c r="F3150" t="str">
        <f t="shared" si="249"/>
        <v>cogs</v>
      </c>
      <c r="G3150" s="7" t="str">
        <f t="shared" si="252"/>
        <v>product 1</v>
      </c>
      <c r="H3150">
        <f t="shared" si="250"/>
        <v>2025</v>
      </c>
      <c r="I3150">
        <f t="shared" si="251"/>
        <v>3</v>
      </c>
      <c r="J3150">
        <f t="shared" si="248"/>
        <v>986.71</v>
      </c>
    </row>
    <row r="3151" spans="1:10" ht="12.5" x14ac:dyDescent="0.25">
      <c r="A3151" s="1">
        <v>45729</v>
      </c>
      <c r="B3151" s="2" t="s">
        <v>8</v>
      </c>
      <c r="C3151" s="3">
        <v>19.989999999999998</v>
      </c>
      <c r="D3151" s="3">
        <v>7</v>
      </c>
      <c r="E3151" s="3">
        <v>139.92999999999998</v>
      </c>
      <c r="F3151" t="str">
        <f t="shared" si="249"/>
        <v>cogs</v>
      </c>
      <c r="G3151" s="7" t="str">
        <f t="shared" si="252"/>
        <v>product 2</v>
      </c>
      <c r="H3151">
        <f t="shared" si="250"/>
        <v>2025</v>
      </c>
      <c r="I3151">
        <f t="shared" si="251"/>
        <v>3</v>
      </c>
      <c r="J3151">
        <f t="shared" si="248"/>
        <v>-395.28000000000003</v>
      </c>
    </row>
    <row r="3152" spans="1:10" ht="12.5" x14ac:dyDescent="0.25">
      <c r="A3152" s="1">
        <v>45729</v>
      </c>
      <c r="B3152" s="2" t="s">
        <v>9</v>
      </c>
      <c r="C3152" s="3">
        <v>8.99</v>
      </c>
      <c r="D3152" s="3">
        <v>121</v>
      </c>
      <c r="E3152" s="3">
        <v>1087.79</v>
      </c>
      <c r="F3152" t="str">
        <f t="shared" si="249"/>
        <v>cogs</v>
      </c>
      <c r="G3152" s="7" t="str">
        <f t="shared" si="252"/>
        <v>product 3</v>
      </c>
      <c r="H3152">
        <f t="shared" si="250"/>
        <v>2025</v>
      </c>
      <c r="I3152">
        <f t="shared" si="251"/>
        <v>3</v>
      </c>
      <c r="J3152">
        <f t="shared" si="248"/>
        <v>-79.959999999999994</v>
      </c>
    </row>
    <row r="3153" spans="1:10" ht="12.5" x14ac:dyDescent="0.25">
      <c r="A3153" s="1">
        <v>45729</v>
      </c>
      <c r="B3153" s="2" t="s">
        <v>10</v>
      </c>
      <c r="C3153" s="2" t="s">
        <v>6</v>
      </c>
      <c r="D3153" s="2" t="s">
        <v>6</v>
      </c>
      <c r="E3153" s="3">
        <v>104.91</v>
      </c>
      <c r="F3153" t="str">
        <f t="shared" si="249"/>
        <v>marketing</v>
      </c>
      <c r="G3153" s="7" t="s">
        <v>6</v>
      </c>
      <c r="H3153">
        <f t="shared" si="250"/>
        <v>2025</v>
      </c>
      <c r="I3153">
        <f t="shared" si="251"/>
        <v>3</v>
      </c>
      <c r="J3153">
        <f t="shared" si="248"/>
        <v>-17.98</v>
      </c>
    </row>
    <row r="3154" spans="1:10" ht="12.5" x14ac:dyDescent="0.25">
      <c r="A3154" s="1">
        <v>45729</v>
      </c>
      <c r="B3154" s="2" t="s">
        <v>11</v>
      </c>
      <c r="C3154" s="3">
        <v>9.99</v>
      </c>
      <c r="D3154" s="3">
        <v>41</v>
      </c>
      <c r="E3154" s="3">
        <v>409.59000000000003</v>
      </c>
      <c r="F3154" t="str">
        <f t="shared" si="249"/>
        <v>net sales</v>
      </c>
      <c r="G3154" s="7" t="str">
        <f t="shared" si="252"/>
        <v>product 1</v>
      </c>
      <c r="H3154">
        <f t="shared" si="250"/>
        <v>2025</v>
      </c>
      <c r="I3154">
        <f t="shared" si="251"/>
        <v>3</v>
      </c>
      <c r="J3154">
        <f t="shared" si="248"/>
        <v>-118.94</v>
      </c>
    </row>
    <row r="3155" spans="1:10" ht="12.5" x14ac:dyDescent="0.25">
      <c r="A3155" s="1">
        <v>45729</v>
      </c>
      <c r="B3155" s="2" t="s">
        <v>12</v>
      </c>
      <c r="C3155" s="3">
        <v>24.99</v>
      </c>
      <c r="D3155" s="3">
        <v>7</v>
      </c>
      <c r="E3155" s="3">
        <v>174.92999999999998</v>
      </c>
      <c r="F3155" t="str">
        <f t="shared" si="249"/>
        <v>net sales</v>
      </c>
      <c r="G3155" s="7" t="str">
        <f t="shared" si="252"/>
        <v>product 2</v>
      </c>
      <c r="H3155">
        <f t="shared" si="250"/>
        <v>2025</v>
      </c>
      <c r="I3155">
        <f t="shared" si="251"/>
        <v>3</v>
      </c>
      <c r="J3155">
        <f t="shared" si="248"/>
        <v>719.28</v>
      </c>
    </row>
    <row r="3156" spans="1:10" ht="12.5" x14ac:dyDescent="0.25">
      <c r="A3156" s="1">
        <v>45729</v>
      </c>
      <c r="B3156" s="2" t="s">
        <v>13</v>
      </c>
      <c r="C3156" s="3">
        <v>12.49</v>
      </c>
      <c r="D3156" s="3">
        <v>121</v>
      </c>
      <c r="E3156" s="3">
        <v>1511.29</v>
      </c>
      <c r="F3156" t="str">
        <f t="shared" si="249"/>
        <v>net sales</v>
      </c>
      <c r="G3156" s="7" t="str">
        <f t="shared" si="252"/>
        <v>product 3</v>
      </c>
      <c r="H3156">
        <f t="shared" si="250"/>
        <v>2025</v>
      </c>
      <c r="I3156">
        <f t="shared" si="251"/>
        <v>3</v>
      </c>
      <c r="J3156">
        <f t="shared" si="248"/>
        <v>99.96</v>
      </c>
    </row>
    <row r="3157" spans="1:10" ht="12.5" x14ac:dyDescent="0.25">
      <c r="A3157" s="1">
        <v>45730</v>
      </c>
      <c r="B3157" s="2" t="s">
        <v>7</v>
      </c>
      <c r="C3157" s="3">
        <v>5.49</v>
      </c>
      <c r="D3157" s="3">
        <v>19</v>
      </c>
      <c r="E3157" s="3">
        <v>104.31</v>
      </c>
      <c r="F3157" t="str">
        <f t="shared" si="249"/>
        <v>cogs</v>
      </c>
      <c r="G3157" s="7" t="str">
        <f t="shared" si="252"/>
        <v>product 1</v>
      </c>
      <c r="H3157">
        <f t="shared" si="250"/>
        <v>2025</v>
      </c>
      <c r="I3157">
        <f t="shared" si="251"/>
        <v>3</v>
      </c>
      <c r="J3157">
        <f t="shared" si="248"/>
        <v>24.98</v>
      </c>
    </row>
    <row r="3158" spans="1:10" ht="12.5" x14ac:dyDescent="0.25">
      <c r="A3158" s="1">
        <v>45730</v>
      </c>
      <c r="B3158" s="2" t="s">
        <v>8</v>
      </c>
      <c r="C3158" s="3">
        <v>19.989999999999998</v>
      </c>
      <c r="D3158" s="3">
        <v>0</v>
      </c>
      <c r="E3158" s="2">
        <f>C3158*D3158</f>
        <v>0</v>
      </c>
      <c r="F3158" t="str">
        <f t="shared" si="249"/>
        <v>cogs</v>
      </c>
      <c r="G3158" s="7" t="str">
        <f t="shared" si="252"/>
        <v>product 2</v>
      </c>
      <c r="H3158">
        <f t="shared" si="250"/>
        <v>2025</v>
      </c>
      <c r="I3158">
        <f t="shared" si="251"/>
        <v>3</v>
      </c>
      <c r="J3158">
        <f t="shared" si="248"/>
        <v>-175.68</v>
      </c>
    </row>
    <row r="3159" spans="1:10" ht="12.5" x14ac:dyDescent="0.25">
      <c r="A3159" s="1">
        <v>45730</v>
      </c>
      <c r="B3159" s="2" t="s">
        <v>9</v>
      </c>
      <c r="C3159" s="3">
        <v>8.99</v>
      </c>
      <c r="D3159" s="3">
        <v>181</v>
      </c>
      <c r="E3159" s="3">
        <v>1627.19</v>
      </c>
      <c r="F3159" t="str">
        <f t="shared" si="249"/>
        <v>cogs</v>
      </c>
      <c r="G3159" s="7" t="str">
        <f t="shared" si="252"/>
        <v>product 3</v>
      </c>
      <c r="H3159">
        <f t="shared" si="250"/>
        <v>2025</v>
      </c>
      <c r="I3159">
        <f t="shared" si="251"/>
        <v>3</v>
      </c>
      <c r="J3159">
        <f t="shared" si="248"/>
        <v>-59.97</v>
      </c>
    </row>
    <row r="3160" spans="1:10" ht="12.5" x14ac:dyDescent="0.25">
      <c r="A3160" s="1">
        <v>45730</v>
      </c>
      <c r="B3160" s="2" t="s">
        <v>10</v>
      </c>
      <c r="C3160" s="2" t="s">
        <v>6</v>
      </c>
      <c r="D3160" s="2" t="s">
        <v>6</v>
      </c>
      <c r="E3160" s="3">
        <v>104.97</v>
      </c>
      <c r="F3160" t="str">
        <f t="shared" si="249"/>
        <v>marketing</v>
      </c>
      <c r="G3160" s="7" t="s">
        <v>6</v>
      </c>
      <c r="H3160">
        <f t="shared" si="250"/>
        <v>2025</v>
      </c>
      <c r="I3160">
        <f t="shared" si="251"/>
        <v>3</v>
      </c>
      <c r="J3160">
        <f t="shared" si="248"/>
        <v>-1177.69</v>
      </c>
    </row>
    <row r="3161" spans="1:10" ht="12.5" x14ac:dyDescent="0.25">
      <c r="A3161" s="1">
        <v>45730</v>
      </c>
      <c r="B3161" s="2" t="s">
        <v>11</v>
      </c>
      <c r="C3161" s="3">
        <v>9.99</v>
      </c>
      <c r="D3161" s="3">
        <v>19</v>
      </c>
      <c r="E3161" s="3">
        <v>189.81</v>
      </c>
      <c r="F3161" t="str">
        <f t="shared" si="249"/>
        <v>net sales</v>
      </c>
      <c r="G3161" s="7" t="str">
        <f t="shared" si="252"/>
        <v>product 1</v>
      </c>
      <c r="H3161">
        <f t="shared" si="250"/>
        <v>2025</v>
      </c>
      <c r="I3161">
        <f t="shared" si="251"/>
        <v>3</v>
      </c>
      <c r="J3161">
        <f t="shared" si="248"/>
        <v>-100.01</v>
      </c>
    </row>
    <row r="3162" spans="1:10" ht="12.5" x14ac:dyDescent="0.25">
      <c r="A3162" s="1">
        <v>45730</v>
      </c>
      <c r="B3162" s="2" t="s">
        <v>12</v>
      </c>
      <c r="C3162" s="3">
        <v>24.99</v>
      </c>
      <c r="D3162" s="3">
        <v>0</v>
      </c>
      <c r="E3162" s="2">
        <f>C3162*D3162</f>
        <v>0</v>
      </c>
      <c r="F3162" t="str">
        <f t="shared" si="249"/>
        <v>net sales</v>
      </c>
      <c r="G3162" s="7" t="str">
        <f t="shared" si="252"/>
        <v>product 2</v>
      </c>
      <c r="H3162">
        <f t="shared" si="250"/>
        <v>2025</v>
      </c>
      <c r="I3162">
        <f t="shared" si="251"/>
        <v>3</v>
      </c>
      <c r="J3162">
        <f t="shared" si="248"/>
        <v>319.68</v>
      </c>
    </row>
    <row r="3163" spans="1:10" ht="12.5" x14ac:dyDescent="0.25">
      <c r="A3163" s="1">
        <v>45730</v>
      </c>
      <c r="B3163" s="2" t="s">
        <v>13</v>
      </c>
      <c r="C3163" s="3">
        <v>12.49</v>
      </c>
      <c r="D3163" s="3">
        <v>181</v>
      </c>
      <c r="E3163" s="3">
        <v>2260.69</v>
      </c>
      <c r="F3163" t="str">
        <f t="shared" si="249"/>
        <v>net sales</v>
      </c>
      <c r="G3163" s="7" t="str">
        <f t="shared" si="252"/>
        <v>product 3</v>
      </c>
      <c r="H3163">
        <f t="shared" si="250"/>
        <v>2025</v>
      </c>
      <c r="I3163">
        <f t="shared" si="251"/>
        <v>3</v>
      </c>
      <c r="J3163">
        <f t="shared" si="248"/>
        <v>74.97</v>
      </c>
    </row>
    <row r="3164" spans="1:10" ht="12.5" x14ac:dyDescent="0.25">
      <c r="A3164" s="1">
        <v>45730</v>
      </c>
      <c r="B3164" s="2" t="s">
        <v>15</v>
      </c>
      <c r="C3164" s="2" t="s">
        <v>6</v>
      </c>
      <c r="D3164" s="2" t="s">
        <v>6</v>
      </c>
      <c r="E3164" s="3">
        <v>1200</v>
      </c>
      <c r="F3164" t="str">
        <f t="shared" si="249"/>
        <v>payroll</v>
      </c>
      <c r="G3164" s="7" t="s">
        <v>6</v>
      </c>
      <c r="H3164">
        <f t="shared" si="250"/>
        <v>2025</v>
      </c>
      <c r="I3164">
        <f t="shared" si="251"/>
        <v>3</v>
      </c>
      <c r="J3164">
        <f t="shared" ref="J3164:J3227" si="253">IF(F2947="net sales",E2947,
IF(F2947="cogs",-E2947,
IF(OR(F2947="marketing",F2947="overhead",F2947="payroll",F2947="interest","amortization"),-E2947,0)))</f>
        <v>1636.19</v>
      </c>
    </row>
    <row r="3165" spans="1:10" ht="12.5" x14ac:dyDescent="0.25">
      <c r="A3165" s="1">
        <v>45731</v>
      </c>
      <c r="B3165" s="2" t="s">
        <v>7</v>
      </c>
      <c r="C3165" s="3">
        <v>5.49</v>
      </c>
      <c r="D3165" s="3">
        <v>12</v>
      </c>
      <c r="E3165" s="3">
        <v>65.88</v>
      </c>
      <c r="F3165" t="str">
        <f t="shared" si="249"/>
        <v>cogs</v>
      </c>
      <c r="G3165" s="7" t="str">
        <f t="shared" si="252"/>
        <v>product 1</v>
      </c>
      <c r="H3165">
        <f t="shared" si="250"/>
        <v>2025</v>
      </c>
      <c r="I3165">
        <f t="shared" si="251"/>
        <v>3</v>
      </c>
      <c r="J3165">
        <f t="shared" si="253"/>
        <v>-455.67</v>
      </c>
    </row>
    <row r="3166" spans="1:10" ht="12.5" x14ac:dyDescent="0.25">
      <c r="A3166" s="1">
        <v>45731</v>
      </c>
      <c r="B3166" s="2" t="s">
        <v>8</v>
      </c>
      <c r="C3166" s="3">
        <v>19.989999999999998</v>
      </c>
      <c r="D3166" s="3">
        <v>9</v>
      </c>
      <c r="E3166" s="3">
        <v>179.91</v>
      </c>
      <c r="F3166" t="str">
        <f t="shared" si="249"/>
        <v>cogs</v>
      </c>
      <c r="G3166" s="7" t="str">
        <f t="shared" si="252"/>
        <v>product 2</v>
      </c>
      <c r="H3166">
        <f t="shared" si="250"/>
        <v>2025</v>
      </c>
      <c r="I3166">
        <f t="shared" si="251"/>
        <v>3</v>
      </c>
      <c r="J3166">
        <f t="shared" si="253"/>
        <v>-99.949999999999989</v>
      </c>
    </row>
    <row r="3167" spans="1:10" ht="12.5" x14ac:dyDescent="0.25">
      <c r="A3167" s="1">
        <v>45731</v>
      </c>
      <c r="B3167" s="2" t="s">
        <v>9</v>
      </c>
      <c r="C3167" s="3">
        <v>8.99</v>
      </c>
      <c r="D3167" s="3">
        <v>212</v>
      </c>
      <c r="E3167" s="3">
        <v>1905.88</v>
      </c>
      <c r="F3167" t="str">
        <f t="shared" si="249"/>
        <v>cogs</v>
      </c>
      <c r="G3167" s="7" t="str">
        <f t="shared" si="252"/>
        <v>product 3</v>
      </c>
      <c r="H3167">
        <f t="shared" si="250"/>
        <v>2025</v>
      </c>
      <c r="I3167">
        <f t="shared" si="251"/>
        <v>3</v>
      </c>
      <c r="J3167">
        <f t="shared" si="253"/>
        <v>-1771.03</v>
      </c>
    </row>
    <row r="3168" spans="1:10" ht="12.5" x14ac:dyDescent="0.25">
      <c r="A3168" s="1">
        <v>45731</v>
      </c>
      <c r="B3168" s="2" t="s">
        <v>16</v>
      </c>
      <c r="C3168" s="2" t="s">
        <v>6</v>
      </c>
      <c r="D3168" s="2" t="s">
        <v>6</v>
      </c>
      <c r="E3168" s="3">
        <v>1215.8399999999999</v>
      </c>
      <c r="F3168" t="str">
        <f t="shared" si="249"/>
        <v>interest</v>
      </c>
      <c r="G3168" s="7" t="s">
        <v>6</v>
      </c>
      <c r="H3168">
        <f t="shared" si="250"/>
        <v>2025</v>
      </c>
      <c r="I3168">
        <f t="shared" si="251"/>
        <v>3</v>
      </c>
      <c r="J3168">
        <f t="shared" si="253"/>
        <v>-110.96000000000001</v>
      </c>
    </row>
    <row r="3169" spans="1:10" ht="12.5" x14ac:dyDescent="0.25">
      <c r="A3169" s="1">
        <v>45731</v>
      </c>
      <c r="B3169" s="2" t="s">
        <v>10</v>
      </c>
      <c r="C3169" s="2" t="s">
        <v>6</v>
      </c>
      <c r="D3169" s="2" t="s">
        <v>6</v>
      </c>
      <c r="E3169" s="3">
        <v>119.09</v>
      </c>
      <c r="F3169" t="str">
        <f t="shared" si="249"/>
        <v>marketing</v>
      </c>
      <c r="G3169" s="7" t="s">
        <v>6</v>
      </c>
      <c r="H3169">
        <f t="shared" si="250"/>
        <v>2025</v>
      </c>
      <c r="I3169">
        <f t="shared" si="251"/>
        <v>3</v>
      </c>
      <c r="J3169">
        <f t="shared" si="253"/>
        <v>829.17000000000007</v>
      </c>
    </row>
    <row r="3170" spans="1:10" ht="12.5" x14ac:dyDescent="0.25">
      <c r="A3170" s="1">
        <v>45731</v>
      </c>
      <c r="B3170" s="2" t="s">
        <v>11</v>
      </c>
      <c r="C3170" s="3">
        <v>9.99</v>
      </c>
      <c r="D3170" s="3">
        <v>12</v>
      </c>
      <c r="E3170" s="3">
        <v>119.88</v>
      </c>
      <c r="F3170" t="str">
        <f t="shared" si="249"/>
        <v>net sales</v>
      </c>
      <c r="G3170" s="7" t="str">
        <f t="shared" si="252"/>
        <v>product 1</v>
      </c>
      <c r="H3170">
        <f t="shared" si="250"/>
        <v>2025</v>
      </c>
      <c r="I3170">
        <f t="shared" si="251"/>
        <v>3</v>
      </c>
      <c r="J3170">
        <f t="shared" si="253"/>
        <v>124.94999999999999</v>
      </c>
    </row>
    <row r="3171" spans="1:10" ht="12.5" x14ac:dyDescent="0.25">
      <c r="A3171" s="1">
        <v>45731</v>
      </c>
      <c r="B3171" s="2" t="s">
        <v>12</v>
      </c>
      <c r="C3171" s="3">
        <v>24.99</v>
      </c>
      <c r="D3171" s="3">
        <v>9</v>
      </c>
      <c r="E3171" s="3">
        <v>224.91</v>
      </c>
      <c r="F3171" t="str">
        <f t="shared" si="249"/>
        <v>net sales</v>
      </c>
      <c r="G3171" s="7" t="str">
        <f t="shared" si="252"/>
        <v>product 2</v>
      </c>
      <c r="H3171">
        <f t="shared" si="250"/>
        <v>2025</v>
      </c>
      <c r="I3171">
        <f t="shared" si="251"/>
        <v>3</v>
      </c>
      <c r="J3171">
        <f t="shared" si="253"/>
        <v>2460.5300000000002</v>
      </c>
    </row>
    <row r="3172" spans="1:10" ht="12.5" x14ac:dyDescent="0.25">
      <c r="A3172" s="1">
        <v>45731</v>
      </c>
      <c r="B3172" s="2" t="s">
        <v>13</v>
      </c>
      <c r="C3172" s="3">
        <v>12.49</v>
      </c>
      <c r="D3172" s="3">
        <v>212</v>
      </c>
      <c r="E3172" s="3">
        <v>2647.88</v>
      </c>
      <c r="F3172" t="str">
        <f t="shared" si="249"/>
        <v>net sales</v>
      </c>
      <c r="G3172" s="7" t="str">
        <f t="shared" si="252"/>
        <v>product 3</v>
      </c>
      <c r="H3172">
        <f t="shared" si="250"/>
        <v>2025</v>
      </c>
      <c r="I3172">
        <f t="shared" si="251"/>
        <v>3</v>
      </c>
      <c r="J3172">
        <f t="shared" si="253"/>
        <v>-49.410000000000004</v>
      </c>
    </row>
    <row r="3173" spans="1:10" ht="12.5" x14ac:dyDescent="0.25">
      <c r="A3173" s="1">
        <v>45731</v>
      </c>
      <c r="B3173" s="2" t="s">
        <v>14</v>
      </c>
      <c r="C3173" s="2" t="s">
        <v>6</v>
      </c>
      <c r="D3173" s="2" t="s">
        <v>6</v>
      </c>
      <c r="E3173" s="3">
        <v>303.95999999999998</v>
      </c>
      <c r="F3173" t="str">
        <f t="shared" si="249"/>
        <v>overhead</v>
      </c>
      <c r="G3173" s="7" t="s">
        <v>6</v>
      </c>
      <c r="H3173">
        <f t="shared" si="250"/>
        <v>2025</v>
      </c>
      <c r="I3173">
        <f t="shared" si="251"/>
        <v>3</v>
      </c>
      <c r="J3173">
        <f t="shared" si="253"/>
        <v>-119.94</v>
      </c>
    </row>
    <row r="3174" spans="1:10" ht="12.5" x14ac:dyDescent="0.25">
      <c r="A3174" s="1">
        <v>45732</v>
      </c>
      <c r="B3174" s="2" t="s">
        <v>7</v>
      </c>
      <c r="C3174" s="3">
        <v>5.49</v>
      </c>
      <c r="D3174" s="3">
        <v>82</v>
      </c>
      <c r="E3174" s="3">
        <v>450.18</v>
      </c>
      <c r="F3174" t="str">
        <f t="shared" si="249"/>
        <v>cogs</v>
      </c>
      <c r="G3174" s="7" t="str">
        <f t="shared" si="252"/>
        <v>product 1</v>
      </c>
      <c r="H3174">
        <f t="shared" si="250"/>
        <v>2025</v>
      </c>
      <c r="I3174">
        <f t="shared" si="251"/>
        <v>3</v>
      </c>
      <c r="J3174">
        <f t="shared" si="253"/>
        <v>-557.38</v>
      </c>
    </row>
    <row r="3175" spans="1:10" ht="12.5" x14ac:dyDescent="0.25">
      <c r="A3175" s="1">
        <v>45732</v>
      </c>
      <c r="B3175" s="2" t="s">
        <v>8</v>
      </c>
      <c r="C3175" s="3">
        <v>19.989999999999998</v>
      </c>
      <c r="D3175" s="3">
        <v>4</v>
      </c>
      <c r="E3175" s="3">
        <v>79.959999999999994</v>
      </c>
      <c r="F3175" t="str">
        <f t="shared" si="249"/>
        <v>cogs</v>
      </c>
      <c r="G3175" s="7" t="str">
        <f t="shared" si="252"/>
        <v>product 2</v>
      </c>
      <c r="H3175">
        <f t="shared" si="250"/>
        <v>2025</v>
      </c>
      <c r="I3175">
        <f t="shared" si="251"/>
        <v>3</v>
      </c>
      <c r="J3175">
        <f t="shared" si="253"/>
        <v>-112.01</v>
      </c>
    </row>
    <row r="3176" spans="1:10" ht="12.5" x14ac:dyDescent="0.25">
      <c r="A3176" s="1">
        <v>45732</v>
      </c>
      <c r="B3176" s="2" t="s">
        <v>9</v>
      </c>
      <c r="C3176" s="3">
        <v>8.99</v>
      </c>
      <c r="D3176" s="3">
        <v>165</v>
      </c>
      <c r="E3176" s="3">
        <v>1483.3500000000001</v>
      </c>
      <c r="F3176" t="str">
        <f t="shared" si="249"/>
        <v>cogs</v>
      </c>
      <c r="G3176" s="7" t="str">
        <f t="shared" si="252"/>
        <v>product 3</v>
      </c>
      <c r="H3176">
        <f t="shared" si="250"/>
        <v>2025</v>
      </c>
      <c r="I3176">
        <f t="shared" si="251"/>
        <v>3</v>
      </c>
      <c r="J3176">
        <f t="shared" si="253"/>
        <v>89.91</v>
      </c>
    </row>
    <row r="3177" spans="1:10" ht="12.5" x14ac:dyDescent="0.25">
      <c r="A3177" s="1">
        <v>45732</v>
      </c>
      <c r="B3177" s="2" t="s">
        <v>10</v>
      </c>
      <c r="C3177" s="2" t="s">
        <v>6</v>
      </c>
      <c r="D3177" s="2" t="s">
        <v>6</v>
      </c>
      <c r="E3177" s="3">
        <v>107.91</v>
      </c>
      <c r="F3177" t="str">
        <f t="shared" si="249"/>
        <v>marketing</v>
      </c>
      <c r="G3177" s="7" t="s">
        <v>6</v>
      </c>
      <c r="H3177">
        <f t="shared" si="250"/>
        <v>2025</v>
      </c>
      <c r="I3177">
        <f t="shared" si="251"/>
        <v>3</v>
      </c>
      <c r="J3177">
        <f t="shared" si="253"/>
        <v>149.94</v>
      </c>
    </row>
    <row r="3178" spans="1:10" ht="12.5" x14ac:dyDescent="0.25">
      <c r="A3178" s="1">
        <v>45732</v>
      </c>
      <c r="B3178" s="2" t="s">
        <v>11</v>
      </c>
      <c r="C3178" s="3">
        <v>9.99</v>
      </c>
      <c r="D3178" s="3">
        <v>82</v>
      </c>
      <c r="E3178" s="3">
        <v>819.18000000000006</v>
      </c>
      <c r="F3178" t="str">
        <f t="shared" si="249"/>
        <v>net sales</v>
      </c>
      <c r="G3178" s="7" t="str">
        <f t="shared" si="252"/>
        <v>product 1</v>
      </c>
      <c r="H3178">
        <f t="shared" si="250"/>
        <v>2025</v>
      </c>
      <c r="I3178">
        <f t="shared" si="251"/>
        <v>3</v>
      </c>
      <c r="J3178">
        <f t="shared" si="253"/>
        <v>774.38</v>
      </c>
    </row>
    <row r="3179" spans="1:10" ht="12.5" x14ac:dyDescent="0.25">
      <c r="A3179" s="1">
        <v>45732</v>
      </c>
      <c r="B3179" s="2" t="s">
        <v>12</v>
      </c>
      <c r="C3179" s="3">
        <v>24.99</v>
      </c>
      <c r="D3179" s="3">
        <v>4</v>
      </c>
      <c r="E3179" s="3">
        <v>99.96</v>
      </c>
      <c r="F3179" t="str">
        <f t="shared" si="249"/>
        <v>net sales</v>
      </c>
      <c r="G3179" s="7" t="str">
        <f t="shared" si="252"/>
        <v>product 2</v>
      </c>
      <c r="H3179">
        <f t="shared" si="250"/>
        <v>2025</v>
      </c>
      <c r="I3179">
        <f t="shared" si="251"/>
        <v>3</v>
      </c>
      <c r="J3179">
        <f t="shared" si="253"/>
        <v>-1200</v>
      </c>
    </row>
    <row r="3180" spans="1:10" ht="12.5" x14ac:dyDescent="0.25">
      <c r="A3180" s="1">
        <v>45732</v>
      </c>
      <c r="B3180" s="2" t="s">
        <v>13</v>
      </c>
      <c r="C3180" s="3">
        <v>12.49</v>
      </c>
      <c r="D3180" s="3">
        <v>165</v>
      </c>
      <c r="E3180" s="3">
        <v>2060.85</v>
      </c>
      <c r="F3180" t="str">
        <f t="shared" si="249"/>
        <v>net sales</v>
      </c>
      <c r="G3180" s="7" t="str">
        <f t="shared" si="252"/>
        <v>product 3</v>
      </c>
      <c r="H3180">
        <f t="shared" si="250"/>
        <v>2025</v>
      </c>
      <c r="I3180">
        <f t="shared" si="251"/>
        <v>3</v>
      </c>
      <c r="J3180">
        <f t="shared" si="253"/>
        <v>-417.24</v>
      </c>
    </row>
    <row r="3181" spans="1:10" ht="12.5" x14ac:dyDescent="0.25">
      <c r="A3181" s="1">
        <v>45733</v>
      </c>
      <c r="B3181" s="2" t="s">
        <v>7</v>
      </c>
      <c r="C3181" s="3">
        <v>5.49</v>
      </c>
      <c r="D3181" s="3">
        <v>72</v>
      </c>
      <c r="E3181" s="3">
        <v>395.28000000000003</v>
      </c>
      <c r="F3181" t="str">
        <f t="shared" si="249"/>
        <v>cogs</v>
      </c>
      <c r="G3181" s="7" t="str">
        <f t="shared" si="252"/>
        <v>product 1</v>
      </c>
      <c r="H3181">
        <f t="shared" si="250"/>
        <v>2025</v>
      </c>
      <c r="I3181">
        <f t="shared" si="251"/>
        <v>3</v>
      </c>
      <c r="J3181">
        <f t="shared" si="253"/>
        <v>-119.94</v>
      </c>
    </row>
    <row r="3182" spans="1:10" ht="12.5" x14ac:dyDescent="0.25">
      <c r="A3182" s="1">
        <v>45733</v>
      </c>
      <c r="B3182" s="2" t="s">
        <v>8</v>
      </c>
      <c r="C3182" s="3">
        <v>19.989999999999998</v>
      </c>
      <c r="D3182" s="3">
        <v>2</v>
      </c>
      <c r="E3182" s="3">
        <v>39.979999999999997</v>
      </c>
      <c r="F3182" t="str">
        <f t="shared" si="249"/>
        <v>cogs</v>
      </c>
      <c r="G3182" s="7" t="str">
        <f t="shared" si="252"/>
        <v>product 2</v>
      </c>
      <c r="H3182">
        <f t="shared" si="250"/>
        <v>2025</v>
      </c>
      <c r="I3182">
        <f t="shared" si="251"/>
        <v>3</v>
      </c>
      <c r="J3182">
        <f t="shared" si="253"/>
        <v>0</v>
      </c>
    </row>
    <row r="3183" spans="1:10" ht="12.5" x14ac:dyDescent="0.25">
      <c r="A3183" s="1">
        <v>45733</v>
      </c>
      <c r="B3183" s="2" t="s">
        <v>9</v>
      </c>
      <c r="C3183" s="3">
        <v>8.99</v>
      </c>
      <c r="D3183" s="3">
        <v>19</v>
      </c>
      <c r="E3183" s="3">
        <v>170.81</v>
      </c>
      <c r="F3183" t="str">
        <f t="shared" si="249"/>
        <v>cogs</v>
      </c>
      <c r="G3183" s="7" t="str">
        <f t="shared" si="252"/>
        <v>product 3</v>
      </c>
      <c r="H3183">
        <f t="shared" si="250"/>
        <v>2025</v>
      </c>
      <c r="I3183">
        <f t="shared" si="251"/>
        <v>3</v>
      </c>
      <c r="J3183">
        <f t="shared" si="253"/>
        <v>-1243.76</v>
      </c>
    </row>
    <row r="3184" spans="1:10" ht="12.5" x14ac:dyDescent="0.25">
      <c r="A3184" s="1">
        <v>45733</v>
      </c>
      <c r="B3184" s="2" t="s">
        <v>10</v>
      </c>
      <c r="C3184" s="2" t="s">
        <v>6</v>
      </c>
      <c r="D3184" s="2" t="s">
        <v>6</v>
      </c>
      <c r="E3184" s="3">
        <v>112.92</v>
      </c>
      <c r="F3184" t="str">
        <f t="shared" si="249"/>
        <v>marketing</v>
      </c>
      <c r="G3184" s="7" t="s">
        <v>6</v>
      </c>
      <c r="H3184">
        <f t="shared" si="250"/>
        <v>2025</v>
      </c>
      <c r="I3184">
        <f t="shared" si="251"/>
        <v>3</v>
      </c>
      <c r="J3184">
        <f t="shared" si="253"/>
        <v>-120.07000000000001</v>
      </c>
    </row>
    <row r="3185" spans="1:10" ht="12.5" x14ac:dyDescent="0.25">
      <c r="A3185" s="1">
        <v>45733</v>
      </c>
      <c r="B3185" s="2" t="s">
        <v>11</v>
      </c>
      <c r="C3185" s="3">
        <v>9.99</v>
      </c>
      <c r="D3185" s="3">
        <v>72</v>
      </c>
      <c r="E3185" s="3">
        <v>719.28</v>
      </c>
      <c r="F3185" t="str">
        <f t="shared" si="249"/>
        <v>net sales</v>
      </c>
      <c r="G3185" s="7" t="str">
        <f t="shared" si="252"/>
        <v>product 1</v>
      </c>
      <c r="H3185">
        <f t="shared" si="250"/>
        <v>2025</v>
      </c>
      <c r="I3185">
        <f t="shared" si="251"/>
        <v>3</v>
      </c>
      <c r="J3185">
        <f t="shared" si="253"/>
        <v>759.24</v>
      </c>
    </row>
    <row r="3186" spans="1:10" ht="12.5" x14ac:dyDescent="0.25">
      <c r="A3186" s="1">
        <v>45733</v>
      </c>
      <c r="B3186" s="2" t="s">
        <v>12</v>
      </c>
      <c r="C3186" s="3">
        <v>24.99</v>
      </c>
      <c r="D3186" s="3">
        <v>2</v>
      </c>
      <c r="E3186" s="3">
        <v>49.98</v>
      </c>
      <c r="F3186" t="str">
        <f t="shared" si="249"/>
        <v>net sales</v>
      </c>
      <c r="G3186" s="7" t="str">
        <f t="shared" si="252"/>
        <v>product 2</v>
      </c>
      <c r="H3186">
        <f t="shared" si="250"/>
        <v>2025</v>
      </c>
      <c r="I3186">
        <f t="shared" si="251"/>
        <v>3</v>
      </c>
      <c r="J3186">
        <f t="shared" si="253"/>
        <v>149.94</v>
      </c>
    </row>
    <row r="3187" spans="1:10" ht="12.5" x14ac:dyDescent="0.25">
      <c r="A3187" s="1">
        <v>45733</v>
      </c>
      <c r="B3187" s="2" t="s">
        <v>13</v>
      </c>
      <c r="C3187" s="3">
        <v>12.49</v>
      </c>
      <c r="D3187" s="3">
        <v>19</v>
      </c>
      <c r="E3187" s="3">
        <v>237.31</v>
      </c>
      <c r="F3187" t="str">
        <f t="shared" si="249"/>
        <v>net sales</v>
      </c>
      <c r="G3187" s="7" t="str">
        <f t="shared" si="252"/>
        <v>product 3</v>
      </c>
      <c r="H3187">
        <f t="shared" si="250"/>
        <v>2025</v>
      </c>
      <c r="I3187">
        <f t="shared" si="251"/>
        <v>3</v>
      </c>
      <c r="J3187">
        <f t="shared" si="253"/>
        <v>0</v>
      </c>
    </row>
    <row r="3188" spans="1:10" ht="12.5" x14ac:dyDescent="0.25">
      <c r="A3188" s="1">
        <v>45734</v>
      </c>
      <c r="B3188" s="2" t="s">
        <v>7</v>
      </c>
      <c r="C3188" s="3">
        <v>5.49</v>
      </c>
      <c r="D3188" s="3">
        <v>96</v>
      </c>
      <c r="E3188" s="3">
        <v>527.04</v>
      </c>
      <c r="F3188" t="str">
        <f t="shared" si="249"/>
        <v>cogs</v>
      </c>
      <c r="G3188" s="7" t="str">
        <f t="shared" si="252"/>
        <v>product 1</v>
      </c>
      <c r="H3188">
        <f t="shared" si="250"/>
        <v>2025</v>
      </c>
      <c r="I3188">
        <f t="shared" si="251"/>
        <v>3</v>
      </c>
      <c r="J3188">
        <f t="shared" si="253"/>
        <v>-311.98</v>
      </c>
    </row>
    <row r="3189" spans="1:10" ht="12.5" x14ac:dyDescent="0.25">
      <c r="A3189" s="1">
        <v>45734</v>
      </c>
      <c r="B3189" s="2" t="s">
        <v>8</v>
      </c>
      <c r="C3189" s="3">
        <v>19.989999999999998</v>
      </c>
      <c r="D3189" s="3">
        <v>6</v>
      </c>
      <c r="E3189" s="3">
        <v>119.94</v>
      </c>
      <c r="F3189" t="str">
        <f t="shared" si="249"/>
        <v>cogs</v>
      </c>
      <c r="G3189" s="7" t="str">
        <f t="shared" si="252"/>
        <v>product 2</v>
      </c>
      <c r="H3189">
        <f t="shared" si="250"/>
        <v>2025</v>
      </c>
      <c r="I3189">
        <f t="shared" si="251"/>
        <v>3</v>
      </c>
      <c r="J3189">
        <f t="shared" si="253"/>
        <v>-38.43</v>
      </c>
    </row>
    <row r="3190" spans="1:10" ht="12.5" x14ac:dyDescent="0.25">
      <c r="A3190" s="1">
        <v>45734</v>
      </c>
      <c r="B3190" s="2" t="s">
        <v>9</v>
      </c>
      <c r="C3190" s="3">
        <v>8.99</v>
      </c>
      <c r="D3190" s="3">
        <v>230</v>
      </c>
      <c r="E3190" s="3">
        <v>2067.7000000000003</v>
      </c>
      <c r="F3190" t="str">
        <f t="shared" si="249"/>
        <v>cogs</v>
      </c>
      <c r="G3190" s="7" t="str">
        <f t="shared" si="252"/>
        <v>product 3</v>
      </c>
      <c r="H3190">
        <f t="shared" si="250"/>
        <v>2025</v>
      </c>
      <c r="I3190">
        <f t="shared" si="251"/>
        <v>3</v>
      </c>
      <c r="J3190">
        <f t="shared" si="253"/>
        <v>-119.94</v>
      </c>
    </row>
    <row r="3191" spans="1:10" ht="12.5" x14ac:dyDescent="0.25">
      <c r="A3191" s="1">
        <v>45734</v>
      </c>
      <c r="B3191" s="2" t="s">
        <v>10</v>
      </c>
      <c r="C3191" s="2" t="s">
        <v>6</v>
      </c>
      <c r="D3191" s="2" t="s">
        <v>6</v>
      </c>
      <c r="E3191" s="3">
        <v>101.06</v>
      </c>
      <c r="F3191" t="str">
        <f t="shared" si="249"/>
        <v>marketing</v>
      </c>
      <c r="G3191" s="7" t="s">
        <v>6</v>
      </c>
      <c r="H3191">
        <f t="shared" si="250"/>
        <v>2025</v>
      </c>
      <c r="I3191">
        <f t="shared" si="251"/>
        <v>3</v>
      </c>
      <c r="J3191">
        <f t="shared" si="253"/>
        <v>-2211.54</v>
      </c>
    </row>
    <row r="3192" spans="1:10" ht="12.5" x14ac:dyDescent="0.25">
      <c r="A3192" s="1">
        <v>45734</v>
      </c>
      <c r="B3192" s="2" t="s">
        <v>11</v>
      </c>
      <c r="C3192" s="3">
        <v>9.99</v>
      </c>
      <c r="D3192" s="3">
        <v>96</v>
      </c>
      <c r="E3192" s="3">
        <v>959.04</v>
      </c>
      <c r="F3192" t="str">
        <f t="shared" si="249"/>
        <v>net sales</v>
      </c>
      <c r="G3192" s="7" t="str">
        <f t="shared" si="252"/>
        <v>product 1</v>
      </c>
      <c r="H3192">
        <f t="shared" si="250"/>
        <v>2025</v>
      </c>
      <c r="I3192">
        <f t="shared" si="251"/>
        <v>3</v>
      </c>
      <c r="J3192">
        <f t="shared" si="253"/>
        <v>-112.97</v>
      </c>
    </row>
    <row r="3193" spans="1:10" ht="12.5" x14ac:dyDescent="0.25">
      <c r="A3193" s="1">
        <v>45734</v>
      </c>
      <c r="B3193" s="2" t="s">
        <v>12</v>
      </c>
      <c r="C3193" s="3">
        <v>24.99</v>
      </c>
      <c r="D3193" s="3">
        <v>6</v>
      </c>
      <c r="E3193" s="3">
        <v>149.94</v>
      </c>
      <c r="F3193" t="str">
        <f t="shared" si="249"/>
        <v>net sales</v>
      </c>
      <c r="G3193" s="7" t="str">
        <f t="shared" si="252"/>
        <v>product 2</v>
      </c>
      <c r="H3193">
        <f t="shared" si="250"/>
        <v>2025</v>
      </c>
      <c r="I3193">
        <f t="shared" si="251"/>
        <v>3</v>
      </c>
      <c r="J3193">
        <f t="shared" si="253"/>
        <v>69.930000000000007</v>
      </c>
    </row>
    <row r="3194" spans="1:10" ht="12.5" x14ac:dyDescent="0.25">
      <c r="A3194" s="1">
        <v>45734</v>
      </c>
      <c r="B3194" s="2" t="s">
        <v>13</v>
      </c>
      <c r="C3194" s="3">
        <v>12.49</v>
      </c>
      <c r="D3194" s="3">
        <v>230</v>
      </c>
      <c r="E3194" s="3">
        <v>2872.7000000000003</v>
      </c>
      <c r="F3194" t="str">
        <f t="shared" si="249"/>
        <v>net sales</v>
      </c>
      <c r="G3194" s="7" t="str">
        <f t="shared" si="252"/>
        <v>product 3</v>
      </c>
      <c r="H3194">
        <f t="shared" si="250"/>
        <v>2025</v>
      </c>
      <c r="I3194">
        <f t="shared" si="251"/>
        <v>3</v>
      </c>
      <c r="J3194">
        <f t="shared" si="253"/>
        <v>149.94</v>
      </c>
    </row>
    <row r="3195" spans="1:10" ht="12.5" x14ac:dyDescent="0.25">
      <c r="A3195" s="1">
        <v>45735</v>
      </c>
      <c r="B3195" s="2" t="s">
        <v>7</v>
      </c>
      <c r="C3195" s="3">
        <v>5.49</v>
      </c>
      <c r="D3195" s="3">
        <v>53</v>
      </c>
      <c r="E3195" s="3">
        <v>290.97000000000003</v>
      </c>
      <c r="F3195" t="str">
        <f t="shared" si="249"/>
        <v>cogs</v>
      </c>
      <c r="G3195" s="7" t="str">
        <f t="shared" si="252"/>
        <v>product 1</v>
      </c>
      <c r="H3195">
        <f t="shared" si="250"/>
        <v>2025</v>
      </c>
      <c r="I3195">
        <f t="shared" si="251"/>
        <v>3</v>
      </c>
      <c r="J3195">
        <f t="shared" si="253"/>
        <v>3072.54</v>
      </c>
    </row>
    <row r="3196" spans="1:10" ht="12.5" x14ac:dyDescent="0.25">
      <c r="A3196" s="1">
        <v>45735</v>
      </c>
      <c r="B3196" s="2" t="s">
        <v>8</v>
      </c>
      <c r="C3196" s="3">
        <v>19.989999999999998</v>
      </c>
      <c r="D3196" s="3">
        <v>2</v>
      </c>
      <c r="E3196" s="3">
        <v>39.979999999999997</v>
      </c>
      <c r="F3196" t="str">
        <f t="shared" si="249"/>
        <v>cogs</v>
      </c>
      <c r="G3196" s="7" t="str">
        <f t="shared" si="252"/>
        <v>product 2</v>
      </c>
      <c r="H3196">
        <f t="shared" si="250"/>
        <v>2025</v>
      </c>
      <c r="I3196">
        <f t="shared" si="251"/>
        <v>3</v>
      </c>
      <c r="J3196">
        <f t="shared" si="253"/>
        <v>-230.58</v>
      </c>
    </row>
    <row r="3197" spans="1:10" ht="12.5" x14ac:dyDescent="0.25">
      <c r="A3197" s="1">
        <v>45735</v>
      </c>
      <c r="B3197" s="2" t="s">
        <v>9</v>
      </c>
      <c r="C3197" s="3">
        <v>8.99</v>
      </c>
      <c r="D3197" s="3">
        <v>127</v>
      </c>
      <c r="E3197" s="3">
        <v>1141.73</v>
      </c>
      <c r="F3197" t="str">
        <f t="shared" si="249"/>
        <v>cogs</v>
      </c>
      <c r="G3197" s="7" t="str">
        <f t="shared" si="252"/>
        <v>product 3</v>
      </c>
      <c r="H3197">
        <f t="shared" si="250"/>
        <v>2025</v>
      </c>
      <c r="I3197">
        <f t="shared" si="251"/>
        <v>3</v>
      </c>
      <c r="J3197">
        <f t="shared" si="253"/>
        <v>-39.979999999999997</v>
      </c>
    </row>
    <row r="3198" spans="1:10" ht="12.5" x14ac:dyDescent="0.25">
      <c r="A3198" s="1">
        <v>45735</v>
      </c>
      <c r="B3198" s="2" t="s">
        <v>10</v>
      </c>
      <c r="C3198" s="2" t="s">
        <v>6</v>
      </c>
      <c r="D3198" s="2" t="s">
        <v>6</v>
      </c>
      <c r="E3198" s="3">
        <v>114.07000000000001</v>
      </c>
      <c r="F3198" t="str">
        <f t="shared" si="249"/>
        <v>marketing</v>
      </c>
      <c r="G3198" s="7" t="s">
        <v>6</v>
      </c>
      <c r="H3198">
        <f t="shared" si="250"/>
        <v>2025</v>
      </c>
      <c r="I3198">
        <f t="shared" si="251"/>
        <v>3</v>
      </c>
      <c r="J3198">
        <f t="shared" si="253"/>
        <v>-1717.0900000000001</v>
      </c>
    </row>
    <row r="3199" spans="1:10" ht="12.5" x14ac:dyDescent="0.25">
      <c r="A3199" s="1">
        <v>45735</v>
      </c>
      <c r="B3199" s="2" t="s">
        <v>11</v>
      </c>
      <c r="C3199" s="3">
        <v>9.99</v>
      </c>
      <c r="D3199" s="3">
        <v>53</v>
      </c>
      <c r="E3199" s="3">
        <v>529.47</v>
      </c>
      <c r="F3199" t="str">
        <f t="shared" si="249"/>
        <v>net sales</v>
      </c>
      <c r="G3199" s="7" t="str">
        <f t="shared" si="252"/>
        <v>product 1</v>
      </c>
      <c r="H3199">
        <f t="shared" si="250"/>
        <v>2025</v>
      </c>
      <c r="I3199">
        <f t="shared" si="251"/>
        <v>3</v>
      </c>
      <c r="J3199">
        <f t="shared" si="253"/>
        <v>-113.07000000000001</v>
      </c>
    </row>
    <row r="3200" spans="1:10" ht="12.5" x14ac:dyDescent="0.25">
      <c r="A3200" s="1">
        <v>45735</v>
      </c>
      <c r="B3200" s="2" t="s">
        <v>12</v>
      </c>
      <c r="C3200" s="3">
        <v>24.99</v>
      </c>
      <c r="D3200" s="3">
        <v>2</v>
      </c>
      <c r="E3200" s="3">
        <v>49.98</v>
      </c>
      <c r="F3200" t="str">
        <f t="shared" si="249"/>
        <v>net sales</v>
      </c>
      <c r="G3200" s="7" t="str">
        <f t="shared" si="252"/>
        <v>product 2</v>
      </c>
      <c r="H3200">
        <f t="shared" si="250"/>
        <v>2025</v>
      </c>
      <c r="I3200">
        <f t="shared" si="251"/>
        <v>3</v>
      </c>
      <c r="J3200">
        <f t="shared" si="253"/>
        <v>419.58</v>
      </c>
    </row>
    <row r="3201" spans="1:10" ht="12.5" x14ac:dyDescent="0.25">
      <c r="A3201" s="1">
        <v>45735</v>
      </c>
      <c r="B3201" s="2" t="s">
        <v>13</v>
      </c>
      <c r="C3201" s="3">
        <v>12.49</v>
      </c>
      <c r="D3201" s="3">
        <v>127</v>
      </c>
      <c r="E3201" s="3">
        <v>1586.23</v>
      </c>
      <c r="F3201" t="str">
        <f t="shared" si="249"/>
        <v>net sales</v>
      </c>
      <c r="G3201" s="7" t="str">
        <f t="shared" si="252"/>
        <v>product 3</v>
      </c>
      <c r="H3201">
        <f t="shared" si="250"/>
        <v>2025</v>
      </c>
      <c r="I3201">
        <f t="shared" si="251"/>
        <v>3</v>
      </c>
      <c r="J3201">
        <f t="shared" si="253"/>
        <v>49.98</v>
      </c>
    </row>
    <row r="3202" spans="1:10" ht="12.5" x14ac:dyDescent="0.25">
      <c r="A3202" s="1">
        <v>45736</v>
      </c>
      <c r="B3202" s="2" t="s">
        <v>7</v>
      </c>
      <c r="C3202" s="3">
        <v>5.49</v>
      </c>
      <c r="D3202" s="3">
        <v>45</v>
      </c>
      <c r="E3202" s="3">
        <v>247.05</v>
      </c>
      <c r="F3202" t="str">
        <f t="shared" si="249"/>
        <v>cogs</v>
      </c>
      <c r="G3202" s="7" t="str">
        <f t="shared" si="252"/>
        <v>product 1</v>
      </c>
      <c r="H3202">
        <f t="shared" si="250"/>
        <v>2025</v>
      </c>
      <c r="I3202">
        <f t="shared" si="251"/>
        <v>3</v>
      </c>
      <c r="J3202">
        <f t="shared" si="253"/>
        <v>2385.59</v>
      </c>
    </row>
    <row r="3203" spans="1:10" ht="12.5" x14ac:dyDescent="0.25">
      <c r="A3203" s="1">
        <v>45736</v>
      </c>
      <c r="B3203" s="2" t="s">
        <v>8</v>
      </c>
      <c r="C3203" s="3">
        <v>19.989999999999998</v>
      </c>
      <c r="D3203" s="3">
        <v>0</v>
      </c>
      <c r="E3203" s="2">
        <f>C3203*D3203</f>
        <v>0</v>
      </c>
      <c r="F3203" t="str">
        <f t="shared" ref="F3203:F3266" si="254">IFERROR(LEFT(B3203,FIND(":",B3203)-1),B3203)</f>
        <v>cogs</v>
      </c>
      <c r="G3203" s="7" t="str">
        <f t="shared" ref="G3203:G3266" si="255">IFERROR(RIGHT(B3203,LEN(B3203)-FIND(":",B3203)),"")</f>
        <v>product 2</v>
      </c>
      <c r="H3203">
        <f t="shared" ref="H3203:H3266" si="256">YEAR(A3203)</f>
        <v>2025</v>
      </c>
      <c r="I3203">
        <f t="shared" ref="I3203:I3266" si="257">MONTH(A3203)</f>
        <v>3</v>
      </c>
      <c r="J3203">
        <f t="shared" si="253"/>
        <v>-104.31</v>
      </c>
    </row>
    <row r="3204" spans="1:10" ht="12.5" x14ac:dyDescent="0.25">
      <c r="A3204" s="1">
        <v>45736</v>
      </c>
      <c r="B3204" s="2" t="s">
        <v>9</v>
      </c>
      <c r="C3204" s="3">
        <v>8.99</v>
      </c>
      <c r="D3204" s="3">
        <v>246</v>
      </c>
      <c r="E3204" s="3">
        <v>2211.54</v>
      </c>
      <c r="F3204" t="str">
        <f t="shared" si="254"/>
        <v>cogs</v>
      </c>
      <c r="G3204" s="7" t="str">
        <f t="shared" si="255"/>
        <v>product 3</v>
      </c>
      <c r="H3204">
        <f t="shared" si="256"/>
        <v>2025</v>
      </c>
      <c r="I3204">
        <f t="shared" si="257"/>
        <v>3</v>
      </c>
      <c r="J3204">
        <f t="shared" si="253"/>
        <v>-119.94</v>
      </c>
    </row>
    <row r="3205" spans="1:10" ht="12.5" x14ac:dyDescent="0.25">
      <c r="A3205" s="1">
        <v>45736</v>
      </c>
      <c r="B3205" s="2" t="s">
        <v>10</v>
      </c>
      <c r="C3205" s="2" t="s">
        <v>6</v>
      </c>
      <c r="D3205" s="2" t="s">
        <v>6</v>
      </c>
      <c r="E3205" s="3">
        <v>118.91</v>
      </c>
      <c r="F3205" t="str">
        <f t="shared" si="254"/>
        <v>marketing</v>
      </c>
      <c r="G3205" s="7" t="s">
        <v>6</v>
      </c>
      <c r="H3205">
        <f t="shared" si="256"/>
        <v>2025</v>
      </c>
      <c r="I3205">
        <f t="shared" si="257"/>
        <v>3</v>
      </c>
      <c r="J3205">
        <f t="shared" si="253"/>
        <v>-1438.4</v>
      </c>
    </row>
    <row r="3206" spans="1:10" ht="12.5" x14ac:dyDescent="0.25">
      <c r="A3206" s="1">
        <v>45736</v>
      </c>
      <c r="B3206" s="2" t="s">
        <v>11</v>
      </c>
      <c r="C3206" s="3">
        <v>9.99</v>
      </c>
      <c r="D3206" s="3">
        <v>45</v>
      </c>
      <c r="E3206" s="3">
        <v>449.55</v>
      </c>
      <c r="F3206" t="str">
        <f t="shared" si="254"/>
        <v>net sales</v>
      </c>
      <c r="G3206" s="7" t="str">
        <f t="shared" si="255"/>
        <v>product 1</v>
      </c>
      <c r="H3206">
        <f t="shared" si="256"/>
        <v>2025</v>
      </c>
      <c r="I3206">
        <f t="shared" si="257"/>
        <v>3</v>
      </c>
      <c r="J3206">
        <f t="shared" si="253"/>
        <v>-114.07000000000001</v>
      </c>
    </row>
    <row r="3207" spans="1:10" ht="12.5" x14ac:dyDescent="0.25">
      <c r="A3207" s="1">
        <v>45736</v>
      </c>
      <c r="B3207" s="2" t="s">
        <v>12</v>
      </c>
      <c r="C3207" s="3">
        <v>24.99</v>
      </c>
      <c r="D3207" s="3">
        <v>0</v>
      </c>
      <c r="E3207" s="2">
        <f>C3207*D3207</f>
        <v>0</v>
      </c>
      <c r="F3207" t="str">
        <f t="shared" si="254"/>
        <v>net sales</v>
      </c>
      <c r="G3207" s="7" t="str">
        <f t="shared" si="255"/>
        <v>product 2</v>
      </c>
      <c r="H3207">
        <f t="shared" si="256"/>
        <v>2025</v>
      </c>
      <c r="I3207">
        <f t="shared" si="257"/>
        <v>3</v>
      </c>
      <c r="J3207">
        <f t="shared" si="253"/>
        <v>189.81</v>
      </c>
    </row>
    <row r="3208" spans="1:10" ht="12.5" x14ac:dyDescent="0.25">
      <c r="A3208" s="1">
        <v>45736</v>
      </c>
      <c r="B3208" s="2" t="s">
        <v>13</v>
      </c>
      <c r="C3208" s="3">
        <v>12.49</v>
      </c>
      <c r="D3208" s="3">
        <v>246</v>
      </c>
      <c r="E3208" s="3">
        <v>3072.54</v>
      </c>
      <c r="F3208" t="str">
        <f t="shared" si="254"/>
        <v>net sales</v>
      </c>
      <c r="G3208" s="7" t="str">
        <f t="shared" si="255"/>
        <v>product 3</v>
      </c>
      <c r="H3208">
        <f t="shared" si="256"/>
        <v>2025</v>
      </c>
      <c r="I3208">
        <f t="shared" si="257"/>
        <v>3</v>
      </c>
      <c r="J3208">
        <f t="shared" si="253"/>
        <v>149.94</v>
      </c>
    </row>
    <row r="3209" spans="1:10" ht="12.5" x14ac:dyDescent="0.25">
      <c r="A3209" s="1">
        <v>45737</v>
      </c>
      <c r="B3209" s="2" t="s">
        <v>7</v>
      </c>
      <c r="C3209" s="3">
        <v>5.49</v>
      </c>
      <c r="D3209" s="3">
        <v>6</v>
      </c>
      <c r="E3209" s="3">
        <v>32.94</v>
      </c>
      <c r="F3209" t="str">
        <f t="shared" si="254"/>
        <v>cogs</v>
      </c>
      <c r="G3209" s="7" t="str">
        <f t="shared" si="255"/>
        <v>product 1</v>
      </c>
      <c r="H3209">
        <f t="shared" si="256"/>
        <v>2025</v>
      </c>
      <c r="I3209">
        <f t="shared" si="257"/>
        <v>3</v>
      </c>
      <c r="J3209">
        <f t="shared" si="253"/>
        <v>1998.4</v>
      </c>
    </row>
    <row r="3210" spans="1:10" ht="12.5" x14ac:dyDescent="0.25">
      <c r="A3210" s="1">
        <v>45737</v>
      </c>
      <c r="B3210" s="2" t="s">
        <v>8</v>
      </c>
      <c r="C3210" s="3">
        <v>19.989999999999998</v>
      </c>
      <c r="D3210" s="3">
        <v>7</v>
      </c>
      <c r="E3210" s="3">
        <v>139.92999999999998</v>
      </c>
      <c r="F3210" t="str">
        <f t="shared" si="254"/>
        <v>cogs</v>
      </c>
      <c r="G3210" s="7" t="str">
        <f t="shared" si="255"/>
        <v>product 2</v>
      </c>
      <c r="H3210">
        <f t="shared" si="256"/>
        <v>2025</v>
      </c>
      <c r="I3210">
        <f t="shared" si="257"/>
        <v>3</v>
      </c>
      <c r="J3210">
        <f t="shared" si="253"/>
        <v>-236.07000000000002</v>
      </c>
    </row>
    <row r="3211" spans="1:10" ht="12.5" x14ac:dyDescent="0.25">
      <c r="A3211" s="1">
        <v>45737</v>
      </c>
      <c r="B3211" s="2" t="s">
        <v>9</v>
      </c>
      <c r="C3211" s="3">
        <v>8.99</v>
      </c>
      <c r="D3211" s="3">
        <v>6</v>
      </c>
      <c r="E3211" s="3">
        <v>53.94</v>
      </c>
      <c r="F3211" t="str">
        <f t="shared" si="254"/>
        <v>cogs</v>
      </c>
      <c r="G3211" s="7" t="str">
        <f t="shared" si="255"/>
        <v>product 3</v>
      </c>
      <c r="H3211">
        <f t="shared" si="256"/>
        <v>2025</v>
      </c>
      <c r="I3211">
        <f t="shared" si="257"/>
        <v>3</v>
      </c>
      <c r="J3211">
        <f t="shared" si="253"/>
        <v>-139.92999999999998</v>
      </c>
    </row>
    <row r="3212" spans="1:10" ht="12.5" x14ac:dyDescent="0.25">
      <c r="A3212" s="1">
        <v>45737</v>
      </c>
      <c r="B3212" s="2" t="s">
        <v>10</v>
      </c>
      <c r="C3212" s="2" t="s">
        <v>6</v>
      </c>
      <c r="D3212" s="2" t="s">
        <v>6</v>
      </c>
      <c r="E3212" s="3">
        <v>106.08</v>
      </c>
      <c r="F3212" t="str">
        <f t="shared" si="254"/>
        <v>marketing</v>
      </c>
      <c r="G3212" s="7" t="s">
        <v>6</v>
      </c>
      <c r="H3212">
        <f t="shared" si="256"/>
        <v>2025</v>
      </c>
      <c r="I3212">
        <f t="shared" si="257"/>
        <v>3</v>
      </c>
      <c r="J3212">
        <f t="shared" si="253"/>
        <v>-1339.51</v>
      </c>
    </row>
    <row r="3213" spans="1:10" ht="12.5" x14ac:dyDescent="0.25">
      <c r="A3213" s="1">
        <v>45737</v>
      </c>
      <c r="B3213" s="2" t="s">
        <v>11</v>
      </c>
      <c r="C3213" s="3">
        <v>9.99</v>
      </c>
      <c r="D3213" s="3">
        <v>6</v>
      </c>
      <c r="E3213" s="3">
        <v>59.94</v>
      </c>
      <c r="F3213" t="str">
        <f t="shared" si="254"/>
        <v>net sales</v>
      </c>
      <c r="G3213" s="7" t="str">
        <f t="shared" si="255"/>
        <v>product 1</v>
      </c>
      <c r="H3213">
        <f t="shared" si="256"/>
        <v>2025</v>
      </c>
      <c r="I3213">
        <f t="shared" si="257"/>
        <v>3</v>
      </c>
      <c r="J3213">
        <f t="shared" si="253"/>
        <v>-105.99000000000001</v>
      </c>
    </row>
    <row r="3214" spans="1:10" ht="12.5" x14ac:dyDescent="0.25">
      <c r="A3214" s="1">
        <v>45737</v>
      </c>
      <c r="B3214" s="2" t="s">
        <v>12</v>
      </c>
      <c r="C3214" s="3">
        <v>24.99</v>
      </c>
      <c r="D3214" s="3">
        <v>7</v>
      </c>
      <c r="E3214" s="3">
        <v>174.92999999999998</v>
      </c>
      <c r="F3214" t="str">
        <f t="shared" si="254"/>
        <v>net sales</v>
      </c>
      <c r="G3214" s="7" t="str">
        <f t="shared" si="255"/>
        <v>product 2</v>
      </c>
      <c r="H3214">
        <f t="shared" si="256"/>
        <v>2025</v>
      </c>
      <c r="I3214">
        <f t="shared" si="257"/>
        <v>3</v>
      </c>
      <c r="J3214">
        <f t="shared" si="253"/>
        <v>429.57</v>
      </c>
    </row>
    <row r="3215" spans="1:10" ht="12.5" x14ac:dyDescent="0.25">
      <c r="A3215" s="1">
        <v>45737</v>
      </c>
      <c r="B3215" s="2" t="s">
        <v>13</v>
      </c>
      <c r="C3215" s="3">
        <v>12.49</v>
      </c>
      <c r="D3215" s="3">
        <v>6</v>
      </c>
      <c r="E3215" s="3">
        <v>74.94</v>
      </c>
      <c r="F3215" t="str">
        <f t="shared" si="254"/>
        <v>net sales</v>
      </c>
      <c r="G3215" s="7" t="str">
        <f t="shared" si="255"/>
        <v>product 3</v>
      </c>
      <c r="H3215">
        <f t="shared" si="256"/>
        <v>2025</v>
      </c>
      <c r="I3215">
        <f t="shared" si="257"/>
        <v>3</v>
      </c>
      <c r="J3215">
        <f t="shared" si="253"/>
        <v>174.92999999999998</v>
      </c>
    </row>
    <row r="3216" spans="1:10" ht="12.5" x14ac:dyDescent="0.25">
      <c r="A3216" s="1">
        <v>45738</v>
      </c>
      <c r="B3216" s="2" t="s">
        <v>7</v>
      </c>
      <c r="C3216" s="3">
        <v>5.49</v>
      </c>
      <c r="D3216" s="3">
        <v>47</v>
      </c>
      <c r="E3216" s="3">
        <v>258.03000000000003</v>
      </c>
      <c r="F3216" t="str">
        <f t="shared" si="254"/>
        <v>cogs</v>
      </c>
      <c r="G3216" s="7" t="str">
        <f t="shared" si="255"/>
        <v>product 1</v>
      </c>
      <c r="H3216">
        <f t="shared" si="256"/>
        <v>2025</v>
      </c>
      <c r="I3216">
        <f t="shared" si="257"/>
        <v>3</v>
      </c>
      <c r="J3216">
        <f t="shared" si="253"/>
        <v>1861.01</v>
      </c>
    </row>
    <row r="3217" spans="1:10" ht="12.5" x14ac:dyDescent="0.25">
      <c r="A3217" s="1">
        <v>45738</v>
      </c>
      <c r="B3217" s="2" t="s">
        <v>8</v>
      </c>
      <c r="C3217" s="3">
        <v>19.989999999999998</v>
      </c>
      <c r="D3217" s="3">
        <v>9</v>
      </c>
      <c r="E3217" s="3">
        <v>179.91</v>
      </c>
      <c r="F3217" t="str">
        <f t="shared" si="254"/>
        <v>cogs</v>
      </c>
      <c r="G3217" s="7" t="str">
        <f t="shared" si="255"/>
        <v>product 2</v>
      </c>
      <c r="H3217">
        <f t="shared" si="256"/>
        <v>2025</v>
      </c>
      <c r="I3217">
        <f t="shared" si="257"/>
        <v>3</v>
      </c>
      <c r="J3217">
        <f t="shared" si="253"/>
        <v>-115.29</v>
      </c>
    </row>
    <row r="3218" spans="1:10" ht="12.5" x14ac:dyDescent="0.25">
      <c r="A3218" s="1">
        <v>45738</v>
      </c>
      <c r="B3218" s="2" t="s">
        <v>9</v>
      </c>
      <c r="C3218" s="3">
        <v>8.99</v>
      </c>
      <c r="D3218" s="3">
        <v>50</v>
      </c>
      <c r="E3218" s="3">
        <v>449.5</v>
      </c>
      <c r="F3218" t="str">
        <f t="shared" si="254"/>
        <v>cogs</v>
      </c>
      <c r="G3218" s="7" t="str">
        <f t="shared" si="255"/>
        <v>product 3</v>
      </c>
      <c r="H3218">
        <f t="shared" si="256"/>
        <v>2025</v>
      </c>
      <c r="I3218">
        <f t="shared" si="257"/>
        <v>3</v>
      </c>
      <c r="J3218">
        <f t="shared" si="253"/>
        <v>-79.959999999999994</v>
      </c>
    </row>
    <row r="3219" spans="1:10" ht="12.5" x14ac:dyDescent="0.25">
      <c r="A3219" s="1">
        <v>45738</v>
      </c>
      <c r="B3219" s="2" t="s">
        <v>10</v>
      </c>
      <c r="C3219" s="2" t="s">
        <v>6</v>
      </c>
      <c r="D3219" s="2" t="s">
        <v>6</v>
      </c>
      <c r="E3219" s="3">
        <v>110.98</v>
      </c>
      <c r="F3219" t="str">
        <f t="shared" si="254"/>
        <v>marketing</v>
      </c>
      <c r="G3219" s="7" t="s">
        <v>6</v>
      </c>
      <c r="H3219">
        <f t="shared" si="256"/>
        <v>2025</v>
      </c>
      <c r="I3219">
        <f t="shared" si="257"/>
        <v>3</v>
      </c>
      <c r="J3219">
        <f t="shared" si="253"/>
        <v>-1681.13</v>
      </c>
    </row>
    <row r="3220" spans="1:10" ht="12.5" x14ac:dyDescent="0.25">
      <c r="A3220" s="1">
        <v>45738</v>
      </c>
      <c r="B3220" s="2" t="s">
        <v>11</v>
      </c>
      <c r="C3220" s="3">
        <v>9.99</v>
      </c>
      <c r="D3220" s="3">
        <v>47</v>
      </c>
      <c r="E3220" s="3">
        <v>469.53000000000003</v>
      </c>
      <c r="F3220" t="str">
        <f t="shared" si="254"/>
        <v>net sales</v>
      </c>
      <c r="G3220" s="7" t="str">
        <f t="shared" si="255"/>
        <v>product 1</v>
      </c>
      <c r="H3220">
        <f t="shared" si="256"/>
        <v>2025</v>
      </c>
      <c r="I3220">
        <f t="shared" si="257"/>
        <v>3</v>
      </c>
      <c r="J3220">
        <f t="shared" si="253"/>
        <v>-107.03</v>
      </c>
    </row>
    <row r="3221" spans="1:10" ht="12.5" x14ac:dyDescent="0.25">
      <c r="A3221" s="1">
        <v>45738</v>
      </c>
      <c r="B3221" s="2" t="s">
        <v>12</v>
      </c>
      <c r="C3221" s="3">
        <v>24.99</v>
      </c>
      <c r="D3221" s="3">
        <v>9</v>
      </c>
      <c r="E3221" s="3">
        <v>224.91</v>
      </c>
      <c r="F3221" t="str">
        <f t="shared" si="254"/>
        <v>net sales</v>
      </c>
      <c r="G3221" s="7" t="str">
        <f t="shared" si="255"/>
        <v>product 2</v>
      </c>
      <c r="H3221">
        <f t="shared" si="256"/>
        <v>2025</v>
      </c>
      <c r="I3221">
        <f t="shared" si="257"/>
        <v>3</v>
      </c>
      <c r="J3221">
        <f t="shared" si="253"/>
        <v>209.79</v>
      </c>
    </row>
    <row r="3222" spans="1:10" ht="12.5" x14ac:dyDescent="0.25">
      <c r="A3222" s="1">
        <v>45738</v>
      </c>
      <c r="B3222" s="2" t="s">
        <v>13</v>
      </c>
      <c r="C3222" s="3">
        <v>12.49</v>
      </c>
      <c r="D3222" s="3">
        <v>50</v>
      </c>
      <c r="E3222" s="3">
        <v>624.5</v>
      </c>
      <c r="F3222" t="str">
        <f t="shared" si="254"/>
        <v>net sales</v>
      </c>
      <c r="G3222" s="7" t="str">
        <f t="shared" si="255"/>
        <v>product 3</v>
      </c>
      <c r="H3222">
        <f t="shared" si="256"/>
        <v>2025</v>
      </c>
      <c r="I3222">
        <f t="shared" si="257"/>
        <v>3</v>
      </c>
      <c r="J3222">
        <f t="shared" si="253"/>
        <v>99.96</v>
      </c>
    </row>
    <row r="3223" spans="1:10" ht="12.5" x14ac:dyDescent="0.25">
      <c r="A3223" s="1">
        <v>45739</v>
      </c>
      <c r="B3223" s="2" t="s">
        <v>7</v>
      </c>
      <c r="C3223" s="3">
        <v>5.49</v>
      </c>
      <c r="D3223" s="3">
        <v>44</v>
      </c>
      <c r="E3223" s="3">
        <v>241.56</v>
      </c>
      <c r="F3223" t="str">
        <f t="shared" si="254"/>
        <v>cogs</v>
      </c>
      <c r="G3223" s="7" t="str">
        <f t="shared" si="255"/>
        <v>product 1</v>
      </c>
      <c r="H3223">
        <f t="shared" si="256"/>
        <v>2025</v>
      </c>
      <c r="I3223">
        <f t="shared" si="257"/>
        <v>3</v>
      </c>
      <c r="J3223">
        <f t="shared" si="253"/>
        <v>2335.63</v>
      </c>
    </row>
    <row r="3224" spans="1:10" ht="12.5" x14ac:dyDescent="0.25">
      <c r="A3224" s="1">
        <v>45739</v>
      </c>
      <c r="B3224" s="2" t="s">
        <v>8</v>
      </c>
      <c r="C3224" s="3">
        <v>19.989999999999998</v>
      </c>
      <c r="D3224" s="3">
        <v>8</v>
      </c>
      <c r="E3224" s="3">
        <v>159.91999999999999</v>
      </c>
      <c r="F3224" t="str">
        <f t="shared" si="254"/>
        <v>cogs</v>
      </c>
      <c r="G3224" s="7" t="str">
        <f t="shared" si="255"/>
        <v>product 2</v>
      </c>
      <c r="H3224">
        <f t="shared" si="256"/>
        <v>2025</v>
      </c>
      <c r="I3224">
        <f t="shared" si="257"/>
        <v>3</v>
      </c>
      <c r="J3224">
        <f t="shared" si="253"/>
        <v>-164.70000000000002</v>
      </c>
    </row>
    <row r="3225" spans="1:10" ht="12.5" x14ac:dyDescent="0.25">
      <c r="A3225" s="1">
        <v>45739</v>
      </c>
      <c r="B3225" s="2" t="s">
        <v>9</v>
      </c>
      <c r="C3225" s="3">
        <v>8.99</v>
      </c>
      <c r="D3225" s="3">
        <v>65</v>
      </c>
      <c r="E3225" s="3">
        <v>584.35</v>
      </c>
      <c r="F3225" t="str">
        <f t="shared" si="254"/>
        <v>cogs</v>
      </c>
      <c r="G3225" s="7" t="str">
        <f t="shared" si="255"/>
        <v>product 3</v>
      </c>
      <c r="H3225">
        <f t="shared" si="256"/>
        <v>2025</v>
      </c>
      <c r="I3225">
        <f t="shared" si="257"/>
        <v>3</v>
      </c>
      <c r="J3225">
        <f t="shared" si="253"/>
        <v>-139.92999999999998</v>
      </c>
    </row>
    <row r="3226" spans="1:10" ht="12.5" x14ac:dyDescent="0.25">
      <c r="A3226" s="1">
        <v>45739</v>
      </c>
      <c r="B3226" s="2" t="s">
        <v>10</v>
      </c>
      <c r="C3226" s="2" t="s">
        <v>6</v>
      </c>
      <c r="D3226" s="2" t="s">
        <v>6</v>
      </c>
      <c r="E3226" s="3">
        <v>118.02</v>
      </c>
      <c r="F3226" t="str">
        <f t="shared" si="254"/>
        <v>marketing</v>
      </c>
      <c r="G3226" s="7" t="s">
        <v>6</v>
      </c>
      <c r="H3226">
        <f t="shared" si="256"/>
        <v>2025</v>
      </c>
      <c r="I3226">
        <f t="shared" si="257"/>
        <v>3</v>
      </c>
      <c r="J3226">
        <f t="shared" si="253"/>
        <v>-1069.81</v>
      </c>
    </row>
    <row r="3227" spans="1:10" ht="12.5" x14ac:dyDescent="0.25">
      <c r="A3227" s="1">
        <v>45739</v>
      </c>
      <c r="B3227" s="2" t="s">
        <v>11</v>
      </c>
      <c r="C3227" s="3">
        <v>9.99</v>
      </c>
      <c r="D3227" s="3">
        <v>44</v>
      </c>
      <c r="E3227" s="3">
        <v>439.56</v>
      </c>
      <c r="F3227" t="str">
        <f t="shared" si="254"/>
        <v>net sales</v>
      </c>
      <c r="G3227" s="7" t="str">
        <f t="shared" si="255"/>
        <v>product 1</v>
      </c>
      <c r="H3227">
        <f t="shared" si="256"/>
        <v>2025</v>
      </c>
      <c r="I3227">
        <f t="shared" si="257"/>
        <v>3</v>
      </c>
      <c r="J3227">
        <f t="shared" si="253"/>
        <v>-103.07000000000001</v>
      </c>
    </row>
    <row r="3228" spans="1:10" ht="12.5" x14ac:dyDescent="0.25">
      <c r="A3228" s="1">
        <v>45739</v>
      </c>
      <c r="B3228" s="2" t="s">
        <v>12</v>
      </c>
      <c r="C3228" s="3">
        <v>24.99</v>
      </c>
      <c r="D3228" s="3">
        <v>8</v>
      </c>
      <c r="E3228" s="3">
        <v>199.92</v>
      </c>
      <c r="F3228" t="str">
        <f t="shared" si="254"/>
        <v>net sales</v>
      </c>
      <c r="G3228" s="7" t="str">
        <f t="shared" si="255"/>
        <v>product 2</v>
      </c>
      <c r="H3228">
        <f t="shared" si="256"/>
        <v>2025</v>
      </c>
      <c r="I3228">
        <f t="shared" si="257"/>
        <v>3</v>
      </c>
      <c r="J3228">
        <f t="shared" ref="J3228:J3291" si="258">IF(F3011="net sales",E3011,
IF(F3011="cogs",-E3011,
IF(OR(F3011="marketing",F3011="overhead",F3011="payroll",F3011="interest","amortization"),-E3011,0)))</f>
        <v>299.7</v>
      </c>
    </row>
    <row r="3229" spans="1:10" ht="12.5" x14ac:dyDescent="0.25">
      <c r="A3229" s="1">
        <v>45739</v>
      </c>
      <c r="B3229" s="2" t="s">
        <v>13</v>
      </c>
      <c r="C3229" s="3">
        <v>12.49</v>
      </c>
      <c r="D3229" s="3">
        <v>65</v>
      </c>
      <c r="E3229" s="3">
        <v>811.85</v>
      </c>
      <c r="F3229" t="str">
        <f t="shared" si="254"/>
        <v>net sales</v>
      </c>
      <c r="G3229" s="7" t="str">
        <f t="shared" si="255"/>
        <v>product 3</v>
      </c>
      <c r="H3229">
        <f t="shared" si="256"/>
        <v>2025</v>
      </c>
      <c r="I3229">
        <f t="shared" si="257"/>
        <v>3</v>
      </c>
      <c r="J3229">
        <f t="shared" si="258"/>
        <v>174.92999999999998</v>
      </c>
    </row>
    <row r="3230" spans="1:10" ht="12.5" x14ac:dyDescent="0.25">
      <c r="A3230" s="1">
        <v>45740</v>
      </c>
      <c r="B3230" s="2" t="s">
        <v>7</v>
      </c>
      <c r="C3230" s="3">
        <v>5.49</v>
      </c>
      <c r="D3230" s="3">
        <v>86</v>
      </c>
      <c r="E3230" s="3">
        <v>472.14000000000004</v>
      </c>
      <c r="F3230" t="str">
        <f t="shared" si="254"/>
        <v>cogs</v>
      </c>
      <c r="G3230" s="7" t="str">
        <f t="shared" si="255"/>
        <v>product 1</v>
      </c>
      <c r="H3230">
        <f t="shared" si="256"/>
        <v>2025</v>
      </c>
      <c r="I3230">
        <f t="shared" si="257"/>
        <v>3</v>
      </c>
      <c r="J3230">
        <f t="shared" si="258"/>
        <v>1486.31</v>
      </c>
    </row>
    <row r="3231" spans="1:10" ht="12.5" x14ac:dyDescent="0.25">
      <c r="A3231" s="1">
        <v>45740</v>
      </c>
      <c r="B3231" s="2" t="s">
        <v>8</v>
      </c>
      <c r="C3231" s="3">
        <v>19.989999999999998</v>
      </c>
      <c r="D3231" s="3">
        <v>5</v>
      </c>
      <c r="E3231" s="3">
        <v>99.949999999999989</v>
      </c>
      <c r="F3231" t="str">
        <f t="shared" si="254"/>
        <v>cogs</v>
      </c>
      <c r="G3231" s="7" t="str">
        <f t="shared" si="255"/>
        <v>product 2</v>
      </c>
      <c r="H3231">
        <f t="shared" si="256"/>
        <v>2025</v>
      </c>
      <c r="I3231">
        <f t="shared" si="257"/>
        <v>3</v>
      </c>
      <c r="J3231">
        <f t="shared" si="258"/>
        <v>-389.79</v>
      </c>
    </row>
    <row r="3232" spans="1:10" ht="12.5" x14ac:dyDescent="0.25">
      <c r="A3232" s="1">
        <v>45740</v>
      </c>
      <c r="B3232" s="2" t="s">
        <v>9</v>
      </c>
      <c r="C3232" s="3">
        <v>8.99</v>
      </c>
      <c r="D3232" s="3">
        <v>177</v>
      </c>
      <c r="E3232" s="3">
        <v>1591.23</v>
      </c>
      <c r="F3232" t="str">
        <f t="shared" si="254"/>
        <v>cogs</v>
      </c>
      <c r="G3232" s="7" t="str">
        <f t="shared" si="255"/>
        <v>product 3</v>
      </c>
      <c r="H3232">
        <f t="shared" si="256"/>
        <v>2025</v>
      </c>
      <c r="I3232">
        <f t="shared" si="257"/>
        <v>3</v>
      </c>
      <c r="J3232">
        <f t="shared" si="258"/>
        <v>-179.91</v>
      </c>
    </row>
    <row r="3233" spans="1:10" ht="12.5" x14ac:dyDescent="0.25">
      <c r="A3233" s="1">
        <v>45740</v>
      </c>
      <c r="B3233" s="2" t="s">
        <v>10</v>
      </c>
      <c r="C3233" s="2" t="s">
        <v>6</v>
      </c>
      <c r="D3233" s="2" t="s">
        <v>6</v>
      </c>
      <c r="E3233" s="3">
        <v>115</v>
      </c>
      <c r="F3233" t="str">
        <f t="shared" si="254"/>
        <v>marketing</v>
      </c>
      <c r="G3233" s="7" t="s">
        <v>6</v>
      </c>
      <c r="H3233">
        <f t="shared" si="256"/>
        <v>2025</v>
      </c>
      <c r="I3233">
        <f t="shared" si="257"/>
        <v>3</v>
      </c>
      <c r="J3233">
        <f t="shared" si="258"/>
        <v>-1114.76</v>
      </c>
    </row>
    <row r="3234" spans="1:10" ht="12.5" x14ac:dyDescent="0.25">
      <c r="A3234" s="1">
        <v>45740</v>
      </c>
      <c r="B3234" s="2" t="s">
        <v>11</v>
      </c>
      <c r="C3234" s="3">
        <v>9.99</v>
      </c>
      <c r="D3234" s="3">
        <v>86</v>
      </c>
      <c r="E3234" s="3">
        <v>859.14</v>
      </c>
      <c r="F3234" t="str">
        <f t="shared" si="254"/>
        <v>net sales</v>
      </c>
      <c r="G3234" s="7" t="str">
        <f t="shared" si="255"/>
        <v>product 1</v>
      </c>
      <c r="H3234">
        <f t="shared" si="256"/>
        <v>2025</v>
      </c>
      <c r="I3234">
        <f t="shared" si="257"/>
        <v>3</v>
      </c>
      <c r="J3234">
        <f t="shared" si="258"/>
        <v>-117.02</v>
      </c>
    </row>
    <row r="3235" spans="1:10" ht="12.5" x14ac:dyDescent="0.25">
      <c r="A3235" s="1">
        <v>45740</v>
      </c>
      <c r="B3235" s="2" t="s">
        <v>12</v>
      </c>
      <c r="C3235" s="3">
        <v>24.99</v>
      </c>
      <c r="D3235" s="3">
        <v>5</v>
      </c>
      <c r="E3235" s="3">
        <v>124.94999999999999</v>
      </c>
      <c r="F3235" t="str">
        <f t="shared" si="254"/>
        <v>net sales</v>
      </c>
      <c r="G3235" s="7" t="str">
        <f t="shared" si="255"/>
        <v>product 2</v>
      </c>
      <c r="H3235">
        <f t="shared" si="256"/>
        <v>2025</v>
      </c>
      <c r="I3235">
        <f t="shared" si="257"/>
        <v>3</v>
      </c>
      <c r="J3235">
        <f t="shared" si="258"/>
        <v>709.29</v>
      </c>
    </row>
    <row r="3236" spans="1:10" ht="12.5" x14ac:dyDescent="0.25">
      <c r="A3236" s="1">
        <v>45740</v>
      </c>
      <c r="B3236" s="2" t="s">
        <v>13</v>
      </c>
      <c r="C3236" s="3">
        <v>12.49</v>
      </c>
      <c r="D3236" s="3">
        <v>177</v>
      </c>
      <c r="E3236" s="3">
        <v>2210.73</v>
      </c>
      <c r="F3236" t="str">
        <f t="shared" si="254"/>
        <v>net sales</v>
      </c>
      <c r="G3236" s="7" t="str">
        <f t="shared" si="255"/>
        <v>product 3</v>
      </c>
      <c r="H3236">
        <f t="shared" si="256"/>
        <v>2025</v>
      </c>
      <c r="I3236">
        <f t="shared" si="257"/>
        <v>3</v>
      </c>
      <c r="J3236">
        <f t="shared" si="258"/>
        <v>224.91</v>
      </c>
    </row>
    <row r="3237" spans="1:10" ht="12.5" x14ac:dyDescent="0.25">
      <c r="A3237" s="1">
        <v>45741</v>
      </c>
      <c r="B3237" s="2" t="s">
        <v>7</v>
      </c>
      <c r="C3237" s="3">
        <v>5.49</v>
      </c>
      <c r="D3237" s="3">
        <v>7</v>
      </c>
      <c r="E3237" s="3">
        <v>38.43</v>
      </c>
      <c r="F3237" t="str">
        <f t="shared" si="254"/>
        <v>cogs</v>
      </c>
      <c r="G3237" s="7" t="str">
        <f t="shared" si="255"/>
        <v>product 1</v>
      </c>
      <c r="H3237">
        <f t="shared" si="256"/>
        <v>2025</v>
      </c>
      <c r="I3237">
        <f t="shared" si="257"/>
        <v>3</v>
      </c>
      <c r="J3237">
        <f t="shared" si="258"/>
        <v>1548.76</v>
      </c>
    </row>
    <row r="3238" spans="1:10" ht="12.5" x14ac:dyDescent="0.25">
      <c r="A3238" s="1">
        <v>45741</v>
      </c>
      <c r="B3238" s="2" t="s">
        <v>8</v>
      </c>
      <c r="C3238" s="3">
        <v>19.989999999999998</v>
      </c>
      <c r="D3238" s="3">
        <v>1</v>
      </c>
      <c r="E3238" s="3">
        <v>19.989999999999998</v>
      </c>
      <c r="F3238" t="str">
        <f t="shared" si="254"/>
        <v>cogs</v>
      </c>
      <c r="G3238" s="7" t="str">
        <f t="shared" si="255"/>
        <v>product 2</v>
      </c>
      <c r="H3238">
        <f t="shared" si="256"/>
        <v>2025</v>
      </c>
      <c r="I3238">
        <f t="shared" si="257"/>
        <v>3</v>
      </c>
      <c r="J3238">
        <f t="shared" si="258"/>
        <v>-472.14000000000004</v>
      </c>
    </row>
    <row r="3239" spans="1:10" ht="12.5" x14ac:dyDescent="0.25">
      <c r="A3239" s="1">
        <v>45741</v>
      </c>
      <c r="B3239" s="2" t="s">
        <v>9</v>
      </c>
      <c r="C3239" s="3">
        <v>8.99</v>
      </c>
      <c r="D3239" s="3">
        <v>237</v>
      </c>
      <c r="E3239" s="3">
        <v>2130.63</v>
      </c>
      <c r="F3239" t="str">
        <f t="shared" si="254"/>
        <v>cogs</v>
      </c>
      <c r="G3239" s="7" t="str">
        <f t="shared" si="255"/>
        <v>product 3</v>
      </c>
      <c r="H3239">
        <f t="shared" si="256"/>
        <v>2025</v>
      </c>
      <c r="I3239">
        <f t="shared" si="257"/>
        <v>3</v>
      </c>
      <c r="J3239">
        <f t="shared" si="258"/>
        <v>-39.979999999999997</v>
      </c>
    </row>
    <row r="3240" spans="1:10" ht="12.5" x14ac:dyDescent="0.25">
      <c r="A3240" s="1">
        <v>45741</v>
      </c>
      <c r="B3240" s="2" t="s">
        <v>10</v>
      </c>
      <c r="C3240" s="2" t="s">
        <v>6</v>
      </c>
      <c r="D3240" s="2" t="s">
        <v>6</v>
      </c>
      <c r="E3240" s="3">
        <v>104.04</v>
      </c>
      <c r="F3240" t="str">
        <f t="shared" si="254"/>
        <v>marketing</v>
      </c>
      <c r="G3240" s="7" t="s">
        <v>6</v>
      </c>
      <c r="H3240">
        <f t="shared" si="256"/>
        <v>2025</v>
      </c>
      <c r="I3240">
        <f t="shared" si="257"/>
        <v>3</v>
      </c>
      <c r="J3240">
        <f t="shared" si="258"/>
        <v>-134.85</v>
      </c>
    </row>
    <row r="3241" spans="1:10" ht="12.5" x14ac:dyDescent="0.25">
      <c r="A3241" s="1">
        <v>45741</v>
      </c>
      <c r="B3241" s="2" t="s">
        <v>11</v>
      </c>
      <c r="C3241" s="3">
        <v>9.99</v>
      </c>
      <c r="D3241" s="3">
        <v>7</v>
      </c>
      <c r="E3241" s="3">
        <v>69.930000000000007</v>
      </c>
      <c r="F3241" t="str">
        <f t="shared" si="254"/>
        <v>net sales</v>
      </c>
      <c r="G3241" s="7" t="str">
        <f t="shared" si="255"/>
        <v>product 1</v>
      </c>
      <c r="H3241">
        <f t="shared" si="256"/>
        <v>2025</v>
      </c>
      <c r="I3241">
        <f t="shared" si="257"/>
        <v>3</v>
      </c>
      <c r="J3241">
        <f t="shared" si="258"/>
        <v>-105.94</v>
      </c>
    </row>
    <row r="3242" spans="1:10" ht="12.5" x14ac:dyDescent="0.25">
      <c r="A3242" s="1">
        <v>45741</v>
      </c>
      <c r="B3242" s="2" t="s">
        <v>12</v>
      </c>
      <c r="C3242" s="3">
        <v>24.99</v>
      </c>
      <c r="D3242" s="3">
        <v>1</v>
      </c>
      <c r="E3242" s="3">
        <v>24.99</v>
      </c>
      <c r="F3242" t="str">
        <f t="shared" si="254"/>
        <v>net sales</v>
      </c>
      <c r="G3242" s="7" t="str">
        <f t="shared" si="255"/>
        <v>product 2</v>
      </c>
      <c r="H3242">
        <f t="shared" si="256"/>
        <v>2025</v>
      </c>
      <c r="I3242">
        <f t="shared" si="257"/>
        <v>3</v>
      </c>
      <c r="J3242">
        <f t="shared" si="258"/>
        <v>859.14</v>
      </c>
    </row>
    <row r="3243" spans="1:10" ht="12.5" x14ac:dyDescent="0.25">
      <c r="A3243" s="1">
        <v>45741</v>
      </c>
      <c r="B3243" s="2" t="s">
        <v>13</v>
      </c>
      <c r="C3243" s="3">
        <v>12.49</v>
      </c>
      <c r="D3243" s="3">
        <v>237</v>
      </c>
      <c r="E3243" s="3">
        <v>2960.13</v>
      </c>
      <c r="F3243" t="str">
        <f t="shared" si="254"/>
        <v>net sales</v>
      </c>
      <c r="G3243" s="7" t="str">
        <f t="shared" si="255"/>
        <v>product 3</v>
      </c>
      <c r="H3243">
        <f t="shared" si="256"/>
        <v>2025</v>
      </c>
      <c r="I3243">
        <f t="shared" si="257"/>
        <v>3</v>
      </c>
      <c r="J3243">
        <f t="shared" si="258"/>
        <v>49.98</v>
      </c>
    </row>
    <row r="3244" spans="1:10" ht="12.5" x14ac:dyDescent="0.25">
      <c r="A3244" s="1">
        <v>45742</v>
      </c>
      <c r="B3244" s="2" t="s">
        <v>7</v>
      </c>
      <c r="C3244" s="3">
        <v>5.49</v>
      </c>
      <c r="D3244" s="3">
        <v>87</v>
      </c>
      <c r="E3244" s="3">
        <v>477.63</v>
      </c>
      <c r="F3244" t="str">
        <f t="shared" si="254"/>
        <v>cogs</v>
      </c>
      <c r="G3244" s="7" t="str">
        <f t="shared" si="255"/>
        <v>product 1</v>
      </c>
      <c r="H3244">
        <f t="shared" si="256"/>
        <v>2025</v>
      </c>
      <c r="I3244">
        <f t="shared" si="257"/>
        <v>3</v>
      </c>
      <c r="J3244">
        <f t="shared" si="258"/>
        <v>187.35</v>
      </c>
    </row>
    <row r="3245" spans="1:10" ht="12.5" x14ac:dyDescent="0.25">
      <c r="A3245" s="1">
        <v>45742</v>
      </c>
      <c r="B3245" s="2" t="s">
        <v>8</v>
      </c>
      <c r="C3245" s="3">
        <v>19.989999999999998</v>
      </c>
      <c r="D3245" s="3">
        <v>6</v>
      </c>
      <c r="E3245" s="3">
        <v>119.94</v>
      </c>
      <c r="F3245" t="str">
        <f t="shared" si="254"/>
        <v>cogs</v>
      </c>
      <c r="G3245" s="7" t="str">
        <f t="shared" si="255"/>
        <v>product 2</v>
      </c>
      <c r="H3245">
        <f t="shared" si="256"/>
        <v>2025</v>
      </c>
      <c r="I3245">
        <f t="shared" si="257"/>
        <v>3</v>
      </c>
      <c r="J3245">
        <f t="shared" si="258"/>
        <v>-192.15</v>
      </c>
    </row>
    <row r="3246" spans="1:10" ht="12.5" x14ac:dyDescent="0.25">
      <c r="A3246" s="1">
        <v>45742</v>
      </c>
      <c r="B3246" s="2" t="s">
        <v>9</v>
      </c>
      <c r="C3246" s="3">
        <v>8.99</v>
      </c>
      <c r="D3246" s="3">
        <v>75</v>
      </c>
      <c r="E3246" s="3">
        <v>674.25</v>
      </c>
      <c r="F3246" t="str">
        <f t="shared" si="254"/>
        <v>cogs</v>
      </c>
      <c r="G3246" s="7" t="str">
        <f t="shared" si="255"/>
        <v>product 3</v>
      </c>
      <c r="H3246">
        <f t="shared" si="256"/>
        <v>2025</v>
      </c>
      <c r="I3246">
        <f t="shared" si="257"/>
        <v>3</v>
      </c>
      <c r="J3246">
        <f t="shared" si="258"/>
        <v>-99.949999999999989</v>
      </c>
    </row>
    <row r="3247" spans="1:10" ht="12.5" x14ac:dyDescent="0.25">
      <c r="A3247" s="1">
        <v>45742</v>
      </c>
      <c r="B3247" s="2" t="s">
        <v>10</v>
      </c>
      <c r="C3247" s="2" t="s">
        <v>6</v>
      </c>
      <c r="D3247" s="2" t="s">
        <v>6</v>
      </c>
      <c r="E3247" s="3">
        <v>109.91</v>
      </c>
      <c r="F3247" t="str">
        <f t="shared" si="254"/>
        <v>marketing</v>
      </c>
      <c r="G3247" s="7" t="s">
        <v>6</v>
      </c>
      <c r="H3247">
        <f t="shared" si="256"/>
        <v>2025</v>
      </c>
      <c r="I3247">
        <f t="shared" si="257"/>
        <v>3</v>
      </c>
      <c r="J3247">
        <f t="shared" si="258"/>
        <v>-1357.49</v>
      </c>
    </row>
    <row r="3248" spans="1:10" ht="12.5" x14ac:dyDescent="0.25">
      <c r="A3248" s="1">
        <v>45742</v>
      </c>
      <c r="B3248" s="2" t="s">
        <v>11</v>
      </c>
      <c r="C3248" s="3">
        <v>9.99</v>
      </c>
      <c r="D3248" s="3">
        <v>87</v>
      </c>
      <c r="E3248" s="3">
        <v>869.13</v>
      </c>
      <c r="F3248" t="str">
        <f t="shared" si="254"/>
        <v>net sales</v>
      </c>
      <c r="G3248" s="7" t="str">
        <f t="shared" si="255"/>
        <v>product 1</v>
      </c>
      <c r="H3248">
        <f t="shared" si="256"/>
        <v>2025</v>
      </c>
      <c r="I3248">
        <f t="shared" si="257"/>
        <v>3</v>
      </c>
      <c r="J3248">
        <f t="shared" si="258"/>
        <v>-117.94</v>
      </c>
    </row>
    <row r="3249" spans="1:10" ht="12.5" x14ac:dyDescent="0.25">
      <c r="A3249" s="1">
        <v>45742</v>
      </c>
      <c r="B3249" s="2" t="s">
        <v>12</v>
      </c>
      <c r="C3249" s="3">
        <v>24.99</v>
      </c>
      <c r="D3249" s="3">
        <v>6</v>
      </c>
      <c r="E3249" s="3">
        <v>149.94</v>
      </c>
      <c r="F3249" t="str">
        <f t="shared" si="254"/>
        <v>net sales</v>
      </c>
      <c r="G3249" s="7" t="str">
        <f t="shared" si="255"/>
        <v>product 2</v>
      </c>
      <c r="H3249">
        <f t="shared" si="256"/>
        <v>2025</v>
      </c>
      <c r="I3249">
        <f t="shared" si="257"/>
        <v>3</v>
      </c>
      <c r="J3249">
        <f t="shared" si="258"/>
        <v>349.65000000000003</v>
      </c>
    </row>
    <row r="3250" spans="1:10" ht="12.5" x14ac:dyDescent="0.25">
      <c r="A3250" s="1">
        <v>45742</v>
      </c>
      <c r="B3250" s="2" t="s">
        <v>13</v>
      </c>
      <c r="C3250" s="3">
        <v>12.49</v>
      </c>
      <c r="D3250" s="3">
        <v>75</v>
      </c>
      <c r="E3250" s="3">
        <v>936.75</v>
      </c>
      <c r="F3250" t="str">
        <f t="shared" si="254"/>
        <v>net sales</v>
      </c>
      <c r="G3250" s="7" t="str">
        <f t="shared" si="255"/>
        <v>product 3</v>
      </c>
      <c r="H3250">
        <f t="shared" si="256"/>
        <v>2025</v>
      </c>
      <c r="I3250">
        <f t="shared" si="257"/>
        <v>3</v>
      </c>
      <c r="J3250">
        <f t="shared" si="258"/>
        <v>124.94999999999999</v>
      </c>
    </row>
    <row r="3251" spans="1:10" ht="12.5" x14ac:dyDescent="0.25">
      <c r="A3251" s="1">
        <v>45743</v>
      </c>
      <c r="B3251" s="2" t="s">
        <v>7</v>
      </c>
      <c r="C3251" s="3">
        <v>5.49</v>
      </c>
      <c r="D3251" s="3">
        <v>64</v>
      </c>
      <c r="E3251" s="3">
        <v>351.36</v>
      </c>
      <c r="F3251" t="str">
        <f t="shared" si="254"/>
        <v>cogs</v>
      </c>
      <c r="G3251" s="7" t="str">
        <f t="shared" si="255"/>
        <v>product 1</v>
      </c>
      <c r="H3251">
        <f t="shared" si="256"/>
        <v>2025</v>
      </c>
      <c r="I3251">
        <f t="shared" si="257"/>
        <v>3</v>
      </c>
      <c r="J3251">
        <f t="shared" si="258"/>
        <v>1885.99</v>
      </c>
    </row>
    <row r="3252" spans="1:10" ht="12.5" x14ac:dyDescent="0.25">
      <c r="A3252" s="1">
        <v>45743</v>
      </c>
      <c r="B3252" s="2" t="s">
        <v>8</v>
      </c>
      <c r="C3252" s="3">
        <v>19.989999999999998</v>
      </c>
      <c r="D3252" s="3">
        <v>0</v>
      </c>
      <c r="E3252" s="2">
        <f>C3252*D3252</f>
        <v>0</v>
      </c>
      <c r="F3252" t="str">
        <f t="shared" si="254"/>
        <v>cogs</v>
      </c>
      <c r="G3252" s="7" t="str">
        <f t="shared" si="255"/>
        <v>product 2</v>
      </c>
      <c r="H3252">
        <f t="shared" si="256"/>
        <v>2025</v>
      </c>
      <c r="I3252">
        <f t="shared" si="257"/>
        <v>3</v>
      </c>
      <c r="J3252">
        <f t="shared" si="258"/>
        <v>-186.66</v>
      </c>
    </row>
    <row r="3253" spans="1:10" ht="12.5" x14ac:dyDescent="0.25">
      <c r="A3253" s="1">
        <v>45743</v>
      </c>
      <c r="B3253" s="2" t="s">
        <v>9</v>
      </c>
      <c r="C3253" s="3">
        <v>8.99</v>
      </c>
      <c r="D3253" s="3">
        <v>1</v>
      </c>
      <c r="E3253" s="3">
        <v>8.99</v>
      </c>
      <c r="F3253" t="str">
        <f t="shared" si="254"/>
        <v>cogs</v>
      </c>
      <c r="G3253" s="7" t="str">
        <f t="shared" si="255"/>
        <v>product 3</v>
      </c>
      <c r="H3253">
        <f t="shared" si="256"/>
        <v>2025</v>
      </c>
      <c r="I3253">
        <f t="shared" si="257"/>
        <v>3</v>
      </c>
      <c r="J3253">
        <f t="shared" si="258"/>
        <v>0</v>
      </c>
    </row>
    <row r="3254" spans="1:10" ht="12.5" x14ac:dyDescent="0.25">
      <c r="A3254" s="1">
        <v>45743</v>
      </c>
      <c r="B3254" s="2" t="s">
        <v>10</v>
      </c>
      <c r="C3254" s="2" t="s">
        <v>6</v>
      </c>
      <c r="D3254" s="2" t="s">
        <v>6</v>
      </c>
      <c r="E3254" s="3">
        <v>119.99000000000001</v>
      </c>
      <c r="F3254" t="str">
        <f t="shared" si="254"/>
        <v>marketing</v>
      </c>
      <c r="G3254" s="7" t="s">
        <v>6</v>
      </c>
      <c r="H3254">
        <f t="shared" si="256"/>
        <v>2025</v>
      </c>
      <c r="I3254">
        <f t="shared" si="257"/>
        <v>3</v>
      </c>
      <c r="J3254">
        <f t="shared" si="258"/>
        <v>-701.22</v>
      </c>
    </row>
    <row r="3255" spans="1:10" ht="12.5" x14ac:dyDescent="0.25">
      <c r="A3255" s="1">
        <v>45743</v>
      </c>
      <c r="B3255" s="2" t="s">
        <v>11</v>
      </c>
      <c r="C3255" s="3">
        <v>9.99</v>
      </c>
      <c r="D3255" s="3">
        <v>64</v>
      </c>
      <c r="E3255" s="3">
        <v>639.36</v>
      </c>
      <c r="F3255" t="str">
        <f t="shared" si="254"/>
        <v>net sales</v>
      </c>
      <c r="G3255" s="7" t="str">
        <f t="shared" si="255"/>
        <v>product 1</v>
      </c>
      <c r="H3255">
        <f t="shared" si="256"/>
        <v>2025</v>
      </c>
      <c r="I3255">
        <f t="shared" si="257"/>
        <v>3</v>
      </c>
      <c r="J3255">
        <f t="shared" si="258"/>
        <v>-106.03</v>
      </c>
    </row>
    <row r="3256" spans="1:10" ht="12.5" x14ac:dyDescent="0.25">
      <c r="A3256" s="1">
        <v>45743</v>
      </c>
      <c r="B3256" s="2" t="s">
        <v>12</v>
      </c>
      <c r="C3256" s="3">
        <v>24.99</v>
      </c>
      <c r="D3256" s="3">
        <v>0</v>
      </c>
      <c r="E3256" s="2">
        <f>C3256*D3256</f>
        <v>0</v>
      </c>
      <c r="F3256" t="str">
        <f t="shared" si="254"/>
        <v>net sales</v>
      </c>
      <c r="G3256" s="7" t="str">
        <f t="shared" si="255"/>
        <v>product 2</v>
      </c>
      <c r="H3256">
        <f t="shared" si="256"/>
        <v>2025</v>
      </c>
      <c r="I3256">
        <f t="shared" si="257"/>
        <v>3</v>
      </c>
      <c r="J3256">
        <f t="shared" si="258"/>
        <v>339.66</v>
      </c>
    </row>
    <row r="3257" spans="1:10" ht="12.5" x14ac:dyDescent="0.25">
      <c r="A3257" s="1">
        <v>45743</v>
      </c>
      <c r="B3257" s="2" t="s">
        <v>13</v>
      </c>
      <c r="C3257" s="3">
        <v>12.49</v>
      </c>
      <c r="D3257" s="3">
        <v>1</v>
      </c>
      <c r="E3257" s="3">
        <v>12.49</v>
      </c>
      <c r="F3257" t="str">
        <f t="shared" si="254"/>
        <v>net sales</v>
      </c>
      <c r="G3257" s="7" t="str">
        <f t="shared" si="255"/>
        <v>product 3</v>
      </c>
      <c r="H3257">
        <f t="shared" si="256"/>
        <v>2025</v>
      </c>
      <c r="I3257">
        <f t="shared" si="257"/>
        <v>3</v>
      </c>
      <c r="J3257">
        <f t="shared" si="258"/>
        <v>0</v>
      </c>
    </row>
    <row r="3258" spans="1:10" ht="12.5" x14ac:dyDescent="0.25">
      <c r="A3258" s="1">
        <v>45744</v>
      </c>
      <c r="B3258" s="2" t="s">
        <v>7</v>
      </c>
      <c r="C3258" s="3">
        <v>5.49</v>
      </c>
      <c r="D3258" s="3">
        <v>60</v>
      </c>
      <c r="E3258" s="3">
        <v>329.40000000000003</v>
      </c>
      <c r="F3258" t="str">
        <f t="shared" si="254"/>
        <v>cogs</v>
      </c>
      <c r="G3258" s="7" t="str">
        <f t="shared" si="255"/>
        <v>product 1</v>
      </c>
      <c r="H3258">
        <f t="shared" si="256"/>
        <v>2025</v>
      </c>
      <c r="I3258">
        <f t="shared" si="257"/>
        <v>3</v>
      </c>
      <c r="J3258">
        <f t="shared" si="258"/>
        <v>974.22</v>
      </c>
    </row>
    <row r="3259" spans="1:10" ht="12.5" x14ac:dyDescent="0.25">
      <c r="A3259" s="1">
        <v>45744</v>
      </c>
      <c r="B3259" s="2" t="s">
        <v>8</v>
      </c>
      <c r="C3259" s="3">
        <v>19.989999999999998</v>
      </c>
      <c r="D3259" s="3">
        <v>2</v>
      </c>
      <c r="E3259" s="3">
        <v>39.979999999999997</v>
      </c>
      <c r="F3259" t="str">
        <f t="shared" si="254"/>
        <v>cogs</v>
      </c>
      <c r="G3259" s="7" t="str">
        <f t="shared" si="255"/>
        <v>product 2</v>
      </c>
      <c r="H3259">
        <f t="shared" si="256"/>
        <v>2025</v>
      </c>
      <c r="I3259">
        <f t="shared" si="257"/>
        <v>3</v>
      </c>
      <c r="J3259">
        <f t="shared" si="258"/>
        <v>-241.56</v>
      </c>
    </row>
    <row r="3260" spans="1:10" ht="12.5" x14ac:dyDescent="0.25">
      <c r="A3260" s="1">
        <v>45744</v>
      </c>
      <c r="B3260" s="2" t="s">
        <v>9</v>
      </c>
      <c r="C3260" s="3">
        <v>8.99</v>
      </c>
      <c r="D3260" s="3">
        <v>215</v>
      </c>
      <c r="E3260" s="3">
        <v>1932.8500000000001</v>
      </c>
      <c r="F3260" t="str">
        <f t="shared" si="254"/>
        <v>cogs</v>
      </c>
      <c r="G3260" s="7" t="str">
        <f t="shared" si="255"/>
        <v>product 3</v>
      </c>
      <c r="H3260">
        <f t="shared" si="256"/>
        <v>2025</v>
      </c>
      <c r="I3260">
        <f t="shared" si="257"/>
        <v>3</v>
      </c>
      <c r="J3260">
        <f t="shared" si="258"/>
        <v>-139.92999999999998</v>
      </c>
    </row>
    <row r="3261" spans="1:10" ht="12.5" x14ac:dyDescent="0.25">
      <c r="A3261" s="1">
        <v>45744</v>
      </c>
      <c r="B3261" s="2" t="s">
        <v>10</v>
      </c>
      <c r="C3261" s="2" t="s">
        <v>6</v>
      </c>
      <c r="D3261" s="2" t="s">
        <v>6</v>
      </c>
      <c r="E3261" s="3">
        <v>114.05</v>
      </c>
      <c r="F3261" t="str">
        <f t="shared" si="254"/>
        <v>marketing</v>
      </c>
      <c r="G3261" s="7" t="s">
        <v>6</v>
      </c>
      <c r="H3261">
        <f t="shared" si="256"/>
        <v>2025</v>
      </c>
      <c r="I3261">
        <f t="shared" si="257"/>
        <v>3</v>
      </c>
      <c r="J3261">
        <f t="shared" si="258"/>
        <v>-1042.8399999999999</v>
      </c>
    </row>
    <row r="3262" spans="1:10" ht="12.5" x14ac:dyDescent="0.25">
      <c r="A3262" s="1">
        <v>45744</v>
      </c>
      <c r="B3262" s="2" t="s">
        <v>11</v>
      </c>
      <c r="C3262" s="3">
        <v>9.99</v>
      </c>
      <c r="D3262" s="3">
        <v>60</v>
      </c>
      <c r="E3262" s="3">
        <v>599.4</v>
      </c>
      <c r="F3262" t="str">
        <f t="shared" si="254"/>
        <v>net sales</v>
      </c>
      <c r="G3262" s="7" t="str">
        <f t="shared" si="255"/>
        <v>product 1</v>
      </c>
      <c r="H3262">
        <f t="shared" si="256"/>
        <v>2025</v>
      </c>
      <c r="I3262">
        <f t="shared" si="257"/>
        <v>3</v>
      </c>
      <c r="J3262">
        <f t="shared" si="258"/>
        <v>-116.02</v>
      </c>
    </row>
    <row r="3263" spans="1:10" ht="12.5" x14ac:dyDescent="0.25">
      <c r="A3263" s="1">
        <v>45744</v>
      </c>
      <c r="B3263" s="2" t="s">
        <v>12</v>
      </c>
      <c r="C3263" s="3">
        <v>24.99</v>
      </c>
      <c r="D3263" s="3">
        <v>2</v>
      </c>
      <c r="E3263" s="3">
        <v>49.98</v>
      </c>
      <c r="F3263" t="str">
        <f t="shared" si="254"/>
        <v>net sales</v>
      </c>
      <c r="G3263" s="7" t="str">
        <f t="shared" si="255"/>
        <v>product 2</v>
      </c>
      <c r="H3263">
        <f t="shared" si="256"/>
        <v>2025</v>
      </c>
      <c r="I3263">
        <f t="shared" si="257"/>
        <v>3</v>
      </c>
      <c r="J3263">
        <f t="shared" si="258"/>
        <v>439.56</v>
      </c>
    </row>
    <row r="3264" spans="1:10" ht="12.5" x14ac:dyDescent="0.25">
      <c r="A3264" s="1">
        <v>45744</v>
      </c>
      <c r="B3264" s="2" t="s">
        <v>13</v>
      </c>
      <c r="C3264" s="3">
        <v>12.49</v>
      </c>
      <c r="D3264" s="3">
        <v>215</v>
      </c>
      <c r="E3264" s="3">
        <v>2685.35</v>
      </c>
      <c r="F3264" t="str">
        <f t="shared" si="254"/>
        <v>net sales</v>
      </c>
      <c r="G3264" s="7" t="str">
        <f t="shared" si="255"/>
        <v>product 3</v>
      </c>
      <c r="H3264">
        <f t="shared" si="256"/>
        <v>2025</v>
      </c>
      <c r="I3264">
        <f t="shared" si="257"/>
        <v>3</v>
      </c>
      <c r="J3264">
        <f t="shared" si="258"/>
        <v>174.92999999999998</v>
      </c>
    </row>
    <row r="3265" spans="1:10" ht="12.5" x14ac:dyDescent="0.25">
      <c r="A3265" s="1">
        <v>45744</v>
      </c>
      <c r="B3265" s="2" t="s">
        <v>15</v>
      </c>
      <c r="C3265" s="2" t="s">
        <v>6</v>
      </c>
      <c r="D3265" s="2" t="s">
        <v>6</v>
      </c>
      <c r="E3265" s="3">
        <v>1200</v>
      </c>
      <c r="F3265" t="str">
        <f t="shared" si="254"/>
        <v>payroll</v>
      </c>
      <c r="G3265" s="7" t="s">
        <v>6</v>
      </c>
      <c r="H3265">
        <f t="shared" si="256"/>
        <v>2025</v>
      </c>
      <c r="I3265">
        <f t="shared" si="257"/>
        <v>3</v>
      </c>
      <c r="J3265">
        <f t="shared" si="258"/>
        <v>1448.84</v>
      </c>
    </row>
    <row r="3266" spans="1:10" ht="12.5" x14ac:dyDescent="0.25">
      <c r="A3266" s="1">
        <v>45745</v>
      </c>
      <c r="B3266" s="2" t="s">
        <v>7</v>
      </c>
      <c r="C3266" s="3">
        <v>5.49</v>
      </c>
      <c r="D3266" s="3">
        <v>19</v>
      </c>
      <c r="E3266" s="3">
        <v>104.31</v>
      </c>
      <c r="F3266" t="str">
        <f t="shared" si="254"/>
        <v>cogs</v>
      </c>
      <c r="G3266" s="7" t="str">
        <f t="shared" si="255"/>
        <v>product 1</v>
      </c>
      <c r="H3266">
        <f t="shared" si="256"/>
        <v>2025</v>
      </c>
      <c r="I3266">
        <f t="shared" si="257"/>
        <v>3</v>
      </c>
      <c r="J3266">
        <f t="shared" si="258"/>
        <v>-258.03000000000003</v>
      </c>
    </row>
    <row r="3267" spans="1:10" ht="12.5" x14ac:dyDescent="0.25">
      <c r="A3267" s="1">
        <v>45745</v>
      </c>
      <c r="B3267" s="2" t="s">
        <v>8</v>
      </c>
      <c r="C3267" s="3">
        <v>19.989999999999998</v>
      </c>
      <c r="D3267" s="3">
        <v>9</v>
      </c>
      <c r="E3267" s="3">
        <v>179.91</v>
      </c>
      <c r="F3267" t="str">
        <f t="shared" ref="F3267:F3330" si="259">IFERROR(LEFT(B3267,FIND(":",B3267)-1),B3267)</f>
        <v>cogs</v>
      </c>
      <c r="G3267" s="7" t="str">
        <f t="shared" ref="G3267:G3330" si="260">IFERROR(RIGHT(B3267,LEN(B3267)-FIND(":",B3267)),"")</f>
        <v>product 2</v>
      </c>
      <c r="H3267">
        <f t="shared" ref="H3267:H3330" si="261">YEAR(A3267)</f>
        <v>2025</v>
      </c>
      <c r="I3267">
        <f t="shared" ref="I3267:I3330" si="262">MONTH(A3267)</f>
        <v>3</v>
      </c>
      <c r="J3267">
        <f t="shared" si="258"/>
        <v>-59.97</v>
      </c>
    </row>
    <row r="3268" spans="1:10" ht="12.5" x14ac:dyDescent="0.25">
      <c r="A3268" s="1">
        <v>45745</v>
      </c>
      <c r="B3268" s="2" t="s">
        <v>9</v>
      </c>
      <c r="C3268" s="3">
        <v>8.99</v>
      </c>
      <c r="D3268" s="3">
        <v>209</v>
      </c>
      <c r="E3268" s="3">
        <v>1878.91</v>
      </c>
      <c r="F3268" t="str">
        <f t="shared" si="259"/>
        <v>cogs</v>
      </c>
      <c r="G3268" s="7" t="str">
        <f t="shared" si="260"/>
        <v>product 3</v>
      </c>
      <c r="H3268">
        <f t="shared" si="261"/>
        <v>2025</v>
      </c>
      <c r="I3268">
        <f t="shared" si="262"/>
        <v>3</v>
      </c>
      <c r="J3268">
        <f t="shared" si="258"/>
        <v>0</v>
      </c>
    </row>
    <row r="3269" spans="1:10" ht="12.5" x14ac:dyDescent="0.25">
      <c r="A3269" s="1">
        <v>45745</v>
      </c>
      <c r="B3269" s="2" t="s">
        <v>10</v>
      </c>
      <c r="C3269" s="2" t="s">
        <v>6</v>
      </c>
      <c r="D3269" s="2" t="s">
        <v>6</v>
      </c>
      <c r="E3269" s="3">
        <v>109.07000000000001</v>
      </c>
      <c r="F3269" t="str">
        <f t="shared" si="259"/>
        <v>marketing</v>
      </c>
      <c r="G3269" s="7" t="s">
        <v>6</v>
      </c>
      <c r="H3269">
        <f t="shared" si="261"/>
        <v>2025</v>
      </c>
      <c r="I3269">
        <f t="shared" si="262"/>
        <v>3</v>
      </c>
      <c r="J3269">
        <f t="shared" si="258"/>
        <v>-108.91</v>
      </c>
    </row>
    <row r="3270" spans="1:10" ht="12.5" x14ac:dyDescent="0.25">
      <c r="A3270" s="1">
        <v>45745</v>
      </c>
      <c r="B3270" s="2" t="s">
        <v>11</v>
      </c>
      <c r="C3270" s="3">
        <v>9.99</v>
      </c>
      <c r="D3270" s="3">
        <v>19</v>
      </c>
      <c r="E3270" s="3">
        <v>189.81</v>
      </c>
      <c r="F3270" t="str">
        <f t="shared" si="259"/>
        <v>net sales</v>
      </c>
      <c r="G3270" s="7" t="str">
        <f t="shared" si="260"/>
        <v>product 1</v>
      </c>
      <c r="H3270">
        <f t="shared" si="261"/>
        <v>2025</v>
      </c>
      <c r="I3270">
        <f t="shared" si="262"/>
        <v>3</v>
      </c>
      <c r="J3270">
        <f t="shared" si="258"/>
        <v>469.53000000000003</v>
      </c>
    </row>
    <row r="3271" spans="1:10" ht="12.5" x14ac:dyDescent="0.25">
      <c r="A3271" s="1">
        <v>45745</v>
      </c>
      <c r="B3271" s="2" t="s">
        <v>12</v>
      </c>
      <c r="C3271" s="3">
        <v>24.99</v>
      </c>
      <c r="D3271" s="3">
        <v>9</v>
      </c>
      <c r="E3271" s="3">
        <v>224.91</v>
      </c>
      <c r="F3271" t="str">
        <f t="shared" si="259"/>
        <v>net sales</v>
      </c>
      <c r="G3271" s="7" t="str">
        <f t="shared" si="260"/>
        <v>product 2</v>
      </c>
      <c r="H3271">
        <f t="shared" si="261"/>
        <v>2025</v>
      </c>
      <c r="I3271">
        <f t="shared" si="262"/>
        <v>3</v>
      </c>
      <c r="J3271">
        <f t="shared" si="258"/>
        <v>74.97</v>
      </c>
    </row>
    <row r="3272" spans="1:10" ht="12.5" x14ac:dyDescent="0.25">
      <c r="A3272" s="1">
        <v>45745</v>
      </c>
      <c r="B3272" s="2" t="s">
        <v>13</v>
      </c>
      <c r="C3272" s="3">
        <v>12.49</v>
      </c>
      <c r="D3272" s="3">
        <v>209</v>
      </c>
      <c r="E3272" s="3">
        <v>2610.41</v>
      </c>
      <c r="F3272" t="str">
        <f t="shared" si="259"/>
        <v>net sales</v>
      </c>
      <c r="G3272" s="7" t="str">
        <f t="shared" si="260"/>
        <v>product 3</v>
      </c>
      <c r="H3272">
        <f t="shared" si="261"/>
        <v>2025</v>
      </c>
      <c r="I3272">
        <f t="shared" si="262"/>
        <v>3</v>
      </c>
      <c r="J3272">
        <f t="shared" si="258"/>
        <v>0</v>
      </c>
    </row>
    <row r="3273" spans="1:10" ht="12.5" x14ac:dyDescent="0.25">
      <c r="A3273" s="1">
        <v>45746</v>
      </c>
      <c r="B3273" s="2" t="s">
        <v>7</v>
      </c>
      <c r="C3273" s="3">
        <v>5.49</v>
      </c>
      <c r="D3273" s="3">
        <v>41</v>
      </c>
      <c r="E3273" s="3">
        <v>225.09</v>
      </c>
      <c r="F3273" t="str">
        <f t="shared" si="259"/>
        <v>cogs</v>
      </c>
      <c r="G3273" s="7" t="str">
        <f t="shared" si="260"/>
        <v>product 1</v>
      </c>
      <c r="H3273">
        <f t="shared" si="261"/>
        <v>2025</v>
      </c>
      <c r="I3273">
        <f t="shared" si="262"/>
        <v>3</v>
      </c>
      <c r="J3273">
        <f t="shared" si="258"/>
        <v>-153.72</v>
      </c>
    </row>
    <row r="3274" spans="1:10" ht="12.5" x14ac:dyDescent="0.25">
      <c r="A3274" s="1">
        <v>45746</v>
      </c>
      <c r="B3274" s="2" t="s">
        <v>8</v>
      </c>
      <c r="C3274" s="3">
        <v>19.989999999999998</v>
      </c>
      <c r="D3274" s="3">
        <v>4</v>
      </c>
      <c r="E3274" s="3">
        <v>79.959999999999994</v>
      </c>
      <c r="F3274" t="str">
        <f t="shared" si="259"/>
        <v>cogs</v>
      </c>
      <c r="G3274" s="7" t="str">
        <f t="shared" si="260"/>
        <v>product 2</v>
      </c>
      <c r="H3274">
        <f t="shared" si="261"/>
        <v>2025</v>
      </c>
      <c r="I3274">
        <f t="shared" si="262"/>
        <v>3</v>
      </c>
      <c r="J3274">
        <f t="shared" si="258"/>
        <v>0</v>
      </c>
    </row>
    <row r="3275" spans="1:10" ht="12.5" x14ac:dyDescent="0.25">
      <c r="A3275" s="1">
        <v>45746</v>
      </c>
      <c r="B3275" s="2" t="s">
        <v>9</v>
      </c>
      <c r="C3275" s="3">
        <v>8.99</v>
      </c>
      <c r="D3275" s="3">
        <v>24</v>
      </c>
      <c r="E3275" s="3">
        <v>215.76</v>
      </c>
      <c r="F3275" t="str">
        <f t="shared" si="259"/>
        <v>cogs</v>
      </c>
      <c r="G3275" s="7" t="str">
        <f t="shared" si="260"/>
        <v>product 3</v>
      </c>
      <c r="H3275">
        <f t="shared" si="261"/>
        <v>2025</v>
      </c>
      <c r="I3275">
        <f t="shared" si="262"/>
        <v>3</v>
      </c>
      <c r="J3275">
        <f t="shared" si="258"/>
        <v>-476.47</v>
      </c>
    </row>
    <row r="3276" spans="1:10" ht="12.5" x14ac:dyDescent="0.25">
      <c r="A3276" s="1">
        <v>45746</v>
      </c>
      <c r="B3276" s="2" t="s">
        <v>10</v>
      </c>
      <c r="C3276" s="2" t="s">
        <v>6</v>
      </c>
      <c r="D3276" s="2" t="s">
        <v>6</v>
      </c>
      <c r="E3276" s="3">
        <v>112.01</v>
      </c>
      <c r="F3276" t="str">
        <f t="shared" si="259"/>
        <v>marketing</v>
      </c>
      <c r="G3276" s="7" t="s">
        <v>6</v>
      </c>
      <c r="H3276">
        <f t="shared" si="261"/>
        <v>2025</v>
      </c>
      <c r="I3276">
        <f t="shared" si="262"/>
        <v>3</v>
      </c>
      <c r="J3276">
        <f t="shared" si="258"/>
        <v>-106.04</v>
      </c>
    </row>
    <row r="3277" spans="1:10" ht="12.5" x14ac:dyDescent="0.25">
      <c r="A3277" s="1">
        <v>45746</v>
      </c>
      <c r="B3277" s="2" t="s">
        <v>11</v>
      </c>
      <c r="C3277" s="3">
        <v>9.99</v>
      </c>
      <c r="D3277" s="3">
        <v>41</v>
      </c>
      <c r="E3277" s="3">
        <v>409.59000000000003</v>
      </c>
      <c r="F3277" t="str">
        <f t="shared" si="259"/>
        <v>net sales</v>
      </c>
      <c r="G3277" s="7" t="str">
        <f t="shared" si="260"/>
        <v>product 1</v>
      </c>
      <c r="H3277">
        <f t="shared" si="261"/>
        <v>2025</v>
      </c>
      <c r="I3277">
        <f t="shared" si="262"/>
        <v>3</v>
      </c>
      <c r="J3277">
        <f t="shared" si="258"/>
        <v>279.72000000000003</v>
      </c>
    </row>
    <row r="3278" spans="1:10" ht="12.5" x14ac:dyDescent="0.25">
      <c r="A3278" s="1">
        <v>45746</v>
      </c>
      <c r="B3278" s="2" t="s">
        <v>12</v>
      </c>
      <c r="C3278" s="3">
        <v>24.99</v>
      </c>
      <c r="D3278" s="3">
        <v>4</v>
      </c>
      <c r="E3278" s="3">
        <v>99.96</v>
      </c>
      <c r="F3278" t="str">
        <f t="shared" si="259"/>
        <v>net sales</v>
      </c>
      <c r="G3278" s="7" t="str">
        <f t="shared" si="260"/>
        <v>product 2</v>
      </c>
      <c r="H3278">
        <f t="shared" si="261"/>
        <v>2025</v>
      </c>
      <c r="I3278">
        <f t="shared" si="262"/>
        <v>3</v>
      </c>
      <c r="J3278">
        <f t="shared" si="258"/>
        <v>0</v>
      </c>
    </row>
    <row r="3279" spans="1:10" ht="12.5" x14ac:dyDescent="0.25">
      <c r="A3279" s="1">
        <v>45746</v>
      </c>
      <c r="B3279" s="2" t="s">
        <v>13</v>
      </c>
      <c r="C3279" s="3">
        <v>12.49</v>
      </c>
      <c r="D3279" s="3">
        <v>24</v>
      </c>
      <c r="E3279" s="3">
        <v>299.76</v>
      </c>
      <c r="F3279" t="str">
        <f t="shared" si="259"/>
        <v>net sales</v>
      </c>
      <c r="G3279" s="7" t="str">
        <f t="shared" si="260"/>
        <v>product 3</v>
      </c>
      <c r="H3279">
        <f t="shared" si="261"/>
        <v>2025</v>
      </c>
      <c r="I3279">
        <f t="shared" si="262"/>
        <v>3</v>
      </c>
      <c r="J3279">
        <f t="shared" si="258"/>
        <v>661.97</v>
      </c>
    </row>
    <row r="3280" spans="1:10" ht="12.5" x14ac:dyDescent="0.25">
      <c r="A3280" s="1">
        <v>45747</v>
      </c>
      <c r="B3280" s="2" t="s">
        <v>7</v>
      </c>
      <c r="C3280" s="3">
        <v>5.49</v>
      </c>
      <c r="D3280" s="3">
        <v>97</v>
      </c>
      <c r="E3280" s="3">
        <v>532.53</v>
      </c>
      <c r="F3280" t="str">
        <f t="shared" si="259"/>
        <v>cogs</v>
      </c>
      <c r="G3280" s="7" t="str">
        <f t="shared" si="260"/>
        <v>product 1</v>
      </c>
      <c r="H3280">
        <f t="shared" si="261"/>
        <v>2025</v>
      </c>
      <c r="I3280">
        <f t="shared" si="262"/>
        <v>3</v>
      </c>
      <c r="J3280">
        <f t="shared" si="258"/>
        <v>-1200</v>
      </c>
    </row>
    <row r="3281" spans="1:10" ht="12.5" x14ac:dyDescent="0.25">
      <c r="A3281" s="1">
        <v>45747</v>
      </c>
      <c r="B3281" s="2" t="s">
        <v>8</v>
      </c>
      <c r="C3281" s="3">
        <v>19.989999999999998</v>
      </c>
      <c r="D3281" s="3">
        <v>2</v>
      </c>
      <c r="E3281" s="3">
        <v>39.979999999999997</v>
      </c>
      <c r="F3281" t="str">
        <f t="shared" si="259"/>
        <v>cogs</v>
      </c>
      <c r="G3281" s="7" t="str">
        <f t="shared" si="260"/>
        <v>product 2</v>
      </c>
      <c r="H3281">
        <f t="shared" si="261"/>
        <v>2025</v>
      </c>
      <c r="I3281">
        <f t="shared" si="262"/>
        <v>3</v>
      </c>
      <c r="J3281">
        <f t="shared" si="258"/>
        <v>0</v>
      </c>
    </row>
    <row r="3282" spans="1:10" ht="12.5" x14ac:dyDescent="0.25">
      <c r="A3282" s="1">
        <v>45747</v>
      </c>
      <c r="B3282" s="2" t="s">
        <v>9</v>
      </c>
      <c r="C3282" s="3">
        <v>8.99</v>
      </c>
      <c r="D3282" s="3">
        <v>93</v>
      </c>
      <c r="E3282" s="3">
        <v>836.07</v>
      </c>
      <c r="F3282" t="str">
        <f t="shared" si="259"/>
        <v>cogs</v>
      </c>
      <c r="G3282" s="7" t="str">
        <f t="shared" si="260"/>
        <v>product 3</v>
      </c>
      <c r="H3282">
        <f t="shared" si="261"/>
        <v>2025</v>
      </c>
      <c r="I3282">
        <f t="shared" si="262"/>
        <v>3</v>
      </c>
      <c r="J3282">
        <f t="shared" si="258"/>
        <v>-395.28000000000003</v>
      </c>
    </row>
    <row r="3283" spans="1:10" ht="12.5" x14ac:dyDescent="0.25">
      <c r="A3283" s="1">
        <v>45747</v>
      </c>
      <c r="B3283" s="2" t="s">
        <v>10</v>
      </c>
      <c r="C3283" s="2" t="s">
        <v>6</v>
      </c>
      <c r="D3283" s="2" t="s">
        <v>6</v>
      </c>
      <c r="E3283" s="3">
        <v>109.91</v>
      </c>
      <c r="F3283" t="str">
        <f t="shared" si="259"/>
        <v>marketing</v>
      </c>
      <c r="G3283" s="7" t="s">
        <v>6</v>
      </c>
      <c r="H3283">
        <f t="shared" si="261"/>
        <v>2025</v>
      </c>
      <c r="I3283">
        <f t="shared" si="262"/>
        <v>3</v>
      </c>
      <c r="J3283">
        <f t="shared" si="258"/>
        <v>-19.989999999999998</v>
      </c>
    </row>
    <row r="3284" spans="1:10" ht="12.5" x14ac:dyDescent="0.25">
      <c r="A3284" s="1">
        <v>45747</v>
      </c>
      <c r="B3284" s="2" t="s">
        <v>11</v>
      </c>
      <c r="C3284" s="3">
        <v>9.99</v>
      </c>
      <c r="D3284" s="3">
        <v>97</v>
      </c>
      <c r="E3284" s="3">
        <v>969.03</v>
      </c>
      <c r="F3284" t="str">
        <f t="shared" si="259"/>
        <v>net sales</v>
      </c>
      <c r="G3284" s="7" t="str">
        <f t="shared" si="260"/>
        <v>product 1</v>
      </c>
      <c r="H3284">
        <f t="shared" si="261"/>
        <v>2025</v>
      </c>
      <c r="I3284">
        <f t="shared" si="262"/>
        <v>3</v>
      </c>
      <c r="J3284">
        <f t="shared" si="258"/>
        <v>-782.13</v>
      </c>
    </row>
    <row r="3285" spans="1:10" ht="12.5" x14ac:dyDescent="0.25">
      <c r="A3285" s="1">
        <v>45747</v>
      </c>
      <c r="B3285" s="2" t="s">
        <v>12</v>
      </c>
      <c r="C3285" s="3">
        <v>24.99</v>
      </c>
      <c r="D3285" s="3">
        <v>2</v>
      </c>
      <c r="E3285" s="3">
        <v>49.98</v>
      </c>
      <c r="F3285" t="str">
        <f t="shared" si="259"/>
        <v>net sales</v>
      </c>
      <c r="G3285" s="7" t="str">
        <f t="shared" si="260"/>
        <v>product 2</v>
      </c>
      <c r="H3285">
        <f t="shared" si="261"/>
        <v>2025</v>
      </c>
      <c r="I3285">
        <f t="shared" si="262"/>
        <v>3</v>
      </c>
      <c r="J3285">
        <f t="shared" si="258"/>
        <v>-112.05</v>
      </c>
    </row>
    <row r="3286" spans="1:10" ht="12.5" x14ac:dyDescent="0.25">
      <c r="A3286" s="1">
        <v>45747</v>
      </c>
      <c r="B3286" s="2" t="s">
        <v>13</v>
      </c>
      <c r="C3286" s="3">
        <v>12.49</v>
      </c>
      <c r="D3286" s="3">
        <v>93</v>
      </c>
      <c r="E3286" s="3">
        <v>1161.57</v>
      </c>
      <c r="F3286" t="str">
        <f t="shared" si="259"/>
        <v>net sales</v>
      </c>
      <c r="G3286" s="7" t="str">
        <f t="shared" si="260"/>
        <v>product 3</v>
      </c>
      <c r="H3286">
        <f t="shared" si="261"/>
        <v>2025</v>
      </c>
      <c r="I3286">
        <f t="shared" si="262"/>
        <v>3</v>
      </c>
      <c r="J3286">
        <f t="shared" si="258"/>
        <v>719.28</v>
      </c>
    </row>
    <row r="3287" spans="1:10" ht="12.5" x14ac:dyDescent="0.25">
      <c r="A3287" s="1">
        <v>45748</v>
      </c>
      <c r="B3287" s="2" t="s">
        <v>5</v>
      </c>
      <c r="C3287" s="2" t="s">
        <v>6</v>
      </c>
      <c r="D3287" s="2" t="s">
        <v>6</v>
      </c>
      <c r="E3287" s="3">
        <v>50</v>
      </c>
      <c r="F3287" t="str">
        <f t="shared" si="259"/>
        <v>amortization</v>
      </c>
      <c r="G3287" s="7" t="s">
        <v>6</v>
      </c>
      <c r="H3287">
        <f t="shared" si="261"/>
        <v>2025</v>
      </c>
      <c r="I3287">
        <f t="shared" si="262"/>
        <v>4</v>
      </c>
      <c r="J3287">
        <f t="shared" si="258"/>
        <v>24.99</v>
      </c>
    </row>
    <row r="3288" spans="1:10" ht="12.5" x14ac:dyDescent="0.25">
      <c r="A3288" s="1">
        <v>45748</v>
      </c>
      <c r="B3288" s="2" t="s">
        <v>7</v>
      </c>
      <c r="C3288" s="3">
        <v>5.49</v>
      </c>
      <c r="D3288" s="3">
        <v>16</v>
      </c>
      <c r="E3288" s="3">
        <v>87.84</v>
      </c>
      <c r="F3288" t="str">
        <f t="shared" si="259"/>
        <v>cogs</v>
      </c>
      <c r="G3288" s="7" t="str">
        <f t="shared" si="260"/>
        <v>product 1</v>
      </c>
      <c r="H3288">
        <f t="shared" si="261"/>
        <v>2025</v>
      </c>
      <c r="I3288">
        <f t="shared" si="262"/>
        <v>4</v>
      </c>
      <c r="J3288">
        <f t="shared" si="258"/>
        <v>1086.6300000000001</v>
      </c>
    </row>
    <row r="3289" spans="1:10" ht="12.5" x14ac:dyDescent="0.25">
      <c r="A3289" s="1">
        <v>45748</v>
      </c>
      <c r="B3289" s="2" t="s">
        <v>8</v>
      </c>
      <c r="C3289" s="3">
        <v>19.989999999999998</v>
      </c>
      <c r="D3289" s="3">
        <v>0</v>
      </c>
      <c r="E3289" s="2">
        <f>C3289*D3289</f>
        <v>0</v>
      </c>
      <c r="F3289" t="str">
        <f t="shared" si="259"/>
        <v>cogs</v>
      </c>
      <c r="G3289" s="7" t="str">
        <f t="shared" si="260"/>
        <v>product 2</v>
      </c>
      <c r="H3289">
        <f t="shared" si="261"/>
        <v>2025</v>
      </c>
      <c r="I3289">
        <f t="shared" si="262"/>
        <v>4</v>
      </c>
      <c r="J3289">
        <f t="shared" si="258"/>
        <v>-2000</v>
      </c>
    </row>
    <row r="3290" spans="1:10" ht="12.5" x14ac:dyDescent="0.25">
      <c r="A3290" s="1">
        <v>45748</v>
      </c>
      <c r="B3290" s="2" t="s">
        <v>9</v>
      </c>
      <c r="C3290" s="3">
        <v>8.99</v>
      </c>
      <c r="D3290" s="3">
        <v>56</v>
      </c>
      <c r="E3290" s="3">
        <v>503.44</v>
      </c>
      <c r="F3290" t="str">
        <f t="shared" si="259"/>
        <v>cogs</v>
      </c>
      <c r="G3290" s="7" t="str">
        <f t="shared" si="260"/>
        <v>product 3</v>
      </c>
      <c r="H3290">
        <f t="shared" si="261"/>
        <v>2025</v>
      </c>
      <c r="I3290">
        <f t="shared" si="262"/>
        <v>4</v>
      </c>
      <c r="J3290">
        <f t="shared" si="258"/>
        <v>-483.12</v>
      </c>
    </row>
    <row r="3291" spans="1:10" ht="12.5" x14ac:dyDescent="0.25">
      <c r="A3291" s="1">
        <v>45748</v>
      </c>
      <c r="B3291" s="2" t="s">
        <v>10</v>
      </c>
      <c r="C3291" s="2" t="s">
        <v>6</v>
      </c>
      <c r="D3291" s="2" t="s">
        <v>6</v>
      </c>
      <c r="E3291" s="3">
        <v>110.05</v>
      </c>
      <c r="F3291" t="str">
        <f t="shared" si="259"/>
        <v>marketing</v>
      </c>
      <c r="G3291" s="7" t="s">
        <v>6</v>
      </c>
      <c r="H3291">
        <f t="shared" si="261"/>
        <v>2025</v>
      </c>
      <c r="I3291">
        <f t="shared" si="262"/>
        <v>4</v>
      </c>
      <c r="J3291">
        <f t="shared" si="258"/>
        <v>-79.959999999999994</v>
      </c>
    </row>
    <row r="3292" spans="1:10" ht="12.5" x14ac:dyDescent="0.25">
      <c r="A3292" s="1">
        <v>45748</v>
      </c>
      <c r="B3292" s="2" t="s">
        <v>11</v>
      </c>
      <c r="C3292" s="3">
        <v>9.99</v>
      </c>
      <c r="D3292" s="3">
        <v>16</v>
      </c>
      <c r="E3292" s="3">
        <v>159.84</v>
      </c>
      <c r="F3292" t="str">
        <f t="shared" si="259"/>
        <v>net sales</v>
      </c>
      <c r="G3292" s="7" t="str">
        <f t="shared" si="260"/>
        <v>product 1</v>
      </c>
      <c r="H3292">
        <f t="shared" si="261"/>
        <v>2025</v>
      </c>
      <c r="I3292">
        <f t="shared" si="262"/>
        <v>4</v>
      </c>
      <c r="J3292">
        <f t="shared" ref="J3292:J3355" si="263">IF(F3075="net sales",E3075,
IF(F3075="cogs",-E3075,
IF(OR(F3075="marketing",F3075="overhead",F3075="payroll",F3075="interest","amortization"),-E3075,0)))</f>
        <v>-1330.52</v>
      </c>
    </row>
    <row r="3293" spans="1:10" ht="12.5" x14ac:dyDescent="0.25">
      <c r="A3293" s="1">
        <v>45748</v>
      </c>
      <c r="B3293" s="2" t="s">
        <v>12</v>
      </c>
      <c r="C3293" s="3">
        <v>24.99</v>
      </c>
      <c r="D3293" s="3">
        <v>0</v>
      </c>
      <c r="E3293" s="2">
        <f>C3293*D3293</f>
        <v>0</v>
      </c>
      <c r="F3293" t="str">
        <f t="shared" si="259"/>
        <v>net sales</v>
      </c>
      <c r="G3293" s="7" t="str">
        <f t="shared" si="260"/>
        <v>product 2</v>
      </c>
      <c r="H3293">
        <f t="shared" si="261"/>
        <v>2025</v>
      </c>
      <c r="I3293">
        <f t="shared" si="262"/>
        <v>4</v>
      </c>
      <c r="J3293">
        <f t="shared" si="263"/>
        <v>-112.08</v>
      </c>
    </row>
    <row r="3294" spans="1:10" ht="12.5" x14ac:dyDescent="0.25">
      <c r="A3294" s="1">
        <v>45748</v>
      </c>
      <c r="B3294" s="2" t="s">
        <v>13</v>
      </c>
      <c r="C3294" s="3">
        <v>12.49</v>
      </c>
      <c r="D3294" s="3">
        <v>56</v>
      </c>
      <c r="E3294" s="3">
        <v>699.44</v>
      </c>
      <c r="F3294" t="str">
        <f t="shared" si="259"/>
        <v>net sales</v>
      </c>
      <c r="G3294" s="7" t="str">
        <f t="shared" si="260"/>
        <v>product 3</v>
      </c>
      <c r="H3294">
        <f t="shared" si="261"/>
        <v>2025</v>
      </c>
      <c r="I3294">
        <f t="shared" si="262"/>
        <v>4</v>
      </c>
      <c r="J3294">
        <f t="shared" si="263"/>
        <v>879.12</v>
      </c>
    </row>
    <row r="3295" spans="1:10" ht="12.5" x14ac:dyDescent="0.25">
      <c r="A3295" s="1">
        <v>45748</v>
      </c>
      <c r="B3295" s="2" t="s">
        <v>14</v>
      </c>
      <c r="C3295" s="2" t="s">
        <v>6</v>
      </c>
      <c r="D3295" s="2" t="s">
        <v>6</v>
      </c>
      <c r="E3295" s="3">
        <v>2000</v>
      </c>
      <c r="F3295" t="str">
        <f t="shared" si="259"/>
        <v>overhead</v>
      </c>
      <c r="G3295" s="7" t="s">
        <v>6</v>
      </c>
      <c r="H3295">
        <f t="shared" si="261"/>
        <v>2025</v>
      </c>
      <c r="I3295">
        <f t="shared" si="262"/>
        <v>4</v>
      </c>
      <c r="J3295">
        <f t="shared" si="263"/>
        <v>99.96</v>
      </c>
    </row>
    <row r="3296" spans="1:10" ht="12.5" x14ac:dyDescent="0.25">
      <c r="A3296" s="1">
        <v>45749</v>
      </c>
      <c r="B3296" s="2" t="s">
        <v>7</v>
      </c>
      <c r="C3296" s="3">
        <v>5.49</v>
      </c>
      <c r="D3296" s="3">
        <v>43</v>
      </c>
      <c r="E3296" s="3">
        <v>236.07000000000002</v>
      </c>
      <c r="F3296" t="str">
        <f t="shared" si="259"/>
        <v>cogs</v>
      </c>
      <c r="G3296" s="7" t="str">
        <f t="shared" si="260"/>
        <v>product 1</v>
      </c>
      <c r="H3296">
        <f t="shared" si="261"/>
        <v>2025</v>
      </c>
      <c r="I3296">
        <f t="shared" si="262"/>
        <v>4</v>
      </c>
      <c r="J3296">
        <f t="shared" si="263"/>
        <v>1848.52</v>
      </c>
    </row>
    <row r="3297" spans="1:10" ht="12.5" x14ac:dyDescent="0.25">
      <c r="A3297" s="1">
        <v>45749</v>
      </c>
      <c r="B3297" s="2" t="s">
        <v>8</v>
      </c>
      <c r="C3297" s="3">
        <v>19.989999999999998</v>
      </c>
      <c r="D3297" s="3">
        <v>1</v>
      </c>
      <c r="E3297" s="3">
        <v>19.989999999999998</v>
      </c>
      <c r="F3297" t="str">
        <f t="shared" si="259"/>
        <v>cogs</v>
      </c>
      <c r="G3297" s="7" t="str">
        <f t="shared" si="260"/>
        <v>product 2</v>
      </c>
      <c r="H3297">
        <f t="shared" si="261"/>
        <v>2025</v>
      </c>
      <c r="I3297">
        <f t="shared" si="262"/>
        <v>4</v>
      </c>
      <c r="J3297">
        <f t="shared" si="263"/>
        <v>-225.09</v>
      </c>
    </row>
    <row r="3298" spans="1:10" ht="12.5" x14ac:dyDescent="0.25">
      <c r="A3298" s="1">
        <v>45749</v>
      </c>
      <c r="B3298" s="2" t="s">
        <v>9</v>
      </c>
      <c r="C3298" s="3">
        <v>8.99</v>
      </c>
      <c r="D3298" s="3">
        <v>29</v>
      </c>
      <c r="E3298" s="3">
        <v>260.70999999999998</v>
      </c>
      <c r="F3298" t="str">
        <f t="shared" si="259"/>
        <v>cogs</v>
      </c>
      <c r="G3298" s="7" t="str">
        <f t="shared" si="260"/>
        <v>product 3</v>
      </c>
      <c r="H3298">
        <f t="shared" si="261"/>
        <v>2025</v>
      </c>
      <c r="I3298">
        <f t="shared" si="262"/>
        <v>4</v>
      </c>
      <c r="J3298">
        <f t="shared" si="263"/>
        <v>-19.989999999999998</v>
      </c>
    </row>
    <row r="3299" spans="1:10" ht="12.5" x14ac:dyDescent="0.25">
      <c r="A3299" s="1">
        <v>45749</v>
      </c>
      <c r="B3299" s="2" t="s">
        <v>10</v>
      </c>
      <c r="C3299" s="2" t="s">
        <v>6</v>
      </c>
      <c r="D3299" s="2" t="s">
        <v>6</v>
      </c>
      <c r="E3299" s="3">
        <v>119.03</v>
      </c>
      <c r="F3299" t="str">
        <f t="shared" si="259"/>
        <v>marketing</v>
      </c>
      <c r="G3299" s="7" t="s">
        <v>6</v>
      </c>
      <c r="H3299">
        <f t="shared" si="261"/>
        <v>2025</v>
      </c>
      <c r="I3299">
        <f t="shared" si="262"/>
        <v>4</v>
      </c>
      <c r="J3299">
        <f t="shared" si="263"/>
        <v>-584.35</v>
      </c>
    </row>
    <row r="3300" spans="1:10" ht="12.5" x14ac:dyDescent="0.25">
      <c r="A3300" s="1">
        <v>45749</v>
      </c>
      <c r="B3300" s="2" t="s">
        <v>11</v>
      </c>
      <c r="C3300" s="3">
        <v>9.99</v>
      </c>
      <c r="D3300" s="3">
        <v>43</v>
      </c>
      <c r="E3300" s="3">
        <v>429.57</v>
      </c>
      <c r="F3300" t="str">
        <f t="shared" si="259"/>
        <v>net sales</v>
      </c>
      <c r="G3300" s="7" t="str">
        <f t="shared" si="260"/>
        <v>product 1</v>
      </c>
      <c r="H3300">
        <f t="shared" si="261"/>
        <v>2025</v>
      </c>
      <c r="I3300">
        <f t="shared" si="262"/>
        <v>4</v>
      </c>
      <c r="J3300">
        <f t="shared" si="263"/>
        <v>-113.94</v>
      </c>
    </row>
    <row r="3301" spans="1:10" ht="12.5" x14ac:dyDescent="0.25">
      <c r="A3301" s="1">
        <v>45749</v>
      </c>
      <c r="B3301" s="2" t="s">
        <v>12</v>
      </c>
      <c r="C3301" s="3">
        <v>24.99</v>
      </c>
      <c r="D3301" s="3">
        <v>1</v>
      </c>
      <c r="E3301" s="3">
        <v>24.99</v>
      </c>
      <c r="F3301" t="str">
        <f t="shared" si="259"/>
        <v>net sales</v>
      </c>
      <c r="G3301" s="7" t="str">
        <f t="shared" si="260"/>
        <v>product 2</v>
      </c>
      <c r="H3301">
        <f t="shared" si="261"/>
        <v>2025</v>
      </c>
      <c r="I3301">
        <f t="shared" si="262"/>
        <v>4</v>
      </c>
      <c r="J3301">
        <f t="shared" si="263"/>
        <v>409.59000000000003</v>
      </c>
    </row>
    <row r="3302" spans="1:10" ht="12.5" x14ac:dyDescent="0.25">
      <c r="A3302" s="1">
        <v>45749</v>
      </c>
      <c r="B3302" s="2" t="s">
        <v>13</v>
      </c>
      <c r="C3302" s="3">
        <v>12.49</v>
      </c>
      <c r="D3302" s="3">
        <v>29</v>
      </c>
      <c r="E3302" s="3">
        <v>362.21</v>
      </c>
      <c r="F3302" t="str">
        <f t="shared" si="259"/>
        <v>net sales</v>
      </c>
      <c r="G3302" s="7" t="str">
        <f t="shared" si="260"/>
        <v>product 3</v>
      </c>
      <c r="H3302">
        <f t="shared" si="261"/>
        <v>2025</v>
      </c>
      <c r="I3302">
        <f t="shared" si="262"/>
        <v>4</v>
      </c>
      <c r="J3302">
        <f t="shared" si="263"/>
        <v>24.99</v>
      </c>
    </row>
    <row r="3303" spans="1:10" ht="12.5" x14ac:dyDescent="0.25">
      <c r="A3303" s="1">
        <v>45750</v>
      </c>
      <c r="B3303" s="2" t="s">
        <v>7</v>
      </c>
      <c r="C3303" s="3">
        <v>5.49</v>
      </c>
      <c r="D3303" s="3">
        <v>54</v>
      </c>
      <c r="E3303" s="3">
        <v>296.46000000000004</v>
      </c>
      <c r="F3303" t="str">
        <f t="shared" si="259"/>
        <v>cogs</v>
      </c>
      <c r="G3303" s="7" t="str">
        <f t="shared" si="260"/>
        <v>product 1</v>
      </c>
      <c r="H3303">
        <f t="shared" si="261"/>
        <v>2025</v>
      </c>
      <c r="I3303">
        <f t="shared" si="262"/>
        <v>4</v>
      </c>
      <c r="J3303">
        <f t="shared" si="263"/>
        <v>811.85</v>
      </c>
    </row>
    <row r="3304" spans="1:10" ht="12.5" x14ac:dyDescent="0.25">
      <c r="A3304" s="1">
        <v>45750</v>
      </c>
      <c r="B3304" s="2" t="s">
        <v>8</v>
      </c>
      <c r="C3304" s="3">
        <v>19.989999999999998</v>
      </c>
      <c r="D3304" s="3">
        <v>0</v>
      </c>
      <c r="E3304" s="2">
        <f>C3304*D3304</f>
        <v>0</v>
      </c>
      <c r="F3304" t="str">
        <f t="shared" si="259"/>
        <v>cogs</v>
      </c>
      <c r="G3304" s="7" t="str">
        <f t="shared" si="260"/>
        <v>product 2</v>
      </c>
      <c r="H3304">
        <f t="shared" si="261"/>
        <v>2025</v>
      </c>
      <c r="I3304">
        <f t="shared" si="262"/>
        <v>4</v>
      </c>
      <c r="J3304">
        <f t="shared" si="263"/>
        <v>-16.47</v>
      </c>
    </row>
    <row r="3305" spans="1:10" ht="12.5" x14ac:dyDescent="0.25">
      <c r="A3305" s="1">
        <v>45750</v>
      </c>
      <c r="B3305" s="2" t="s">
        <v>9</v>
      </c>
      <c r="C3305" s="3">
        <v>8.99</v>
      </c>
      <c r="D3305" s="3">
        <v>13</v>
      </c>
      <c r="E3305" s="3">
        <v>116.87</v>
      </c>
      <c r="F3305" t="str">
        <f t="shared" si="259"/>
        <v>cogs</v>
      </c>
      <c r="G3305" s="7" t="str">
        <f t="shared" si="260"/>
        <v>product 3</v>
      </c>
      <c r="H3305">
        <f t="shared" si="261"/>
        <v>2025</v>
      </c>
      <c r="I3305">
        <f t="shared" si="262"/>
        <v>4</v>
      </c>
      <c r="J3305">
        <f t="shared" si="263"/>
        <v>-59.97</v>
      </c>
    </row>
    <row r="3306" spans="1:10" ht="12.5" x14ac:dyDescent="0.25">
      <c r="A3306" s="1">
        <v>45750</v>
      </c>
      <c r="B3306" s="2" t="s">
        <v>10</v>
      </c>
      <c r="C3306" s="2" t="s">
        <v>6</v>
      </c>
      <c r="D3306" s="2" t="s">
        <v>6</v>
      </c>
      <c r="E3306" s="3">
        <v>117.93</v>
      </c>
      <c r="F3306" t="str">
        <f t="shared" si="259"/>
        <v>marketing</v>
      </c>
      <c r="G3306" s="7" t="s">
        <v>6</v>
      </c>
      <c r="H3306">
        <f t="shared" si="261"/>
        <v>2025</v>
      </c>
      <c r="I3306">
        <f t="shared" si="262"/>
        <v>4</v>
      </c>
      <c r="J3306">
        <f t="shared" si="263"/>
        <v>0</v>
      </c>
    </row>
    <row r="3307" spans="1:10" ht="12.5" x14ac:dyDescent="0.25">
      <c r="A3307" s="1">
        <v>45750</v>
      </c>
      <c r="B3307" s="2" t="s">
        <v>11</v>
      </c>
      <c r="C3307" s="3">
        <v>9.99</v>
      </c>
      <c r="D3307" s="3">
        <v>54</v>
      </c>
      <c r="E3307" s="3">
        <v>539.46</v>
      </c>
      <c r="F3307" t="str">
        <f t="shared" si="259"/>
        <v>net sales</v>
      </c>
      <c r="G3307" s="7" t="str">
        <f t="shared" si="260"/>
        <v>product 1</v>
      </c>
      <c r="H3307">
        <f t="shared" si="261"/>
        <v>2025</v>
      </c>
      <c r="I3307">
        <f t="shared" si="262"/>
        <v>4</v>
      </c>
      <c r="J3307">
        <f t="shared" si="263"/>
        <v>-114.07000000000001</v>
      </c>
    </row>
    <row r="3308" spans="1:10" ht="12.5" x14ac:dyDescent="0.25">
      <c r="A3308" s="1">
        <v>45750</v>
      </c>
      <c r="B3308" s="2" t="s">
        <v>12</v>
      </c>
      <c r="C3308" s="3">
        <v>24.99</v>
      </c>
      <c r="D3308" s="3">
        <v>0</v>
      </c>
      <c r="E3308" s="2">
        <f>C3308*D3308</f>
        <v>0</v>
      </c>
      <c r="F3308" t="str">
        <f t="shared" si="259"/>
        <v>net sales</v>
      </c>
      <c r="G3308" s="7" t="str">
        <f t="shared" si="260"/>
        <v>product 2</v>
      </c>
      <c r="H3308">
        <f t="shared" si="261"/>
        <v>2025</v>
      </c>
      <c r="I3308">
        <f t="shared" si="262"/>
        <v>4</v>
      </c>
      <c r="J3308">
        <f t="shared" si="263"/>
        <v>29.97</v>
      </c>
    </row>
    <row r="3309" spans="1:10" ht="12.5" x14ac:dyDescent="0.25">
      <c r="A3309" s="1">
        <v>45750</v>
      </c>
      <c r="B3309" s="2" t="s">
        <v>13</v>
      </c>
      <c r="C3309" s="3">
        <v>12.49</v>
      </c>
      <c r="D3309" s="3">
        <v>13</v>
      </c>
      <c r="E3309" s="3">
        <v>162.37</v>
      </c>
      <c r="F3309" t="str">
        <f t="shared" si="259"/>
        <v>net sales</v>
      </c>
      <c r="G3309" s="7" t="str">
        <f t="shared" si="260"/>
        <v>product 3</v>
      </c>
      <c r="H3309">
        <f t="shared" si="261"/>
        <v>2025</v>
      </c>
      <c r="I3309">
        <f t="shared" si="262"/>
        <v>4</v>
      </c>
      <c r="J3309">
        <f t="shared" si="263"/>
        <v>74.97</v>
      </c>
    </row>
    <row r="3310" spans="1:10" ht="12.5" x14ac:dyDescent="0.25">
      <c r="A3310" s="1">
        <v>45751</v>
      </c>
      <c r="B3310" s="2" t="s">
        <v>7</v>
      </c>
      <c r="C3310" s="3">
        <v>5.49</v>
      </c>
      <c r="D3310" s="3">
        <v>43</v>
      </c>
      <c r="E3310" s="3">
        <v>236.07000000000002</v>
      </c>
      <c r="F3310" t="str">
        <f t="shared" si="259"/>
        <v>cogs</v>
      </c>
      <c r="G3310" s="7" t="str">
        <f t="shared" si="260"/>
        <v>product 1</v>
      </c>
      <c r="H3310">
        <f t="shared" si="261"/>
        <v>2025</v>
      </c>
      <c r="I3310">
        <f t="shared" si="262"/>
        <v>4</v>
      </c>
      <c r="J3310">
        <f t="shared" si="263"/>
        <v>0</v>
      </c>
    </row>
    <row r="3311" spans="1:10" ht="12.5" x14ac:dyDescent="0.25">
      <c r="A3311" s="1">
        <v>45751</v>
      </c>
      <c r="B3311" s="2" t="s">
        <v>8</v>
      </c>
      <c r="C3311" s="3">
        <v>19.989999999999998</v>
      </c>
      <c r="D3311" s="3">
        <v>6</v>
      </c>
      <c r="E3311" s="3">
        <v>119.94</v>
      </c>
      <c r="F3311" t="str">
        <f t="shared" si="259"/>
        <v>cogs</v>
      </c>
      <c r="G3311" s="7" t="str">
        <f t="shared" si="260"/>
        <v>product 2</v>
      </c>
      <c r="H3311">
        <f t="shared" si="261"/>
        <v>2025</v>
      </c>
      <c r="I3311">
        <f t="shared" si="262"/>
        <v>4</v>
      </c>
      <c r="J3311">
        <f t="shared" si="263"/>
        <v>-252.54000000000002</v>
      </c>
    </row>
    <row r="3312" spans="1:10" ht="12.5" x14ac:dyDescent="0.25">
      <c r="A3312" s="1">
        <v>45751</v>
      </c>
      <c r="B3312" s="2" t="s">
        <v>9</v>
      </c>
      <c r="C3312" s="3">
        <v>8.99</v>
      </c>
      <c r="D3312" s="3">
        <v>229</v>
      </c>
      <c r="E3312" s="3">
        <v>2058.71</v>
      </c>
      <c r="F3312" t="str">
        <f t="shared" si="259"/>
        <v>cogs</v>
      </c>
      <c r="G3312" s="7" t="str">
        <f t="shared" si="260"/>
        <v>product 3</v>
      </c>
      <c r="H3312">
        <f t="shared" si="261"/>
        <v>2025</v>
      </c>
      <c r="I3312">
        <f t="shared" si="262"/>
        <v>4</v>
      </c>
      <c r="J3312">
        <f t="shared" si="263"/>
        <v>-19.989999999999998</v>
      </c>
    </row>
    <row r="3313" spans="1:10" ht="12.5" x14ac:dyDescent="0.25">
      <c r="A3313" s="1">
        <v>45751</v>
      </c>
      <c r="B3313" s="2" t="s">
        <v>10</v>
      </c>
      <c r="C3313" s="2" t="s">
        <v>6</v>
      </c>
      <c r="D3313" s="2" t="s">
        <v>6</v>
      </c>
      <c r="E3313" s="3">
        <v>101.96000000000001</v>
      </c>
      <c r="F3313" t="str">
        <f t="shared" si="259"/>
        <v>marketing</v>
      </c>
      <c r="G3313" s="7" t="s">
        <v>6</v>
      </c>
      <c r="H3313">
        <f t="shared" si="261"/>
        <v>2025</v>
      </c>
      <c r="I3313">
        <f t="shared" si="262"/>
        <v>4</v>
      </c>
      <c r="J3313">
        <f t="shared" si="263"/>
        <v>-2031.74</v>
      </c>
    </row>
    <row r="3314" spans="1:10" ht="12.5" x14ac:dyDescent="0.25">
      <c r="A3314" s="1">
        <v>45751</v>
      </c>
      <c r="B3314" s="2" t="s">
        <v>11</v>
      </c>
      <c r="C3314" s="3">
        <v>9.99</v>
      </c>
      <c r="D3314" s="3">
        <v>43</v>
      </c>
      <c r="E3314" s="3">
        <v>429.57</v>
      </c>
      <c r="F3314" t="str">
        <f t="shared" si="259"/>
        <v>net sales</v>
      </c>
      <c r="G3314" s="7" t="str">
        <f t="shared" si="260"/>
        <v>product 1</v>
      </c>
      <c r="H3314">
        <f t="shared" si="261"/>
        <v>2025</v>
      </c>
      <c r="I3314">
        <f t="shared" si="262"/>
        <v>4</v>
      </c>
      <c r="J3314">
        <f t="shared" si="263"/>
        <v>-101.95</v>
      </c>
    </row>
    <row r="3315" spans="1:10" ht="12.5" x14ac:dyDescent="0.25">
      <c r="A3315" s="1">
        <v>45751</v>
      </c>
      <c r="B3315" s="2" t="s">
        <v>12</v>
      </c>
      <c r="C3315" s="3">
        <v>24.99</v>
      </c>
      <c r="D3315" s="3">
        <v>6</v>
      </c>
      <c r="E3315" s="3">
        <v>149.94</v>
      </c>
      <c r="F3315" t="str">
        <f t="shared" si="259"/>
        <v>net sales</v>
      </c>
      <c r="G3315" s="7" t="str">
        <f t="shared" si="260"/>
        <v>product 2</v>
      </c>
      <c r="H3315">
        <f t="shared" si="261"/>
        <v>2025</v>
      </c>
      <c r="I3315">
        <f t="shared" si="262"/>
        <v>4</v>
      </c>
      <c r="J3315">
        <f t="shared" si="263"/>
        <v>459.54</v>
      </c>
    </row>
    <row r="3316" spans="1:10" ht="12.5" x14ac:dyDescent="0.25">
      <c r="A3316" s="1">
        <v>45751</v>
      </c>
      <c r="B3316" s="2" t="s">
        <v>13</v>
      </c>
      <c r="C3316" s="3">
        <v>12.49</v>
      </c>
      <c r="D3316" s="3">
        <v>229</v>
      </c>
      <c r="E3316" s="3">
        <v>2860.21</v>
      </c>
      <c r="F3316" t="str">
        <f t="shared" si="259"/>
        <v>net sales</v>
      </c>
      <c r="G3316" s="7" t="str">
        <f t="shared" si="260"/>
        <v>product 3</v>
      </c>
      <c r="H3316">
        <f t="shared" si="261"/>
        <v>2025</v>
      </c>
      <c r="I3316">
        <f t="shared" si="262"/>
        <v>4</v>
      </c>
      <c r="J3316">
        <f t="shared" si="263"/>
        <v>24.99</v>
      </c>
    </row>
    <row r="3317" spans="1:10" ht="12.5" x14ac:dyDescent="0.25">
      <c r="A3317" s="1">
        <v>45752</v>
      </c>
      <c r="B3317" s="2" t="s">
        <v>7</v>
      </c>
      <c r="C3317" s="3">
        <v>5.49</v>
      </c>
      <c r="D3317" s="3">
        <v>52</v>
      </c>
      <c r="E3317" s="3">
        <v>285.48</v>
      </c>
      <c r="F3317" t="str">
        <f t="shared" si="259"/>
        <v>cogs</v>
      </c>
      <c r="G3317" s="7" t="str">
        <f t="shared" si="260"/>
        <v>product 1</v>
      </c>
      <c r="H3317">
        <f t="shared" si="261"/>
        <v>2025</v>
      </c>
      <c r="I3317">
        <f t="shared" si="262"/>
        <v>4</v>
      </c>
      <c r="J3317">
        <f t="shared" si="263"/>
        <v>2822.7400000000002</v>
      </c>
    </row>
    <row r="3318" spans="1:10" ht="12.5" x14ac:dyDescent="0.25">
      <c r="A3318" s="1">
        <v>45752</v>
      </c>
      <c r="B3318" s="2" t="s">
        <v>8</v>
      </c>
      <c r="C3318" s="3">
        <v>19.989999999999998</v>
      </c>
      <c r="D3318" s="3">
        <v>4</v>
      </c>
      <c r="E3318" s="3">
        <v>79.959999999999994</v>
      </c>
      <c r="F3318" t="str">
        <f t="shared" si="259"/>
        <v>cogs</v>
      </c>
      <c r="G3318" s="7" t="str">
        <f t="shared" si="260"/>
        <v>product 2</v>
      </c>
      <c r="H3318">
        <f t="shared" si="261"/>
        <v>2025</v>
      </c>
      <c r="I3318">
        <f t="shared" si="262"/>
        <v>4</v>
      </c>
      <c r="J3318">
        <f t="shared" si="263"/>
        <v>-494.1</v>
      </c>
    </row>
    <row r="3319" spans="1:10" ht="12.5" x14ac:dyDescent="0.25">
      <c r="A3319" s="1">
        <v>45752</v>
      </c>
      <c r="B3319" s="2" t="s">
        <v>9</v>
      </c>
      <c r="C3319" s="3">
        <v>8.99</v>
      </c>
      <c r="D3319" s="3">
        <v>245</v>
      </c>
      <c r="E3319" s="3">
        <v>2202.5500000000002</v>
      </c>
      <c r="F3319" t="str">
        <f t="shared" si="259"/>
        <v>cogs</v>
      </c>
      <c r="G3319" s="7" t="str">
        <f t="shared" si="260"/>
        <v>product 3</v>
      </c>
      <c r="H3319">
        <f t="shared" si="261"/>
        <v>2025</v>
      </c>
      <c r="I3319">
        <f t="shared" si="262"/>
        <v>4</v>
      </c>
      <c r="J3319">
        <f t="shared" si="263"/>
        <v>-19.989999999999998</v>
      </c>
    </row>
    <row r="3320" spans="1:10" ht="12.5" x14ac:dyDescent="0.25">
      <c r="A3320" s="1">
        <v>45752</v>
      </c>
      <c r="B3320" s="2" t="s">
        <v>10</v>
      </c>
      <c r="C3320" s="2" t="s">
        <v>6</v>
      </c>
      <c r="D3320" s="2" t="s">
        <v>6</v>
      </c>
      <c r="E3320" s="3">
        <v>99.990000000000009</v>
      </c>
      <c r="F3320" t="str">
        <f t="shared" si="259"/>
        <v>marketing</v>
      </c>
      <c r="G3320" s="7" t="s">
        <v>6</v>
      </c>
      <c r="H3320">
        <f t="shared" si="261"/>
        <v>2025</v>
      </c>
      <c r="I3320">
        <f t="shared" si="262"/>
        <v>4</v>
      </c>
      <c r="J3320">
        <f t="shared" si="263"/>
        <v>-17.98</v>
      </c>
    </row>
    <row r="3321" spans="1:10" ht="12.5" x14ac:dyDescent="0.25">
      <c r="A3321" s="1">
        <v>45752</v>
      </c>
      <c r="B3321" s="2" t="s">
        <v>11</v>
      </c>
      <c r="C3321" s="3">
        <v>9.99</v>
      </c>
      <c r="D3321" s="3">
        <v>52</v>
      </c>
      <c r="E3321" s="3">
        <v>519.48</v>
      </c>
      <c r="F3321" t="str">
        <f t="shared" si="259"/>
        <v>net sales</v>
      </c>
      <c r="G3321" s="7" t="str">
        <f t="shared" si="260"/>
        <v>product 1</v>
      </c>
      <c r="H3321">
        <f t="shared" si="261"/>
        <v>2025</v>
      </c>
      <c r="I3321">
        <f t="shared" si="262"/>
        <v>4</v>
      </c>
      <c r="J3321">
        <f t="shared" si="263"/>
        <v>-109.93</v>
      </c>
    </row>
    <row r="3322" spans="1:10" ht="12.5" x14ac:dyDescent="0.25">
      <c r="A3322" s="1">
        <v>45752</v>
      </c>
      <c r="B3322" s="2" t="s">
        <v>12</v>
      </c>
      <c r="C3322" s="3">
        <v>24.99</v>
      </c>
      <c r="D3322" s="3">
        <v>4</v>
      </c>
      <c r="E3322" s="3">
        <v>99.96</v>
      </c>
      <c r="F3322" t="str">
        <f t="shared" si="259"/>
        <v>net sales</v>
      </c>
      <c r="G3322" s="7" t="str">
        <f t="shared" si="260"/>
        <v>product 2</v>
      </c>
      <c r="H3322">
        <f t="shared" si="261"/>
        <v>2025</v>
      </c>
      <c r="I3322">
        <f t="shared" si="262"/>
        <v>4</v>
      </c>
      <c r="J3322">
        <f t="shared" si="263"/>
        <v>899.1</v>
      </c>
    </row>
    <row r="3323" spans="1:10" ht="12.5" x14ac:dyDescent="0.25">
      <c r="A3323" s="1">
        <v>45752</v>
      </c>
      <c r="B3323" s="2" t="s">
        <v>13</v>
      </c>
      <c r="C3323" s="3">
        <v>12.49</v>
      </c>
      <c r="D3323" s="3">
        <v>245</v>
      </c>
      <c r="E3323" s="3">
        <v>3060.05</v>
      </c>
      <c r="F3323" t="str">
        <f t="shared" si="259"/>
        <v>net sales</v>
      </c>
      <c r="G3323" s="7" t="str">
        <f t="shared" si="260"/>
        <v>product 3</v>
      </c>
      <c r="H3323">
        <f t="shared" si="261"/>
        <v>2025</v>
      </c>
      <c r="I3323">
        <f t="shared" si="262"/>
        <v>4</v>
      </c>
      <c r="J3323">
        <f t="shared" si="263"/>
        <v>24.99</v>
      </c>
    </row>
    <row r="3324" spans="1:10" ht="12.5" x14ac:dyDescent="0.25">
      <c r="A3324" s="1">
        <v>45753</v>
      </c>
      <c r="B3324" s="2" t="s">
        <v>7</v>
      </c>
      <c r="C3324" s="3">
        <v>5.49</v>
      </c>
      <c r="D3324" s="3">
        <v>80</v>
      </c>
      <c r="E3324" s="3">
        <v>439.20000000000005</v>
      </c>
      <c r="F3324" t="str">
        <f t="shared" si="259"/>
        <v>cogs</v>
      </c>
      <c r="G3324" s="7" t="str">
        <f t="shared" si="260"/>
        <v>product 1</v>
      </c>
      <c r="H3324">
        <f t="shared" si="261"/>
        <v>2025</v>
      </c>
      <c r="I3324">
        <f t="shared" si="262"/>
        <v>4</v>
      </c>
      <c r="J3324">
        <f t="shared" si="263"/>
        <v>24.98</v>
      </c>
    </row>
    <row r="3325" spans="1:10" ht="12.5" x14ac:dyDescent="0.25">
      <c r="A3325" s="1">
        <v>45753</v>
      </c>
      <c r="B3325" s="2" t="s">
        <v>8</v>
      </c>
      <c r="C3325" s="3">
        <v>19.989999999999998</v>
      </c>
      <c r="D3325" s="3">
        <v>7</v>
      </c>
      <c r="E3325" s="3">
        <v>139.92999999999998</v>
      </c>
      <c r="F3325" t="str">
        <f t="shared" si="259"/>
        <v>cogs</v>
      </c>
      <c r="G3325" s="7" t="str">
        <f t="shared" si="260"/>
        <v>product 2</v>
      </c>
      <c r="H3325">
        <f t="shared" si="261"/>
        <v>2025</v>
      </c>
      <c r="I3325">
        <f t="shared" si="262"/>
        <v>4</v>
      </c>
      <c r="J3325">
        <f t="shared" si="263"/>
        <v>-269.01</v>
      </c>
    </row>
    <row r="3326" spans="1:10" ht="12.5" x14ac:dyDescent="0.25">
      <c r="A3326" s="1">
        <v>45753</v>
      </c>
      <c r="B3326" s="2" t="s">
        <v>9</v>
      </c>
      <c r="C3326" s="3">
        <v>8.99</v>
      </c>
      <c r="D3326" s="3">
        <v>207</v>
      </c>
      <c r="E3326" s="3">
        <v>1860.93</v>
      </c>
      <c r="F3326" t="str">
        <f t="shared" si="259"/>
        <v>cogs</v>
      </c>
      <c r="G3326" s="7" t="str">
        <f t="shared" si="260"/>
        <v>product 3</v>
      </c>
      <c r="H3326">
        <f t="shared" si="261"/>
        <v>2025</v>
      </c>
      <c r="I3326">
        <f t="shared" si="262"/>
        <v>4</v>
      </c>
      <c r="J3326">
        <f t="shared" si="263"/>
        <v>-99.949999999999989</v>
      </c>
    </row>
    <row r="3327" spans="1:10" ht="12.5" x14ac:dyDescent="0.25">
      <c r="A3327" s="1">
        <v>45753</v>
      </c>
      <c r="B3327" s="2" t="s">
        <v>10</v>
      </c>
      <c r="C3327" s="2" t="s">
        <v>6</v>
      </c>
      <c r="D3327" s="2" t="s">
        <v>6</v>
      </c>
      <c r="E3327" s="3">
        <v>116</v>
      </c>
      <c r="F3327" t="str">
        <f t="shared" si="259"/>
        <v>marketing</v>
      </c>
      <c r="G3327" s="7" t="s">
        <v>6</v>
      </c>
      <c r="H3327">
        <f t="shared" si="261"/>
        <v>2025</v>
      </c>
      <c r="I3327">
        <f t="shared" si="262"/>
        <v>4</v>
      </c>
      <c r="J3327">
        <f t="shared" si="263"/>
        <v>-395.56</v>
      </c>
    </row>
    <row r="3328" spans="1:10" ht="12.5" x14ac:dyDescent="0.25">
      <c r="A3328" s="1">
        <v>45753</v>
      </c>
      <c r="B3328" s="2" t="s">
        <v>11</v>
      </c>
      <c r="C3328" s="3">
        <v>9.99</v>
      </c>
      <c r="D3328" s="3">
        <v>80</v>
      </c>
      <c r="E3328" s="3">
        <v>799.2</v>
      </c>
      <c r="F3328" t="str">
        <f t="shared" si="259"/>
        <v>net sales</v>
      </c>
      <c r="G3328" s="7" t="str">
        <f t="shared" si="260"/>
        <v>product 1</v>
      </c>
      <c r="H3328">
        <f t="shared" si="261"/>
        <v>2025</v>
      </c>
      <c r="I3328">
        <f t="shared" si="262"/>
        <v>4</v>
      </c>
      <c r="J3328">
        <f t="shared" si="263"/>
        <v>-102.91</v>
      </c>
    </row>
    <row r="3329" spans="1:10" ht="12.5" x14ac:dyDescent="0.25">
      <c r="A3329" s="1">
        <v>45753</v>
      </c>
      <c r="B3329" s="2" t="s">
        <v>12</v>
      </c>
      <c r="C3329" s="3">
        <v>24.99</v>
      </c>
      <c r="D3329" s="3">
        <v>7</v>
      </c>
      <c r="E3329" s="3">
        <v>174.92999999999998</v>
      </c>
      <c r="F3329" t="str">
        <f t="shared" si="259"/>
        <v>net sales</v>
      </c>
      <c r="G3329" s="7" t="str">
        <f t="shared" si="260"/>
        <v>product 2</v>
      </c>
      <c r="H3329">
        <f t="shared" si="261"/>
        <v>2025</v>
      </c>
      <c r="I3329">
        <f t="shared" si="262"/>
        <v>4</v>
      </c>
      <c r="J3329">
        <f t="shared" si="263"/>
        <v>489.51</v>
      </c>
    </row>
    <row r="3330" spans="1:10" ht="12.5" x14ac:dyDescent="0.25">
      <c r="A3330" s="1">
        <v>45753</v>
      </c>
      <c r="B3330" s="2" t="s">
        <v>13</v>
      </c>
      <c r="C3330" s="3">
        <v>12.49</v>
      </c>
      <c r="D3330" s="3">
        <v>207</v>
      </c>
      <c r="E3330" s="3">
        <v>2585.4299999999998</v>
      </c>
      <c r="F3330" t="str">
        <f t="shared" si="259"/>
        <v>net sales</v>
      </c>
      <c r="G3330" s="7" t="str">
        <f t="shared" si="260"/>
        <v>product 3</v>
      </c>
      <c r="H3330">
        <f t="shared" si="261"/>
        <v>2025</v>
      </c>
      <c r="I3330">
        <f t="shared" si="262"/>
        <v>4</v>
      </c>
      <c r="J3330">
        <f t="shared" si="263"/>
        <v>124.94999999999999</v>
      </c>
    </row>
    <row r="3331" spans="1:10" ht="12.5" x14ac:dyDescent="0.25">
      <c r="A3331" s="1">
        <v>45754</v>
      </c>
      <c r="B3331" s="2" t="s">
        <v>7</v>
      </c>
      <c r="C3331" s="3">
        <v>5.49</v>
      </c>
      <c r="D3331" s="3">
        <v>54</v>
      </c>
      <c r="E3331" s="3">
        <v>296.46000000000004</v>
      </c>
      <c r="F3331" t="str">
        <f t="shared" ref="F3331:F3394" si="264">IFERROR(LEFT(B3331,FIND(":",B3331)-1),B3331)</f>
        <v>cogs</v>
      </c>
      <c r="G3331" s="7" t="str">
        <f t="shared" ref="G3331:G3394" si="265">IFERROR(RIGHT(B3331,LEN(B3331)-FIND(":",B3331)),"")</f>
        <v>product 1</v>
      </c>
      <c r="H3331">
        <f t="shared" ref="H3331:H3394" si="266">YEAR(A3331)</f>
        <v>2025</v>
      </c>
      <c r="I3331">
        <f t="shared" ref="I3331:I3394" si="267">MONTH(A3331)</f>
        <v>4</v>
      </c>
      <c r="J3331">
        <f t="shared" si="263"/>
        <v>549.56000000000006</v>
      </c>
    </row>
    <row r="3332" spans="1:10" ht="12.5" x14ac:dyDescent="0.25">
      <c r="A3332" s="1">
        <v>45754</v>
      </c>
      <c r="B3332" s="2" t="s">
        <v>8</v>
      </c>
      <c r="C3332" s="3">
        <v>19.989999999999998</v>
      </c>
      <c r="D3332" s="3">
        <v>6</v>
      </c>
      <c r="E3332" s="3">
        <v>119.94</v>
      </c>
      <c r="F3332" t="str">
        <f t="shared" si="264"/>
        <v>cogs</v>
      </c>
      <c r="G3332" s="7" t="str">
        <f t="shared" si="265"/>
        <v>product 2</v>
      </c>
      <c r="H3332">
        <f t="shared" si="266"/>
        <v>2025</v>
      </c>
      <c r="I3332">
        <f t="shared" si="267"/>
        <v>4</v>
      </c>
      <c r="J3332">
        <f t="shared" si="263"/>
        <v>-142.74</v>
      </c>
    </row>
    <row r="3333" spans="1:10" ht="12.5" x14ac:dyDescent="0.25">
      <c r="A3333" s="1">
        <v>45754</v>
      </c>
      <c r="B3333" s="2" t="s">
        <v>9</v>
      </c>
      <c r="C3333" s="3">
        <v>8.99</v>
      </c>
      <c r="D3333" s="3">
        <v>114</v>
      </c>
      <c r="E3333" s="3">
        <v>1024.8600000000001</v>
      </c>
      <c r="F3333" t="str">
        <f t="shared" si="264"/>
        <v>cogs</v>
      </c>
      <c r="G3333" s="7" t="str">
        <f t="shared" si="265"/>
        <v>product 3</v>
      </c>
      <c r="H3333">
        <f t="shared" si="266"/>
        <v>2025</v>
      </c>
      <c r="I3333">
        <f t="shared" si="267"/>
        <v>4</v>
      </c>
      <c r="J3333">
        <f t="shared" si="263"/>
        <v>-39.979999999999997</v>
      </c>
    </row>
    <row r="3334" spans="1:10" ht="12.5" x14ac:dyDescent="0.25">
      <c r="A3334" s="1">
        <v>45754</v>
      </c>
      <c r="B3334" s="2" t="s">
        <v>10</v>
      </c>
      <c r="C3334" s="2" t="s">
        <v>6</v>
      </c>
      <c r="D3334" s="2" t="s">
        <v>6</v>
      </c>
      <c r="E3334" s="3">
        <v>111.07000000000001</v>
      </c>
      <c r="F3334" t="str">
        <f t="shared" si="264"/>
        <v>marketing</v>
      </c>
      <c r="G3334" s="7" t="s">
        <v>6</v>
      </c>
      <c r="H3334">
        <f t="shared" si="266"/>
        <v>2025</v>
      </c>
      <c r="I3334">
        <f t="shared" si="267"/>
        <v>4</v>
      </c>
      <c r="J3334">
        <f t="shared" si="263"/>
        <v>-961.93000000000006</v>
      </c>
    </row>
    <row r="3335" spans="1:10" ht="12.5" x14ac:dyDescent="0.25">
      <c r="A3335" s="1">
        <v>45754</v>
      </c>
      <c r="B3335" s="2" t="s">
        <v>11</v>
      </c>
      <c r="C3335" s="3">
        <v>9.99</v>
      </c>
      <c r="D3335" s="3">
        <v>54</v>
      </c>
      <c r="E3335" s="3">
        <v>539.46</v>
      </c>
      <c r="F3335" t="str">
        <f t="shared" si="264"/>
        <v>net sales</v>
      </c>
      <c r="G3335" s="7" t="str">
        <f t="shared" si="265"/>
        <v>product 1</v>
      </c>
      <c r="H3335">
        <f t="shared" si="266"/>
        <v>2025</v>
      </c>
      <c r="I3335">
        <f t="shared" si="267"/>
        <v>4</v>
      </c>
      <c r="J3335">
        <f t="shared" si="263"/>
        <v>-103.08</v>
      </c>
    </row>
    <row r="3336" spans="1:10" ht="12.5" x14ac:dyDescent="0.25">
      <c r="A3336" s="1">
        <v>45754</v>
      </c>
      <c r="B3336" s="2" t="s">
        <v>12</v>
      </c>
      <c r="C3336" s="3">
        <v>24.99</v>
      </c>
      <c r="D3336" s="3">
        <v>6</v>
      </c>
      <c r="E3336" s="3">
        <v>149.94</v>
      </c>
      <c r="F3336" t="str">
        <f t="shared" si="264"/>
        <v>net sales</v>
      </c>
      <c r="G3336" s="7" t="str">
        <f t="shared" si="265"/>
        <v>product 2</v>
      </c>
      <c r="H3336">
        <f t="shared" si="266"/>
        <v>2025</v>
      </c>
      <c r="I3336">
        <f t="shared" si="267"/>
        <v>4</v>
      </c>
      <c r="J3336">
        <f t="shared" si="263"/>
        <v>259.74</v>
      </c>
    </row>
    <row r="3337" spans="1:10" ht="12.5" x14ac:dyDescent="0.25">
      <c r="A3337" s="1">
        <v>45754</v>
      </c>
      <c r="B3337" s="2" t="s">
        <v>13</v>
      </c>
      <c r="C3337" s="3">
        <v>12.49</v>
      </c>
      <c r="D3337" s="3">
        <v>114</v>
      </c>
      <c r="E3337" s="3">
        <v>1423.8600000000001</v>
      </c>
      <c r="F3337" t="str">
        <f t="shared" si="264"/>
        <v>net sales</v>
      </c>
      <c r="G3337" s="7" t="str">
        <f t="shared" si="265"/>
        <v>product 3</v>
      </c>
      <c r="H3337">
        <f t="shared" si="266"/>
        <v>2025</v>
      </c>
      <c r="I3337">
        <f t="shared" si="267"/>
        <v>4</v>
      </c>
      <c r="J3337">
        <f t="shared" si="263"/>
        <v>49.98</v>
      </c>
    </row>
    <row r="3338" spans="1:10" ht="12.5" x14ac:dyDescent="0.25">
      <c r="A3338" s="1">
        <v>45755</v>
      </c>
      <c r="B3338" s="2" t="s">
        <v>7</v>
      </c>
      <c r="C3338" s="3">
        <v>5.49</v>
      </c>
      <c r="D3338" s="3">
        <v>88</v>
      </c>
      <c r="E3338" s="3">
        <v>483.12</v>
      </c>
      <c r="F3338" t="str">
        <f t="shared" si="264"/>
        <v>cogs</v>
      </c>
      <c r="G3338" s="7" t="str">
        <f t="shared" si="265"/>
        <v>product 1</v>
      </c>
      <c r="H3338">
        <f t="shared" si="266"/>
        <v>2025</v>
      </c>
      <c r="I3338">
        <f t="shared" si="267"/>
        <v>4</v>
      </c>
      <c r="J3338">
        <f t="shared" si="263"/>
        <v>1336.43</v>
      </c>
    </row>
    <row r="3339" spans="1:10" ht="12.5" x14ac:dyDescent="0.25">
      <c r="A3339" s="1">
        <v>45755</v>
      </c>
      <c r="B3339" s="2" t="s">
        <v>8</v>
      </c>
      <c r="C3339" s="3">
        <v>19.989999999999998</v>
      </c>
      <c r="D3339" s="3">
        <v>6</v>
      </c>
      <c r="E3339" s="3">
        <v>119.94</v>
      </c>
      <c r="F3339" t="str">
        <f t="shared" si="264"/>
        <v>cogs</v>
      </c>
      <c r="G3339" s="7" t="str">
        <f t="shared" si="265"/>
        <v>product 2</v>
      </c>
      <c r="H3339">
        <f t="shared" si="266"/>
        <v>2025</v>
      </c>
      <c r="I3339">
        <f t="shared" si="267"/>
        <v>4</v>
      </c>
      <c r="J3339">
        <f t="shared" si="263"/>
        <v>-400.77000000000004</v>
      </c>
    </row>
    <row r="3340" spans="1:10" ht="12.5" x14ac:dyDescent="0.25">
      <c r="A3340" s="1">
        <v>45755</v>
      </c>
      <c r="B3340" s="2" t="s">
        <v>9</v>
      </c>
      <c r="C3340" s="3">
        <v>8.99</v>
      </c>
      <c r="D3340" s="3">
        <v>226</v>
      </c>
      <c r="E3340" s="3">
        <v>2031.74</v>
      </c>
      <c r="F3340" t="str">
        <f t="shared" si="264"/>
        <v>cogs</v>
      </c>
      <c r="G3340" s="7" t="str">
        <f t="shared" si="265"/>
        <v>product 3</v>
      </c>
      <c r="H3340">
        <f t="shared" si="266"/>
        <v>2025</v>
      </c>
      <c r="I3340">
        <f t="shared" si="267"/>
        <v>4</v>
      </c>
      <c r="J3340">
        <f t="shared" si="263"/>
        <v>0</v>
      </c>
    </row>
    <row r="3341" spans="1:10" ht="12.5" x14ac:dyDescent="0.25">
      <c r="A3341" s="1">
        <v>45755</v>
      </c>
      <c r="B3341" s="2" t="s">
        <v>10</v>
      </c>
      <c r="C3341" s="2" t="s">
        <v>6</v>
      </c>
      <c r="D3341" s="2" t="s">
        <v>6</v>
      </c>
      <c r="E3341" s="3">
        <v>109.96000000000001</v>
      </c>
      <c r="F3341" t="str">
        <f t="shared" si="264"/>
        <v>marketing</v>
      </c>
      <c r="G3341" s="7" t="s">
        <v>6</v>
      </c>
      <c r="H3341">
        <f t="shared" si="266"/>
        <v>2025</v>
      </c>
      <c r="I3341">
        <f t="shared" si="267"/>
        <v>4</v>
      </c>
      <c r="J3341">
        <f t="shared" si="263"/>
        <v>-665.26</v>
      </c>
    </row>
    <row r="3342" spans="1:10" ht="12.5" x14ac:dyDescent="0.25">
      <c r="A3342" s="1">
        <v>45755</v>
      </c>
      <c r="B3342" s="2" t="s">
        <v>11</v>
      </c>
      <c r="C3342" s="3">
        <v>9.99</v>
      </c>
      <c r="D3342" s="3">
        <v>88</v>
      </c>
      <c r="E3342" s="3">
        <v>879.12</v>
      </c>
      <c r="F3342" t="str">
        <f t="shared" si="264"/>
        <v>net sales</v>
      </c>
      <c r="G3342" s="7" t="str">
        <f t="shared" si="265"/>
        <v>product 1</v>
      </c>
      <c r="H3342">
        <f t="shared" si="266"/>
        <v>2025</v>
      </c>
      <c r="I3342">
        <f t="shared" si="267"/>
        <v>4</v>
      </c>
      <c r="J3342">
        <f t="shared" si="263"/>
        <v>-112.08</v>
      </c>
    </row>
    <row r="3343" spans="1:10" ht="12.5" x14ac:dyDescent="0.25">
      <c r="A3343" s="1">
        <v>45755</v>
      </c>
      <c r="B3343" s="2" t="s">
        <v>12</v>
      </c>
      <c r="C3343" s="3">
        <v>24.99</v>
      </c>
      <c r="D3343" s="3">
        <v>6</v>
      </c>
      <c r="E3343" s="3">
        <v>149.94</v>
      </c>
      <c r="F3343" t="str">
        <f t="shared" si="264"/>
        <v>net sales</v>
      </c>
      <c r="G3343" s="7" t="str">
        <f t="shared" si="265"/>
        <v>product 2</v>
      </c>
      <c r="H3343">
        <f t="shared" si="266"/>
        <v>2025</v>
      </c>
      <c r="I3343">
        <f t="shared" si="267"/>
        <v>4</v>
      </c>
      <c r="J3343">
        <f t="shared" si="263"/>
        <v>729.27</v>
      </c>
    </row>
    <row r="3344" spans="1:10" ht="12.5" x14ac:dyDescent="0.25">
      <c r="A3344" s="1">
        <v>45755</v>
      </c>
      <c r="B3344" s="2" t="s">
        <v>13</v>
      </c>
      <c r="C3344" s="3">
        <v>12.49</v>
      </c>
      <c r="D3344" s="3">
        <v>226</v>
      </c>
      <c r="E3344" s="3">
        <v>2822.7400000000002</v>
      </c>
      <c r="F3344" t="str">
        <f t="shared" si="264"/>
        <v>net sales</v>
      </c>
      <c r="G3344" s="7" t="str">
        <f t="shared" si="265"/>
        <v>product 3</v>
      </c>
      <c r="H3344">
        <f t="shared" si="266"/>
        <v>2025</v>
      </c>
      <c r="I3344">
        <f t="shared" si="267"/>
        <v>4</v>
      </c>
      <c r="J3344">
        <f t="shared" si="263"/>
        <v>0</v>
      </c>
    </row>
    <row r="3345" spans="1:10" ht="12.5" x14ac:dyDescent="0.25">
      <c r="A3345" s="1">
        <v>45756</v>
      </c>
      <c r="B3345" s="2" t="s">
        <v>7</v>
      </c>
      <c r="C3345" s="3">
        <v>5.49</v>
      </c>
      <c r="D3345" s="3">
        <v>67</v>
      </c>
      <c r="E3345" s="3">
        <v>367.83000000000004</v>
      </c>
      <c r="F3345" t="str">
        <f t="shared" si="264"/>
        <v>cogs</v>
      </c>
      <c r="G3345" s="7" t="str">
        <f t="shared" si="265"/>
        <v>product 1</v>
      </c>
      <c r="H3345">
        <f t="shared" si="266"/>
        <v>2025</v>
      </c>
      <c r="I3345">
        <f t="shared" si="267"/>
        <v>4</v>
      </c>
      <c r="J3345">
        <f t="shared" si="263"/>
        <v>924.26</v>
      </c>
    </row>
    <row r="3346" spans="1:10" ht="12.5" x14ac:dyDescent="0.25">
      <c r="A3346" s="1">
        <v>45756</v>
      </c>
      <c r="B3346" s="2" t="s">
        <v>8</v>
      </c>
      <c r="C3346" s="3">
        <v>19.989999999999998</v>
      </c>
      <c r="D3346" s="3">
        <v>3</v>
      </c>
      <c r="E3346" s="3">
        <v>59.97</v>
      </c>
      <c r="F3346" t="str">
        <f t="shared" si="264"/>
        <v>cogs</v>
      </c>
      <c r="G3346" s="7" t="str">
        <f t="shared" si="265"/>
        <v>product 2</v>
      </c>
      <c r="H3346">
        <f t="shared" si="266"/>
        <v>2025</v>
      </c>
      <c r="I3346">
        <f t="shared" si="267"/>
        <v>4</v>
      </c>
      <c r="J3346">
        <f t="shared" si="263"/>
        <v>-395.28000000000003</v>
      </c>
    </row>
    <row r="3347" spans="1:10" ht="12.5" x14ac:dyDescent="0.25">
      <c r="A3347" s="1">
        <v>45756</v>
      </c>
      <c r="B3347" s="2" t="s">
        <v>9</v>
      </c>
      <c r="C3347" s="3">
        <v>8.99</v>
      </c>
      <c r="D3347" s="3">
        <v>67</v>
      </c>
      <c r="E3347" s="3">
        <v>602.33000000000004</v>
      </c>
      <c r="F3347" t="str">
        <f t="shared" si="264"/>
        <v>cogs</v>
      </c>
      <c r="G3347" s="7" t="str">
        <f t="shared" si="265"/>
        <v>product 3</v>
      </c>
      <c r="H3347">
        <f t="shared" si="266"/>
        <v>2025</v>
      </c>
      <c r="I3347">
        <f t="shared" si="267"/>
        <v>4</v>
      </c>
      <c r="J3347">
        <f t="shared" si="263"/>
        <v>-59.97</v>
      </c>
    </row>
    <row r="3348" spans="1:10" ht="12.5" x14ac:dyDescent="0.25">
      <c r="A3348" s="1">
        <v>45756</v>
      </c>
      <c r="B3348" s="2" t="s">
        <v>10</v>
      </c>
      <c r="C3348" s="2" t="s">
        <v>6</v>
      </c>
      <c r="D3348" s="2" t="s">
        <v>6</v>
      </c>
      <c r="E3348" s="3">
        <v>114.94</v>
      </c>
      <c r="F3348" t="str">
        <f t="shared" si="264"/>
        <v>marketing</v>
      </c>
      <c r="G3348" s="7" t="s">
        <v>6</v>
      </c>
      <c r="H3348">
        <f t="shared" si="266"/>
        <v>2025</v>
      </c>
      <c r="I3348">
        <f t="shared" si="267"/>
        <v>4</v>
      </c>
      <c r="J3348">
        <f t="shared" si="263"/>
        <v>-890.01</v>
      </c>
    </row>
    <row r="3349" spans="1:10" ht="12.5" x14ac:dyDescent="0.25">
      <c r="A3349" s="1">
        <v>45756</v>
      </c>
      <c r="B3349" s="2" t="s">
        <v>11</v>
      </c>
      <c r="C3349" s="3">
        <v>9.99</v>
      </c>
      <c r="D3349" s="3">
        <v>67</v>
      </c>
      <c r="E3349" s="3">
        <v>669.33</v>
      </c>
      <c r="F3349" t="str">
        <f t="shared" si="264"/>
        <v>net sales</v>
      </c>
      <c r="G3349" s="7" t="str">
        <f t="shared" si="265"/>
        <v>product 1</v>
      </c>
      <c r="H3349">
        <f t="shared" si="266"/>
        <v>2025</v>
      </c>
      <c r="I3349">
        <f t="shared" si="267"/>
        <v>4</v>
      </c>
      <c r="J3349">
        <f t="shared" si="263"/>
        <v>-120.05</v>
      </c>
    </row>
    <row r="3350" spans="1:10" ht="12.5" x14ac:dyDescent="0.25">
      <c r="A3350" s="1">
        <v>45756</v>
      </c>
      <c r="B3350" s="2" t="s">
        <v>12</v>
      </c>
      <c r="C3350" s="3">
        <v>24.99</v>
      </c>
      <c r="D3350" s="3">
        <v>3</v>
      </c>
      <c r="E3350" s="3">
        <v>74.97</v>
      </c>
      <c r="F3350" t="str">
        <f t="shared" si="264"/>
        <v>net sales</v>
      </c>
      <c r="G3350" s="7" t="str">
        <f t="shared" si="265"/>
        <v>product 2</v>
      </c>
      <c r="H3350">
        <f t="shared" si="266"/>
        <v>2025</v>
      </c>
      <c r="I3350">
        <f t="shared" si="267"/>
        <v>4</v>
      </c>
      <c r="J3350">
        <f t="shared" si="263"/>
        <v>719.28</v>
      </c>
    </row>
    <row r="3351" spans="1:10" ht="12.5" x14ac:dyDescent="0.25">
      <c r="A3351" s="1">
        <v>45756</v>
      </c>
      <c r="B3351" s="2" t="s">
        <v>13</v>
      </c>
      <c r="C3351" s="3">
        <v>12.49</v>
      </c>
      <c r="D3351" s="3">
        <v>67</v>
      </c>
      <c r="E3351" s="3">
        <v>836.83</v>
      </c>
      <c r="F3351" t="str">
        <f t="shared" si="264"/>
        <v>net sales</v>
      </c>
      <c r="G3351" s="7" t="str">
        <f t="shared" si="265"/>
        <v>product 3</v>
      </c>
      <c r="H3351">
        <f t="shared" si="266"/>
        <v>2025</v>
      </c>
      <c r="I3351">
        <f t="shared" si="267"/>
        <v>4</v>
      </c>
      <c r="J3351">
        <f t="shared" si="263"/>
        <v>74.97</v>
      </c>
    </row>
    <row r="3352" spans="1:10" ht="12.5" x14ac:dyDescent="0.25">
      <c r="A3352" s="1">
        <v>45757</v>
      </c>
      <c r="B3352" s="2" t="s">
        <v>7</v>
      </c>
      <c r="C3352" s="3">
        <v>5.49</v>
      </c>
      <c r="D3352" s="3">
        <v>99</v>
      </c>
      <c r="E3352" s="3">
        <v>543.51</v>
      </c>
      <c r="F3352" t="str">
        <f t="shared" si="264"/>
        <v>cogs</v>
      </c>
      <c r="G3352" s="7" t="str">
        <f t="shared" si="265"/>
        <v>product 1</v>
      </c>
      <c r="H3352">
        <f t="shared" si="266"/>
        <v>2025</v>
      </c>
      <c r="I3352">
        <f t="shared" si="267"/>
        <v>4</v>
      </c>
      <c r="J3352">
        <f t="shared" si="263"/>
        <v>1236.51</v>
      </c>
    </row>
    <row r="3353" spans="1:10" ht="12.5" x14ac:dyDescent="0.25">
      <c r="A3353" s="1">
        <v>45757</v>
      </c>
      <c r="B3353" s="2" t="s">
        <v>8</v>
      </c>
      <c r="C3353" s="3">
        <v>19.989999999999998</v>
      </c>
      <c r="D3353" s="3">
        <v>1</v>
      </c>
      <c r="E3353" s="3">
        <v>19.989999999999998</v>
      </c>
      <c r="F3353" t="str">
        <f t="shared" si="264"/>
        <v>cogs</v>
      </c>
      <c r="G3353" s="7" t="str">
        <f t="shared" si="265"/>
        <v>product 2</v>
      </c>
      <c r="H3353">
        <f t="shared" si="266"/>
        <v>2025</v>
      </c>
      <c r="I3353">
        <f t="shared" si="267"/>
        <v>4</v>
      </c>
      <c r="J3353">
        <f t="shared" si="263"/>
        <v>-115.29</v>
      </c>
    </row>
    <row r="3354" spans="1:10" ht="12.5" x14ac:dyDescent="0.25">
      <c r="A3354" s="1">
        <v>45757</v>
      </c>
      <c r="B3354" s="2" t="s">
        <v>9</v>
      </c>
      <c r="C3354" s="3">
        <v>8.99</v>
      </c>
      <c r="D3354" s="3">
        <v>162</v>
      </c>
      <c r="E3354" s="3">
        <v>1456.38</v>
      </c>
      <c r="F3354" t="str">
        <f t="shared" si="264"/>
        <v>cogs</v>
      </c>
      <c r="G3354" s="7" t="str">
        <f t="shared" si="265"/>
        <v>product 3</v>
      </c>
      <c r="H3354">
        <f t="shared" si="266"/>
        <v>2025</v>
      </c>
      <c r="I3354">
        <f t="shared" si="267"/>
        <v>4</v>
      </c>
      <c r="J3354">
        <f t="shared" si="263"/>
        <v>-79.959999999999994</v>
      </c>
    </row>
    <row r="3355" spans="1:10" ht="12.5" x14ac:dyDescent="0.25">
      <c r="A3355" s="1">
        <v>45757</v>
      </c>
      <c r="B3355" s="2" t="s">
        <v>10</v>
      </c>
      <c r="C3355" s="2" t="s">
        <v>6</v>
      </c>
      <c r="D3355" s="2" t="s">
        <v>6</v>
      </c>
      <c r="E3355" s="3">
        <v>106.97</v>
      </c>
      <c r="F3355" t="str">
        <f t="shared" si="264"/>
        <v>marketing</v>
      </c>
      <c r="G3355" s="7" t="s">
        <v>6</v>
      </c>
      <c r="H3355">
        <f t="shared" si="266"/>
        <v>2025</v>
      </c>
      <c r="I3355">
        <f t="shared" si="267"/>
        <v>4</v>
      </c>
      <c r="J3355">
        <f t="shared" si="263"/>
        <v>-854.05000000000007</v>
      </c>
    </row>
    <row r="3356" spans="1:10" ht="12.5" x14ac:dyDescent="0.25">
      <c r="A3356" s="1">
        <v>45757</v>
      </c>
      <c r="B3356" s="2" t="s">
        <v>11</v>
      </c>
      <c r="C3356" s="3">
        <v>9.99</v>
      </c>
      <c r="D3356" s="3">
        <v>99</v>
      </c>
      <c r="E3356" s="3">
        <v>989.01</v>
      </c>
      <c r="F3356" t="str">
        <f t="shared" si="264"/>
        <v>net sales</v>
      </c>
      <c r="G3356" s="7" t="str">
        <f t="shared" si="265"/>
        <v>product 1</v>
      </c>
      <c r="H3356">
        <f t="shared" si="266"/>
        <v>2025</v>
      </c>
      <c r="I3356">
        <f t="shared" si="267"/>
        <v>4</v>
      </c>
      <c r="J3356">
        <f t="shared" ref="J3356:J3419" si="268">IF(F3139="net sales",E3139,
IF(F3139="cogs",-E3139,
IF(OR(F3139="marketing",F3139="overhead",F3139="payroll",F3139="interest","amortization"),-E3139,0)))</f>
        <v>-105.06</v>
      </c>
    </row>
    <row r="3357" spans="1:10" ht="12.5" x14ac:dyDescent="0.25">
      <c r="A3357" s="1">
        <v>45757</v>
      </c>
      <c r="B3357" s="2" t="s">
        <v>12</v>
      </c>
      <c r="C3357" s="3">
        <v>24.99</v>
      </c>
      <c r="D3357" s="3">
        <v>1</v>
      </c>
      <c r="E3357" s="3">
        <v>24.99</v>
      </c>
      <c r="F3357" t="str">
        <f t="shared" si="264"/>
        <v>net sales</v>
      </c>
      <c r="G3357" s="7" t="str">
        <f t="shared" si="265"/>
        <v>product 2</v>
      </c>
      <c r="H3357">
        <f t="shared" si="266"/>
        <v>2025</v>
      </c>
      <c r="I3357">
        <f t="shared" si="267"/>
        <v>4</v>
      </c>
      <c r="J3357">
        <f t="shared" si="268"/>
        <v>209.79</v>
      </c>
    </row>
    <row r="3358" spans="1:10" ht="12.5" x14ac:dyDescent="0.25">
      <c r="A3358" s="1">
        <v>45757</v>
      </c>
      <c r="B3358" s="2" t="s">
        <v>13</v>
      </c>
      <c r="C3358" s="3">
        <v>12.49</v>
      </c>
      <c r="D3358" s="3">
        <v>162</v>
      </c>
      <c r="E3358" s="3">
        <v>2023.38</v>
      </c>
      <c r="F3358" t="str">
        <f t="shared" si="264"/>
        <v>net sales</v>
      </c>
      <c r="G3358" s="7" t="str">
        <f t="shared" si="265"/>
        <v>product 3</v>
      </c>
      <c r="H3358">
        <f t="shared" si="266"/>
        <v>2025</v>
      </c>
      <c r="I3358">
        <f t="shared" si="267"/>
        <v>4</v>
      </c>
      <c r="J3358">
        <f t="shared" si="268"/>
        <v>99.96</v>
      </c>
    </row>
    <row r="3359" spans="1:10" ht="12.5" x14ac:dyDescent="0.25">
      <c r="A3359" s="1">
        <v>45758</v>
      </c>
      <c r="B3359" s="2" t="s">
        <v>7</v>
      </c>
      <c r="C3359" s="3">
        <v>5.49</v>
      </c>
      <c r="D3359" s="3">
        <v>78</v>
      </c>
      <c r="E3359" s="3">
        <v>428.22</v>
      </c>
      <c r="F3359" t="str">
        <f t="shared" si="264"/>
        <v>cogs</v>
      </c>
      <c r="G3359" s="7" t="str">
        <f t="shared" si="265"/>
        <v>product 1</v>
      </c>
      <c r="H3359">
        <f t="shared" si="266"/>
        <v>2025</v>
      </c>
      <c r="I3359">
        <f t="shared" si="267"/>
        <v>4</v>
      </c>
      <c r="J3359">
        <f t="shared" si="268"/>
        <v>1186.55</v>
      </c>
    </row>
    <row r="3360" spans="1:10" ht="12.5" x14ac:dyDescent="0.25">
      <c r="A3360" s="1">
        <v>45758</v>
      </c>
      <c r="B3360" s="2" t="s">
        <v>8</v>
      </c>
      <c r="C3360" s="3">
        <v>19.989999999999998</v>
      </c>
      <c r="D3360" s="3">
        <v>4</v>
      </c>
      <c r="E3360" s="3">
        <v>79.959999999999994</v>
      </c>
      <c r="F3360" t="str">
        <f t="shared" si="264"/>
        <v>cogs</v>
      </c>
      <c r="G3360" s="7" t="str">
        <f t="shared" si="265"/>
        <v>product 2</v>
      </c>
      <c r="H3360">
        <f t="shared" si="266"/>
        <v>2025</v>
      </c>
      <c r="I3360">
        <f t="shared" si="267"/>
        <v>4</v>
      </c>
      <c r="J3360">
        <f t="shared" si="268"/>
        <v>-389.79</v>
      </c>
    </row>
    <row r="3361" spans="1:10" ht="12.5" x14ac:dyDescent="0.25">
      <c r="A3361" s="1">
        <v>45758</v>
      </c>
      <c r="B3361" s="2" t="s">
        <v>9</v>
      </c>
      <c r="C3361" s="3">
        <v>8.99</v>
      </c>
      <c r="D3361" s="3">
        <v>148</v>
      </c>
      <c r="E3361" s="3">
        <v>1330.52</v>
      </c>
      <c r="F3361" t="str">
        <f t="shared" si="264"/>
        <v>cogs</v>
      </c>
      <c r="G3361" s="7" t="str">
        <f t="shared" si="265"/>
        <v>product 3</v>
      </c>
      <c r="H3361">
        <f t="shared" si="266"/>
        <v>2025</v>
      </c>
      <c r="I3361">
        <f t="shared" si="267"/>
        <v>4</v>
      </c>
      <c r="J3361">
        <f t="shared" si="268"/>
        <v>-79.959999999999994</v>
      </c>
    </row>
    <row r="3362" spans="1:10" ht="12.5" x14ac:dyDescent="0.25">
      <c r="A3362" s="1">
        <v>45758</v>
      </c>
      <c r="B3362" s="2" t="s">
        <v>10</v>
      </c>
      <c r="C3362" s="2" t="s">
        <v>6</v>
      </c>
      <c r="D3362" s="2" t="s">
        <v>6</v>
      </c>
      <c r="E3362" s="3">
        <v>103.98</v>
      </c>
      <c r="F3362" t="str">
        <f t="shared" si="264"/>
        <v>marketing</v>
      </c>
      <c r="G3362" s="7" t="s">
        <v>6</v>
      </c>
      <c r="H3362">
        <f t="shared" si="266"/>
        <v>2025</v>
      </c>
      <c r="I3362">
        <f t="shared" si="267"/>
        <v>4</v>
      </c>
      <c r="J3362">
        <f t="shared" si="268"/>
        <v>-1330.52</v>
      </c>
    </row>
    <row r="3363" spans="1:10" ht="12.5" x14ac:dyDescent="0.25">
      <c r="A3363" s="1">
        <v>45758</v>
      </c>
      <c r="B3363" s="2" t="s">
        <v>11</v>
      </c>
      <c r="C3363" s="3">
        <v>9.99</v>
      </c>
      <c r="D3363" s="3">
        <v>78</v>
      </c>
      <c r="E3363" s="3">
        <v>779.22</v>
      </c>
      <c r="F3363" t="str">
        <f t="shared" si="264"/>
        <v>net sales</v>
      </c>
      <c r="G3363" s="7" t="str">
        <f t="shared" si="265"/>
        <v>product 1</v>
      </c>
      <c r="H3363">
        <f t="shared" si="266"/>
        <v>2025</v>
      </c>
      <c r="I3363">
        <f t="shared" si="267"/>
        <v>4</v>
      </c>
      <c r="J3363">
        <f t="shared" si="268"/>
        <v>-114.96000000000001</v>
      </c>
    </row>
    <row r="3364" spans="1:10" ht="12.5" x14ac:dyDescent="0.25">
      <c r="A3364" s="1">
        <v>45758</v>
      </c>
      <c r="B3364" s="2" t="s">
        <v>12</v>
      </c>
      <c r="C3364" s="3">
        <v>24.99</v>
      </c>
      <c r="D3364" s="3">
        <v>4</v>
      </c>
      <c r="E3364" s="3">
        <v>99.96</v>
      </c>
      <c r="F3364" t="str">
        <f t="shared" si="264"/>
        <v>net sales</v>
      </c>
      <c r="G3364" s="7" t="str">
        <f t="shared" si="265"/>
        <v>product 2</v>
      </c>
      <c r="H3364">
        <f t="shared" si="266"/>
        <v>2025</v>
      </c>
      <c r="I3364">
        <f t="shared" si="267"/>
        <v>4</v>
      </c>
      <c r="J3364">
        <f t="shared" si="268"/>
        <v>709.29</v>
      </c>
    </row>
    <row r="3365" spans="1:10" ht="12.5" x14ac:dyDescent="0.25">
      <c r="A3365" s="1">
        <v>45758</v>
      </c>
      <c r="B3365" s="2" t="s">
        <v>13</v>
      </c>
      <c r="C3365" s="3">
        <v>12.49</v>
      </c>
      <c r="D3365" s="3">
        <v>148</v>
      </c>
      <c r="E3365" s="3">
        <v>1848.52</v>
      </c>
      <c r="F3365" t="str">
        <f t="shared" si="264"/>
        <v>net sales</v>
      </c>
      <c r="G3365" s="7" t="str">
        <f t="shared" si="265"/>
        <v>product 3</v>
      </c>
      <c r="H3365">
        <f t="shared" si="266"/>
        <v>2025</v>
      </c>
      <c r="I3365">
        <f t="shared" si="267"/>
        <v>4</v>
      </c>
      <c r="J3365">
        <f t="shared" si="268"/>
        <v>99.96</v>
      </c>
    </row>
    <row r="3366" spans="1:10" ht="12.5" x14ac:dyDescent="0.25">
      <c r="A3366" s="1">
        <v>45758</v>
      </c>
      <c r="B3366" s="2" t="s">
        <v>15</v>
      </c>
      <c r="C3366" s="2" t="s">
        <v>6</v>
      </c>
      <c r="D3366" s="2" t="s">
        <v>6</v>
      </c>
      <c r="E3366" s="3">
        <v>1200</v>
      </c>
      <c r="F3366" t="str">
        <f t="shared" si="264"/>
        <v>payroll</v>
      </c>
      <c r="G3366" s="7" t="s">
        <v>6</v>
      </c>
      <c r="H3366">
        <f t="shared" si="266"/>
        <v>2025</v>
      </c>
      <c r="I3366">
        <f t="shared" si="267"/>
        <v>4</v>
      </c>
      <c r="J3366">
        <f t="shared" si="268"/>
        <v>1848.52</v>
      </c>
    </row>
    <row r="3367" spans="1:10" ht="12.5" x14ac:dyDescent="0.25">
      <c r="A3367" s="1">
        <v>45759</v>
      </c>
      <c r="B3367" s="2" t="s">
        <v>7</v>
      </c>
      <c r="C3367" s="3">
        <v>5.49</v>
      </c>
      <c r="D3367" s="3">
        <v>22</v>
      </c>
      <c r="E3367" s="3">
        <v>120.78</v>
      </c>
      <c r="F3367" t="str">
        <f t="shared" si="264"/>
        <v>cogs</v>
      </c>
      <c r="G3367" s="7" t="str">
        <f t="shared" si="265"/>
        <v>product 1</v>
      </c>
      <c r="H3367">
        <f t="shared" si="266"/>
        <v>2025</v>
      </c>
      <c r="I3367">
        <f t="shared" si="267"/>
        <v>4</v>
      </c>
      <c r="J3367">
        <f t="shared" si="268"/>
        <v>-225.09</v>
      </c>
    </row>
    <row r="3368" spans="1:10" ht="12.5" x14ac:dyDescent="0.25">
      <c r="A3368" s="1">
        <v>45759</v>
      </c>
      <c r="B3368" s="2" t="s">
        <v>8</v>
      </c>
      <c r="C3368" s="3">
        <v>19.989999999999998</v>
      </c>
      <c r="D3368" s="3">
        <v>8</v>
      </c>
      <c r="E3368" s="3">
        <v>159.91999999999999</v>
      </c>
      <c r="F3368" t="str">
        <f t="shared" si="264"/>
        <v>cogs</v>
      </c>
      <c r="G3368" s="7" t="str">
        <f t="shared" si="265"/>
        <v>product 2</v>
      </c>
      <c r="H3368">
        <f t="shared" si="266"/>
        <v>2025</v>
      </c>
      <c r="I3368">
        <f t="shared" si="267"/>
        <v>4</v>
      </c>
      <c r="J3368">
        <f t="shared" si="268"/>
        <v>-139.92999999999998</v>
      </c>
    </row>
    <row r="3369" spans="1:10" ht="12.5" x14ac:dyDescent="0.25">
      <c r="A3369" s="1">
        <v>45759</v>
      </c>
      <c r="B3369" s="2" t="s">
        <v>9</v>
      </c>
      <c r="C3369" s="3">
        <v>8.99</v>
      </c>
      <c r="D3369" s="3">
        <v>13</v>
      </c>
      <c r="E3369" s="3">
        <v>116.87</v>
      </c>
      <c r="F3369" t="str">
        <f t="shared" si="264"/>
        <v>cogs</v>
      </c>
      <c r="G3369" s="7" t="str">
        <f t="shared" si="265"/>
        <v>product 3</v>
      </c>
      <c r="H3369">
        <f t="shared" si="266"/>
        <v>2025</v>
      </c>
      <c r="I3369">
        <f t="shared" si="267"/>
        <v>4</v>
      </c>
      <c r="J3369">
        <f t="shared" si="268"/>
        <v>-1087.79</v>
      </c>
    </row>
    <row r="3370" spans="1:10" ht="12.5" x14ac:dyDescent="0.25">
      <c r="A3370" s="1">
        <v>45759</v>
      </c>
      <c r="B3370" s="2" t="s">
        <v>10</v>
      </c>
      <c r="C3370" s="2" t="s">
        <v>6</v>
      </c>
      <c r="D3370" s="2" t="s">
        <v>6</v>
      </c>
      <c r="E3370" s="3">
        <v>112.98</v>
      </c>
      <c r="F3370" t="str">
        <f t="shared" si="264"/>
        <v>marketing</v>
      </c>
      <c r="G3370" s="7" t="s">
        <v>6</v>
      </c>
      <c r="H3370">
        <f t="shared" si="266"/>
        <v>2025</v>
      </c>
      <c r="I3370">
        <f t="shared" si="267"/>
        <v>4</v>
      </c>
      <c r="J3370">
        <f t="shared" si="268"/>
        <v>-104.91</v>
      </c>
    </row>
    <row r="3371" spans="1:10" ht="12.5" x14ac:dyDescent="0.25">
      <c r="A3371" s="1">
        <v>45759</v>
      </c>
      <c r="B3371" s="2" t="s">
        <v>11</v>
      </c>
      <c r="C3371" s="3">
        <v>9.99</v>
      </c>
      <c r="D3371" s="3">
        <v>22</v>
      </c>
      <c r="E3371" s="3">
        <v>219.78</v>
      </c>
      <c r="F3371" t="str">
        <f t="shared" si="264"/>
        <v>net sales</v>
      </c>
      <c r="G3371" s="7" t="str">
        <f t="shared" si="265"/>
        <v>product 1</v>
      </c>
      <c r="H3371">
        <f t="shared" si="266"/>
        <v>2025</v>
      </c>
      <c r="I3371">
        <f t="shared" si="267"/>
        <v>4</v>
      </c>
      <c r="J3371">
        <f t="shared" si="268"/>
        <v>409.59000000000003</v>
      </c>
    </row>
    <row r="3372" spans="1:10" ht="12.5" x14ac:dyDescent="0.25">
      <c r="A3372" s="1">
        <v>45759</v>
      </c>
      <c r="B3372" s="2" t="s">
        <v>12</v>
      </c>
      <c r="C3372" s="3">
        <v>24.99</v>
      </c>
      <c r="D3372" s="3">
        <v>8</v>
      </c>
      <c r="E3372" s="3">
        <v>199.92</v>
      </c>
      <c r="F3372" t="str">
        <f t="shared" si="264"/>
        <v>net sales</v>
      </c>
      <c r="G3372" s="7" t="str">
        <f t="shared" si="265"/>
        <v>product 2</v>
      </c>
      <c r="H3372">
        <f t="shared" si="266"/>
        <v>2025</v>
      </c>
      <c r="I3372">
        <f t="shared" si="267"/>
        <v>4</v>
      </c>
      <c r="J3372">
        <f t="shared" si="268"/>
        <v>174.92999999999998</v>
      </c>
    </row>
    <row r="3373" spans="1:10" ht="12.5" x14ac:dyDescent="0.25">
      <c r="A3373" s="1">
        <v>45759</v>
      </c>
      <c r="B3373" s="2" t="s">
        <v>13</v>
      </c>
      <c r="C3373" s="3">
        <v>12.49</v>
      </c>
      <c r="D3373" s="3">
        <v>13</v>
      </c>
      <c r="E3373" s="3">
        <v>162.37</v>
      </c>
      <c r="F3373" t="str">
        <f t="shared" si="264"/>
        <v>net sales</v>
      </c>
      <c r="G3373" s="7" t="str">
        <f t="shared" si="265"/>
        <v>product 3</v>
      </c>
      <c r="H3373">
        <f t="shared" si="266"/>
        <v>2025</v>
      </c>
      <c r="I3373">
        <f t="shared" si="267"/>
        <v>4</v>
      </c>
      <c r="J3373">
        <f t="shared" si="268"/>
        <v>1511.29</v>
      </c>
    </row>
    <row r="3374" spans="1:10" ht="12.5" x14ac:dyDescent="0.25">
      <c r="A3374" s="1">
        <v>45760</v>
      </c>
      <c r="B3374" s="2" t="s">
        <v>7</v>
      </c>
      <c r="C3374" s="3">
        <v>5.49</v>
      </c>
      <c r="D3374" s="3">
        <v>32</v>
      </c>
      <c r="E3374" s="3">
        <v>175.68</v>
      </c>
      <c r="F3374" t="str">
        <f t="shared" si="264"/>
        <v>cogs</v>
      </c>
      <c r="G3374" s="7" t="str">
        <f t="shared" si="265"/>
        <v>product 1</v>
      </c>
      <c r="H3374">
        <f t="shared" si="266"/>
        <v>2025</v>
      </c>
      <c r="I3374">
        <f t="shared" si="267"/>
        <v>4</v>
      </c>
      <c r="J3374">
        <f t="shared" si="268"/>
        <v>-104.31</v>
      </c>
    </row>
    <row r="3375" spans="1:10" ht="12.5" x14ac:dyDescent="0.25">
      <c r="A3375" s="1">
        <v>45760</v>
      </c>
      <c r="B3375" s="2" t="s">
        <v>8</v>
      </c>
      <c r="C3375" s="3">
        <v>19.989999999999998</v>
      </c>
      <c r="D3375" s="3">
        <v>3</v>
      </c>
      <c r="E3375" s="3">
        <v>59.97</v>
      </c>
      <c r="F3375" t="str">
        <f t="shared" si="264"/>
        <v>cogs</v>
      </c>
      <c r="G3375" s="7" t="str">
        <f t="shared" si="265"/>
        <v>product 2</v>
      </c>
      <c r="H3375">
        <f t="shared" si="266"/>
        <v>2025</v>
      </c>
      <c r="I3375">
        <f t="shared" si="267"/>
        <v>4</v>
      </c>
      <c r="J3375">
        <f t="shared" si="268"/>
        <v>0</v>
      </c>
    </row>
    <row r="3376" spans="1:10" ht="12.5" x14ac:dyDescent="0.25">
      <c r="A3376" s="1">
        <v>45760</v>
      </c>
      <c r="B3376" s="2" t="s">
        <v>9</v>
      </c>
      <c r="C3376" s="3">
        <v>8.99</v>
      </c>
      <c r="D3376" s="3">
        <v>68</v>
      </c>
      <c r="E3376" s="3">
        <v>611.32000000000005</v>
      </c>
      <c r="F3376" t="str">
        <f t="shared" si="264"/>
        <v>cogs</v>
      </c>
      <c r="G3376" s="7" t="str">
        <f t="shared" si="265"/>
        <v>product 3</v>
      </c>
      <c r="H3376">
        <f t="shared" si="266"/>
        <v>2025</v>
      </c>
      <c r="I3376">
        <f t="shared" si="267"/>
        <v>4</v>
      </c>
      <c r="J3376">
        <f t="shared" si="268"/>
        <v>-1627.19</v>
      </c>
    </row>
    <row r="3377" spans="1:10" ht="12.5" x14ac:dyDescent="0.25">
      <c r="A3377" s="1">
        <v>45760</v>
      </c>
      <c r="B3377" s="2" t="s">
        <v>10</v>
      </c>
      <c r="C3377" s="2" t="s">
        <v>6</v>
      </c>
      <c r="D3377" s="2" t="s">
        <v>6</v>
      </c>
      <c r="E3377" s="3">
        <v>116.08</v>
      </c>
      <c r="F3377" t="str">
        <f t="shared" si="264"/>
        <v>marketing</v>
      </c>
      <c r="G3377" s="7" t="s">
        <v>6</v>
      </c>
      <c r="H3377">
        <f t="shared" si="266"/>
        <v>2025</v>
      </c>
      <c r="I3377">
        <f t="shared" si="267"/>
        <v>4</v>
      </c>
      <c r="J3377">
        <f t="shared" si="268"/>
        <v>-104.97</v>
      </c>
    </row>
    <row r="3378" spans="1:10" ht="12.5" x14ac:dyDescent="0.25">
      <c r="A3378" s="1">
        <v>45760</v>
      </c>
      <c r="B3378" s="2" t="s">
        <v>11</v>
      </c>
      <c r="C3378" s="3">
        <v>9.99</v>
      </c>
      <c r="D3378" s="3">
        <v>32</v>
      </c>
      <c r="E3378" s="3">
        <v>319.68</v>
      </c>
      <c r="F3378" t="str">
        <f t="shared" si="264"/>
        <v>net sales</v>
      </c>
      <c r="G3378" s="7" t="str">
        <f t="shared" si="265"/>
        <v>product 1</v>
      </c>
      <c r="H3378">
        <f t="shared" si="266"/>
        <v>2025</v>
      </c>
      <c r="I3378">
        <f t="shared" si="267"/>
        <v>4</v>
      </c>
      <c r="J3378">
        <f t="shared" si="268"/>
        <v>189.81</v>
      </c>
    </row>
    <row r="3379" spans="1:10" ht="12.5" x14ac:dyDescent="0.25">
      <c r="A3379" s="1">
        <v>45760</v>
      </c>
      <c r="B3379" s="2" t="s">
        <v>12</v>
      </c>
      <c r="C3379" s="3">
        <v>24.99</v>
      </c>
      <c r="D3379" s="3">
        <v>3</v>
      </c>
      <c r="E3379" s="3">
        <v>74.97</v>
      </c>
      <c r="F3379" t="str">
        <f t="shared" si="264"/>
        <v>net sales</v>
      </c>
      <c r="G3379" s="7" t="str">
        <f t="shared" si="265"/>
        <v>product 2</v>
      </c>
      <c r="H3379">
        <f t="shared" si="266"/>
        <v>2025</v>
      </c>
      <c r="I3379">
        <f t="shared" si="267"/>
        <v>4</v>
      </c>
      <c r="J3379">
        <f t="shared" si="268"/>
        <v>0</v>
      </c>
    </row>
    <row r="3380" spans="1:10" ht="12.5" x14ac:dyDescent="0.25">
      <c r="A3380" s="1">
        <v>45760</v>
      </c>
      <c r="B3380" s="2" t="s">
        <v>13</v>
      </c>
      <c r="C3380" s="3">
        <v>12.49</v>
      </c>
      <c r="D3380" s="3">
        <v>68</v>
      </c>
      <c r="E3380" s="3">
        <v>849.32</v>
      </c>
      <c r="F3380" t="str">
        <f t="shared" si="264"/>
        <v>net sales</v>
      </c>
      <c r="G3380" s="7" t="str">
        <f t="shared" si="265"/>
        <v>product 3</v>
      </c>
      <c r="H3380">
        <f t="shared" si="266"/>
        <v>2025</v>
      </c>
      <c r="I3380">
        <f t="shared" si="267"/>
        <v>4</v>
      </c>
      <c r="J3380">
        <f t="shared" si="268"/>
        <v>2260.69</v>
      </c>
    </row>
    <row r="3381" spans="1:10" ht="12.5" x14ac:dyDescent="0.25">
      <c r="A3381" s="1">
        <v>45761</v>
      </c>
      <c r="B3381" s="2" t="s">
        <v>7</v>
      </c>
      <c r="C3381" s="3">
        <v>5.49</v>
      </c>
      <c r="D3381" s="3">
        <v>70</v>
      </c>
      <c r="E3381" s="3">
        <v>384.3</v>
      </c>
      <c r="F3381" t="str">
        <f t="shared" si="264"/>
        <v>cogs</v>
      </c>
      <c r="G3381" s="7" t="str">
        <f t="shared" si="265"/>
        <v>product 1</v>
      </c>
      <c r="H3381">
        <f t="shared" si="266"/>
        <v>2025</v>
      </c>
      <c r="I3381">
        <f t="shared" si="267"/>
        <v>4</v>
      </c>
      <c r="J3381">
        <f t="shared" si="268"/>
        <v>-1200</v>
      </c>
    </row>
    <row r="3382" spans="1:10" ht="12.5" x14ac:dyDescent="0.25">
      <c r="A3382" s="1">
        <v>45761</v>
      </c>
      <c r="B3382" s="2" t="s">
        <v>8</v>
      </c>
      <c r="C3382" s="3">
        <v>19.989999999999998</v>
      </c>
      <c r="D3382" s="3">
        <v>8</v>
      </c>
      <c r="E3382" s="3">
        <v>159.91999999999999</v>
      </c>
      <c r="F3382" t="str">
        <f t="shared" si="264"/>
        <v>cogs</v>
      </c>
      <c r="G3382" s="7" t="str">
        <f t="shared" si="265"/>
        <v>product 2</v>
      </c>
      <c r="H3382">
        <f t="shared" si="266"/>
        <v>2025</v>
      </c>
      <c r="I3382">
        <f t="shared" si="267"/>
        <v>4</v>
      </c>
      <c r="J3382">
        <f t="shared" si="268"/>
        <v>-65.88</v>
      </c>
    </row>
    <row r="3383" spans="1:10" ht="12.5" x14ac:dyDescent="0.25">
      <c r="A3383" s="1">
        <v>45761</v>
      </c>
      <c r="B3383" s="2" t="s">
        <v>9</v>
      </c>
      <c r="C3383" s="3">
        <v>8.99</v>
      </c>
      <c r="D3383" s="3">
        <v>14</v>
      </c>
      <c r="E3383" s="3">
        <v>125.86</v>
      </c>
      <c r="F3383" t="str">
        <f t="shared" si="264"/>
        <v>cogs</v>
      </c>
      <c r="G3383" s="7" t="str">
        <f t="shared" si="265"/>
        <v>product 3</v>
      </c>
      <c r="H3383">
        <f t="shared" si="266"/>
        <v>2025</v>
      </c>
      <c r="I3383">
        <f t="shared" si="267"/>
        <v>4</v>
      </c>
      <c r="J3383">
        <f t="shared" si="268"/>
        <v>-179.91</v>
      </c>
    </row>
    <row r="3384" spans="1:10" ht="12.5" x14ac:dyDescent="0.25">
      <c r="A3384" s="1">
        <v>45761</v>
      </c>
      <c r="B3384" s="2" t="s">
        <v>10</v>
      </c>
      <c r="C3384" s="2" t="s">
        <v>6</v>
      </c>
      <c r="D3384" s="2" t="s">
        <v>6</v>
      </c>
      <c r="E3384" s="3">
        <v>112.92</v>
      </c>
      <c r="F3384" t="str">
        <f t="shared" si="264"/>
        <v>marketing</v>
      </c>
      <c r="G3384" s="7" t="s">
        <v>6</v>
      </c>
      <c r="H3384">
        <f t="shared" si="266"/>
        <v>2025</v>
      </c>
      <c r="I3384">
        <f t="shared" si="267"/>
        <v>4</v>
      </c>
      <c r="J3384">
        <f t="shared" si="268"/>
        <v>-1905.88</v>
      </c>
    </row>
    <row r="3385" spans="1:10" ht="12.5" x14ac:dyDescent="0.25">
      <c r="A3385" s="1">
        <v>45761</v>
      </c>
      <c r="B3385" s="2" t="s">
        <v>11</v>
      </c>
      <c r="C3385" s="3">
        <v>9.99</v>
      </c>
      <c r="D3385" s="3">
        <v>70</v>
      </c>
      <c r="E3385" s="3">
        <v>699.30000000000007</v>
      </c>
      <c r="F3385" t="str">
        <f t="shared" si="264"/>
        <v>net sales</v>
      </c>
      <c r="G3385" s="7" t="str">
        <f t="shared" si="265"/>
        <v>product 1</v>
      </c>
      <c r="H3385">
        <f t="shared" si="266"/>
        <v>2025</v>
      </c>
      <c r="I3385">
        <f t="shared" si="267"/>
        <v>4</v>
      </c>
      <c r="J3385">
        <f t="shared" si="268"/>
        <v>-1215.8399999999999</v>
      </c>
    </row>
    <row r="3386" spans="1:10" ht="12.5" x14ac:dyDescent="0.25">
      <c r="A3386" s="1">
        <v>45761</v>
      </c>
      <c r="B3386" s="2" t="s">
        <v>12</v>
      </c>
      <c r="C3386" s="3">
        <v>24.99</v>
      </c>
      <c r="D3386" s="3">
        <v>8</v>
      </c>
      <c r="E3386" s="3">
        <v>199.92</v>
      </c>
      <c r="F3386" t="str">
        <f t="shared" si="264"/>
        <v>net sales</v>
      </c>
      <c r="G3386" s="7" t="str">
        <f t="shared" si="265"/>
        <v>product 2</v>
      </c>
      <c r="H3386">
        <f t="shared" si="266"/>
        <v>2025</v>
      </c>
      <c r="I3386">
        <f t="shared" si="267"/>
        <v>4</v>
      </c>
      <c r="J3386">
        <f t="shared" si="268"/>
        <v>-119.09</v>
      </c>
    </row>
    <row r="3387" spans="1:10" ht="12.5" x14ac:dyDescent="0.25">
      <c r="A3387" s="1">
        <v>45761</v>
      </c>
      <c r="B3387" s="2" t="s">
        <v>13</v>
      </c>
      <c r="C3387" s="3">
        <v>12.49</v>
      </c>
      <c r="D3387" s="3">
        <v>14</v>
      </c>
      <c r="E3387" s="3">
        <v>174.86</v>
      </c>
      <c r="F3387" t="str">
        <f t="shared" si="264"/>
        <v>net sales</v>
      </c>
      <c r="G3387" s="7" t="str">
        <f t="shared" si="265"/>
        <v>product 3</v>
      </c>
      <c r="H3387">
        <f t="shared" si="266"/>
        <v>2025</v>
      </c>
      <c r="I3387">
        <f t="shared" si="267"/>
        <v>4</v>
      </c>
      <c r="J3387">
        <f t="shared" si="268"/>
        <v>119.88</v>
      </c>
    </row>
    <row r="3388" spans="1:10" ht="12.5" x14ac:dyDescent="0.25">
      <c r="A3388" s="1">
        <v>45762</v>
      </c>
      <c r="B3388" s="2" t="s">
        <v>7</v>
      </c>
      <c r="C3388" s="3">
        <v>5.49</v>
      </c>
      <c r="D3388" s="3">
        <v>99</v>
      </c>
      <c r="E3388" s="3">
        <v>543.51</v>
      </c>
      <c r="F3388" t="str">
        <f t="shared" si="264"/>
        <v>cogs</v>
      </c>
      <c r="G3388" s="7" t="str">
        <f t="shared" si="265"/>
        <v>product 1</v>
      </c>
      <c r="H3388">
        <f t="shared" si="266"/>
        <v>2025</v>
      </c>
      <c r="I3388">
        <f t="shared" si="267"/>
        <v>4</v>
      </c>
      <c r="J3388">
        <f t="shared" si="268"/>
        <v>224.91</v>
      </c>
    </row>
    <row r="3389" spans="1:10" ht="12.5" x14ac:dyDescent="0.25">
      <c r="A3389" s="1">
        <v>45762</v>
      </c>
      <c r="B3389" s="2" t="s">
        <v>8</v>
      </c>
      <c r="C3389" s="3">
        <v>19.989999999999998</v>
      </c>
      <c r="D3389" s="3">
        <v>7</v>
      </c>
      <c r="E3389" s="3">
        <v>139.92999999999998</v>
      </c>
      <c r="F3389" t="str">
        <f t="shared" si="264"/>
        <v>cogs</v>
      </c>
      <c r="G3389" s="7" t="str">
        <f t="shared" si="265"/>
        <v>product 2</v>
      </c>
      <c r="H3389">
        <f t="shared" si="266"/>
        <v>2025</v>
      </c>
      <c r="I3389">
        <f t="shared" si="267"/>
        <v>4</v>
      </c>
      <c r="J3389">
        <f t="shared" si="268"/>
        <v>2647.88</v>
      </c>
    </row>
    <row r="3390" spans="1:10" ht="12.5" x14ac:dyDescent="0.25">
      <c r="A3390" s="1">
        <v>45762</v>
      </c>
      <c r="B3390" s="2" t="s">
        <v>9</v>
      </c>
      <c r="C3390" s="3">
        <v>8.99</v>
      </c>
      <c r="D3390" s="3">
        <v>248</v>
      </c>
      <c r="E3390" s="3">
        <v>2229.52</v>
      </c>
      <c r="F3390" t="str">
        <f t="shared" si="264"/>
        <v>cogs</v>
      </c>
      <c r="G3390" s="7" t="str">
        <f t="shared" si="265"/>
        <v>product 3</v>
      </c>
      <c r="H3390">
        <f t="shared" si="266"/>
        <v>2025</v>
      </c>
      <c r="I3390">
        <f t="shared" si="267"/>
        <v>4</v>
      </c>
      <c r="J3390">
        <f t="shared" si="268"/>
        <v>-303.95999999999998</v>
      </c>
    </row>
    <row r="3391" spans="1:10" ht="12.5" x14ac:dyDescent="0.25">
      <c r="A3391" s="1">
        <v>45762</v>
      </c>
      <c r="B3391" s="2" t="s">
        <v>16</v>
      </c>
      <c r="C3391" s="2" t="s">
        <v>6</v>
      </c>
      <c r="D3391" s="2" t="s">
        <v>6</v>
      </c>
      <c r="E3391" s="3">
        <v>1265.1199999999999</v>
      </c>
      <c r="F3391" t="str">
        <f t="shared" si="264"/>
        <v>interest</v>
      </c>
      <c r="G3391" s="7" t="s">
        <v>6</v>
      </c>
      <c r="H3391">
        <f t="shared" si="266"/>
        <v>2025</v>
      </c>
      <c r="I3391">
        <f t="shared" si="267"/>
        <v>4</v>
      </c>
      <c r="J3391">
        <f t="shared" si="268"/>
        <v>-450.18</v>
      </c>
    </row>
    <row r="3392" spans="1:10" ht="12.5" x14ac:dyDescent="0.25">
      <c r="A3392" s="1">
        <v>45762</v>
      </c>
      <c r="B3392" s="2" t="s">
        <v>10</v>
      </c>
      <c r="C3392" s="2" t="s">
        <v>6</v>
      </c>
      <c r="D3392" s="2" t="s">
        <v>6</v>
      </c>
      <c r="E3392" s="3">
        <v>103.98</v>
      </c>
      <c r="F3392" t="str">
        <f t="shared" si="264"/>
        <v>marketing</v>
      </c>
      <c r="G3392" s="7" t="s">
        <v>6</v>
      </c>
      <c r="H3392">
        <f t="shared" si="266"/>
        <v>2025</v>
      </c>
      <c r="I3392">
        <f t="shared" si="267"/>
        <v>4</v>
      </c>
      <c r="J3392">
        <f t="shared" si="268"/>
        <v>-79.959999999999994</v>
      </c>
    </row>
    <row r="3393" spans="1:10" ht="12.5" x14ac:dyDescent="0.25">
      <c r="A3393" s="1">
        <v>45762</v>
      </c>
      <c r="B3393" s="2" t="s">
        <v>11</v>
      </c>
      <c r="C3393" s="3">
        <v>9.99</v>
      </c>
      <c r="D3393" s="3">
        <v>99</v>
      </c>
      <c r="E3393" s="3">
        <v>989.01</v>
      </c>
      <c r="F3393" t="str">
        <f t="shared" si="264"/>
        <v>net sales</v>
      </c>
      <c r="G3393" s="7" t="str">
        <f t="shared" si="265"/>
        <v>product 1</v>
      </c>
      <c r="H3393">
        <f t="shared" si="266"/>
        <v>2025</v>
      </c>
      <c r="I3393">
        <f t="shared" si="267"/>
        <v>4</v>
      </c>
      <c r="J3393">
        <f t="shared" si="268"/>
        <v>-1483.3500000000001</v>
      </c>
    </row>
    <row r="3394" spans="1:10" ht="12.5" x14ac:dyDescent="0.25">
      <c r="A3394" s="1">
        <v>45762</v>
      </c>
      <c r="B3394" s="2" t="s">
        <v>12</v>
      </c>
      <c r="C3394" s="3">
        <v>24.99</v>
      </c>
      <c r="D3394" s="3">
        <v>7</v>
      </c>
      <c r="E3394" s="3">
        <v>174.92999999999998</v>
      </c>
      <c r="F3394" t="str">
        <f t="shared" si="264"/>
        <v>net sales</v>
      </c>
      <c r="G3394" s="7" t="str">
        <f t="shared" si="265"/>
        <v>product 2</v>
      </c>
      <c r="H3394">
        <f t="shared" si="266"/>
        <v>2025</v>
      </c>
      <c r="I3394">
        <f t="shared" si="267"/>
        <v>4</v>
      </c>
      <c r="J3394">
        <f t="shared" si="268"/>
        <v>-107.91</v>
      </c>
    </row>
    <row r="3395" spans="1:10" ht="12.5" x14ac:dyDescent="0.25">
      <c r="A3395" s="1">
        <v>45762</v>
      </c>
      <c r="B3395" s="2" t="s">
        <v>13</v>
      </c>
      <c r="C3395" s="3">
        <v>12.49</v>
      </c>
      <c r="D3395" s="3">
        <v>248</v>
      </c>
      <c r="E3395" s="3">
        <v>3097.52</v>
      </c>
      <c r="F3395" t="str">
        <f t="shared" ref="F3395:F3458" si="269">IFERROR(LEFT(B3395,FIND(":",B3395)-1),B3395)</f>
        <v>net sales</v>
      </c>
      <c r="G3395" s="7" t="str">
        <f t="shared" ref="G3395:G3458" si="270">IFERROR(RIGHT(B3395,LEN(B3395)-FIND(":",B3395)),"")</f>
        <v>product 3</v>
      </c>
      <c r="H3395">
        <f t="shared" ref="H3395:H3458" si="271">YEAR(A3395)</f>
        <v>2025</v>
      </c>
      <c r="I3395">
        <f t="shared" ref="I3395:I3458" si="272">MONTH(A3395)</f>
        <v>4</v>
      </c>
      <c r="J3395">
        <f t="shared" si="268"/>
        <v>819.18000000000006</v>
      </c>
    </row>
    <row r="3396" spans="1:10" ht="12.5" x14ac:dyDescent="0.25">
      <c r="A3396" s="1">
        <v>45762</v>
      </c>
      <c r="B3396" s="2" t="s">
        <v>14</v>
      </c>
      <c r="C3396" s="2" t="s">
        <v>6</v>
      </c>
      <c r="D3396" s="2" t="s">
        <v>6</v>
      </c>
      <c r="E3396" s="3">
        <v>313.02999999999997</v>
      </c>
      <c r="F3396" t="str">
        <f t="shared" si="269"/>
        <v>overhead</v>
      </c>
      <c r="G3396" s="7" t="s">
        <v>6</v>
      </c>
      <c r="H3396">
        <f t="shared" si="271"/>
        <v>2025</v>
      </c>
      <c r="I3396">
        <f t="shared" si="272"/>
        <v>4</v>
      </c>
      <c r="J3396">
        <f t="shared" si="268"/>
        <v>99.96</v>
      </c>
    </row>
    <row r="3397" spans="1:10" ht="12.5" x14ac:dyDescent="0.25">
      <c r="A3397" s="1">
        <v>45763</v>
      </c>
      <c r="B3397" s="2" t="s">
        <v>7</v>
      </c>
      <c r="C3397" s="3">
        <v>5.49</v>
      </c>
      <c r="D3397" s="3">
        <v>32</v>
      </c>
      <c r="E3397" s="3">
        <v>175.68</v>
      </c>
      <c r="F3397" t="str">
        <f t="shared" si="269"/>
        <v>cogs</v>
      </c>
      <c r="G3397" s="7" t="str">
        <f t="shared" si="270"/>
        <v>product 1</v>
      </c>
      <c r="H3397">
        <f t="shared" si="271"/>
        <v>2025</v>
      </c>
      <c r="I3397">
        <f t="shared" si="272"/>
        <v>4</v>
      </c>
      <c r="J3397">
        <f t="shared" si="268"/>
        <v>2060.85</v>
      </c>
    </row>
    <row r="3398" spans="1:10" ht="12.5" x14ac:dyDescent="0.25">
      <c r="A3398" s="1">
        <v>45763</v>
      </c>
      <c r="B3398" s="2" t="s">
        <v>8</v>
      </c>
      <c r="C3398" s="3">
        <v>19.989999999999998</v>
      </c>
      <c r="D3398" s="3">
        <v>0</v>
      </c>
      <c r="E3398" s="2">
        <f>C3398*D3398</f>
        <v>0</v>
      </c>
      <c r="F3398" t="str">
        <f t="shared" si="269"/>
        <v>cogs</v>
      </c>
      <c r="G3398" s="7" t="str">
        <f t="shared" si="270"/>
        <v>product 2</v>
      </c>
      <c r="H3398">
        <f t="shared" si="271"/>
        <v>2025</v>
      </c>
      <c r="I3398">
        <f t="shared" si="272"/>
        <v>4</v>
      </c>
      <c r="J3398">
        <f t="shared" si="268"/>
        <v>-395.28000000000003</v>
      </c>
    </row>
    <row r="3399" spans="1:10" ht="12.5" x14ac:dyDescent="0.25">
      <c r="A3399" s="1">
        <v>45763</v>
      </c>
      <c r="B3399" s="2" t="s">
        <v>9</v>
      </c>
      <c r="C3399" s="3">
        <v>8.99</v>
      </c>
      <c r="D3399" s="3">
        <v>121</v>
      </c>
      <c r="E3399" s="3">
        <v>1087.79</v>
      </c>
      <c r="F3399" t="str">
        <f t="shared" si="269"/>
        <v>cogs</v>
      </c>
      <c r="G3399" s="7" t="str">
        <f t="shared" si="270"/>
        <v>product 3</v>
      </c>
      <c r="H3399">
        <f t="shared" si="271"/>
        <v>2025</v>
      </c>
      <c r="I3399">
        <f t="shared" si="272"/>
        <v>4</v>
      </c>
      <c r="J3399">
        <f t="shared" si="268"/>
        <v>-39.979999999999997</v>
      </c>
    </row>
    <row r="3400" spans="1:10" ht="12.5" x14ac:dyDescent="0.25">
      <c r="A3400" s="1">
        <v>45763</v>
      </c>
      <c r="B3400" s="2" t="s">
        <v>10</v>
      </c>
      <c r="C3400" s="2" t="s">
        <v>6</v>
      </c>
      <c r="D3400" s="2" t="s">
        <v>6</v>
      </c>
      <c r="E3400" s="3">
        <v>119.98</v>
      </c>
      <c r="F3400" t="str">
        <f t="shared" si="269"/>
        <v>marketing</v>
      </c>
      <c r="G3400" s="7" t="s">
        <v>6</v>
      </c>
      <c r="H3400">
        <f t="shared" si="271"/>
        <v>2025</v>
      </c>
      <c r="I3400">
        <f t="shared" si="272"/>
        <v>4</v>
      </c>
      <c r="J3400">
        <f t="shared" si="268"/>
        <v>-170.81</v>
      </c>
    </row>
    <row r="3401" spans="1:10" ht="12.5" x14ac:dyDescent="0.25">
      <c r="A3401" s="1">
        <v>45763</v>
      </c>
      <c r="B3401" s="2" t="s">
        <v>11</v>
      </c>
      <c r="C3401" s="3">
        <v>9.99</v>
      </c>
      <c r="D3401" s="3">
        <v>32</v>
      </c>
      <c r="E3401" s="3">
        <v>319.68</v>
      </c>
      <c r="F3401" t="str">
        <f t="shared" si="269"/>
        <v>net sales</v>
      </c>
      <c r="G3401" s="7" t="str">
        <f t="shared" si="270"/>
        <v>product 1</v>
      </c>
      <c r="H3401">
        <f t="shared" si="271"/>
        <v>2025</v>
      </c>
      <c r="I3401">
        <f t="shared" si="272"/>
        <v>4</v>
      </c>
      <c r="J3401">
        <f t="shared" si="268"/>
        <v>-112.92</v>
      </c>
    </row>
    <row r="3402" spans="1:10" ht="12.5" x14ac:dyDescent="0.25">
      <c r="A3402" s="1">
        <v>45763</v>
      </c>
      <c r="B3402" s="2" t="s">
        <v>12</v>
      </c>
      <c r="C3402" s="3">
        <v>24.99</v>
      </c>
      <c r="D3402" s="3">
        <v>0</v>
      </c>
      <c r="E3402" s="2">
        <f>C3402*D3402</f>
        <v>0</v>
      </c>
      <c r="F3402" t="str">
        <f t="shared" si="269"/>
        <v>net sales</v>
      </c>
      <c r="G3402" s="7" t="str">
        <f t="shared" si="270"/>
        <v>product 2</v>
      </c>
      <c r="H3402">
        <f t="shared" si="271"/>
        <v>2025</v>
      </c>
      <c r="I3402">
        <f t="shared" si="272"/>
        <v>4</v>
      </c>
      <c r="J3402">
        <f t="shared" si="268"/>
        <v>719.28</v>
      </c>
    </row>
    <row r="3403" spans="1:10" ht="12.5" x14ac:dyDescent="0.25">
      <c r="A3403" s="1">
        <v>45763</v>
      </c>
      <c r="B3403" s="2" t="s">
        <v>13</v>
      </c>
      <c r="C3403" s="3">
        <v>12.49</v>
      </c>
      <c r="D3403" s="3">
        <v>121</v>
      </c>
      <c r="E3403" s="3">
        <v>1511.29</v>
      </c>
      <c r="F3403" t="str">
        <f t="shared" si="269"/>
        <v>net sales</v>
      </c>
      <c r="G3403" s="7" t="str">
        <f t="shared" si="270"/>
        <v>product 3</v>
      </c>
      <c r="H3403">
        <f t="shared" si="271"/>
        <v>2025</v>
      </c>
      <c r="I3403">
        <f t="shared" si="272"/>
        <v>4</v>
      </c>
      <c r="J3403">
        <f t="shared" si="268"/>
        <v>49.98</v>
      </c>
    </row>
    <row r="3404" spans="1:10" ht="12.5" x14ac:dyDescent="0.25">
      <c r="A3404" s="1">
        <v>45764</v>
      </c>
      <c r="B3404" s="2" t="s">
        <v>7</v>
      </c>
      <c r="C3404" s="3">
        <v>5.49</v>
      </c>
      <c r="D3404" s="3">
        <v>71</v>
      </c>
      <c r="E3404" s="3">
        <v>389.79</v>
      </c>
      <c r="F3404" t="str">
        <f t="shared" si="269"/>
        <v>cogs</v>
      </c>
      <c r="G3404" s="7" t="str">
        <f t="shared" si="270"/>
        <v>product 1</v>
      </c>
      <c r="H3404">
        <f t="shared" si="271"/>
        <v>2025</v>
      </c>
      <c r="I3404">
        <f t="shared" si="272"/>
        <v>4</v>
      </c>
      <c r="J3404">
        <f t="shared" si="268"/>
        <v>237.31</v>
      </c>
    </row>
    <row r="3405" spans="1:10" ht="12.5" x14ac:dyDescent="0.25">
      <c r="A3405" s="1">
        <v>45764</v>
      </c>
      <c r="B3405" s="2" t="s">
        <v>8</v>
      </c>
      <c r="C3405" s="3">
        <v>19.989999999999998</v>
      </c>
      <c r="D3405" s="3">
        <v>5</v>
      </c>
      <c r="E3405" s="3">
        <v>99.949999999999989</v>
      </c>
      <c r="F3405" t="str">
        <f t="shared" si="269"/>
        <v>cogs</v>
      </c>
      <c r="G3405" s="7" t="str">
        <f t="shared" si="270"/>
        <v>product 2</v>
      </c>
      <c r="H3405">
        <f t="shared" si="271"/>
        <v>2025</v>
      </c>
      <c r="I3405">
        <f t="shared" si="272"/>
        <v>4</v>
      </c>
      <c r="J3405">
        <f t="shared" si="268"/>
        <v>-527.04</v>
      </c>
    </row>
    <row r="3406" spans="1:10" ht="12.5" x14ac:dyDescent="0.25">
      <c r="A3406" s="1">
        <v>45764</v>
      </c>
      <c r="B3406" s="2" t="s">
        <v>9</v>
      </c>
      <c r="C3406" s="3">
        <v>8.99</v>
      </c>
      <c r="D3406" s="3">
        <v>248</v>
      </c>
      <c r="E3406" s="3">
        <v>2229.52</v>
      </c>
      <c r="F3406" t="str">
        <f t="shared" si="269"/>
        <v>cogs</v>
      </c>
      <c r="G3406" s="7" t="str">
        <f t="shared" si="270"/>
        <v>product 3</v>
      </c>
      <c r="H3406">
        <f t="shared" si="271"/>
        <v>2025</v>
      </c>
      <c r="I3406">
        <f t="shared" si="272"/>
        <v>4</v>
      </c>
      <c r="J3406">
        <f t="shared" si="268"/>
        <v>-119.94</v>
      </c>
    </row>
    <row r="3407" spans="1:10" ht="12.5" x14ac:dyDescent="0.25">
      <c r="A3407" s="1">
        <v>45764</v>
      </c>
      <c r="B3407" s="2" t="s">
        <v>10</v>
      </c>
      <c r="C3407" s="2" t="s">
        <v>6</v>
      </c>
      <c r="D3407" s="2" t="s">
        <v>6</v>
      </c>
      <c r="E3407" s="3">
        <v>104.03</v>
      </c>
      <c r="F3407" t="str">
        <f t="shared" si="269"/>
        <v>marketing</v>
      </c>
      <c r="G3407" s="7" t="s">
        <v>6</v>
      </c>
      <c r="H3407">
        <f t="shared" si="271"/>
        <v>2025</v>
      </c>
      <c r="I3407">
        <f t="shared" si="272"/>
        <v>4</v>
      </c>
      <c r="J3407">
        <f t="shared" si="268"/>
        <v>-2067.7000000000003</v>
      </c>
    </row>
    <row r="3408" spans="1:10" ht="12.5" x14ac:dyDescent="0.25">
      <c r="A3408" s="1">
        <v>45764</v>
      </c>
      <c r="B3408" s="2" t="s">
        <v>11</v>
      </c>
      <c r="C3408" s="3">
        <v>9.99</v>
      </c>
      <c r="D3408" s="3">
        <v>71</v>
      </c>
      <c r="E3408" s="3">
        <v>709.29</v>
      </c>
      <c r="F3408" t="str">
        <f t="shared" si="269"/>
        <v>net sales</v>
      </c>
      <c r="G3408" s="7" t="str">
        <f t="shared" si="270"/>
        <v>product 1</v>
      </c>
      <c r="H3408">
        <f t="shared" si="271"/>
        <v>2025</v>
      </c>
      <c r="I3408">
        <f t="shared" si="272"/>
        <v>4</v>
      </c>
      <c r="J3408">
        <f t="shared" si="268"/>
        <v>-101.06</v>
      </c>
    </row>
    <row r="3409" spans="1:10" ht="12.5" x14ac:dyDescent="0.25">
      <c r="A3409" s="1">
        <v>45764</v>
      </c>
      <c r="B3409" s="2" t="s">
        <v>12</v>
      </c>
      <c r="C3409" s="3">
        <v>24.99</v>
      </c>
      <c r="D3409" s="3">
        <v>5</v>
      </c>
      <c r="E3409" s="3">
        <v>124.94999999999999</v>
      </c>
      <c r="F3409" t="str">
        <f t="shared" si="269"/>
        <v>net sales</v>
      </c>
      <c r="G3409" s="7" t="str">
        <f t="shared" si="270"/>
        <v>product 2</v>
      </c>
      <c r="H3409">
        <f t="shared" si="271"/>
        <v>2025</v>
      </c>
      <c r="I3409">
        <f t="shared" si="272"/>
        <v>4</v>
      </c>
      <c r="J3409">
        <f t="shared" si="268"/>
        <v>959.04</v>
      </c>
    </row>
    <row r="3410" spans="1:10" ht="12.5" x14ac:dyDescent="0.25">
      <c r="A3410" s="1">
        <v>45764</v>
      </c>
      <c r="B3410" s="2" t="s">
        <v>13</v>
      </c>
      <c r="C3410" s="3">
        <v>12.49</v>
      </c>
      <c r="D3410" s="3">
        <v>248</v>
      </c>
      <c r="E3410" s="3">
        <v>3097.52</v>
      </c>
      <c r="F3410" t="str">
        <f t="shared" si="269"/>
        <v>net sales</v>
      </c>
      <c r="G3410" s="7" t="str">
        <f t="shared" si="270"/>
        <v>product 3</v>
      </c>
      <c r="H3410">
        <f t="shared" si="271"/>
        <v>2025</v>
      </c>
      <c r="I3410">
        <f t="shared" si="272"/>
        <v>4</v>
      </c>
      <c r="J3410">
        <f t="shared" si="268"/>
        <v>149.94</v>
      </c>
    </row>
    <row r="3411" spans="1:10" ht="12.5" x14ac:dyDescent="0.25">
      <c r="A3411" s="1">
        <v>45765</v>
      </c>
      <c r="B3411" s="2" t="s">
        <v>7</v>
      </c>
      <c r="C3411" s="3">
        <v>5.49</v>
      </c>
      <c r="D3411" s="3">
        <v>94</v>
      </c>
      <c r="E3411" s="3">
        <v>516.06000000000006</v>
      </c>
      <c r="F3411" t="str">
        <f t="shared" si="269"/>
        <v>cogs</v>
      </c>
      <c r="G3411" s="7" t="str">
        <f t="shared" si="270"/>
        <v>product 1</v>
      </c>
      <c r="H3411">
        <f t="shared" si="271"/>
        <v>2025</v>
      </c>
      <c r="I3411">
        <f t="shared" si="272"/>
        <v>4</v>
      </c>
      <c r="J3411">
        <f t="shared" si="268"/>
        <v>2872.7000000000003</v>
      </c>
    </row>
    <row r="3412" spans="1:10" ht="12.5" x14ac:dyDescent="0.25">
      <c r="A3412" s="1">
        <v>45765</v>
      </c>
      <c r="B3412" s="2" t="s">
        <v>8</v>
      </c>
      <c r="C3412" s="3">
        <v>19.989999999999998</v>
      </c>
      <c r="D3412" s="3">
        <v>1</v>
      </c>
      <c r="E3412" s="3">
        <v>19.989999999999998</v>
      </c>
      <c r="F3412" t="str">
        <f t="shared" si="269"/>
        <v>cogs</v>
      </c>
      <c r="G3412" s="7" t="str">
        <f t="shared" si="270"/>
        <v>product 2</v>
      </c>
      <c r="H3412">
        <f t="shared" si="271"/>
        <v>2025</v>
      </c>
      <c r="I3412">
        <f t="shared" si="272"/>
        <v>4</v>
      </c>
      <c r="J3412">
        <f t="shared" si="268"/>
        <v>-290.97000000000003</v>
      </c>
    </row>
    <row r="3413" spans="1:10" ht="12.5" x14ac:dyDescent="0.25">
      <c r="A3413" s="1">
        <v>45765</v>
      </c>
      <c r="B3413" s="2" t="s">
        <v>9</v>
      </c>
      <c r="C3413" s="3">
        <v>8.99</v>
      </c>
      <c r="D3413" s="3">
        <v>201</v>
      </c>
      <c r="E3413" s="3">
        <v>1806.99</v>
      </c>
      <c r="F3413" t="str">
        <f t="shared" si="269"/>
        <v>cogs</v>
      </c>
      <c r="G3413" s="7" t="str">
        <f t="shared" si="270"/>
        <v>product 3</v>
      </c>
      <c r="H3413">
        <f t="shared" si="271"/>
        <v>2025</v>
      </c>
      <c r="I3413">
        <f t="shared" si="272"/>
        <v>4</v>
      </c>
      <c r="J3413">
        <f t="shared" si="268"/>
        <v>-39.979999999999997</v>
      </c>
    </row>
    <row r="3414" spans="1:10" ht="12.5" x14ac:dyDescent="0.25">
      <c r="A3414" s="1">
        <v>45765</v>
      </c>
      <c r="B3414" s="2" t="s">
        <v>10</v>
      </c>
      <c r="C3414" s="2" t="s">
        <v>6</v>
      </c>
      <c r="D3414" s="2" t="s">
        <v>6</v>
      </c>
      <c r="E3414" s="3">
        <v>111.04</v>
      </c>
      <c r="F3414" t="str">
        <f t="shared" si="269"/>
        <v>marketing</v>
      </c>
      <c r="G3414" s="7" t="s">
        <v>6</v>
      </c>
      <c r="H3414">
        <f t="shared" si="271"/>
        <v>2025</v>
      </c>
      <c r="I3414">
        <f t="shared" si="272"/>
        <v>4</v>
      </c>
      <c r="J3414">
        <f t="shared" si="268"/>
        <v>-1141.73</v>
      </c>
    </row>
    <row r="3415" spans="1:10" ht="12.5" x14ac:dyDescent="0.25">
      <c r="A3415" s="1">
        <v>45765</v>
      </c>
      <c r="B3415" s="2" t="s">
        <v>11</v>
      </c>
      <c r="C3415" s="3">
        <v>9.99</v>
      </c>
      <c r="D3415" s="3">
        <v>94</v>
      </c>
      <c r="E3415" s="3">
        <v>939.06000000000006</v>
      </c>
      <c r="F3415" t="str">
        <f t="shared" si="269"/>
        <v>net sales</v>
      </c>
      <c r="G3415" s="7" t="str">
        <f t="shared" si="270"/>
        <v>product 1</v>
      </c>
      <c r="H3415">
        <f t="shared" si="271"/>
        <v>2025</v>
      </c>
      <c r="I3415">
        <f t="shared" si="272"/>
        <v>4</v>
      </c>
      <c r="J3415">
        <f t="shared" si="268"/>
        <v>-114.07000000000001</v>
      </c>
    </row>
    <row r="3416" spans="1:10" ht="12.5" x14ac:dyDescent="0.25">
      <c r="A3416" s="1">
        <v>45765</v>
      </c>
      <c r="B3416" s="2" t="s">
        <v>12</v>
      </c>
      <c r="C3416" s="3">
        <v>24.99</v>
      </c>
      <c r="D3416" s="3">
        <v>1</v>
      </c>
      <c r="E3416" s="3">
        <v>24.99</v>
      </c>
      <c r="F3416" t="str">
        <f t="shared" si="269"/>
        <v>net sales</v>
      </c>
      <c r="G3416" s="7" t="str">
        <f t="shared" si="270"/>
        <v>product 2</v>
      </c>
      <c r="H3416">
        <f t="shared" si="271"/>
        <v>2025</v>
      </c>
      <c r="I3416">
        <f t="shared" si="272"/>
        <v>4</v>
      </c>
      <c r="J3416">
        <f t="shared" si="268"/>
        <v>529.47</v>
      </c>
    </row>
    <row r="3417" spans="1:10" ht="12.5" x14ac:dyDescent="0.25">
      <c r="A3417" s="1">
        <v>45765</v>
      </c>
      <c r="B3417" s="2" t="s">
        <v>13</v>
      </c>
      <c r="C3417" s="3">
        <v>12.49</v>
      </c>
      <c r="D3417" s="3">
        <v>201</v>
      </c>
      <c r="E3417" s="3">
        <v>2510.4900000000002</v>
      </c>
      <c r="F3417" t="str">
        <f t="shared" si="269"/>
        <v>net sales</v>
      </c>
      <c r="G3417" s="7" t="str">
        <f t="shared" si="270"/>
        <v>product 3</v>
      </c>
      <c r="H3417">
        <f t="shared" si="271"/>
        <v>2025</v>
      </c>
      <c r="I3417">
        <f t="shared" si="272"/>
        <v>4</v>
      </c>
      <c r="J3417">
        <f t="shared" si="268"/>
        <v>49.98</v>
      </c>
    </row>
    <row r="3418" spans="1:10" ht="12.5" x14ac:dyDescent="0.25">
      <c r="A3418" s="1">
        <v>45766</v>
      </c>
      <c r="B3418" s="2" t="s">
        <v>7</v>
      </c>
      <c r="C3418" s="3">
        <v>5.49</v>
      </c>
      <c r="D3418" s="3">
        <v>50</v>
      </c>
      <c r="E3418" s="3">
        <v>274.5</v>
      </c>
      <c r="F3418" t="str">
        <f t="shared" si="269"/>
        <v>cogs</v>
      </c>
      <c r="G3418" s="7" t="str">
        <f t="shared" si="270"/>
        <v>product 1</v>
      </c>
      <c r="H3418">
        <f t="shared" si="271"/>
        <v>2025</v>
      </c>
      <c r="I3418">
        <f t="shared" si="272"/>
        <v>4</v>
      </c>
      <c r="J3418">
        <f t="shared" si="268"/>
        <v>1586.23</v>
      </c>
    </row>
    <row r="3419" spans="1:10" ht="12.5" x14ac:dyDescent="0.25">
      <c r="A3419" s="1">
        <v>45766</v>
      </c>
      <c r="B3419" s="2" t="s">
        <v>8</v>
      </c>
      <c r="C3419" s="3">
        <v>19.989999999999998</v>
      </c>
      <c r="D3419" s="3">
        <v>2</v>
      </c>
      <c r="E3419" s="3">
        <v>39.979999999999997</v>
      </c>
      <c r="F3419" t="str">
        <f t="shared" si="269"/>
        <v>cogs</v>
      </c>
      <c r="G3419" s="7" t="str">
        <f t="shared" si="270"/>
        <v>product 2</v>
      </c>
      <c r="H3419">
        <f t="shared" si="271"/>
        <v>2025</v>
      </c>
      <c r="I3419">
        <f t="shared" si="272"/>
        <v>4</v>
      </c>
      <c r="J3419">
        <f t="shared" si="268"/>
        <v>-247.05</v>
      </c>
    </row>
    <row r="3420" spans="1:10" ht="12.5" x14ac:dyDescent="0.25">
      <c r="A3420" s="1">
        <v>45766</v>
      </c>
      <c r="B3420" s="2" t="s">
        <v>9</v>
      </c>
      <c r="C3420" s="3">
        <v>8.99</v>
      </c>
      <c r="D3420" s="3">
        <v>56</v>
      </c>
      <c r="E3420" s="3">
        <v>503.44</v>
      </c>
      <c r="F3420" t="str">
        <f t="shared" si="269"/>
        <v>cogs</v>
      </c>
      <c r="G3420" s="7" t="str">
        <f t="shared" si="270"/>
        <v>product 3</v>
      </c>
      <c r="H3420">
        <f t="shared" si="271"/>
        <v>2025</v>
      </c>
      <c r="I3420">
        <f t="shared" si="272"/>
        <v>4</v>
      </c>
      <c r="J3420">
        <f t="shared" ref="J3420:J3483" si="273">IF(F3203="net sales",E3203,
IF(F3203="cogs",-E3203,
IF(OR(F3203="marketing",F3203="overhead",F3203="payroll",F3203="interest","amortization"),-E3203,0)))</f>
        <v>0</v>
      </c>
    </row>
    <row r="3421" spans="1:10" ht="12.5" x14ac:dyDescent="0.25">
      <c r="A3421" s="1">
        <v>45766</v>
      </c>
      <c r="B3421" s="2" t="s">
        <v>10</v>
      </c>
      <c r="C3421" s="2" t="s">
        <v>6</v>
      </c>
      <c r="D3421" s="2" t="s">
        <v>6</v>
      </c>
      <c r="E3421" s="3">
        <v>113.04</v>
      </c>
      <c r="F3421" t="str">
        <f t="shared" si="269"/>
        <v>marketing</v>
      </c>
      <c r="G3421" s="7" t="s">
        <v>6</v>
      </c>
      <c r="H3421">
        <f t="shared" si="271"/>
        <v>2025</v>
      </c>
      <c r="I3421">
        <f t="shared" si="272"/>
        <v>4</v>
      </c>
      <c r="J3421">
        <f t="shared" si="273"/>
        <v>-2211.54</v>
      </c>
    </row>
    <row r="3422" spans="1:10" ht="12.5" x14ac:dyDescent="0.25">
      <c r="A3422" s="1">
        <v>45766</v>
      </c>
      <c r="B3422" s="2" t="s">
        <v>11</v>
      </c>
      <c r="C3422" s="3">
        <v>9.99</v>
      </c>
      <c r="D3422" s="3">
        <v>50</v>
      </c>
      <c r="E3422" s="3">
        <v>499.5</v>
      </c>
      <c r="F3422" t="str">
        <f t="shared" si="269"/>
        <v>net sales</v>
      </c>
      <c r="G3422" s="7" t="str">
        <f t="shared" si="270"/>
        <v>product 1</v>
      </c>
      <c r="H3422">
        <f t="shared" si="271"/>
        <v>2025</v>
      </c>
      <c r="I3422">
        <f t="shared" si="272"/>
        <v>4</v>
      </c>
      <c r="J3422">
        <f t="shared" si="273"/>
        <v>-118.91</v>
      </c>
    </row>
    <row r="3423" spans="1:10" ht="12.5" x14ac:dyDescent="0.25">
      <c r="A3423" s="1">
        <v>45766</v>
      </c>
      <c r="B3423" s="2" t="s">
        <v>12</v>
      </c>
      <c r="C3423" s="3">
        <v>24.99</v>
      </c>
      <c r="D3423" s="3">
        <v>2</v>
      </c>
      <c r="E3423" s="3">
        <v>49.98</v>
      </c>
      <c r="F3423" t="str">
        <f t="shared" si="269"/>
        <v>net sales</v>
      </c>
      <c r="G3423" s="7" t="str">
        <f t="shared" si="270"/>
        <v>product 2</v>
      </c>
      <c r="H3423">
        <f t="shared" si="271"/>
        <v>2025</v>
      </c>
      <c r="I3423">
        <f t="shared" si="272"/>
        <v>4</v>
      </c>
      <c r="J3423">
        <f t="shared" si="273"/>
        <v>449.55</v>
      </c>
    </row>
    <row r="3424" spans="1:10" ht="12.5" x14ac:dyDescent="0.25">
      <c r="A3424" s="1">
        <v>45766</v>
      </c>
      <c r="B3424" s="2" t="s">
        <v>13</v>
      </c>
      <c r="C3424" s="3">
        <v>12.49</v>
      </c>
      <c r="D3424" s="3">
        <v>56</v>
      </c>
      <c r="E3424" s="3">
        <v>699.44</v>
      </c>
      <c r="F3424" t="str">
        <f t="shared" si="269"/>
        <v>net sales</v>
      </c>
      <c r="G3424" s="7" t="str">
        <f t="shared" si="270"/>
        <v>product 3</v>
      </c>
      <c r="H3424">
        <f t="shared" si="271"/>
        <v>2025</v>
      </c>
      <c r="I3424">
        <f t="shared" si="272"/>
        <v>4</v>
      </c>
      <c r="J3424">
        <f t="shared" si="273"/>
        <v>0</v>
      </c>
    </row>
    <row r="3425" spans="1:10" ht="12.5" x14ac:dyDescent="0.25">
      <c r="A3425" s="1">
        <v>45767</v>
      </c>
      <c r="B3425" s="2" t="s">
        <v>7</v>
      </c>
      <c r="C3425" s="3">
        <v>5.49</v>
      </c>
      <c r="D3425" s="3">
        <v>35</v>
      </c>
      <c r="E3425" s="3">
        <v>192.15</v>
      </c>
      <c r="F3425" t="str">
        <f t="shared" si="269"/>
        <v>cogs</v>
      </c>
      <c r="G3425" s="7" t="str">
        <f t="shared" si="270"/>
        <v>product 1</v>
      </c>
      <c r="H3425">
        <f t="shared" si="271"/>
        <v>2025</v>
      </c>
      <c r="I3425">
        <f t="shared" si="272"/>
        <v>4</v>
      </c>
      <c r="J3425">
        <f t="shared" si="273"/>
        <v>3072.54</v>
      </c>
    </row>
    <row r="3426" spans="1:10" ht="12.5" x14ac:dyDescent="0.25">
      <c r="A3426" s="1">
        <v>45767</v>
      </c>
      <c r="B3426" s="2" t="s">
        <v>8</v>
      </c>
      <c r="C3426" s="3">
        <v>19.989999999999998</v>
      </c>
      <c r="D3426" s="3">
        <v>2</v>
      </c>
      <c r="E3426" s="3">
        <v>39.979999999999997</v>
      </c>
      <c r="F3426" t="str">
        <f t="shared" si="269"/>
        <v>cogs</v>
      </c>
      <c r="G3426" s="7" t="str">
        <f t="shared" si="270"/>
        <v>product 2</v>
      </c>
      <c r="H3426">
        <f t="shared" si="271"/>
        <v>2025</v>
      </c>
      <c r="I3426">
        <f t="shared" si="272"/>
        <v>4</v>
      </c>
      <c r="J3426">
        <f t="shared" si="273"/>
        <v>-32.94</v>
      </c>
    </row>
    <row r="3427" spans="1:10" ht="12.5" x14ac:dyDescent="0.25">
      <c r="A3427" s="1">
        <v>45767</v>
      </c>
      <c r="B3427" s="2" t="s">
        <v>9</v>
      </c>
      <c r="C3427" s="3">
        <v>8.99</v>
      </c>
      <c r="D3427" s="3">
        <v>79</v>
      </c>
      <c r="E3427" s="3">
        <v>710.21</v>
      </c>
      <c r="F3427" t="str">
        <f t="shared" si="269"/>
        <v>cogs</v>
      </c>
      <c r="G3427" s="7" t="str">
        <f t="shared" si="270"/>
        <v>product 3</v>
      </c>
      <c r="H3427">
        <f t="shared" si="271"/>
        <v>2025</v>
      </c>
      <c r="I3427">
        <f t="shared" si="272"/>
        <v>4</v>
      </c>
      <c r="J3427">
        <f t="shared" si="273"/>
        <v>-139.92999999999998</v>
      </c>
    </row>
    <row r="3428" spans="1:10" ht="12.5" x14ac:dyDescent="0.25">
      <c r="A3428" s="1">
        <v>45767</v>
      </c>
      <c r="B3428" s="2" t="s">
        <v>10</v>
      </c>
      <c r="C3428" s="2" t="s">
        <v>6</v>
      </c>
      <c r="D3428" s="2" t="s">
        <v>6</v>
      </c>
      <c r="E3428" s="3">
        <v>113.95</v>
      </c>
      <c r="F3428" t="str">
        <f t="shared" si="269"/>
        <v>marketing</v>
      </c>
      <c r="G3428" s="7" t="s">
        <v>6</v>
      </c>
      <c r="H3428">
        <f t="shared" si="271"/>
        <v>2025</v>
      </c>
      <c r="I3428">
        <f t="shared" si="272"/>
        <v>4</v>
      </c>
      <c r="J3428">
        <f t="shared" si="273"/>
        <v>-53.94</v>
      </c>
    </row>
    <row r="3429" spans="1:10" ht="12.5" x14ac:dyDescent="0.25">
      <c r="A3429" s="1">
        <v>45767</v>
      </c>
      <c r="B3429" s="2" t="s">
        <v>11</v>
      </c>
      <c r="C3429" s="3">
        <v>9.99</v>
      </c>
      <c r="D3429" s="3">
        <v>35</v>
      </c>
      <c r="E3429" s="3">
        <v>349.65000000000003</v>
      </c>
      <c r="F3429" t="str">
        <f t="shared" si="269"/>
        <v>net sales</v>
      </c>
      <c r="G3429" s="7" t="str">
        <f t="shared" si="270"/>
        <v>product 1</v>
      </c>
      <c r="H3429">
        <f t="shared" si="271"/>
        <v>2025</v>
      </c>
      <c r="I3429">
        <f t="shared" si="272"/>
        <v>4</v>
      </c>
      <c r="J3429">
        <f t="shared" si="273"/>
        <v>-106.08</v>
      </c>
    </row>
    <row r="3430" spans="1:10" ht="12.5" x14ac:dyDescent="0.25">
      <c r="A3430" s="1">
        <v>45767</v>
      </c>
      <c r="B3430" s="2" t="s">
        <v>12</v>
      </c>
      <c r="C3430" s="3">
        <v>24.99</v>
      </c>
      <c r="D3430" s="3">
        <v>2</v>
      </c>
      <c r="E3430" s="3">
        <v>49.98</v>
      </c>
      <c r="F3430" t="str">
        <f t="shared" si="269"/>
        <v>net sales</v>
      </c>
      <c r="G3430" s="7" t="str">
        <f t="shared" si="270"/>
        <v>product 2</v>
      </c>
      <c r="H3430">
        <f t="shared" si="271"/>
        <v>2025</v>
      </c>
      <c r="I3430">
        <f t="shared" si="272"/>
        <v>4</v>
      </c>
      <c r="J3430">
        <f t="shared" si="273"/>
        <v>59.94</v>
      </c>
    </row>
    <row r="3431" spans="1:10" ht="12.5" x14ac:dyDescent="0.25">
      <c r="A3431" s="1">
        <v>45767</v>
      </c>
      <c r="B3431" s="2" t="s">
        <v>13</v>
      </c>
      <c r="C3431" s="3">
        <v>12.49</v>
      </c>
      <c r="D3431" s="3">
        <v>79</v>
      </c>
      <c r="E3431" s="3">
        <v>986.71</v>
      </c>
      <c r="F3431" t="str">
        <f t="shared" si="269"/>
        <v>net sales</v>
      </c>
      <c r="G3431" s="7" t="str">
        <f t="shared" si="270"/>
        <v>product 3</v>
      </c>
      <c r="H3431">
        <f t="shared" si="271"/>
        <v>2025</v>
      </c>
      <c r="I3431">
        <f t="shared" si="272"/>
        <v>4</v>
      </c>
      <c r="J3431">
        <f t="shared" si="273"/>
        <v>174.92999999999998</v>
      </c>
    </row>
    <row r="3432" spans="1:10" ht="12.5" x14ac:dyDescent="0.25">
      <c r="A3432" s="1">
        <v>45768</v>
      </c>
      <c r="B3432" s="2" t="s">
        <v>7</v>
      </c>
      <c r="C3432" s="3">
        <v>5.49</v>
      </c>
      <c r="D3432" s="3">
        <v>48</v>
      </c>
      <c r="E3432" s="3">
        <v>263.52</v>
      </c>
      <c r="F3432" t="str">
        <f t="shared" si="269"/>
        <v>cogs</v>
      </c>
      <c r="G3432" s="7" t="str">
        <f t="shared" si="270"/>
        <v>product 1</v>
      </c>
      <c r="H3432">
        <f t="shared" si="271"/>
        <v>2025</v>
      </c>
      <c r="I3432">
        <f t="shared" si="272"/>
        <v>4</v>
      </c>
      <c r="J3432">
        <f t="shared" si="273"/>
        <v>74.94</v>
      </c>
    </row>
    <row r="3433" spans="1:10" ht="12.5" x14ac:dyDescent="0.25">
      <c r="A3433" s="1">
        <v>45768</v>
      </c>
      <c r="B3433" s="2" t="s">
        <v>8</v>
      </c>
      <c r="C3433" s="3">
        <v>19.989999999999998</v>
      </c>
      <c r="D3433" s="3">
        <v>1</v>
      </c>
      <c r="E3433" s="3">
        <v>19.989999999999998</v>
      </c>
      <c r="F3433" t="str">
        <f t="shared" si="269"/>
        <v>cogs</v>
      </c>
      <c r="G3433" s="7" t="str">
        <f t="shared" si="270"/>
        <v>product 2</v>
      </c>
      <c r="H3433">
        <f t="shared" si="271"/>
        <v>2025</v>
      </c>
      <c r="I3433">
        <f t="shared" si="272"/>
        <v>4</v>
      </c>
      <c r="J3433">
        <f t="shared" si="273"/>
        <v>-258.03000000000003</v>
      </c>
    </row>
    <row r="3434" spans="1:10" ht="12.5" x14ac:dyDescent="0.25">
      <c r="A3434" s="1">
        <v>45768</v>
      </c>
      <c r="B3434" s="2" t="s">
        <v>9</v>
      </c>
      <c r="C3434" s="3">
        <v>8.99</v>
      </c>
      <c r="D3434" s="3">
        <v>167</v>
      </c>
      <c r="E3434" s="3">
        <v>1501.33</v>
      </c>
      <c r="F3434" t="str">
        <f t="shared" si="269"/>
        <v>cogs</v>
      </c>
      <c r="G3434" s="7" t="str">
        <f t="shared" si="270"/>
        <v>product 3</v>
      </c>
      <c r="H3434">
        <f t="shared" si="271"/>
        <v>2025</v>
      </c>
      <c r="I3434">
        <f t="shared" si="272"/>
        <v>4</v>
      </c>
      <c r="J3434">
        <f t="shared" si="273"/>
        <v>-179.91</v>
      </c>
    </row>
    <row r="3435" spans="1:10" ht="12.5" x14ac:dyDescent="0.25">
      <c r="A3435" s="1">
        <v>45768</v>
      </c>
      <c r="B3435" s="2" t="s">
        <v>10</v>
      </c>
      <c r="C3435" s="2" t="s">
        <v>6</v>
      </c>
      <c r="D3435" s="2" t="s">
        <v>6</v>
      </c>
      <c r="E3435" s="3">
        <v>108</v>
      </c>
      <c r="F3435" t="str">
        <f t="shared" si="269"/>
        <v>marketing</v>
      </c>
      <c r="G3435" s="7" t="s">
        <v>6</v>
      </c>
      <c r="H3435">
        <f t="shared" si="271"/>
        <v>2025</v>
      </c>
      <c r="I3435">
        <f t="shared" si="272"/>
        <v>4</v>
      </c>
      <c r="J3435">
        <f t="shared" si="273"/>
        <v>-449.5</v>
      </c>
    </row>
    <row r="3436" spans="1:10" ht="12.5" x14ac:dyDescent="0.25">
      <c r="A3436" s="1">
        <v>45768</v>
      </c>
      <c r="B3436" s="2" t="s">
        <v>11</v>
      </c>
      <c r="C3436" s="3">
        <v>9.99</v>
      </c>
      <c r="D3436" s="3">
        <v>48</v>
      </c>
      <c r="E3436" s="3">
        <v>479.52</v>
      </c>
      <c r="F3436" t="str">
        <f t="shared" si="269"/>
        <v>net sales</v>
      </c>
      <c r="G3436" s="7" t="str">
        <f t="shared" si="270"/>
        <v>product 1</v>
      </c>
      <c r="H3436">
        <f t="shared" si="271"/>
        <v>2025</v>
      </c>
      <c r="I3436">
        <f t="shared" si="272"/>
        <v>4</v>
      </c>
      <c r="J3436">
        <f t="shared" si="273"/>
        <v>-110.98</v>
      </c>
    </row>
    <row r="3437" spans="1:10" ht="12.5" x14ac:dyDescent="0.25">
      <c r="A3437" s="1">
        <v>45768</v>
      </c>
      <c r="B3437" s="2" t="s">
        <v>12</v>
      </c>
      <c r="C3437" s="3">
        <v>24.99</v>
      </c>
      <c r="D3437" s="3">
        <v>1</v>
      </c>
      <c r="E3437" s="3">
        <v>24.99</v>
      </c>
      <c r="F3437" t="str">
        <f t="shared" si="269"/>
        <v>net sales</v>
      </c>
      <c r="G3437" s="7" t="str">
        <f t="shared" si="270"/>
        <v>product 2</v>
      </c>
      <c r="H3437">
        <f t="shared" si="271"/>
        <v>2025</v>
      </c>
      <c r="I3437">
        <f t="shared" si="272"/>
        <v>4</v>
      </c>
      <c r="J3437">
        <f t="shared" si="273"/>
        <v>469.53000000000003</v>
      </c>
    </row>
    <row r="3438" spans="1:10" ht="12.5" x14ac:dyDescent="0.25">
      <c r="A3438" s="1">
        <v>45768</v>
      </c>
      <c r="B3438" s="2" t="s">
        <v>13</v>
      </c>
      <c r="C3438" s="3">
        <v>12.49</v>
      </c>
      <c r="D3438" s="3">
        <v>167</v>
      </c>
      <c r="E3438" s="3">
        <v>2085.83</v>
      </c>
      <c r="F3438" t="str">
        <f t="shared" si="269"/>
        <v>net sales</v>
      </c>
      <c r="G3438" s="7" t="str">
        <f t="shared" si="270"/>
        <v>product 3</v>
      </c>
      <c r="H3438">
        <f t="shared" si="271"/>
        <v>2025</v>
      </c>
      <c r="I3438">
        <f t="shared" si="272"/>
        <v>4</v>
      </c>
      <c r="J3438">
        <f t="shared" si="273"/>
        <v>224.91</v>
      </c>
    </row>
    <row r="3439" spans="1:10" ht="12.5" x14ac:dyDescent="0.25">
      <c r="A3439" s="1">
        <v>45769</v>
      </c>
      <c r="B3439" s="2" t="s">
        <v>7</v>
      </c>
      <c r="C3439" s="3">
        <v>5.49</v>
      </c>
      <c r="D3439" s="3">
        <v>96</v>
      </c>
      <c r="E3439" s="3">
        <v>527.04</v>
      </c>
      <c r="F3439" t="str">
        <f t="shared" si="269"/>
        <v>cogs</v>
      </c>
      <c r="G3439" s="7" t="str">
        <f t="shared" si="270"/>
        <v>product 1</v>
      </c>
      <c r="H3439">
        <f t="shared" si="271"/>
        <v>2025</v>
      </c>
      <c r="I3439">
        <f t="shared" si="272"/>
        <v>4</v>
      </c>
      <c r="J3439">
        <f t="shared" si="273"/>
        <v>624.5</v>
      </c>
    </row>
    <row r="3440" spans="1:10" ht="12.5" x14ac:dyDescent="0.25">
      <c r="A3440" s="1">
        <v>45769</v>
      </c>
      <c r="B3440" s="2" t="s">
        <v>8</v>
      </c>
      <c r="C3440" s="3">
        <v>19.989999999999998</v>
      </c>
      <c r="D3440" s="3">
        <v>7</v>
      </c>
      <c r="E3440" s="3">
        <v>139.92999999999998</v>
      </c>
      <c r="F3440" t="str">
        <f t="shared" si="269"/>
        <v>cogs</v>
      </c>
      <c r="G3440" s="7" t="str">
        <f t="shared" si="270"/>
        <v>product 2</v>
      </c>
      <c r="H3440">
        <f t="shared" si="271"/>
        <v>2025</v>
      </c>
      <c r="I3440">
        <f t="shared" si="272"/>
        <v>4</v>
      </c>
      <c r="J3440">
        <f t="shared" si="273"/>
        <v>-241.56</v>
      </c>
    </row>
    <row r="3441" spans="1:10" ht="12.5" x14ac:dyDescent="0.25">
      <c r="A3441" s="1">
        <v>45769</v>
      </c>
      <c r="B3441" s="2" t="s">
        <v>9</v>
      </c>
      <c r="C3441" s="3">
        <v>8.99</v>
      </c>
      <c r="D3441" s="3">
        <v>34</v>
      </c>
      <c r="E3441" s="3">
        <v>305.66000000000003</v>
      </c>
      <c r="F3441" t="str">
        <f t="shared" si="269"/>
        <v>cogs</v>
      </c>
      <c r="G3441" s="7" t="str">
        <f t="shared" si="270"/>
        <v>product 3</v>
      </c>
      <c r="H3441">
        <f t="shared" si="271"/>
        <v>2025</v>
      </c>
      <c r="I3441">
        <f t="shared" si="272"/>
        <v>4</v>
      </c>
      <c r="J3441">
        <f t="shared" si="273"/>
        <v>-159.91999999999999</v>
      </c>
    </row>
    <row r="3442" spans="1:10" ht="12.5" x14ac:dyDescent="0.25">
      <c r="A3442" s="1">
        <v>45769</v>
      </c>
      <c r="B3442" s="2" t="s">
        <v>10</v>
      </c>
      <c r="C3442" s="2" t="s">
        <v>6</v>
      </c>
      <c r="D3442" s="2" t="s">
        <v>6</v>
      </c>
      <c r="E3442" s="3">
        <v>118.04</v>
      </c>
      <c r="F3442" t="str">
        <f t="shared" si="269"/>
        <v>marketing</v>
      </c>
      <c r="G3442" s="7" t="s">
        <v>6</v>
      </c>
      <c r="H3442">
        <f t="shared" si="271"/>
        <v>2025</v>
      </c>
      <c r="I3442">
        <f t="shared" si="272"/>
        <v>4</v>
      </c>
      <c r="J3442">
        <f t="shared" si="273"/>
        <v>-584.35</v>
      </c>
    </row>
    <row r="3443" spans="1:10" ht="12.5" x14ac:dyDescent="0.25">
      <c r="A3443" s="1">
        <v>45769</v>
      </c>
      <c r="B3443" s="2" t="s">
        <v>11</v>
      </c>
      <c r="C3443" s="3">
        <v>9.99</v>
      </c>
      <c r="D3443" s="3">
        <v>96</v>
      </c>
      <c r="E3443" s="3">
        <v>959.04</v>
      </c>
      <c r="F3443" t="str">
        <f t="shared" si="269"/>
        <v>net sales</v>
      </c>
      <c r="G3443" s="7" t="str">
        <f t="shared" si="270"/>
        <v>product 1</v>
      </c>
      <c r="H3443">
        <f t="shared" si="271"/>
        <v>2025</v>
      </c>
      <c r="I3443">
        <f t="shared" si="272"/>
        <v>4</v>
      </c>
      <c r="J3443">
        <f t="shared" si="273"/>
        <v>-118.02</v>
      </c>
    </row>
    <row r="3444" spans="1:10" ht="12.5" x14ac:dyDescent="0.25">
      <c r="A3444" s="1">
        <v>45769</v>
      </c>
      <c r="B3444" s="2" t="s">
        <v>12</v>
      </c>
      <c r="C3444" s="3">
        <v>24.99</v>
      </c>
      <c r="D3444" s="3">
        <v>7</v>
      </c>
      <c r="E3444" s="3">
        <v>174.92999999999998</v>
      </c>
      <c r="F3444" t="str">
        <f t="shared" si="269"/>
        <v>net sales</v>
      </c>
      <c r="G3444" s="7" t="str">
        <f t="shared" si="270"/>
        <v>product 2</v>
      </c>
      <c r="H3444">
        <f t="shared" si="271"/>
        <v>2025</v>
      </c>
      <c r="I3444">
        <f t="shared" si="272"/>
        <v>4</v>
      </c>
      <c r="J3444">
        <f t="shared" si="273"/>
        <v>439.56</v>
      </c>
    </row>
    <row r="3445" spans="1:10" ht="12.5" x14ac:dyDescent="0.25">
      <c r="A3445" s="1">
        <v>45769</v>
      </c>
      <c r="B3445" s="2" t="s">
        <v>13</v>
      </c>
      <c r="C3445" s="3">
        <v>12.49</v>
      </c>
      <c r="D3445" s="3">
        <v>34</v>
      </c>
      <c r="E3445" s="3">
        <v>424.66</v>
      </c>
      <c r="F3445" t="str">
        <f t="shared" si="269"/>
        <v>net sales</v>
      </c>
      <c r="G3445" s="7" t="str">
        <f t="shared" si="270"/>
        <v>product 3</v>
      </c>
      <c r="H3445">
        <f t="shared" si="271"/>
        <v>2025</v>
      </c>
      <c r="I3445">
        <f t="shared" si="272"/>
        <v>4</v>
      </c>
      <c r="J3445">
        <f t="shared" si="273"/>
        <v>199.92</v>
      </c>
    </row>
    <row r="3446" spans="1:10" ht="12.5" x14ac:dyDescent="0.25">
      <c r="A3446" s="1">
        <v>45770</v>
      </c>
      <c r="B3446" s="2" t="s">
        <v>7</v>
      </c>
      <c r="C3446" s="3">
        <v>5.49</v>
      </c>
      <c r="D3446" s="3">
        <v>94</v>
      </c>
      <c r="E3446" s="3">
        <v>516.06000000000006</v>
      </c>
      <c r="F3446" t="str">
        <f t="shared" si="269"/>
        <v>cogs</v>
      </c>
      <c r="G3446" s="7" t="str">
        <f t="shared" si="270"/>
        <v>product 1</v>
      </c>
      <c r="H3446">
        <f t="shared" si="271"/>
        <v>2025</v>
      </c>
      <c r="I3446">
        <f t="shared" si="272"/>
        <v>4</v>
      </c>
      <c r="J3446">
        <f t="shared" si="273"/>
        <v>811.85</v>
      </c>
    </row>
    <row r="3447" spans="1:10" ht="12.5" x14ac:dyDescent="0.25">
      <c r="A3447" s="1">
        <v>45770</v>
      </c>
      <c r="B3447" s="2" t="s">
        <v>8</v>
      </c>
      <c r="C3447" s="3">
        <v>19.989999999999998</v>
      </c>
      <c r="D3447" s="3">
        <v>7</v>
      </c>
      <c r="E3447" s="3">
        <v>139.92999999999998</v>
      </c>
      <c r="F3447" t="str">
        <f t="shared" si="269"/>
        <v>cogs</v>
      </c>
      <c r="G3447" s="7" t="str">
        <f t="shared" si="270"/>
        <v>product 2</v>
      </c>
      <c r="H3447">
        <f t="shared" si="271"/>
        <v>2025</v>
      </c>
      <c r="I3447">
        <f t="shared" si="272"/>
        <v>4</v>
      </c>
      <c r="J3447">
        <f t="shared" si="273"/>
        <v>-472.14000000000004</v>
      </c>
    </row>
    <row r="3448" spans="1:10" ht="12.5" x14ac:dyDescent="0.25">
      <c r="A3448" s="1">
        <v>45770</v>
      </c>
      <c r="B3448" s="2" t="s">
        <v>9</v>
      </c>
      <c r="C3448" s="3">
        <v>8.99</v>
      </c>
      <c r="D3448" s="3">
        <v>36</v>
      </c>
      <c r="E3448" s="3">
        <v>323.64</v>
      </c>
      <c r="F3448" t="str">
        <f t="shared" si="269"/>
        <v>cogs</v>
      </c>
      <c r="G3448" s="7" t="str">
        <f t="shared" si="270"/>
        <v>product 3</v>
      </c>
      <c r="H3448">
        <f t="shared" si="271"/>
        <v>2025</v>
      </c>
      <c r="I3448">
        <f t="shared" si="272"/>
        <v>4</v>
      </c>
      <c r="J3448">
        <f t="shared" si="273"/>
        <v>-99.949999999999989</v>
      </c>
    </row>
    <row r="3449" spans="1:10" ht="12.5" x14ac:dyDescent="0.25">
      <c r="A3449" s="1">
        <v>45770</v>
      </c>
      <c r="B3449" s="2" t="s">
        <v>10</v>
      </c>
      <c r="C3449" s="2" t="s">
        <v>6</v>
      </c>
      <c r="D3449" s="2" t="s">
        <v>6</v>
      </c>
      <c r="E3449" s="3">
        <v>110.02</v>
      </c>
      <c r="F3449" t="str">
        <f t="shared" si="269"/>
        <v>marketing</v>
      </c>
      <c r="G3449" s="7" t="s">
        <v>6</v>
      </c>
      <c r="H3449">
        <f t="shared" si="271"/>
        <v>2025</v>
      </c>
      <c r="I3449">
        <f t="shared" si="272"/>
        <v>4</v>
      </c>
      <c r="J3449">
        <f t="shared" si="273"/>
        <v>-1591.23</v>
      </c>
    </row>
    <row r="3450" spans="1:10" ht="12.5" x14ac:dyDescent="0.25">
      <c r="A3450" s="1">
        <v>45770</v>
      </c>
      <c r="B3450" s="2" t="s">
        <v>11</v>
      </c>
      <c r="C3450" s="3">
        <v>9.99</v>
      </c>
      <c r="D3450" s="3">
        <v>94</v>
      </c>
      <c r="E3450" s="3">
        <v>939.06000000000006</v>
      </c>
      <c r="F3450" t="str">
        <f t="shared" si="269"/>
        <v>net sales</v>
      </c>
      <c r="G3450" s="7" t="str">
        <f t="shared" si="270"/>
        <v>product 1</v>
      </c>
      <c r="H3450">
        <f t="shared" si="271"/>
        <v>2025</v>
      </c>
      <c r="I3450">
        <f t="shared" si="272"/>
        <v>4</v>
      </c>
      <c r="J3450">
        <f t="shared" si="273"/>
        <v>-115</v>
      </c>
    </row>
    <row r="3451" spans="1:10" ht="12.5" x14ac:dyDescent="0.25">
      <c r="A3451" s="1">
        <v>45770</v>
      </c>
      <c r="B3451" s="2" t="s">
        <v>12</v>
      </c>
      <c r="C3451" s="3">
        <v>24.99</v>
      </c>
      <c r="D3451" s="3">
        <v>7</v>
      </c>
      <c r="E3451" s="3">
        <v>174.92999999999998</v>
      </c>
      <c r="F3451" t="str">
        <f t="shared" si="269"/>
        <v>net sales</v>
      </c>
      <c r="G3451" s="7" t="str">
        <f t="shared" si="270"/>
        <v>product 2</v>
      </c>
      <c r="H3451">
        <f t="shared" si="271"/>
        <v>2025</v>
      </c>
      <c r="I3451">
        <f t="shared" si="272"/>
        <v>4</v>
      </c>
      <c r="J3451">
        <f t="shared" si="273"/>
        <v>859.14</v>
      </c>
    </row>
    <row r="3452" spans="1:10" ht="12.5" x14ac:dyDescent="0.25">
      <c r="A3452" s="1">
        <v>45770</v>
      </c>
      <c r="B3452" s="2" t="s">
        <v>13</v>
      </c>
      <c r="C3452" s="3">
        <v>12.49</v>
      </c>
      <c r="D3452" s="3">
        <v>36</v>
      </c>
      <c r="E3452" s="3">
        <v>449.64</v>
      </c>
      <c r="F3452" t="str">
        <f t="shared" si="269"/>
        <v>net sales</v>
      </c>
      <c r="G3452" s="7" t="str">
        <f t="shared" si="270"/>
        <v>product 3</v>
      </c>
      <c r="H3452">
        <f t="shared" si="271"/>
        <v>2025</v>
      </c>
      <c r="I3452">
        <f t="shared" si="272"/>
        <v>4</v>
      </c>
      <c r="J3452">
        <f t="shared" si="273"/>
        <v>124.94999999999999</v>
      </c>
    </row>
    <row r="3453" spans="1:10" ht="12.5" x14ac:dyDescent="0.25">
      <c r="A3453" s="1">
        <v>45771</v>
      </c>
      <c r="B3453" s="2" t="s">
        <v>7</v>
      </c>
      <c r="C3453" s="3">
        <v>5.49</v>
      </c>
      <c r="D3453" s="3">
        <v>95</v>
      </c>
      <c r="E3453" s="3">
        <v>521.55000000000007</v>
      </c>
      <c r="F3453" t="str">
        <f t="shared" si="269"/>
        <v>cogs</v>
      </c>
      <c r="G3453" s="7" t="str">
        <f t="shared" si="270"/>
        <v>product 1</v>
      </c>
      <c r="H3453">
        <f t="shared" si="271"/>
        <v>2025</v>
      </c>
      <c r="I3453">
        <f t="shared" si="272"/>
        <v>4</v>
      </c>
      <c r="J3453">
        <f t="shared" si="273"/>
        <v>2210.73</v>
      </c>
    </row>
    <row r="3454" spans="1:10" ht="12.5" x14ac:dyDescent="0.25">
      <c r="A3454" s="1">
        <v>45771</v>
      </c>
      <c r="B3454" s="2" t="s">
        <v>8</v>
      </c>
      <c r="C3454" s="3">
        <v>19.989999999999998</v>
      </c>
      <c r="D3454" s="3">
        <v>4</v>
      </c>
      <c r="E3454" s="3">
        <v>79.959999999999994</v>
      </c>
      <c r="F3454" t="str">
        <f t="shared" si="269"/>
        <v>cogs</v>
      </c>
      <c r="G3454" s="7" t="str">
        <f t="shared" si="270"/>
        <v>product 2</v>
      </c>
      <c r="H3454">
        <f t="shared" si="271"/>
        <v>2025</v>
      </c>
      <c r="I3454">
        <f t="shared" si="272"/>
        <v>4</v>
      </c>
      <c r="J3454">
        <f t="shared" si="273"/>
        <v>-38.43</v>
      </c>
    </row>
    <row r="3455" spans="1:10" ht="12.5" x14ac:dyDescent="0.25">
      <c r="A3455" s="1">
        <v>45771</v>
      </c>
      <c r="B3455" s="2" t="s">
        <v>9</v>
      </c>
      <c r="C3455" s="3">
        <v>8.99</v>
      </c>
      <c r="D3455" s="3">
        <v>246</v>
      </c>
      <c r="E3455" s="3">
        <v>2211.54</v>
      </c>
      <c r="F3455" t="str">
        <f t="shared" si="269"/>
        <v>cogs</v>
      </c>
      <c r="G3455" s="7" t="str">
        <f t="shared" si="270"/>
        <v>product 3</v>
      </c>
      <c r="H3455">
        <f t="shared" si="271"/>
        <v>2025</v>
      </c>
      <c r="I3455">
        <f t="shared" si="272"/>
        <v>4</v>
      </c>
      <c r="J3455">
        <f t="shared" si="273"/>
        <v>-19.989999999999998</v>
      </c>
    </row>
    <row r="3456" spans="1:10" ht="12.5" x14ac:dyDescent="0.25">
      <c r="A3456" s="1">
        <v>45771</v>
      </c>
      <c r="B3456" s="2" t="s">
        <v>10</v>
      </c>
      <c r="C3456" s="2" t="s">
        <v>6</v>
      </c>
      <c r="D3456" s="2" t="s">
        <v>6</v>
      </c>
      <c r="E3456" s="3">
        <v>106.02</v>
      </c>
      <c r="F3456" t="str">
        <f t="shared" si="269"/>
        <v>marketing</v>
      </c>
      <c r="G3456" s="7" t="s">
        <v>6</v>
      </c>
      <c r="H3456">
        <f t="shared" si="271"/>
        <v>2025</v>
      </c>
      <c r="I3456">
        <f t="shared" si="272"/>
        <v>4</v>
      </c>
      <c r="J3456">
        <f t="shared" si="273"/>
        <v>-2130.63</v>
      </c>
    </row>
    <row r="3457" spans="1:10" ht="12.5" x14ac:dyDescent="0.25">
      <c r="A3457" s="1">
        <v>45771</v>
      </c>
      <c r="B3457" s="2" t="s">
        <v>11</v>
      </c>
      <c r="C3457" s="3">
        <v>9.99</v>
      </c>
      <c r="D3457" s="3">
        <v>95</v>
      </c>
      <c r="E3457" s="3">
        <v>949.05000000000007</v>
      </c>
      <c r="F3457" t="str">
        <f t="shared" si="269"/>
        <v>net sales</v>
      </c>
      <c r="G3457" s="7" t="str">
        <f t="shared" si="270"/>
        <v>product 1</v>
      </c>
      <c r="H3457">
        <f t="shared" si="271"/>
        <v>2025</v>
      </c>
      <c r="I3457">
        <f t="shared" si="272"/>
        <v>4</v>
      </c>
      <c r="J3457">
        <f t="shared" si="273"/>
        <v>-104.04</v>
      </c>
    </row>
    <row r="3458" spans="1:10" ht="12.5" x14ac:dyDescent="0.25">
      <c r="A3458" s="1">
        <v>45771</v>
      </c>
      <c r="B3458" s="2" t="s">
        <v>12</v>
      </c>
      <c r="C3458" s="3">
        <v>24.99</v>
      </c>
      <c r="D3458" s="3">
        <v>4</v>
      </c>
      <c r="E3458" s="3">
        <v>99.96</v>
      </c>
      <c r="F3458" t="str">
        <f t="shared" si="269"/>
        <v>net sales</v>
      </c>
      <c r="G3458" s="7" t="str">
        <f t="shared" si="270"/>
        <v>product 2</v>
      </c>
      <c r="H3458">
        <f t="shared" si="271"/>
        <v>2025</v>
      </c>
      <c r="I3458">
        <f t="shared" si="272"/>
        <v>4</v>
      </c>
      <c r="J3458">
        <f t="shared" si="273"/>
        <v>69.930000000000007</v>
      </c>
    </row>
    <row r="3459" spans="1:10" ht="12.5" x14ac:dyDescent="0.25">
      <c r="A3459" s="1">
        <v>45771</v>
      </c>
      <c r="B3459" s="2" t="s">
        <v>13</v>
      </c>
      <c r="C3459" s="3">
        <v>12.49</v>
      </c>
      <c r="D3459" s="3">
        <v>246</v>
      </c>
      <c r="E3459" s="3">
        <v>3072.54</v>
      </c>
      <c r="F3459" t="str">
        <f t="shared" ref="F3459:F3522" si="274">IFERROR(LEFT(B3459,FIND(":",B3459)-1),B3459)</f>
        <v>net sales</v>
      </c>
      <c r="G3459" s="7" t="str">
        <f t="shared" ref="G3459:G3521" si="275">IFERROR(RIGHT(B3459,LEN(B3459)-FIND(":",B3459)),"")</f>
        <v>product 3</v>
      </c>
      <c r="H3459">
        <f t="shared" ref="H3459:H3522" si="276">YEAR(A3459)</f>
        <v>2025</v>
      </c>
      <c r="I3459">
        <f t="shared" ref="I3459:I3522" si="277">MONTH(A3459)</f>
        <v>4</v>
      </c>
      <c r="J3459">
        <f t="shared" si="273"/>
        <v>24.99</v>
      </c>
    </row>
    <row r="3460" spans="1:10" ht="12.5" x14ac:dyDescent="0.25">
      <c r="A3460" s="1">
        <v>45772</v>
      </c>
      <c r="B3460" s="2" t="s">
        <v>7</v>
      </c>
      <c r="C3460" s="3">
        <v>5.49</v>
      </c>
      <c r="D3460" s="3">
        <v>5</v>
      </c>
      <c r="E3460" s="3">
        <v>27.450000000000003</v>
      </c>
      <c r="F3460" t="str">
        <f t="shared" si="274"/>
        <v>cogs</v>
      </c>
      <c r="G3460" s="7" t="str">
        <f t="shared" si="275"/>
        <v>product 1</v>
      </c>
      <c r="H3460">
        <f t="shared" si="276"/>
        <v>2025</v>
      </c>
      <c r="I3460">
        <f t="shared" si="277"/>
        <v>4</v>
      </c>
      <c r="J3460">
        <f t="shared" si="273"/>
        <v>2960.13</v>
      </c>
    </row>
    <row r="3461" spans="1:10" ht="12.5" x14ac:dyDescent="0.25">
      <c r="A3461" s="1">
        <v>45772</v>
      </c>
      <c r="B3461" s="2" t="s">
        <v>8</v>
      </c>
      <c r="C3461" s="3">
        <v>19.989999999999998</v>
      </c>
      <c r="D3461" s="3">
        <v>6</v>
      </c>
      <c r="E3461" s="3">
        <v>119.94</v>
      </c>
      <c r="F3461" t="str">
        <f t="shared" si="274"/>
        <v>cogs</v>
      </c>
      <c r="G3461" s="7" t="str">
        <f t="shared" si="275"/>
        <v>product 2</v>
      </c>
      <c r="H3461">
        <f t="shared" si="276"/>
        <v>2025</v>
      </c>
      <c r="I3461">
        <f t="shared" si="277"/>
        <v>4</v>
      </c>
      <c r="J3461">
        <f t="shared" si="273"/>
        <v>-477.63</v>
      </c>
    </row>
    <row r="3462" spans="1:10" ht="12.5" x14ac:dyDescent="0.25">
      <c r="A3462" s="1">
        <v>45772</v>
      </c>
      <c r="B3462" s="2" t="s">
        <v>9</v>
      </c>
      <c r="C3462" s="3">
        <v>8.99</v>
      </c>
      <c r="D3462" s="3">
        <v>138</v>
      </c>
      <c r="E3462" s="3">
        <v>1240.6200000000001</v>
      </c>
      <c r="F3462" t="str">
        <f t="shared" si="274"/>
        <v>cogs</v>
      </c>
      <c r="G3462" s="7" t="str">
        <f t="shared" si="275"/>
        <v>product 3</v>
      </c>
      <c r="H3462">
        <f t="shared" si="276"/>
        <v>2025</v>
      </c>
      <c r="I3462">
        <f t="shared" si="277"/>
        <v>4</v>
      </c>
      <c r="J3462">
        <f t="shared" si="273"/>
        <v>-119.94</v>
      </c>
    </row>
    <row r="3463" spans="1:10" ht="12.5" x14ac:dyDescent="0.25">
      <c r="A3463" s="1">
        <v>45772</v>
      </c>
      <c r="B3463" s="2" t="s">
        <v>10</v>
      </c>
      <c r="C3463" s="2" t="s">
        <v>6</v>
      </c>
      <c r="D3463" s="2" t="s">
        <v>6</v>
      </c>
      <c r="E3463" s="3">
        <v>118</v>
      </c>
      <c r="F3463" t="str">
        <f t="shared" si="274"/>
        <v>marketing</v>
      </c>
      <c r="G3463" s="7" t="s">
        <v>6</v>
      </c>
      <c r="H3463">
        <f t="shared" si="276"/>
        <v>2025</v>
      </c>
      <c r="I3463">
        <f t="shared" si="277"/>
        <v>4</v>
      </c>
      <c r="J3463">
        <f t="shared" si="273"/>
        <v>-674.25</v>
      </c>
    </row>
    <row r="3464" spans="1:10" ht="12.5" x14ac:dyDescent="0.25">
      <c r="A3464" s="1">
        <v>45772</v>
      </c>
      <c r="B3464" s="2" t="s">
        <v>11</v>
      </c>
      <c r="C3464" s="3">
        <v>9.99</v>
      </c>
      <c r="D3464" s="3">
        <v>5</v>
      </c>
      <c r="E3464" s="3">
        <v>49.95</v>
      </c>
      <c r="F3464" t="str">
        <f t="shared" si="274"/>
        <v>net sales</v>
      </c>
      <c r="G3464" s="7" t="str">
        <f t="shared" si="275"/>
        <v>product 1</v>
      </c>
      <c r="H3464">
        <f t="shared" si="276"/>
        <v>2025</v>
      </c>
      <c r="I3464">
        <f t="shared" si="277"/>
        <v>4</v>
      </c>
      <c r="J3464">
        <f t="shared" si="273"/>
        <v>-109.91</v>
      </c>
    </row>
    <row r="3465" spans="1:10" ht="12.5" x14ac:dyDescent="0.25">
      <c r="A3465" s="1">
        <v>45772</v>
      </c>
      <c r="B3465" s="2" t="s">
        <v>12</v>
      </c>
      <c r="C3465" s="3">
        <v>24.99</v>
      </c>
      <c r="D3465" s="3">
        <v>6</v>
      </c>
      <c r="E3465" s="3">
        <v>149.94</v>
      </c>
      <c r="F3465" t="str">
        <f t="shared" si="274"/>
        <v>net sales</v>
      </c>
      <c r="G3465" s="7" t="str">
        <f t="shared" si="275"/>
        <v>product 2</v>
      </c>
      <c r="H3465">
        <f t="shared" si="276"/>
        <v>2025</v>
      </c>
      <c r="I3465">
        <f t="shared" si="277"/>
        <v>4</v>
      </c>
      <c r="J3465">
        <f t="shared" si="273"/>
        <v>869.13</v>
      </c>
    </row>
    <row r="3466" spans="1:10" ht="12.5" x14ac:dyDescent="0.25">
      <c r="A3466" s="1">
        <v>45772</v>
      </c>
      <c r="B3466" s="2" t="s">
        <v>13</v>
      </c>
      <c r="C3466" s="3">
        <v>12.49</v>
      </c>
      <c r="D3466" s="3">
        <v>138</v>
      </c>
      <c r="E3466" s="3">
        <v>1723.6200000000001</v>
      </c>
      <c r="F3466" t="str">
        <f t="shared" si="274"/>
        <v>net sales</v>
      </c>
      <c r="G3466" s="7" t="str">
        <f t="shared" si="275"/>
        <v>product 3</v>
      </c>
      <c r="H3466">
        <f t="shared" si="276"/>
        <v>2025</v>
      </c>
      <c r="I3466">
        <f t="shared" si="277"/>
        <v>4</v>
      </c>
      <c r="J3466">
        <f t="shared" si="273"/>
        <v>149.94</v>
      </c>
    </row>
    <row r="3467" spans="1:10" ht="12.5" x14ac:dyDescent="0.25">
      <c r="A3467" s="1">
        <v>45772</v>
      </c>
      <c r="B3467" s="2" t="s">
        <v>15</v>
      </c>
      <c r="C3467" s="2" t="s">
        <v>6</v>
      </c>
      <c r="D3467" s="2" t="s">
        <v>6</v>
      </c>
      <c r="E3467" s="3">
        <v>1200</v>
      </c>
      <c r="F3467" t="str">
        <f t="shared" si="274"/>
        <v>payroll</v>
      </c>
      <c r="G3467" s="7" t="s">
        <v>6</v>
      </c>
      <c r="H3467">
        <f t="shared" si="276"/>
        <v>2025</v>
      </c>
      <c r="I3467">
        <f t="shared" si="277"/>
        <v>4</v>
      </c>
      <c r="J3467">
        <f t="shared" si="273"/>
        <v>936.75</v>
      </c>
    </row>
    <row r="3468" spans="1:10" ht="12.5" x14ac:dyDescent="0.25">
      <c r="A3468" s="1">
        <v>45773</v>
      </c>
      <c r="B3468" s="2" t="s">
        <v>7</v>
      </c>
      <c r="C3468" s="3">
        <v>5.49</v>
      </c>
      <c r="D3468" s="3">
        <v>61</v>
      </c>
      <c r="E3468" s="3">
        <v>334.89</v>
      </c>
      <c r="F3468" t="str">
        <f t="shared" si="274"/>
        <v>cogs</v>
      </c>
      <c r="G3468" s="7" t="str">
        <f t="shared" si="275"/>
        <v>product 1</v>
      </c>
      <c r="H3468">
        <f t="shared" si="276"/>
        <v>2025</v>
      </c>
      <c r="I3468">
        <f t="shared" si="277"/>
        <v>4</v>
      </c>
      <c r="J3468">
        <f t="shared" si="273"/>
        <v>-351.36</v>
      </c>
    </row>
    <row r="3469" spans="1:10" ht="12.5" x14ac:dyDescent="0.25">
      <c r="A3469" s="1">
        <v>45773</v>
      </c>
      <c r="B3469" s="2" t="s">
        <v>8</v>
      </c>
      <c r="C3469" s="3">
        <v>19.989999999999998</v>
      </c>
      <c r="D3469" s="3">
        <v>2</v>
      </c>
      <c r="E3469" s="3">
        <v>39.979999999999997</v>
      </c>
      <c r="F3469" t="str">
        <f t="shared" si="274"/>
        <v>cogs</v>
      </c>
      <c r="G3469" s="7" t="str">
        <f t="shared" si="275"/>
        <v>product 2</v>
      </c>
      <c r="H3469">
        <f t="shared" si="276"/>
        <v>2025</v>
      </c>
      <c r="I3469">
        <f t="shared" si="277"/>
        <v>4</v>
      </c>
      <c r="J3469">
        <f t="shared" si="273"/>
        <v>0</v>
      </c>
    </row>
    <row r="3470" spans="1:10" ht="12.5" x14ac:dyDescent="0.25">
      <c r="A3470" s="1">
        <v>45773</v>
      </c>
      <c r="B3470" s="2" t="s">
        <v>9</v>
      </c>
      <c r="C3470" s="3">
        <v>8.99</v>
      </c>
      <c r="D3470" s="3">
        <v>240</v>
      </c>
      <c r="E3470" s="3">
        <v>2157.6</v>
      </c>
      <c r="F3470" t="str">
        <f t="shared" si="274"/>
        <v>cogs</v>
      </c>
      <c r="G3470" s="7" t="str">
        <f t="shared" si="275"/>
        <v>product 3</v>
      </c>
      <c r="H3470">
        <f t="shared" si="276"/>
        <v>2025</v>
      </c>
      <c r="I3470">
        <f t="shared" si="277"/>
        <v>4</v>
      </c>
      <c r="J3470">
        <f t="shared" si="273"/>
        <v>-8.99</v>
      </c>
    </row>
    <row r="3471" spans="1:10" ht="12.5" x14ac:dyDescent="0.25">
      <c r="A3471" s="1">
        <v>45773</v>
      </c>
      <c r="B3471" s="2" t="s">
        <v>10</v>
      </c>
      <c r="C3471" s="2" t="s">
        <v>6</v>
      </c>
      <c r="D3471" s="2" t="s">
        <v>6</v>
      </c>
      <c r="E3471" s="3">
        <v>100.01</v>
      </c>
      <c r="F3471" t="str">
        <f t="shared" si="274"/>
        <v>marketing</v>
      </c>
      <c r="G3471" s="7" t="s">
        <v>6</v>
      </c>
      <c r="H3471">
        <f t="shared" si="276"/>
        <v>2025</v>
      </c>
      <c r="I3471">
        <f t="shared" si="277"/>
        <v>4</v>
      </c>
      <c r="J3471">
        <f t="shared" si="273"/>
        <v>-119.99000000000001</v>
      </c>
    </row>
    <row r="3472" spans="1:10" ht="12.5" x14ac:dyDescent="0.25">
      <c r="A3472" s="1">
        <v>45773</v>
      </c>
      <c r="B3472" s="2" t="s">
        <v>11</v>
      </c>
      <c r="C3472" s="3">
        <v>9.99</v>
      </c>
      <c r="D3472" s="3">
        <v>61</v>
      </c>
      <c r="E3472" s="3">
        <v>609.39</v>
      </c>
      <c r="F3472" t="str">
        <f t="shared" si="274"/>
        <v>net sales</v>
      </c>
      <c r="G3472" s="7" t="str">
        <f t="shared" si="275"/>
        <v>product 1</v>
      </c>
      <c r="H3472">
        <f t="shared" si="276"/>
        <v>2025</v>
      </c>
      <c r="I3472">
        <f t="shared" si="277"/>
        <v>4</v>
      </c>
      <c r="J3472">
        <f t="shared" si="273"/>
        <v>639.36</v>
      </c>
    </row>
    <row r="3473" spans="1:10" ht="12.5" x14ac:dyDescent="0.25">
      <c r="A3473" s="1">
        <v>45773</v>
      </c>
      <c r="B3473" s="2" t="s">
        <v>12</v>
      </c>
      <c r="C3473" s="3">
        <v>24.99</v>
      </c>
      <c r="D3473" s="3">
        <v>2</v>
      </c>
      <c r="E3473" s="3">
        <v>49.98</v>
      </c>
      <c r="F3473" t="str">
        <f t="shared" si="274"/>
        <v>net sales</v>
      </c>
      <c r="G3473" s="7" t="str">
        <f t="shared" si="275"/>
        <v>product 2</v>
      </c>
      <c r="H3473">
        <f t="shared" si="276"/>
        <v>2025</v>
      </c>
      <c r="I3473">
        <f t="shared" si="277"/>
        <v>4</v>
      </c>
      <c r="J3473">
        <f t="shared" si="273"/>
        <v>0</v>
      </c>
    </row>
    <row r="3474" spans="1:10" ht="12.5" x14ac:dyDescent="0.25">
      <c r="A3474" s="1">
        <v>45773</v>
      </c>
      <c r="B3474" s="2" t="s">
        <v>13</v>
      </c>
      <c r="C3474" s="3">
        <v>12.49</v>
      </c>
      <c r="D3474" s="3">
        <v>240</v>
      </c>
      <c r="E3474" s="3">
        <v>2997.6</v>
      </c>
      <c r="F3474" t="str">
        <f t="shared" si="274"/>
        <v>net sales</v>
      </c>
      <c r="G3474" s="7" t="str">
        <f t="shared" si="275"/>
        <v>product 3</v>
      </c>
      <c r="H3474">
        <f t="shared" si="276"/>
        <v>2025</v>
      </c>
      <c r="I3474">
        <f t="shared" si="277"/>
        <v>4</v>
      </c>
      <c r="J3474">
        <f t="shared" si="273"/>
        <v>12.49</v>
      </c>
    </row>
    <row r="3475" spans="1:10" ht="12.5" x14ac:dyDescent="0.25">
      <c r="A3475" s="1">
        <v>45774</v>
      </c>
      <c r="B3475" s="2" t="s">
        <v>7</v>
      </c>
      <c r="C3475" s="3">
        <v>5.49</v>
      </c>
      <c r="D3475" s="3">
        <v>53</v>
      </c>
      <c r="E3475" s="3">
        <v>290.97000000000003</v>
      </c>
      <c r="F3475" t="str">
        <f t="shared" si="274"/>
        <v>cogs</v>
      </c>
      <c r="G3475" s="7" t="str">
        <f t="shared" si="275"/>
        <v>product 1</v>
      </c>
      <c r="H3475">
        <f t="shared" si="276"/>
        <v>2025</v>
      </c>
      <c r="I3475">
        <f t="shared" si="277"/>
        <v>4</v>
      </c>
      <c r="J3475">
        <f t="shared" si="273"/>
        <v>-329.40000000000003</v>
      </c>
    </row>
    <row r="3476" spans="1:10" ht="12.5" x14ac:dyDescent="0.25">
      <c r="A3476" s="1">
        <v>45774</v>
      </c>
      <c r="B3476" s="2" t="s">
        <v>8</v>
      </c>
      <c r="C3476" s="3">
        <v>19.989999999999998</v>
      </c>
      <c r="D3476" s="3">
        <v>4</v>
      </c>
      <c r="E3476" s="3">
        <v>79.959999999999994</v>
      </c>
      <c r="F3476" t="str">
        <f t="shared" si="274"/>
        <v>cogs</v>
      </c>
      <c r="G3476" s="7" t="str">
        <f t="shared" si="275"/>
        <v>product 2</v>
      </c>
      <c r="H3476">
        <f t="shared" si="276"/>
        <v>2025</v>
      </c>
      <c r="I3476">
        <f t="shared" si="277"/>
        <v>4</v>
      </c>
      <c r="J3476">
        <f t="shared" si="273"/>
        <v>-39.979999999999997</v>
      </c>
    </row>
    <row r="3477" spans="1:10" ht="12.5" x14ac:dyDescent="0.25">
      <c r="A3477" s="1">
        <v>45774</v>
      </c>
      <c r="B3477" s="2" t="s">
        <v>9</v>
      </c>
      <c r="C3477" s="3">
        <v>8.99</v>
      </c>
      <c r="D3477" s="3">
        <v>15</v>
      </c>
      <c r="E3477" s="3">
        <v>134.85</v>
      </c>
      <c r="F3477" t="str">
        <f t="shared" si="274"/>
        <v>cogs</v>
      </c>
      <c r="G3477" s="7" t="str">
        <f t="shared" si="275"/>
        <v>product 3</v>
      </c>
      <c r="H3477">
        <f t="shared" si="276"/>
        <v>2025</v>
      </c>
      <c r="I3477">
        <f t="shared" si="277"/>
        <v>4</v>
      </c>
      <c r="J3477">
        <f t="shared" si="273"/>
        <v>-1932.8500000000001</v>
      </c>
    </row>
    <row r="3478" spans="1:10" ht="12.5" x14ac:dyDescent="0.25">
      <c r="A3478" s="1">
        <v>45774</v>
      </c>
      <c r="B3478" s="2" t="s">
        <v>10</v>
      </c>
      <c r="C3478" s="2" t="s">
        <v>6</v>
      </c>
      <c r="D3478" s="2" t="s">
        <v>6</v>
      </c>
      <c r="E3478" s="3">
        <v>115.08</v>
      </c>
      <c r="F3478" t="str">
        <f t="shared" si="274"/>
        <v>marketing</v>
      </c>
      <c r="G3478" s="7" t="s">
        <v>6</v>
      </c>
      <c r="H3478">
        <f t="shared" si="276"/>
        <v>2025</v>
      </c>
      <c r="I3478">
        <f t="shared" si="277"/>
        <v>4</v>
      </c>
      <c r="J3478">
        <f t="shared" si="273"/>
        <v>-114.05</v>
      </c>
    </row>
    <row r="3479" spans="1:10" ht="12.5" x14ac:dyDescent="0.25">
      <c r="A3479" s="1">
        <v>45774</v>
      </c>
      <c r="B3479" s="2" t="s">
        <v>11</v>
      </c>
      <c r="C3479" s="3">
        <v>9.99</v>
      </c>
      <c r="D3479" s="3">
        <v>53</v>
      </c>
      <c r="E3479" s="3">
        <v>529.47</v>
      </c>
      <c r="F3479" t="str">
        <f t="shared" si="274"/>
        <v>net sales</v>
      </c>
      <c r="G3479" s="7" t="str">
        <f t="shared" si="275"/>
        <v>product 1</v>
      </c>
      <c r="H3479">
        <f t="shared" si="276"/>
        <v>2025</v>
      </c>
      <c r="I3479">
        <f t="shared" si="277"/>
        <v>4</v>
      </c>
      <c r="J3479">
        <f t="shared" si="273"/>
        <v>599.4</v>
      </c>
    </row>
    <row r="3480" spans="1:10" ht="12.5" x14ac:dyDescent="0.25">
      <c r="A3480" s="1">
        <v>45774</v>
      </c>
      <c r="B3480" s="2" t="s">
        <v>12</v>
      </c>
      <c r="C3480" s="3">
        <v>24.99</v>
      </c>
      <c r="D3480" s="3">
        <v>4</v>
      </c>
      <c r="E3480" s="3">
        <v>99.96</v>
      </c>
      <c r="F3480" t="str">
        <f t="shared" si="274"/>
        <v>net sales</v>
      </c>
      <c r="G3480" s="7" t="str">
        <f t="shared" si="275"/>
        <v>product 2</v>
      </c>
      <c r="H3480">
        <f t="shared" si="276"/>
        <v>2025</v>
      </c>
      <c r="I3480">
        <f t="shared" si="277"/>
        <v>4</v>
      </c>
      <c r="J3480">
        <f t="shared" si="273"/>
        <v>49.98</v>
      </c>
    </row>
    <row r="3481" spans="1:10" ht="12.5" x14ac:dyDescent="0.25">
      <c r="A3481" s="1">
        <v>45774</v>
      </c>
      <c r="B3481" s="2" t="s">
        <v>13</v>
      </c>
      <c r="C3481" s="3">
        <v>12.49</v>
      </c>
      <c r="D3481" s="3">
        <v>15</v>
      </c>
      <c r="E3481" s="3">
        <v>187.35</v>
      </c>
      <c r="F3481" t="str">
        <f t="shared" si="274"/>
        <v>net sales</v>
      </c>
      <c r="G3481" s="7" t="str">
        <f t="shared" si="275"/>
        <v>product 3</v>
      </c>
      <c r="H3481">
        <f t="shared" si="276"/>
        <v>2025</v>
      </c>
      <c r="I3481">
        <f t="shared" si="277"/>
        <v>4</v>
      </c>
      <c r="J3481">
        <f t="shared" si="273"/>
        <v>2685.35</v>
      </c>
    </row>
    <row r="3482" spans="1:10" ht="12.5" x14ac:dyDescent="0.25">
      <c r="A3482" s="1">
        <v>45775</v>
      </c>
      <c r="B3482" s="2" t="s">
        <v>7</v>
      </c>
      <c r="C3482" s="3">
        <v>5.49</v>
      </c>
      <c r="D3482" s="3">
        <v>29</v>
      </c>
      <c r="E3482" s="3">
        <v>159.21</v>
      </c>
      <c r="F3482" t="str">
        <f t="shared" si="274"/>
        <v>cogs</v>
      </c>
      <c r="G3482" s="7" t="str">
        <f t="shared" si="275"/>
        <v>product 1</v>
      </c>
      <c r="H3482">
        <f t="shared" si="276"/>
        <v>2025</v>
      </c>
      <c r="I3482">
        <f t="shared" si="277"/>
        <v>4</v>
      </c>
      <c r="J3482">
        <f t="shared" si="273"/>
        <v>-1200</v>
      </c>
    </row>
    <row r="3483" spans="1:10" ht="12.5" x14ac:dyDescent="0.25">
      <c r="A3483" s="1">
        <v>45775</v>
      </c>
      <c r="B3483" s="2" t="s">
        <v>8</v>
      </c>
      <c r="C3483" s="3">
        <v>19.989999999999998</v>
      </c>
      <c r="D3483" s="3">
        <v>8</v>
      </c>
      <c r="E3483" s="3">
        <v>159.91999999999999</v>
      </c>
      <c r="F3483" t="str">
        <f t="shared" si="274"/>
        <v>cogs</v>
      </c>
      <c r="G3483" s="7" t="str">
        <f t="shared" si="275"/>
        <v>product 2</v>
      </c>
      <c r="H3483">
        <f t="shared" si="276"/>
        <v>2025</v>
      </c>
      <c r="I3483">
        <f t="shared" si="277"/>
        <v>4</v>
      </c>
      <c r="J3483">
        <f t="shared" si="273"/>
        <v>-104.31</v>
      </c>
    </row>
    <row r="3484" spans="1:10" ht="12.5" x14ac:dyDescent="0.25">
      <c r="A3484" s="1">
        <v>45775</v>
      </c>
      <c r="B3484" s="2" t="s">
        <v>9</v>
      </c>
      <c r="C3484" s="3">
        <v>8.99</v>
      </c>
      <c r="D3484" s="3">
        <v>105</v>
      </c>
      <c r="E3484" s="3">
        <v>943.95</v>
      </c>
      <c r="F3484" t="str">
        <f t="shared" si="274"/>
        <v>cogs</v>
      </c>
      <c r="G3484" s="7" t="str">
        <f t="shared" si="275"/>
        <v>product 3</v>
      </c>
      <c r="H3484">
        <f t="shared" si="276"/>
        <v>2025</v>
      </c>
      <c r="I3484">
        <f t="shared" si="277"/>
        <v>4</v>
      </c>
      <c r="J3484">
        <f t="shared" ref="J3484:J3547" si="278">IF(F3267="net sales",E3267,
IF(F3267="cogs",-E3267,
IF(OR(F3267="marketing",F3267="overhead",F3267="payroll",F3267="interest","amortization"),-E3267,0)))</f>
        <v>-179.91</v>
      </c>
    </row>
    <row r="3485" spans="1:10" ht="12.5" x14ac:dyDescent="0.25">
      <c r="A3485" s="1">
        <v>45775</v>
      </c>
      <c r="B3485" s="2" t="s">
        <v>10</v>
      </c>
      <c r="C3485" s="2" t="s">
        <v>6</v>
      </c>
      <c r="D3485" s="2" t="s">
        <v>6</v>
      </c>
      <c r="E3485" s="3">
        <v>110.93</v>
      </c>
      <c r="F3485" t="str">
        <f t="shared" si="274"/>
        <v>marketing</v>
      </c>
      <c r="G3485" s="7" t="s">
        <v>6</v>
      </c>
      <c r="H3485">
        <f t="shared" si="276"/>
        <v>2025</v>
      </c>
      <c r="I3485">
        <f t="shared" si="277"/>
        <v>4</v>
      </c>
      <c r="J3485">
        <f t="shared" si="278"/>
        <v>-1878.91</v>
      </c>
    </row>
    <row r="3486" spans="1:10" ht="12.5" x14ac:dyDescent="0.25">
      <c r="A3486" s="1">
        <v>45775</v>
      </c>
      <c r="B3486" s="2" t="s">
        <v>11</v>
      </c>
      <c r="C3486" s="3">
        <v>9.99</v>
      </c>
      <c r="D3486" s="3">
        <v>29</v>
      </c>
      <c r="E3486" s="3">
        <v>289.70999999999998</v>
      </c>
      <c r="F3486" t="str">
        <f t="shared" si="274"/>
        <v>net sales</v>
      </c>
      <c r="G3486" s="7" t="str">
        <f t="shared" si="275"/>
        <v>product 1</v>
      </c>
      <c r="H3486">
        <f t="shared" si="276"/>
        <v>2025</v>
      </c>
      <c r="I3486">
        <f t="shared" si="277"/>
        <v>4</v>
      </c>
      <c r="J3486">
        <f t="shared" si="278"/>
        <v>-109.07000000000001</v>
      </c>
    </row>
    <row r="3487" spans="1:10" ht="12.5" x14ac:dyDescent="0.25">
      <c r="A3487" s="1">
        <v>45775</v>
      </c>
      <c r="B3487" s="2" t="s">
        <v>12</v>
      </c>
      <c r="C3487" s="3">
        <v>24.99</v>
      </c>
      <c r="D3487" s="3">
        <v>8</v>
      </c>
      <c r="E3487" s="3">
        <v>199.92</v>
      </c>
      <c r="F3487" t="str">
        <f t="shared" si="274"/>
        <v>net sales</v>
      </c>
      <c r="G3487" s="7" t="str">
        <f t="shared" si="275"/>
        <v>product 2</v>
      </c>
      <c r="H3487">
        <f t="shared" si="276"/>
        <v>2025</v>
      </c>
      <c r="I3487">
        <f t="shared" si="277"/>
        <v>4</v>
      </c>
      <c r="J3487">
        <f t="shared" si="278"/>
        <v>189.81</v>
      </c>
    </row>
    <row r="3488" spans="1:10" ht="12.5" x14ac:dyDescent="0.25">
      <c r="A3488" s="1">
        <v>45775</v>
      </c>
      <c r="B3488" s="2" t="s">
        <v>13</v>
      </c>
      <c r="C3488" s="3">
        <v>12.49</v>
      </c>
      <c r="D3488" s="3">
        <v>105</v>
      </c>
      <c r="E3488" s="3">
        <v>1311.45</v>
      </c>
      <c r="F3488" t="str">
        <f t="shared" si="274"/>
        <v>net sales</v>
      </c>
      <c r="G3488" s="7" t="str">
        <f t="shared" si="275"/>
        <v>product 3</v>
      </c>
      <c r="H3488">
        <f t="shared" si="276"/>
        <v>2025</v>
      </c>
      <c r="I3488">
        <f t="shared" si="277"/>
        <v>4</v>
      </c>
      <c r="J3488">
        <f t="shared" si="278"/>
        <v>224.91</v>
      </c>
    </row>
    <row r="3489" spans="1:10" ht="12.5" x14ac:dyDescent="0.25">
      <c r="A3489" s="1">
        <v>45776</v>
      </c>
      <c r="B3489" s="2" t="s">
        <v>7</v>
      </c>
      <c r="C3489" s="3">
        <v>5.49</v>
      </c>
      <c r="D3489" s="3">
        <v>77</v>
      </c>
      <c r="E3489" s="3">
        <v>422.73</v>
      </c>
      <c r="F3489" t="str">
        <f t="shared" si="274"/>
        <v>cogs</v>
      </c>
      <c r="G3489" s="7" t="str">
        <f t="shared" si="275"/>
        <v>product 1</v>
      </c>
      <c r="H3489">
        <f t="shared" si="276"/>
        <v>2025</v>
      </c>
      <c r="I3489">
        <f t="shared" si="277"/>
        <v>4</v>
      </c>
      <c r="J3489">
        <f t="shared" si="278"/>
        <v>2610.41</v>
      </c>
    </row>
    <row r="3490" spans="1:10" ht="12.5" x14ac:dyDescent="0.25">
      <c r="A3490" s="1">
        <v>45776</v>
      </c>
      <c r="B3490" s="2" t="s">
        <v>8</v>
      </c>
      <c r="C3490" s="3">
        <v>19.989999999999998</v>
      </c>
      <c r="D3490" s="3">
        <v>4</v>
      </c>
      <c r="E3490" s="3">
        <v>79.959999999999994</v>
      </c>
      <c r="F3490" t="str">
        <f t="shared" si="274"/>
        <v>cogs</v>
      </c>
      <c r="G3490" s="7" t="str">
        <f t="shared" si="275"/>
        <v>product 2</v>
      </c>
      <c r="H3490">
        <f t="shared" si="276"/>
        <v>2025</v>
      </c>
      <c r="I3490">
        <f t="shared" si="277"/>
        <v>4</v>
      </c>
      <c r="J3490">
        <f t="shared" si="278"/>
        <v>-225.09</v>
      </c>
    </row>
    <row r="3491" spans="1:10" ht="12.5" x14ac:dyDescent="0.25">
      <c r="A3491" s="1">
        <v>45776</v>
      </c>
      <c r="B3491" s="2" t="s">
        <v>9</v>
      </c>
      <c r="C3491" s="3">
        <v>8.99</v>
      </c>
      <c r="D3491" s="3">
        <v>0</v>
      </c>
      <c r="E3491" s="2">
        <f>C3491*D3491</f>
        <v>0</v>
      </c>
      <c r="F3491" t="str">
        <f t="shared" si="274"/>
        <v>cogs</v>
      </c>
      <c r="G3491" s="7" t="str">
        <f t="shared" si="275"/>
        <v>product 3</v>
      </c>
      <c r="H3491">
        <f t="shared" si="276"/>
        <v>2025</v>
      </c>
      <c r="I3491">
        <f t="shared" si="277"/>
        <v>4</v>
      </c>
      <c r="J3491">
        <f t="shared" si="278"/>
        <v>-79.959999999999994</v>
      </c>
    </row>
    <row r="3492" spans="1:10" ht="12.5" x14ac:dyDescent="0.25">
      <c r="A3492" s="1">
        <v>45776</v>
      </c>
      <c r="B3492" s="2" t="s">
        <v>10</v>
      </c>
      <c r="C3492" s="2" t="s">
        <v>6</v>
      </c>
      <c r="D3492" s="2" t="s">
        <v>6</v>
      </c>
      <c r="E3492" s="3">
        <v>116.08</v>
      </c>
      <c r="F3492" t="str">
        <f t="shared" si="274"/>
        <v>marketing</v>
      </c>
      <c r="G3492" s="7" t="s">
        <v>6</v>
      </c>
      <c r="H3492">
        <f t="shared" si="276"/>
        <v>2025</v>
      </c>
      <c r="I3492">
        <f t="shared" si="277"/>
        <v>4</v>
      </c>
      <c r="J3492">
        <f t="shared" si="278"/>
        <v>-215.76</v>
      </c>
    </row>
    <row r="3493" spans="1:10" ht="12.5" x14ac:dyDescent="0.25">
      <c r="A3493" s="1">
        <v>45776</v>
      </c>
      <c r="B3493" s="2" t="s">
        <v>11</v>
      </c>
      <c r="C3493" s="3">
        <v>9.99</v>
      </c>
      <c r="D3493" s="3">
        <v>77</v>
      </c>
      <c r="E3493" s="3">
        <v>769.23</v>
      </c>
      <c r="F3493" t="str">
        <f t="shared" si="274"/>
        <v>net sales</v>
      </c>
      <c r="G3493" s="7" t="str">
        <f t="shared" si="275"/>
        <v>product 1</v>
      </c>
      <c r="H3493">
        <f t="shared" si="276"/>
        <v>2025</v>
      </c>
      <c r="I3493">
        <f t="shared" si="277"/>
        <v>4</v>
      </c>
      <c r="J3493">
        <f t="shared" si="278"/>
        <v>-112.01</v>
      </c>
    </row>
    <row r="3494" spans="1:10" ht="12.5" x14ac:dyDescent="0.25">
      <c r="A3494" s="1">
        <v>45776</v>
      </c>
      <c r="B3494" s="2" t="s">
        <v>12</v>
      </c>
      <c r="C3494" s="3">
        <v>24.99</v>
      </c>
      <c r="D3494" s="3">
        <v>4</v>
      </c>
      <c r="E3494" s="3">
        <v>99.96</v>
      </c>
      <c r="F3494" t="str">
        <f t="shared" si="274"/>
        <v>net sales</v>
      </c>
      <c r="G3494" s="7" t="str">
        <f t="shared" si="275"/>
        <v>product 2</v>
      </c>
      <c r="H3494">
        <f t="shared" si="276"/>
        <v>2025</v>
      </c>
      <c r="I3494">
        <f t="shared" si="277"/>
        <v>4</v>
      </c>
      <c r="J3494">
        <f t="shared" si="278"/>
        <v>409.59000000000003</v>
      </c>
    </row>
    <row r="3495" spans="1:10" ht="12.5" x14ac:dyDescent="0.25">
      <c r="A3495" s="1">
        <v>45776</v>
      </c>
      <c r="B3495" s="2" t="s">
        <v>13</v>
      </c>
      <c r="C3495" s="3">
        <v>12.49</v>
      </c>
      <c r="D3495" s="3">
        <v>0</v>
      </c>
      <c r="E3495" s="2">
        <f>C3495*D3495</f>
        <v>0</v>
      </c>
      <c r="F3495" t="str">
        <f t="shared" si="274"/>
        <v>net sales</v>
      </c>
      <c r="G3495" s="7" t="str">
        <f t="shared" si="275"/>
        <v>product 3</v>
      </c>
      <c r="H3495">
        <f t="shared" si="276"/>
        <v>2025</v>
      </c>
      <c r="I3495">
        <f t="shared" si="277"/>
        <v>4</v>
      </c>
      <c r="J3495">
        <f t="shared" si="278"/>
        <v>99.96</v>
      </c>
    </row>
    <row r="3496" spans="1:10" ht="12.5" x14ac:dyDescent="0.25">
      <c r="A3496" s="1">
        <v>45777</v>
      </c>
      <c r="B3496" s="2" t="s">
        <v>7</v>
      </c>
      <c r="C3496" s="3">
        <v>5.49</v>
      </c>
      <c r="D3496" s="3">
        <v>63</v>
      </c>
      <c r="E3496" s="3">
        <v>345.87</v>
      </c>
      <c r="F3496" t="str">
        <f t="shared" si="274"/>
        <v>cogs</v>
      </c>
      <c r="G3496" s="7" t="str">
        <f t="shared" si="275"/>
        <v>product 1</v>
      </c>
      <c r="H3496">
        <f t="shared" si="276"/>
        <v>2025</v>
      </c>
      <c r="I3496">
        <f t="shared" si="277"/>
        <v>4</v>
      </c>
      <c r="J3496">
        <f t="shared" si="278"/>
        <v>299.76</v>
      </c>
    </row>
    <row r="3497" spans="1:10" ht="12.5" x14ac:dyDescent="0.25">
      <c r="A3497" s="1">
        <v>45777</v>
      </c>
      <c r="B3497" s="2" t="s">
        <v>8</v>
      </c>
      <c r="C3497" s="3">
        <v>19.989999999999998</v>
      </c>
      <c r="D3497" s="3">
        <v>4</v>
      </c>
      <c r="E3497" s="3">
        <v>79.959999999999994</v>
      </c>
      <c r="F3497" t="str">
        <f t="shared" si="274"/>
        <v>cogs</v>
      </c>
      <c r="G3497" s="7" t="str">
        <f t="shared" si="275"/>
        <v>product 2</v>
      </c>
      <c r="H3497">
        <f t="shared" si="276"/>
        <v>2025</v>
      </c>
      <c r="I3497">
        <f t="shared" si="277"/>
        <v>4</v>
      </c>
      <c r="J3497">
        <f t="shared" si="278"/>
        <v>-532.53</v>
      </c>
    </row>
    <row r="3498" spans="1:10" ht="12.5" x14ac:dyDescent="0.25">
      <c r="A3498" s="1">
        <v>45777</v>
      </c>
      <c r="B3498" s="2" t="s">
        <v>9</v>
      </c>
      <c r="C3498" s="3">
        <v>8.99</v>
      </c>
      <c r="D3498" s="3">
        <v>64</v>
      </c>
      <c r="E3498" s="3">
        <v>575.36</v>
      </c>
      <c r="F3498" t="str">
        <f t="shared" si="274"/>
        <v>cogs</v>
      </c>
      <c r="G3498" s="7" t="str">
        <f t="shared" si="275"/>
        <v>product 3</v>
      </c>
      <c r="H3498">
        <f t="shared" si="276"/>
        <v>2025</v>
      </c>
      <c r="I3498">
        <f t="shared" si="277"/>
        <v>4</v>
      </c>
      <c r="J3498">
        <f t="shared" si="278"/>
        <v>-39.979999999999997</v>
      </c>
    </row>
    <row r="3499" spans="1:10" ht="12.5" x14ac:dyDescent="0.25">
      <c r="A3499" s="1">
        <v>45777</v>
      </c>
      <c r="B3499" s="2" t="s">
        <v>10</v>
      </c>
      <c r="C3499" s="2" t="s">
        <v>6</v>
      </c>
      <c r="D3499" s="2" t="s">
        <v>6</v>
      </c>
      <c r="E3499" s="3">
        <v>118.94</v>
      </c>
      <c r="F3499" t="str">
        <f t="shared" si="274"/>
        <v>marketing</v>
      </c>
      <c r="G3499" s="7" t="s">
        <v>6</v>
      </c>
      <c r="H3499">
        <f t="shared" si="276"/>
        <v>2025</v>
      </c>
      <c r="I3499">
        <f t="shared" si="277"/>
        <v>4</v>
      </c>
      <c r="J3499">
        <f t="shared" si="278"/>
        <v>-836.07</v>
      </c>
    </row>
    <row r="3500" spans="1:10" ht="12.5" x14ac:dyDescent="0.25">
      <c r="A3500" s="1">
        <v>45777</v>
      </c>
      <c r="B3500" s="2" t="s">
        <v>11</v>
      </c>
      <c r="C3500" s="3">
        <v>9.99</v>
      </c>
      <c r="D3500" s="3">
        <v>63</v>
      </c>
      <c r="E3500" s="3">
        <v>629.37</v>
      </c>
      <c r="F3500" t="str">
        <f t="shared" si="274"/>
        <v>net sales</v>
      </c>
      <c r="G3500" s="7" t="str">
        <f t="shared" si="275"/>
        <v>product 1</v>
      </c>
      <c r="H3500">
        <f t="shared" si="276"/>
        <v>2025</v>
      </c>
      <c r="I3500">
        <f t="shared" si="277"/>
        <v>4</v>
      </c>
      <c r="J3500">
        <f t="shared" si="278"/>
        <v>-109.91</v>
      </c>
    </row>
    <row r="3501" spans="1:10" ht="12.5" x14ac:dyDescent="0.25">
      <c r="A3501" s="1">
        <v>45777</v>
      </c>
      <c r="B3501" s="2" t="s">
        <v>12</v>
      </c>
      <c r="C3501" s="3">
        <v>24.99</v>
      </c>
      <c r="D3501" s="3">
        <v>4</v>
      </c>
      <c r="E3501" s="3">
        <v>99.96</v>
      </c>
      <c r="F3501" t="str">
        <f t="shared" si="274"/>
        <v>net sales</v>
      </c>
      <c r="G3501" s="7" t="str">
        <f t="shared" si="275"/>
        <v>product 2</v>
      </c>
      <c r="H3501">
        <f t="shared" si="276"/>
        <v>2025</v>
      </c>
      <c r="I3501">
        <f t="shared" si="277"/>
        <v>4</v>
      </c>
      <c r="J3501">
        <f t="shared" si="278"/>
        <v>969.03</v>
      </c>
    </row>
    <row r="3502" spans="1:10" ht="12.5" x14ac:dyDescent="0.25">
      <c r="A3502" s="1">
        <v>45777</v>
      </c>
      <c r="B3502" s="2" t="s">
        <v>13</v>
      </c>
      <c r="C3502" s="3">
        <v>12.49</v>
      </c>
      <c r="D3502" s="3">
        <v>64</v>
      </c>
      <c r="E3502" s="3">
        <v>799.36</v>
      </c>
      <c r="F3502" t="str">
        <f t="shared" si="274"/>
        <v>net sales</v>
      </c>
      <c r="G3502" s="7" t="str">
        <f t="shared" si="275"/>
        <v>product 3</v>
      </c>
      <c r="H3502">
        <f t="shared" si="276"/>
        <v>2025</v>
      </c>
      <c r="I3502">
        <f t="shared" si="277"/>
        <v>4</v>
      </c>
      <c r="J3502">
        <f t="shared" si="278"/>
        <v>49.98</v>
      </c>
    </row>
    <row r="3503" spans="1:10" ht="12.5" x14ac:dyDescent="0.25">
      <c r="A3503" s="1">
        <v>45778</v>
      </c>
      <c r="B3503" s="2" t="s">
        <v>5</v>
      </c>
      <c r="C3503" s="2" t="s">
        <v>6</v>
      </c>
      <c r="D3503" s="2" t="s">
        <v>6</v>
      </c>
      <c r="E3503" s="3">
        <v>50</v>
      </c>
      <c r="F3503" t="str">
        <f t="shared" si="274"/>
        <v>amortization</v>
      </c>
      <c r="G3503" s="7" t="s">
        <v>6</v>
      </c>
      <c r="H3503">
        <f t="shared" si="276"/>
        <v>2025</v>
      </c>
      <c r="I3503">
        <f t="shared" si="277"/>
        <v>5</v>
      </c>
      <c r="J3503">
        <f t="shared" si="278"/>
        <v>1161.57</v>
      </c>
    </row>
    <row r="3504" spans="1:10" ht="12.5" x14ac:dyDescent="0.25">
      <c r="A3504" s="1">
        <v>45778</v>
      </c>
      <c r="B3504" s="2" t="s">
        <v>7</v>
      </c>
      <c r="C3504" s="3">
        <v>5.49</v>
      </c>
      <c r="D3504" s="3">
        <v>60</v>
      </c>
      <c r="E3504" s="3">
        <v>329.40000000000003</v>
      </c>
      <c r="F3504" t="str">
        <f t="shared" si="274"/>
        <v>cogs</v>
      </c>
      <c r="G3504" s="7" t="str">
        <f t="shared" si="275"/>
        <v>product 1</v>
      </c>
      <c r="H3504">
        <f t="shared" si="276"/>
        <v>2025</v>
      </c>
      <c r="I3504">
        <f t="shared" si="277"/>
        <v>5</v>
      </c>
      <c r="J3504">
        <f t="shared" si="278"/>
        <v>0</v>
      </c>
    </row>
    <row r="3505" spans="1:10" ht="12.5" x14ac:dyDescent="0.25">
      <c r="A3505" s="1">
        <v>45778</v>
      </c>
      <c r="B3505" s="2" t="s">
        <v>8</v>
      </c>
      <c r="C3505" s="3">
        <v>19.989999999999998</v>
      </c>
      <c r="D3505" s="3">
        <v>1</v>
      </c>
      <c r="E3505" s="3">
        <v>19.989999999999998</v>
      </c>
      <c r="F3505" t="str">
        <f t="shared" si="274"/>
        <v>cogs</v>
      </c>
      <c r="G3505" s="7" t="str">
        <f t="shared" si="275"/>
        <v>product 2</v>
      </c>
      <c r="H3505">
        <f t="shared" si="276"/>
        <v>2025</v>
      </c>
      <c r="I3505">
        <f t="shared" si="277"/>
        <v>5</v>
      </c>
      <c r="J3505">
        <f t="shared" si="278"/>
        <v>-87.84</v>
      </c>
    </row>
    <row r="3506" spans="1:10" ht="12.5" x14ac:dyDescent="0.25">
      <c r="A3506" s="1">
        <v>45778</v>
      </c>
      <c r="B3506" s="2" t="s">
        <v>9</v>
      </c>
      <c r="C3506" s="3">
        <v>8.99</v>
      </c>
      <c r="D3506" s="3">
        <v>10</v>
      </c>
      <c r="E3506" s="3">
        <v>89.9</v>
      </c>
      <c r="F3506" t="str">
        <f t="shared" si="274"/>
        <v>cogs</v>
      </c>
      <c r="G3506" s="7" t="str">
        <f t="shared" si="275"/>
        <v>product 3</v>
      </c>
      <c r="H3506">
        <f t="shared" si="276"/>
        <v>2025</v>
      </c>
      <c r="I3506">
        <f t="shared" si="277"/>
        <v>5</v>
      </c>
      <c r="J3506">
        <f t="shared" si="278"/>
        <v>0</v>
      </c>
    </row>
    <row r="3507" spans="1:10" ht="12.5" x14ac:dyDescent="0.25">
      <c r="A3507" s="1">
        <v>45778</v>
      </c>
      <c r="B3507" s="2" t="s">
        <v>10</v>
      </c>
      <c r="C3507" s="2" t="s">
        <v>6</v>
      </c>
      <c r="D3507" s="2" t="s">
        <v>6</v>
      </c>
      <c r="E3507" s="3">
        <v>109.07000000000001</v>
      </c>
      <c r="F3507" t="str">
        <f t="shared" si="274"/>
        <v>marketing</v>
      </c>
      <c r="G3507" s="7" t="s">
        <v>6</v>
      </c>
      <c r="H3507">
        <f t="shared" si="276"/>
        <v>2025</v>
      </c>
      <c r="I3507">
        <f t="shared" si="277"/>
        <v>5</v>
      </c>
      <c r="J3507">
        <f t="shared" si="278"/>
        <v>-503.44</v>
      </c>
    </row>
    <row r="3508" spans="1:10" ht="12.5" x14ac:dyDescent="0.25">
      <c r="A3508" s="1">
        <v>45778</v>
      </c>
      <c r="B3508" s="2" t="s">
        <v>11</v>
      </c>
      <c r="C3508" s="3">
        <v>9.99</v>
      </c>
      <c r="D3508" s="3">
        <v>60</v>
      </c>
      <c r="E3508" s="3">
        <v>599.4</v>
      </c>
      <c r="F3508" t="str">
        <f t="shared" si="274"/>
        <v>net sales</v>
      </c>
      <c r="G3508" s="7" t="str">
        <f t="shared" si="275"/>
        <v>product 1</v>
      </c>
      <c r="H3508">
        <f t="shared" si="276"/>
        <v>2025</v>
      </c>
      <c r="I3508">
        <f t="shared" si="277"/>
        <v>5</v>
      </c>
      <c r="J3508">
        <f t="shared" si="278"/>
        <v>-110.05</v>
      </c>
    </row>
    <row r="3509" spans="1:10" ht="12.5" x14ac:dyDescent="0.25">
      <c r="A3509" s="1">
        <v>45778</v>
      </c>
      <c r="B3509" s="2" t="s">
        <v>12</v>
      </c>
      <c r="C3509" s="3">
        <v>24.99</v>
      </c>
      <c r="D3509" s="3">
        <v>1</v>
      </c>
      <c r="E3509" s="3">
        <v>24.99</v>
      </c>
      <c r="F3509" t="str">
        <f t="shared" si="274"/>
        <v>net sales</v>
      </c>
      <c r="G3509" s="7" t="str">
        <f t="shared" si="275"/>
        <v>product 2</v>
      </c>
      <c r="H3509">
        <f t="shared" si="276"/>
        <v>2025</v>
      </c>
      <c r="I3509">
        <f t="shared" si="277"/>
        <v>5</v>
      </c>
      <c r="J3509">
        <f t="shared" si="278"/>
        <v>159.84</v>
      </c>
    </row>
    <row r="3510" spans="1:10" ht="12.5" x14ac:dyDescent="0.25">
      <c r="A3510" s="1">
        <v>45778</v>
      </c>
      <c r="B3510" s="2" t="s">
        <v>13</v>
      </c>
      <c r="C3510" s="3">
        <v>12.49</v>
      </c>
      <c r="D3510" s="3">
        <v>10</v>
      </c>
      <c r="E3510" s="3">
        <v>124.9</v>
      </c>
      <c r="F3510" t="str">
        <f t="shared" si="274"/>
        <v>net sales</v>
      </c>
      <c r="G3510" s="7" t="str">
        <f t="shared" si="275"/>
        <v>product 3</v>
      </c>
      <c r="H3510">
        <f t="shared" si="276"/>
        <v>2025</v>
      </c>
      <c r="I3510">
        <f t="shared" si="277"/>
        <v>5</v>
      </c>
      <c r="J3510">
        <f t="shared" si="278"/>
        <v>0</v>
      </c>
    </row>
    <row r="3511" spans="1:10" ht="12.5" x14ac:dyDescent="0.25">
      <c r="A3511" s="1">
        <v>45778</v>
      </c>
      <c r="B3511" s="2" t="s">
        <v>14</v>
      </c>
      <c r="C3511" s="2" t="s">
        <v>6</v>
      </c>
      <c r="D3511" s="2" t="s">
        <v>6</v>
      </c>
      <c r="E3511" s="3">
        <v>2000</v>
      </c>
      <c r="F3511" t="str">
        <f t="shared" si="274"/>
        <v>overhead</v>
      </c>
      <c r="G3511" s="7" t="s">
        <v>6</v>
      </c>
      <c r="H3511">
        <f t="shared" si="276"/>
        <v>2025</v>
      </c>
      <c r="I3511">
        <f t="shared" si="277"/>
        <v>5</v>
      </c>
      <c r="J3511">
        <f t="shared" si="278"/>
        <v>699.44</v>
      </c>
    </row>
    <row r="3512" spans="1:10" ht="12.5" x14ac:dyDescent="0.25">
      <c r="A3512" s="1">
        <v>45779</v>
      </c>
      <c r="B3512" s="2" t="s">
        <v>7</v>
      </c>
      <c r="C3512" s="3">
        <v>5.49</v>
      </c>
      <c r="D3512" s="3">
        <v>17</v>
      </c>
      <c r="E3512" s="3">
        <v>93.33</v>
      </c>
      <c r="F3512" t="str">
        <f t="shared" si="274"/>
        <v>cogs</v>
      </c>
      <c r="G3512" s="7" t="str">
        <f t="shared" si="275"/>
        <v>product 1</v>
      </c>
      <c r="H3512">
        <f t="shared" si="276"/>
        <v>2025</v>
      </c>
      <c r="I3512">
        <f t="shared" si="277"/>
        <v>5</v>
      </c>
      <c r="J3512">
        <f t="shared" si="278"/>
        <v>-2000</v>
      </c>
    </row>
    <row r="3513" spans="1:10" ht="12.5" x14ac:dyDescent="0.25">
      <c r="A3513" s="1">
        <v>45779</v>
      </c>
      <c r="B3513" s="2" t="s">
        <v>8</v>
      </c>
      <c r="C3513" s="3">
        <v>19.989999999999998</v>
      </c>
      <c r="D3513" s="3">
        <v>3</v>
      </c>
      <c r="E3513" s="3">
        <v>59.97</v>
      </c>
      <c r="F3513" t="str">
        <f t="shared" si="274"/>
        <v>cogs</v>
      </c>
      <c r="G3513" s="7" t="str">
        <f t="shared" si="275"/>
        <v>product 2</v>
      </c>
      <c r="H3513">
        <f t="shared" si="276"/>
        <v>2025</v>
      </c>
      <c r="I3513">
        <f t="shared" si="277"/>
        <v>5</v>
      </c>
      <c r="J3513">
        <f t="shared" si="278"/>
        <v>-236.07000000000002</v>
      </c>
    </row>
    <row r="3514" spans="1:10" ht="12.5" x14ac:dyDescent="0.25">
      <c r="A3514" s="1">
        <v>45779</v>
      </c>
      <c r="B3514" s="2" t="s">
        <v>9</v>
      </c>
      <c r="C3514" s="3">
        <v>8.99</v>
      </c>
      <c r="D3514" s="3">
        <v>160</v>
      </c>
      <c r="E3514" s="3">
        <v>1438.4</v>
      </c>
      <c r="F3514" t="str">
        <f t="shared" si="274"/>
        <v>cogs</v>
      </c>
      <c r="G3514" s="7" t="str">
        <f t="shared" si="275"/>
        <v>product 3</v>
      </c>
      <c r="H3514">
        <f t="shared" si="276"/>
        <v>2025</v>
      </c>
      <c r="I3514">
        <f t="shared" si="277"/>
        <v>5</v>
      </c>
      <c r="J3514">
        <f t="shared" si="278"/>
        <v>-19.989999999999998</v>
      </c>
    </row>
    <row r="3515" spans="1:10" ht="12.5" x14ac:dyDescent="0.25">
      <c r="A3515" s="1">
        <v>45779</v>
      </c>
      <c r="B3515" s="2" t="s">
        <v>10</v>
      </c>
      <c r="C3515" s="2" t="s">
        <v>6</v>
      </c>
      <c r="D3515" s="2" t="s">
        <v>6</v>
      </c>
      <c r="E3515" s="3">
        <v>105.92</v>
      </c>
      <c r="F3515" t="str">
        <f t="shared" si="274"/>
        <v>marketing</v>
      </c>
      <c r="G3515" s="7" t="s">
        <v>6</v>
      </c>
      <c r="H3515">
        <f t="shared" si="276"/>
        <v>2025</v>
      </c>
      <c r="I3515">
        <f t="shared" si="277"/>
        <v>5</v>
      </c>
      <c r="J3515">
        <f t="shared" si="278"/>
        <v>-260.70999999999998</v>
      </c>
    </row>
    <row r="3516" spans="1:10" ht="12.5" x14ac:dyDescent="0.25">
      <c r="A3516" s="1">
        <v>45779</v>
      </c>
      <c r="B3516" s="2" t="s">
        <v>11</v>
      </c>
      <c r="C3516" s="3">
        <v>9.99</v>
      </c>
      <c r="D3516" s="3">
        <v>17</v>
      </c>
      <c r="E3516" s="3">
        <v>169.83</v>
      </c>
      <c r="F3516" t="str">
        <f t="shared" si="274"/>
        <v>net sales</v>
      </c>
      <c r="G3516" s="7" t="str">
        <f t="shared" si="275"/>
        <v>product 1</v>
      </c>
      <c r="H3516">
        <f t="shared" si="276"/>
        <v>2025</v>
      </c>
      <c r="I3516">
        <f t="shared" si="277"/>
        <v>5</v>
      </c>
      <c r="J3516">
        <f t="shared" si="278"/>
        <v>-119.03</v>
      </c>
    </row>
    <row r="3517" spans="1:10" ht="12.5" x14ac:dyDescent="0.25">
      <c r="A3517" s="1">
        <v>45779</v>
      </c>
      <c r="B3517" s="2" t="s">
        <v>12</v>
      </c>
      <c r="C3517" s="3">
        <v>24.99</v>
      </c>
      <c r="D3517" s="3">
        <v>3</v>
      </c>
      <c r="E3517" s="3">
        <v>74.97</v>
      </c>
      <c r="F3517" t="str">
        <f t="shared" si="274"/>
        <v>net sales</v>
      </c>
      <c r="G3517" s="7" t="str">
        <f t="shared" si="275"/>
        <v>product 2</v>
      </c>
      <c r="H3517">
        <f t="shared" si="276"/>
        <v>2025</v>
      </c>
      <c r="I3517">
        <f t="shared" si="277"/>
        <v>5</v>
      </c>
      <c r="J3517">
        <f t="shared" si="278"/>
        <v>429.57</v>
      </c>
    </row>
    <row r="3518" spans="1:10" ht="12.5" x14ac:dyDescent="0.25">
      <c r="A3518" s="1">
        <v>45779</v>
      </c>
      <c r="B3518" s="2" t="s">
        <v>13</v>
      </c>
      <c r="C3518" s="3">
        <v>12.49</v>
      </c>
      <c r="D3518" s="3">
        <v>160</v>
      </c>
      <c r="E3518" s="3">
        <v>1998.4</v>
      </c>
      <c r="F3518" t="str">
        <f t="shared" si="274"/>
        <v>net sales</v>
      </c>
      <c r="G3518" s="7" t="str">
        <f t="shared" si="275"/>
        <v>product 3</v>
      </c>
      <c r="H3518">
        <f t="shared" si="276"/>
        <v>2025</v>
      </c>
      <c r="I3518">
        <f t="shared" si="277"/>
        <v>5</v>
      </c>
      <c r="J3518">
        <f t="shared" si="278"/>
        <v>24.99</v>
      </c>
    </row>
    <row r="3519" spans="1:10" ht="12.5" x14ac:dyDescent="0.25">
      <c r="A3519" s="1">
        <v>45780</v>
      </c>
      <c r="B3519" s="2" t="s">
        <v>7</v>
      </c>
      <c r="C3519" s="3">
        <v>5.49</v>
      </c>
      <c r="D3519" s="3">
        <v>36</v>
      </c>
      <c r="E3519" s="3">
        <v>197.64000000000001</v>
      </c>
      <c r="F3519" t="str">
        <f t="shared" si="274"/>
        <v>cogs</v>
      </c>
      <c r="G3519" s="7" t="str">
        <f t="shared" si="275"/>
        <v>product 1</v>
      </c>
      <c r="H3519">
        <f t="shared" si="276"/>
        <v>2025</v>
      </c>
      <c r="I3519">
        <f t="shared" si="277"/>
        <v>5</v>
      </c>
      <c r="J3519">
        <f t="shared" si="278"/>
        <v>362.21</v>
      </c>
    </row>
    <row r="3520" spans="1:10" ht="12.5" x14ac:dyDescent="0.25">
      <c r="A3520" s="1">
        <v>45780</v>
      </c>
      <c r="B3520" s="2" t="s">
        <v>8</v>
      </c>
      <c r="C3520" s="3">
        <v>19.989999999999998</v>
      </c>
      <c r="D3520" s="3">
        <v>4</v>
      </c>
      <c r="E3520" s="3">
        <v>79.959999999999994</v>
      </c>
      <c r="F3520" t="str">
        <f t="shared" si="274"/>
        <v>cogs</v>
      </c>
      <c r="G3520" s="7" t="str">
        <f t="shared" si="275"/>
        <v>product 2</v>
      </c>
      <c r="H3520">
        <f t="shared" si="276"/>
        <v>2025</v>
      </c>
      <c r="I3520">
        <f t="shared" si="277"/>
        <v>5</v>
      </c>
      <c r="J3520">
        <f t="shared" si="278"/>
        <v>-296.46000000000004</v>
      </c>
    </row>
    <row r="3521" spans="1:10" ht="12.5" x14ac:dyDescent="0.25">
      <c r="A3521" s="1">
        <v>45780</v>
      </c>
      <c r="B3521" s="2" t="s">
        <v>9</v>
      </c>
      <c r="C3521" s="3">
        <v>8.99</v>
      </c>
      <c r="D3521" s="3">
        <v>171</v>
      </c>
      <c r="E3521" s="3">
        <v>1537.29</v>
      </c>
      <c r="F3521" t="str">
        <f t="shared" si="274"/>
        <v>cogs</v>
      </c>
      <c r="G3521" s="7" t="str">
        <f t="shared" si="275"/>
        <v>product 3</v>
      </c>
      <c r="H3521">
        <f t="shared" si="276"/>
        <v>2025</v>
      </c>
      <c r="I3521">
        <f t="shared" si="277"/>
        <v>5</v>
      </c>
      <c r="J3521">
        <f t="shared" si="278"/>
        <v>0</v>
      </c>
    </row>
    <row r="3522" spans="1:10" ht="12.5" x14ac:dyDescent="0.25">
      <c r="A3522" s="1">
        <v>45780</v>
      </c>
      <c r="B3522" s="2" t="s">
        <v>10</v>
      </c>
      <c r="C3522" s="2" t="s">
        <v>6</v>
      </c>
      <c r="D3522" s="2" t="s">
        <v>6</v>
      </c>
      <c r="E3522" s="3">
        <v>105</v>
      </c>
      <c r="F3522" t="str">
        <f t="shared" si="274"/>
        <v>marketing</v>
      </c>
      <c r="G3522" s="7" t="s">
        <v>6</v>
      </c>
      <c r="H3522">
        <f t="shared" si="276"/>
        <v>2025</v>
      </c>
      <c r="I3522">
        <f t="shared" si="277"/>
        <v>5</v>
      </c>
      <c r="J3522">
        <f t="shared" si="278"/>
        <v>-116.87</v>
      </c>
    </row>
    <row r="3523" spans="1:10" ht="12.5" x14ac:dyDescent="0.25">
      <c r="A3523" s="1">
        <v>45780</v>
      </c>
      <c r="B3523" s="2" t="s">
        <v>11</v>
      </c>
      <c r="C3523" s="3">
        <v>9.99</v>
      </c>
      <c r="D3523" s="3">
        <v>36</v>
      </c>
      <c r="E3523" s="3">
        <v>359.64</v>
      </c>
      <c r="F3523" t="str">
        <f t="shared" ref="F3523:F3586" si="279">IFERROR(LEFT(B3523,FIND(":",B3523)-1),B3523)</f>
        <v>net sales</v>
      </c>
      <c r="G3523" s="7" t="str">
        <f t="shared" ref="G3523:G3585" si="280">IFERROR(RIGHT(B3523,LEN(B3523)-FIND(":",B3523)),"")</f>
        <v>product 1</v>
      </c>
      <c r="H3523">
        <f t="shared" ref="H3523:H3586" si="281">YEAR(A3523)</f>
        <v>2025</v>
      </c>
      <c r="I3523">
        <f t="shared" ref="I3523:I3586" si="282">MONTH(A3523)</f>
        <v>5</v>
      </c>
      <c r="J3523">
        <f t="shared" si="278"/>
        <v>-117.93</v>
      </c>
    </row>
    <row r="3524" spans="1:10" ht="12.5" x14ac:dyDescent="0.25">
      <c r="A3524" s="1">
        <v>45780</v>
      </c>
      <c r="B3524" s="2" t="s">
        <v>12</v>
      </c>
      <c r="C3524" s="3">
        <v>24.99</v>
      </c>
      <c r="D3524" s="3">
        <v>4</v>
      </c>
      <c r="E3524" s="3">
        <v>99.96</v>
      </c>
      <c r="F3524" t="str">
        <f t="shared" si="279"/>
        <v>net sales</v>
      </c>
      <c r="G3524" s="7" t="str">
        <f t="shared" si="280"/>
        <v>product 2</v>
      </c>
      <c r="H3524">
        <f t="shared" si="281"/>
        <v>2025</v>
      </c>
      <c r="I3524">
        <f t="shared" si="282"/>
        <v>5</v>
      </c>
      <c r="J3524">
        <f t="shared" si="278"/>
        <v>539.46</v>
      </c>
    </row>
    <row r="3525" spans="1:10" ht="12.5" x14ac:dyDescent="0.25">
      <c r="A3525" s="1">
        <v>45780</v>
      </c>
      <c r="B3525" s="2" t="s">
        <v>13</v>
      </c>
      <c r="C3525" s="3">
        <v>12.49</v>
      </c>
      <c r="D3525" s="3">
        <v>171</v>
      </c>
      <c r="E3525" s="3">
        <v>2135.79</v>
      </c>
      <c r="F3525" t="str">
        <f t="shared" si="279"/>
        <v>net sales</v>
      </c>
      <c r="G3525" s="7" t="str">
        <f t="shared" si="280"/>
        <v>product 3</v>
      </c>
      <c r="H3525">
        <f t="shared" si="281"/>
        <v>2025</v>
      </c>
      <c r="I3525">
        <f t="shared" si="282"/>
        <v>5</v>
      </c>
      <c r="J3525">
        <f t="shared" si="278"/>
        <v>0</v>
      </c>
    </row>
    <row r="3526" spans="1:10" ht="12.5" x14ac:dyDescent="0.25">
      <c r="A3526" s="1">
        <v>45781</v>
      </c>
      <c r="B3526" s="2" t="s">
        <v>7</v>
      </c>
      <c r="C3526" s="3">
        <v>5.49</v>
      </c>
      <c r="D3526" s="3">
        <v>96</v>
      </c>
      <c r="E3526" s="3">
        <v>527.04</v>
      </c>
      <c r="F3526" t="str">
        <f t="shared" si="279"/>
        <v>cogs</v>
      </c>
      <c r="G3526" s="7" t="str">
        <f t="shared" si="280"/>
        <v>product 1</v>
      </c>
      <c r="H3526">
        <f t="shared" si="281"/>
        <v>2025</v>
      </c>
      <c r="I3526">
        <f t="shared" si="282"/>
        <v>5</v>
      </c>
      <c r="J3526">
        <f t="shared" si="278"/>
        <v>162.37</v>
      </c>
    </row>
    <row r="3527" spans="1:10" ht="12.5" x14ac:dyDescent="0.25">
      <c r="A3527" s="1">
        <v>45781</v>
      </c>
      <c r="B3527" s="2" t="s">
        <v>8</v>
      </c>
      <c r="C3527" s="3">
        <v>19.989999999999998</v>
      </c>
      <c r="D3527" s="3">
        <v>8</v>
      </c>
      <c r="E3527" s="3">
        <v>159.91999999999999</v>
      </c>
      <c r="F3527" t="str">
        <f t="shared" si="279"/>
        <v>cogs</v>
      </c>
      <c r="G3527" s="7" t="str">
        <f t="shared" si="280"/>
        <v>product 2</v>
      </c>
      <c r="H3527">
        <f t="shared" si="281"/>
        <v>2025</v>
      </c>
      <c r="I3527">
        <f t="shared" si="282"/>
        <v>5</v>
      </c>
      <c r="J3527">
        <f t="shared" si="278"/>
        <v>-236.07000000000002</v>
      </c>
    </row>
    <row r="3528" spans="1:10" ht="12.5" x14ac:dyDescent="0.25">
      <c r="A3528" s="1">
        <v>45781</v>
      </c>
      <c r="B3528" s="2" t="s">
        <v>9</v>
      </c>
      <c r="C3528" s="3">
        <v>8.99</v>
      </c>
      <c r="D3528" s="3">
        <v>126</v>
      </c>
      <c r="E3528" s="3">
        <v>1132.74</v>
      </c>
      <c r="F3528" t="str">
        <f t="shared" si="279"/>
        <v>cogs</v>
      </c>
      <c r="G3528" s="7" t="str">
        <f t="shared" si="280"/>
        <v>product 3</v>
      </c>
      <c r="H3528">
        <f t="shared" si="281"/>
        <v>2025</v>
      </c>
      <c r="I3528">
        <f t="shared" si="282"/>
        <v>5</v>
      </c>
      <c r="J3528">
        <f t="shared" si="278"/>
        <v>-119.94</v>
      </c>
    </row>
    <row r="3529" spans="1:10" ht="12.5" x14ac:dyDescent="0.25">
      <c r="A3529" s="1">
        <v>45781</v>
      </c>
      <c r="B3529" s="2" t="s">
        <v>10</v>
      </c>
      <c r="C3529" s="2" t="s">
        <v>6</v>
      </c>
      <c r="D3529" s="2" t="s">
        <v>6</v>
      </c>
      <c r="E3529" s="3">
        <v>106.92</v>
      </c>
      <c r="F3529" t="str">
        <f t="shared" si="279"/>
        <v>marketing</v>
      </c>
      <c r="G3529" s="7" t="s">
        <v>6</v>
      </c>
      <c r="H3529">
        <f t="shared" si="281"/>
        <v>2025</v>
      </c>
      <c r="I3529">
        <f t="shared" si="282"/>
        <v>5</v>
      </c>
      <c r="J3529">
        <f t="shared" si="278"/>
        <v>-2058.71</v>
      </c>
    </row>
    <row r="3530" spans="1:10" ht="12.5" x14ac:dyDescent="0.25">
      <c r="A3530" s="1">
        <v>45781</v>
      </c>
      <c r="B3530" s="2" t="s">
        <v>11</v>
      </c>
      <c r="C3530" s="3">
        <v>9.99</v>
      </c>
      <c r="D3530" s="3">
        <v>96</v>
      </c>
      <c r="E3530" s="3">
        <v>959.04</v>
      </c>
      <c r="F3530" t="str">
        <f t="shared" si="279"/>
        <v>net sales</v>
      </c>
      <c r="G3530" s="7" t="str">
        <f t="shared" si="280"/>
        <v>product 1</v>
      </c>
      <c r="H3530">
        <f t="shared" si="281"/>
        <v>2025</v>
      </c>
      <c r="I3530">
        <f t="shared" si="282"/>
        <v>5</v>
      </c>
      <c r="J3530">
        <f t="shared" si="278"/>
        <v>-101.96000000000001</v>
      </c>
    </row>
    <row r="3531" spans="1:10" ht="12.5" x14ac:dyDescent="0.25">
      <c r="A3531" s="1">
        <v>45781</v>
      </c>
      <c r="B3531" s="2" t="s">
        <v>12</v>
      </c>
      <c r="C3531" s="3">
        <v>24.99</v>
      </c>
      <c r="D3531" s="3">
        <v>8</v>
      </c>
      <c r="E3531" s="3">
        <v>199.92</v>
      </c>
      <c r="F3531" t="str">
        <f t="shared" si="279"/>
        <v>net sales</v>
      </c>
      <c r="G3531" s="7" t="str">
        <f t="shared" si="280"/>
        <v>product 2</v>
      </c>
      <c r="H3531">
        <f t="shared" si="281"/>
        <v>2025</v>
      </c>
      <c r="I3531">
        <f t="shared" si="282"/>
        <v>5</v>
      </c>
      <c r="J3531">
        <f t="shared" si="278"/>
        <v>429.57</v>
      </c>
    </row>
    <row r="3532" spans="1:10" ht="12.5" x14ac:dyDescent="0.25">
      <c r="A3532" s="1">
        <v>45781</v>
      </c>
      <c r="B3532" s="2" t="s">
        <v>13</v>
      </c>
      <c r="C3532" s="3">
        <v>12.49</v>
      </c>
      <c r="D3532" s="3">
        <v>126</v>
      </c>
      <c r="E3532" s="3">
        <v>1573.74</v>
      </c>
      <c r="F3532" t="str">
        <f t="shared" si="279"/>
        <v>net sales</v>
      </c>
      <c r="G3532" s="7" t="str">
        <f t="shared" si="280"/>
        <v>product 3</v>
      </c>
      <c r="H3532">
        <f t="shared" si="281"/>
        <v>2025</v>
      </c>
      <c r="I3532">
        <f t="shared" si="282"/>
        <v>5</v>
      </c>
      <c r="J3532">
        <f t="shared" si="278"/>
        <v>149.94</v>
      </c>
    </row>
    <row r="3533" spans="1:10" ht="12.5" x14ac:dyDescent="0.25">
      <c r="A3533" s="1">
        <v>45782</v>
      </c>
      <c r="B3533" s="2" t="s">
        <v>7</v>
      </c>
      <c r="C3533" s="3">
        <v>5.49</v>
      </c>
      <c r="D3533" s="3">
        <v>9</v>
      </c>
      <c r="E3533" s="3">
        <v>49.410000000000004</v>
      </c>
      <c r="F3533" t="str">
        <f t="shared" si="279"/>
        <v>cogs</v>
      </c>
      <c r="G3533" s="7" t="str">
        <f t="shared" si="280"/>
        <v>product 1</v>
      </c>
      <c r="H3533">
        <f t="shared" si="281"/>
        <v>2025</v>
      </c>
      <c r="I3533">
        <f t="shared" si="282"/>
        <v>5</v>
      </c>
      <c r="J3533">
        <f t="shared" si="278"/>
        <v>2860.21</v>
      </c>
    </row>
    <row r="3534" spans="1:10" ht="12.5" x14ac:dyDescent="0.25">
      <c r="A3534" s="1">
        <v>45782</v>
      </c>
      <c r="B3534" s="2" t="s">
        <v>8</v>
      </c>
      <c r="C3534" s="3">
        <v>19.989999999999998</v>
      </c>
      <c r="D3534" s="3">
        <v>1</v>
      </c>
      <c r="E3534" s="3">
        <v>19.989999999999998</v>
      </c>
      <c r="F3534" t="str">
        <f t="shared" si="279"/>
        <v>cogs</v>
      </c>
      <c r="G3534" s="7" t="str">
        <f t="shared" si="280"/>
        <v>product 2</v>
      </c>
      <c r="H3534">
        <f t="shared" si="281"/>
        <v>2025</v>
      </c>
      <c r="I3534">
        <f t="shared" si="282"/>
        <v>5</v>
      </c>
      <c r="J3534">
        <f t="shared" si="278"/>
        <v>-285.48</v>
      </c>
    </row>
    <row r="3535" spans="1:10" ht="12.5" x14ac:dyDescent="0.25">
      <c r="A3535" s="1">
        <v>45782</v>
      </c>
      <c r="B3535" s="2" t="s">
        <v>9</v>
      </c>
      <c r="C3535" s="3">
        <v>8.99</v>
      </c>
      <c r="D3535" s="3">
        <v>0</v>
      </c>
      <c r="E3535" s="2">
        <f>C3535*D3535</f>
        <v>0</v>
      </c>
      <c r="F3535" t="str">
        <f t="shared" si="279"/>
        <v>cogs</v>
      </c>
      <c r="G3535" s="7" t="str">
        <f t="shared" si="280"/>
        <v>product 3</v>
      </c>
      <c r="H3535">
        <f t="shared" si="281"/>
        <v>2025</v>
      </c>
      <c r="I3535">
        <f t="shared" si="282"/>
        <v>5</v>
      </c>
      <c r="J3535">
        <f t="shared" si="278"/>
        <v>-79.959999999999994</v>
      </c>
    </row>
    <row r="3536" spans="1:10" ht="12.5" x14ac:dyDescent="0.25">
      <c r="A3536" s="1">
        <v>45782</v>
      </c>
      <c r="B3536" s="2" t="s">
        <v>10</v>
      </c>
      <c r="C3536" s="2" t="s">
        <v>6</v>
      </c>
      <c r="D3536" s="2" t="s">
        <v>6</v>
      </c>
      <c r="E3536" s="3">
        <v>120.05</v>
      </c>
      <c r="F3536" t="str">
        <f t="shared" si="279"/>
        <v>marketing</v>
      </c>
      <c r="G3536" s="7" t="s">
        <v>6</v>
      </c>
      <c r="H3536">
        <f t="shared" si="281"/>
        <v>2025</v>
      </c>
      <c r="I3536">
        <f t="shared" si="282"/>
        <v>5</v>
      </c>
      <c r="J3536">
        <f t="shared" si="278"/>
        <v>-2202.5500000000002</v>
      </c>
    </row>
    <row r="3537" spans="1:10" ht="12.5" x14ac:dyDescent="0.25">
      <c r="A3537" s="1">
        <v>45782</v>
      </c>
      <c r="B3537" s="2" t="s">
        <v>11</v>
      </c>
      <c r="C3537" s="3">
        <v>9.99</v>
      </c>
      <c r="D3537" s="3">
        <v>9</v>
      </c>
      <c r="E3537" s="3">
        <v>89.91</v>
      </c>
      <c r="F3537" t="str">
        <f t="shared" si="279"/>
        <v>net sales</v>
      </c>
      <c r="G3537" s="7" t="str">
        <f t="shared" si="280"/>
        <v>product 1</v>
      </c>
      <c r="H3537">
        <f t="shared" si="281"/>
        <v>2025</v>
      </c>
      <c r="I3537">
        <f t="shared" si="282"/>
        <v>5</v>
      </c>
      <c r="J3537">
        <f t="shared" si="278"/>
        <v>-99.990000000000009</v>
      </c>
    </row>
    <row r="3538" spans="1:10" ht="12.5" x14ac:dyDescent="0.25">
      <c r="A3538" s="1">
        <v>45782</v>
      </c>
      <c r="B3538" s="2" t="s">
        <v>12</v>
      </c>
      <c r="C3538" s="3">
        <v>24.99</v>
      </c>
      <c r="D3538" s="3">
        <v>1</v>
      </c>
      <c r="E3538" s="3">
        <v>24.99</v>
      </c>
      <c r="F3538" t="str">
        <f t="shared" si="279"/>
        <v>net sales</v>
      </c>
      <c r="G3538" s="7" t="str">
        <f t="shared" si="280"/>
        <v>product 2</v>
      </c>
      <c r="H3538">
        <f t="shared" si="281"/>
        <v>2025</v>
      </c>
      <c r="I3538">
        <f t="shared" si="282"/>
        <v>5</v>
      </c>
      <c r="J3538">
        <f t="shared" si="278"/>
        <v>519.48</v>
      </c>
    </row>
    <row r="3539" spans="1:10" ht="12.5" x14ac:dyDescent="0.25">
      <c r="A3539" s="1">
        <v>45782</v>
      </c>
      <c r="B3539" s="2" t="s">
        <v>13</v>
      </c>
      <c r="C3539" s="3">
        <v>12.49</v>
      </c>
      <c r="D3539" s="3">
        <v>0</v>
      </c>
      <c r="E3539" s="2">
        <f>C3539*D3539</f>
        <v>0</v>
      </c>
      <c r="F3539" t="str">
        <f t="shared" si="279"/>
        <v>net sales</v>
      </c>
      <c r="G3539" s="7" t="str">
        <f t="shared" si="280"/>
        <v>product 3</v>
      </c>
      <c r="H3539">
        <f t="shared" si="281"/>
        <v>2025</v>
      </c>
      <c r="I3539">
        <f t="shared" si="282"/>
        <v>5</v>
      </c>
      <c r="J3539">
        <f t="shared" si="278"/>
        <v>99.96</v>
      </c>
    </row>
    <row r="3540" spans="1:10" ht="12.5" x14ac:dyDescent="0.25">
      <c r="A3540" s="1">
        <v>45783</v>
      </c>
      <c r="B3540" s="2" t="s">
        <v>7</v>
      </c>
      <c r="C3540" s="3">
        <v>5.49</v>
      </c>
      <c r="D3540" s="3">
        <v>34</v>
      </c>
      <c r="E3540" s="3">
        <v>186.66</v>
      </c>
      <c r="F3540" t="str">
        <f t="shared" si="279"/>
        <v>cogs</v>
      </c>
      <c r="G3540" s="7" t="str">
        <f t="shared" si="280"/>
        <v>product 1</v>
      </c>
      <c r="H3540">
        <f t="shared" si="281"/>
        <v>2025</v>
      </c>
      <c r="I3540">
        <f t="shared" si="282"/>
        <v>5</v>
      </c>
      <c r="J3540">
        <f t="shared" si="278"/>
        <v>3060.05</v>
      </c>
    </row>
    <row r="3541" spans="1:10" ht="12.5" x14ac:dyDescent="0.25">
      <c r="A3541" s="1">
        <v>45783</v>
      </c>
      <c r="B3541" s="2" t="s">
        <v>8</v>
      </c>
      <c r="C3541" s="3">
        <v>19.989999999999998</v>
      </c>
      <c r="D3541" s="3">
        <v>6</v>
      </c>
      <c r="E3541" s="3">
        <v>119.94</v>
      </c>
      <c r="F3541" t="str">
        <f t="shared" si="279"/>
        <v>cogs</v>
      </c>
      <c r="G3541" s="7" t="str">
        <f t="shared" si="280"/>
        <v>product 2</v>
      </c>
      <c r="H3541">
        <f t="shared" si="281"/>
        <v>2025</v>
      </c>
      <c r="I3541">
        <f t="shared" si="282"/>
        <v>5</v>
      </c>
      <c r="J3541">
        <f t="shared" si="278"/>
        <v>-439.20000000000005</v>
      </c>
    </row>
    <row r="3542" spans="1:10" ht="12.5" x14ac:dyDescent="0.25">
      <c r="A3542" s="1">
        <v>45783</v>
      </c>
      <c r="B3542" s="2" t="s">
        <v>9</v>
      </c>
      <c r="C3542" s="3">
        <v>8.99</v>
      </c>
      <c r="D3542" s="3">
        <v>34</v>
      </c>
      <c r="E3542" s="3">
        <v>305.66000000000003</v>
      </c>
      <c r="F3542" t="str">
        <f t="shared" si="279"/>
        <v>cogs</v>
      </c>
      <c r="G3542" s="7" t="str">
        <f t="shared" si="280"/>
        <v>product 3</v>
      </c>
      <c r="H3542">
        <f t="shared" si="281"/>
        <v>2025</v>
      </c>
      <c r="I3542">
        <f t="shared" si="282"/>
        <v>5</v>
      </c>
      <c r="J3542">
        <f t="shared" si="278"/>
        <v>-139.92999999999998</v>
      </c>
    </row>
    <row r="3543" spans="1:10" ht="12.5" x14ac:dyDescent="0.25">
      <c r="A3543" s="1">
        <v>45783</v>
      </c>
      <c r="B3543" s="2" t="s">
        <v>10</v>
      </c>
      <c r="C3543" s="2" t="s">
        <v>6</v>
      </c>
      <c r="D3543" s="2" t="s">
        <v>6</v>
      </c>
      <c r="E3543" s="3">
        <v>112.03</v>
      </c>
      <c r="F3543" t="str">
        <f t="shared" si="279"/>
        <v>marketing</v>
      </c>
      <c r="G3543" s="7" t="s">
        <v>6</v>
      </c>
      <c r="H3543">
        <f t="shared" si="281"/>
        <v>2025</v>
      </c>
      <c r="I3543">
        <f t="shared" si="282"/>
        <v>5</v>
      </c>
      <c r="J3543">
        <f t="shared" si="278"/>
        <v>-1860.93</v>
      </c>
    </row>
    <row r="3544" spans="1:10" ht="12.5" x14ac:dyDescent="0.25">
      <c r="A3544" s="1">
        <v>45783</v>
      </c>
      <c r="B3544" s="2" t="s">
        <v>11</v>
      </c>
      <c r="C3544" s="3">
        <v>9.99</v>
      </c>
      <c r="D3544" s="3">
        <v>34</v>
      </c>
      <c r="E3544" s="3">
        <v>339.66</v>
      </c>
      <c r="F3544" t="str">
        <f t="shared" si="279"/>
        <v>net sales</v>
      </c>
      <c r="G3544" s="7" t="str">
        <f t="shared" si="280"/>
        <v>product 1</v>
      </c>
      <c r="H3544">
        <f t="shared" si="281"/>
        <v>2025</v>
      </c>
      <c r="I3544">
        <f t="shared" si="282"/>
        <v>5</v>
      </c>
      <c r="J3544">
        <f t="shared" si="278"/>
        <v>-116</v>
      </c>
    </row>
    <row r="3545" spans="1:10" ht="12.5" x14ac:dyDescent="0.25">
      <c r="A3545" s="1">
        <v>45783</v>
      </c>
      <c r="B3545" s="2" t="s">
        <v>12</v>
      </c>
      <c r="C3545" s="3">
        <v>24.99</v>
      </c>
      <c r="D3545" s="3">
        <v>6</v>
      </c>
      <c r="E3545" s="3">
        <v>149.94</v>
      </c>
      <c r="F3545" t="str">
        <f t="shared" si="279"/>
        <v>net sales</v>
      </c>
      <c r="G3545" s="7" t="str">
        <f t="shared" si="280"/>
        <v>product 2</v>
      </c>
      <c r="H3545">
        <f t="shared" si="281"/>
        <v>2025</v>
      </c>
      <c r="I3545">
        <f t="shared" si="282"/>
        <v>5</v>
      </c>
      <c r="J3545">
        <f t="shared" si="278"/>
        <v>799.2</v>
      </c>
    </row>
    <row r="3546" spans="1:10" ht="12.5" x14ac:dyDescent="0.25">
      <c r="A3546" s="1">
        <v>45783</v>
      </c>
      <c r="B3546" s="2" t="s">
        <v>13</v>
      </c>
      <c r="C3546" s="3">
        <v>12.49</v>
      </c>
      <c r="D3546" s="3">
        <v>34</v>
      </c>
      <c r="E3546" s="3">
        <v>424.66</v>
      </c>
      <c r="F3546" t="str">
        <f t="shared" si="279"/>
        <v>net sales</v>
      </c>
      <c r="G3546" s="7" t="str">
        <f t="shared" si="280"/>
        <v>product 3</v>
      </c>
      <c r="H3546">
        <f t="shared" si="281"/>
        <v>2025</v>
      </c>
      <c r="I3546">
        <f t="shared" si="282"/>
        <v>5</v>
      </c>
      <c r="J3546">
        <f t="shared" si="278"/>
        <v>174.92999999999998</v>
      </c>
    </row>
    <row r="3547" spans="1:10" ht="12.5" x14ac:dyDescent="0.25">
      <c r="A3547" s="1">
        <v>45784</v>
      </c>
      <c r="B3547" s="2" t="s">
        <v>7</v>
      </c>
      <c r="C3547" s="3">
        <v>5.49</v>
      </c>
      <c r="D3547" s="3">
        <v>90</v>
      </c>
      <c r="E3547" s="3">
        <v>494.1</v>
      </c>
      <c r="F3547" t="str">
        <f t="shared" si="279"/>
        <v>cogs</v>
      </c>
      <c r="G3547" s="7" t="str">
        <f t="shared" si="280"/>
        <v>product 1</v>
      </c>
      <c r="H3547">
        <f t="shared" si="281"/>
        <v>2025</v>
      </c>
      <c r="I3547">
        <f t="shared" si="282"/>
        <v>5</v>
      </c>
      <c r="J3547">
        <f t="shared" si="278"/>
        <v>2585.4299999999998</v>
      </c>
    </row>
    <row r="3548" spans="1:10" ht="12.5" x14ac:dyDescent="0.25">
      <c r="A3548" s="1">
        <v>45784</v>
      </c>
      <c r="B3548" s="2" t="s">
        <v>8</v>
      </c>
      <c r="C3548" s="3">
        <v>19.989999999999998</v>
      </c>
      <c r="D3548" s="3">
        <v>8</v>
      </c>
      <c r="E3548" s="3">
        <v>159.91999999999999</v>
      </c>
      <c r="F3548" t="str">
        <f t="shared" si="279"/>
        <v>cogs</v>
      </c>
      <c r="G3548" s="7" t="str">
        <f t="shared" si="280"/>
        <v>product 2</v>
      </c>
      <c r="H3548">
        <f t="shared" si="281"/>
        <v>2025</v>
      </c>
      <c r="I3548">
        <f t="shared" si="282"/>
        <v>5</v>
      </c>
      <c r="J3548">
        <f t="shared" ref="J3548:J3611" si="283">IF(F3331="net sales",E3331,
IF(F3331="cogs",-E3331,
IF(OR(F3331="marketing",F3331="overhead",F3331="payroll",F3331="interest","amortization"),-E3331,0)))</f>
        <v>-296.46000000000004</v>
      </c>
    </row>
    <row r="3549" spans="1:10" ht="12.5" x14ac:dyDescent="0.25">
      <c r="A3549" s="1">
        <v>45784</v>
      </c>
      <c r="B3549" s="2" t="s">
        <v>9</v>
      </c>
      <c r="C3549" s="3">
        <v>8.99</v>
      </c>
      <c r="D3549" s="3">
        <v>208</v>
      </c>
      <c r="E3549" s="3">
        <v>1869.92</v>
      </c>
      <c r="F3549" t="str">
        <f t="shared" si="279"/>
        <v>cogs</v>
      </c>
      <c r="G3549" s="7" t="str">
        <f t="shared" si="280"/>
        <v>product 3</v>
      </c>
      <c r="H3549">
        <f t="shared" si="281"/>
        <v>2025</v>
      </c>
      <c r="I3549">
        <f t="shared" si="282"/>
        <v>5</v>
      </c>
      <c r="J3549">
        <f t="shared" si="283"/>
        <v>-119.94</v>
      </c>
    </row>
    <row r="3550" spans="1:10" ht="12.5" x14ac:dyDescent="0.25">
      <c r="A3550" s="1">
        <v>45784</v>
      </c>
      <c r="B3550" s="2" t="s">
        <v>10</v>
      </c>
      <c r="C3550" s="2" t="s">
        <v>6</v>
      </c>
      <c r="D3550" s="2" t="s">
        <v>6</v>
      </c>
      <c r="E3550" s="3">
        <v>106.09</v>
      </c>
      <c r="F3550" t="str">
        <f t="shared" si="279"/>
        <v>marketing</v>
      </c>
      <c r="G3550" s="7" t="s">
        <v>6</v>
      </c>
      <c r="H3550">
        <f t="shared" si="281"/>
        <v>2025</v>
      </c>
      <c r="I3550">
        <f t="shared" si="282"/>
        <v>5</v>
      </c>
      <c r="J3550">
        <f t="shared" si="283"/>
        <v>-1024.8600000000001</v>
      </c>
    </row>
    <row r="3551" spans="1:10" ht="12.5" x14ac:dyDescent="0.25">
      <c r="A3551" s="1">
        <v>45784</v>
      </c>
      <c r="B3551" s="2" t="s">
        <v>11</v>
      </c>
      <c r="C3551" s="3">
        <v>9.99</v>
      </c>
      <c r="D3551" s="3">
        <v>90</v>
      </c>
      <c r="E3551" s="3">
        <v>899.1</v>
      </c>
      <c r="F3551" t="str">
        <f t="shared" si="279"/>
        <v>net sales</v>
      </c>
      <c r="G3551" s="7" t="str">
        <f t="shared" si="280"/>
        <v>product 1</v>
      </c>
      <c r="H3551">
        <f t="shared" si="281"/>
        <v>2025</v>
      </c>
      <c r="I3551">
        <f t="shared" si="282"/>
        <v>5</v>
      </c>
      <c r="J3551">
        <f t="shared" si="283"/>
        <v>-111.07000000000001</v>
      </c>
    </row>
    <row r="3552" spans="1:10" ht="12.5" x14ac:dyDescent="0.25">
      <c r="A3552" s="1">
        <v>45784</v>
      </c>
      <c r="B3552" s="2" t="s">
        <v>12</v>
      </c>
      <c r="C3552" s="3">
        <v>24.99</v>
      </c>
      <c r="D3552" s="3">
        <v>8</v>
      </c>
      <c r="E3552" s="3">
        <v>199.92</v>
      </c>
      <c r="F3552" t="str">
        <f t="shared" si="279"/>
        <v>net sales</v>
      </c>
      <c r="G3552" s="7" t="str">
        <f t="shared" si="280"/>
        <v>product 2</v>
      </c>
      <c r="H3552">
        <f t="shared" si="281"/>
        <v>2025</v>
      </c>
      <c r="I3552">
        <f t="shared" si="282"/>
        <v>5</v>
      </c>
      <c r="J3552">
        <f t="shared" si="283"/>
        <v>539.46</v>
      </c>
    </row>
    <row r="3553" spans="1:10" ht="12.5" x14ac:dyDescent="0.25">
      <c r="A3553" s="1">
        <v>45784</v>
      </c>
      <c r="B3553" s="2" t="s">
        <v>13</v>
      </c>
      <c r="C3553" s="3">
        <v>12.49</v>
      </c>
      <c r="D3553" s="3">
        <v>208</v>
      </c>
      <c r="E3553" s="3">
        <v>2597.92</v>
      </c>
      <c r="F3553" t="str">
        <f t="shared" si="279"/>
        <v>net sales</v>
      </c>
      <c r="G3553" s="7" t="str">
        <f t="shared" si="280"/>
        <v>product 3</v>
      </c>
      <c r="H3553">
        <f t="shared" si="281"/>
        <v>2025</v>
      </c>
      <c r="I3553">
        <f t="shared" si="282"/>
        <v>5</v>
      </c>
      <c r="J3553">
        <f t="shared" si="283"/>
        <v>149.94</v>
      </c>
    </row>
    <row r="3554" spans="1:10" ht="12.5" x14ac:dyDescent="0.25">
      <c r="A3554" s="1">
        <v>45785</v>
      </c>
      <c r="B3554" s="2" t="s">
        <v>7</v>
      </c>
      <c r="C3554" s="3">
        <v>5.49</v>
      </c>
      <c r="D3554" s="3">
        <v>80</v>
      </c>
      <c r="E3554" s="3">
        <v>439.20000000000005</v>
      </c>
      <c r="F3554" t="str">
        <f t="shared" si="279"/>
        <v>cogs</v>
      </c>
      <c r="G3554" s="7" t="str">
        <f t="shared" si="280"/>
        <v>product 1</v>
      </c>
      <c r="H3554">
        <f t="shared" si="281"/>
        <v>2025</v>
      </c>
      <c r="I3554">
        <f t="shared" si="282"/>
        <v>5</v>
      </c>
      <c r="J3554">
        <f t="shared" si="283"/>
        <v>1423.8600000000001</v>
      </c>
    </row>
    <row r="3555" spans="1:10" ht="12.5" x14ac:dyDescent="0.25">
      <c r="A3555" s="1">
        <v>45785</v>
      </c>
      <c r="B3555" s="2" t="s">
        <v>8</v>
      </c>
      <c r="C3555" s="3">
        <v>19.989999999999998</v>
      </c>
      <c r="D3555" s="3">
        <v>0</v>
      </c>
      <c r="E3555" s="2">
        <f>C3555*D3555</f>
        <v>0</v>
      </c>
      <c r="F3555" t="str">
        <f t="shared" si="279"/>
        <v>cogs</v>
      </c>
      <c r="G3555" s="7" t="str">
        <f t="shared" si="280"/>
        <v>product 2</v>
      </c>
      <c r="H3555">
        <f t="shared" si="281"/>
        <v>2025</v>
      </c>
      <c r="I3555">
        <f t="shared" si="282"/>
        <v>5</v>
      </c>
      <c r="J3555">
        <f t="shared" si="283"/>
        <v>-483.12</v>
      </c>
    </row>
    <row r="3556" spans="1:10" ht="12.5" x14ac:dyDescent="0.25">
      <c r="A3556" s="1">
        <v>45785</v>
      </c>
      <c r="B3556" s="2" t="s">
        <v>9</v>
      </c>
      <c r="C3556" s="3">
        <v>8.99</v>
      </c>
      <c r="D3556" s="3">
        <v>228</v>
      </c>
      <c r="E3556" s="3">
        <v>2049.7200000000003</v>
      </c>
      <c r="F3556" t="str">
        <f t="shared" si="279"/>
        <v>cogs</v>
      </c>
      <c r="G3556" s="7" t="str">
        <f t="shared" si="280"/>
        <v>product 3</v>
      </c>
      <c r="H3556">
        <f t="shared" si="281"/>
        <v>2025</v>
      </c>
      <c r="I3556">
        <f t="shared" si="282"/>
        <v>5</v>
      </c>
      <c r="J3556">
        <f t="shared" si="283"/>
        <v>-119.94</v>
      </c>
    </row>
    <row r="3557" spans="1:10" ht="12.5" x14ac:dyDescent="0.25">
      <c r="A3557" s="1">
        <v>45785</v>
      </c>
      <c r="B3557" s="2" t="s">
        <v>10</v>
      </c>
      <c r="C3557" s="2" t="s">
        <v>6</v>
      </c>
      <c r="D3557" s="2" t="s">
        <v>6</v>
      </c>
      <c r="E3557" s="3">
        <v>116.10000000000001</v>
      </c>
      <c r="F3557" t="str">
        <f t="shared" si="279"/>
        <v>marketing</v>
      </c>
      <c r="G3557" s="7" t="s">
        <v>6</v>
      </c>
      <c r="H3557">
        <f t="shared" si="281"/>
        <v>2025</v>
      </c>
      <c r="I3557">
        <f t="shared" si="282"/>
        <v>5</v>
      </c>
      <c r="J3557">
        <f t="shared" si="283"/>
        <v>-2031.74</v>
      </c>
    </row>
    <row r="3558" spans="1:10" ht="12.5" x14ac:dyDescent="0.25">
      <c r="A3558" s="1">
        <v>45785</v>
      </c>
      <c r="B3558" s="2" t="s">
        <v>11</v>
      </c>
      <c r="C3558" s="3">
        <v>9.99</v>
      </c>
      <c r="D3558" s="3">
        <v>80</v>
      </c>
      <c r="E3558" s="3">
        <v>799.2</v>
      </c>
      <c r="F3558" t="str">
        <f t="shared" si="279"/>
        <v>net sales</v>
      </c>
      <c r="G3558" s="7" t="str">
        <f t="shared" si="280"/>
        <v>product 1</v>
      </c>
      <c r="H3558">
        <f t="shared" si="281"/>
        <v>2025</v>
      </c>
      <c r="I3558">
        <f t="shared" si="282"/>
        <v>5</v>
      </c>
      <c r="J3558">
        <f t="shared" si="283"/>
        <v>-109.96000000000001</v>
      </c>
    </row>
    <row r="3559" spans="1:10" ht="12.5" x14ac:dyDescent="0.25">
      <c r="A3559" s="1">
        <v>45785</v>
      </c>
      <c r="B3559" s="2" t="s">
        <v>12</v>
      </c>
      <c r="C3559" s="3">
        <v>24.99</v>
      </c>
      <c r="D3559" s="3">
        <v>0</v>
      </c>
      <c r="E3559" s="2">
        <f>C3559*D3559</f>
        <v>0</v>
      </c>
      <c r="F3559" t="str">
        <f t="shared" si="279"/>
        <v>net sales</v>
      </c>
      <c r="G3559" s="7" t="str">
        <f t="shared" si="280"/>
        <v>product 2</v>
      </c>
      <c r="H3559">
        <f t="shared" si="281"/>
        <v>2025</v>
      </c>
      <c r="I3559">
        <f t="shared" si="282"/>
        <v>5</v>
      </c>
      <c r="J3559">
        <f t="shared" si="283"/>
        <v>879.12</v>
      </c>
    </row>
    <row r="3560" spans="1:10" ht="12.5" x14ac:dyDescent="0.25">
      <c r="A3560" s="1">
        <v>45785</v>
      </c>
      <c r="B3560" s="2" t="s">
        <v>13</v>
      </c>
      <c r="C3560" s="3">
        <v>12.49</v>
      </c>
      <c r="D3560" s="3">
        <v>228</v>
      </c>
      <c r="E3560" s="3">
        <v>2847.7200000000003</v>
      </c>
      <c r="F3560" t="str">
        <f t="shared" si="279"/>
        <v>net sales</v>
      </c>
      <c r="G3560" s="7" t="str">
        <f t="shared" si="280"/>
        <v>product 3</v>
      </c>
      <c r="H3560">
        <f t="shared" si="281"/>
        <v>2025</v>
      </c>
      <c r="I3560">
        <f t="shared" si="282"/>
        <v>5</v>
      </c>
      <c r="J3560">
        <f t="shared" si="283"/>
        <v>149.94</v>
      </c>
    </row>
    <row r="3561" spans="1:10" ht="12.5" x14ac:dyDescent="0.25">
      <c r="A3561" s="1">
        <v>45786</v>
      </c>
      <c r="B3561" s="2" t="s">
        <v>7</v>
      </c>
      <c r="C3561" s="3">
        <v>5.49</v>
      </c>
      <c r="D3561" s="3">
        <v>33</v>
      </c>
      <c r="E3561" s="3">
        <v>181.17000000000002</v>
      </c>
      <c r="F3561" t="str">
        <f t="shared" si="279"/>
        <v>cogs</v>
      </c>
      <c r="G3561" s="7" t="str">
        <f t="shared" si="280"/>
        <v>product 1</v>
      </c>
      <c r="H3561">
        <f t="shared" si="281"/>
        <v>2025</v>
      </c>
      <c r="I3561">
        <f t="shared" si="282"/>
        <v>5</v>
      </c>
      <c r="J3561">
        <f t="shared" si="283"/>
        <v>2822.7400000000002</v>
      </c>
    </row>
    <row r="3562" spans="1:10" ht="12.5" x14ac:dyDescent="0.25">
      <c r="A3562" s="1">
        <v>45786</v>
      </c>
      <c r="B3562" s="2" t="s">
        <v>8</v>
      </c>
      <c r="C3562" s="3">
        <v>19.989999999999998</v>
      </c>
      <c r="D3562" s="3">
        <v>1</v>
      </c>
      <c r="E3562" s="3">
        <v>19.989999999999998</v>
      </c>
      <c r="F3562" t="str">
        <f t="shared" si="279"/>
        <v>cogs</v>
      </c>
      <c r="G3562" s="7" t="str">
        <f t="shared" si="280"/>
        <v>product 2</v>
      </c>
      <c r="H3562">
        <f t="shared" si="281"/>
        <v>2025</v>
      </c>
      <c r="I3562">
        <f t="shared" si="282"/>
        <v>5</v>
      </c>
      <c r="J3562">
        <f t="shared" si="283"/>
        <v>-367.83000000000004</v>
      </c>
    </row>
    <row r="3563" spans="1:10" ht="12.5" x14ac:dyDescent="0.25">
      <c r="A3563" s="1">
        <v>45786</v>
      </c>
      <c r="B3563" s="2" t="s">
        <v>9</v>
      </c>
      <c r="C3563" s="3">
        <v>8.99</v>
      </c>
      <c r="D3563" s="3">
        <v>155</v>
      </c>
      <c r="E3563" s="3">
        <v>1393.45</v>
      </c>
      <c r="F3563" t="str">
        <f t="shared" si="279"/>
        <v>cogs</v>
      </c>
      <c r="G3563" s="7" t="str">
        <f t="shared" si="280"/>
        <v>product 3</v>
      </c>
      <c r="H3563">
        <f t="shared" si="281"/>
        <v>2025</v>
      </c>
      <c r="I3563">
        <f t="shared" si="282"/>
        <v>5</v>
      </c>
      <c r="J3563">
        <f t="shared" si="283"/>
        <v>-59.97</v>
      </c>
    </row>
    <row r="3564" spans="1:10" ht="12.5" x14ac:dyDescent="0.25">
      <c r="A3564" s="1">
        <v>45786</v>
      </c>
      <c r="B3564" s="2" t="s">
        <v>10</v>
      </c>
      <c r="C3564" s="2" t="s">
        <v>6</v>
      </c>
      <c r="D3564" s="2" t="s">
        <v>6</v>
      </c>
      <c r="E3564" s="3">
        <v>110.03</v>
      </c>
      <c r="F3564" t="str">
        <f t="shared" si="279"/>
        <v>marketing</v>
      </c>
      <c r="G3564" s="7" t="s">
        <v>6</v>
      </c>
      <c r="H3564">
        <f t="shared" si="281"/>
        <v>2025</v>
      </c>
      <c r="I3564">
        <f t="shared" si="282"/>
        <v>5</v>
      </c>
      <c r="J3564">
        <f t="shared" si="283"/>
        <v>-602.33000000000004</v>
      </c>
    </row>
    <row r="3565" spans="1:10" ht="12.5" x14ac:dyDescent="0.25">
      <c r="A3565" s="1">
        <v>45786</v>
      </c>
      <c r="B3565" s="2" t="s">
        <v>11</v>
      </c>
      <c r="C3565" s="3">
        <v>9.99</v>
      </c>
      <c r="D3565" s="3">
        <v>33</v>
      </c>
      <c r="E3565" s="3">
        <v>329.67</v>
      </c>
      <c r="F3565" t="str">
        <f t="shared" si="279"/>
        <v>net sales</v>
      </c>
      <c r="G3565" s="7" t="str">
        <f t="shared" si="280"/>
        <v>product 1</v>
      </c>
      <c r="H3565">
        <f t="shared" si="281"/>
        <v>2025</v>
      </c>
      <c r="I3565">
        <f t="shared" si="282"/>
        <v>5</v>
      </c>
      <c r="J3565">
        <f t="shared" si="283"/>
        <v>-114.94</v>
      </c>
    </row>
    <row r="3566" spans="1:10" ht="12.5" x14ac:dyDescent="0.25">
      <c r="A3566" s="1">
        <v>45786</v>
      </c>
      <c r="B3566" s="2" t="s">
        <v>12</v>
      </c>
      <c r="C3566" s="3">
        <v>24.99</v>
      </c>
      <c r="D3566" s="3">
        <v>1</v>
      </c>
      <c r="E3566" s="3">
        <v>24.99</v>
      </c>
      <c r="F3566" t="str">
        <f t="shared" si="279"/>
        <v>net sales</v>
      </c>
      <c r="G3566" s="7" t="str">
        <f t="shared" si="280"/>
        <v>product 2</v>
      </c>
      <c r="H3566">
        <f t="shared" si="281"/>
        <v>2025</v>
      </c>
      <c r="I3566">
        <f t="shared" si="282"/>
        <v>5</v>
      </c>
      <c r="J3566">
        <f t="shared" si="283"/>
        <v>669.33</v>
      </c>
    </row>
    <row r="3567" spans="1:10" ht="12.5" x14ac:dyDescent="0.25">
      <c r="A3567" s="1">
        <v>45786</v>
      </c>
      <c r="B3567" s="2" t="s">
        <v>13</v>
      </c>
      <c r="C3567" s="3">
        <v>12.49</v>
      </c>
      <c r="D3567" s="3">
        <v>155</v>
      </c>
      <c r="E3567" s="3">
        <v>1935.95</v>
      </c>
      <c r="F3567" t="str">
        <f t="shared" si="279"/>
        <v>net sales</v>
      </c>
      <c r="G3567" s="7" t="str">
        <f t="shared" si="280"/>
        <v>product 3</v>
      </c>
      <c r="H3567">
        <f t="shared" si="281"/>
        <v>2025</v>
      </c>
      <c r="I3567">
        <f t="shared" si="282"/>
        <v>5</v>
      </c>
      <c r="J3567">
        <f t="shared" si="283"/>
        <v>74.97</v>
      </c>
    </row>
    <row r="3568" spans="1:10" ht="12.5" x14ac:dyDescent="0.25">
      <c r="A3568" s="1">
        <v>45786</v>
      </c>
      <c r="B3568" s="2" t="s">
        <v>15</v>
      </c>
      <c r="C3568" s="2" t="s">
        <v>6</v>
      </c>
      <c r="D3568" s="2" t="s">
        <v>6</v>
      </c>
      <c r="E3568" s="3">
        <v>1200</v>
      </c>
      <c r="F3568" t="str">
        <f t="shared" si="279"/>
        <v>payroll</v>
      </c>
      <c r="G3568" s="7" t="s">
        <v>6</v>
      </c>
      <c r="H3568">
        <f t="shared" si="281"/>
        <v>2025</v>
      </c>
      <c r="I3568">
        <f t="shared" si="282"/>
        <v>5</v>
      </c>
      <c r="J3568">
        <f t="shared" si="283"/>
        <v>836.83</v>
      </c>
    </row>
    <row r="3569" spans="1:10" ht="12.5" x14ac:dyDescent="0.25">
      <c r="A3569" s="1">
        <v>45787</v>
      </c>
      <c r="B3569" s="2" t="s">
        <v>7</v>
      </c>
      <c r="C3569" s="3">
        <v>5.49</v>
      </c>
      <c r="D3569" s="3">
        <v>54</v>
      </c>
      <c r="E3569" s="3">
        <v>296.46000000000004</v>
      </c>
      <c r="F3569" t="str">
        <f t="shared" si="279"/>
        <v>cogs</v>
      </c>
      <c r="G3569" s="7" t="str">
        <f t="shared" si="280"/>
        <v>product 1</v>
      </c>
      <c r="H3569">
        <f t="shared" si="281"/>
        <v>2025</v>
      </c>
      <c r="I3569">
        <f t="shared" si="282"/>
        <v>5</v>
      </c>
      <c r="J3569">
        <f t="shared" si="283"/>
        <v>-543.51</v>
      </c>
    </row>
    <row r="3570" spans="1:10" ht="12.5" x14ac:dyDescent="0.25">
      <c r="A3570" s="1">
        <v>45787</v>
      </c>
      <c r="B3570" s="2" t="s">
        <v>8</v>
      </c>
      <c r="C3570" s="3">
        <v>19.989999999999998</v>
      </c>
      <c r="D3570" s="3">
        <v>1</v>
      </c>
      <c r="E3570" s="3">
        <v>19.989999999999998</v>
      </c>
      <c r="F3570" t="str">
        <f t="shared" si="279"/>
        <v>cogs</v>
      </c>
      <c r="G3570" s="7" t="str">
        <f t="shared" si="280"/>
        <v>product 2</v>
      </c>
      <c r="H3570">
        <f t="shared" si="281"/>
        <v>2025</v>
      </c>
      <c r="I3570">
        <f t="shared" si="282"/>
        <v>5</v>
      </c>
      <c r="J3570">
        <f t="shared" si="283"/>
        <v>-19.989999999999998</v>
      </c>
    </row>
    <row r="3571" spans="1:10" ht="12.5" x14ac:dyDescent="0.25">
      <c r="A3571" s="1">
        <v>45787</v>
      </c>
      <c r="B3571" s="2" t="s">
        <v>9</v>
      </c>
      <c r="C3571" s="3">
        <v>8.99</v>
      </c>
      <c r="D3571" s="3">
        <v>0</v>
      </c>
      <c r="E3571" s="2">
        <f>C3571*D3571</f>
        <v>0</v>
      </c>
      <c r="F3571" t="str">
        <f t="shared" si="279"/>
        <v>cogs</v>
      </c>
      <c r="G3571" s="7" t="str">
        <f t="shared" si="280"/>
        <v>product 3</v>
      </c>
      <c r="H3571">
        <f t="shared" si="281"/>
        <v>2025</v>
      </c>
      <c r="I3571">
        <f t="shared" si="282"/>
        <v>5</v>
      </c>
      <c r="J3571">
        <f t="shared" si="283"/>
        <v>-1456.38</v>
      </c>
    </row>
    <row r="3572" spans="1:10" ht="12.5" x14ac:dyDescent="0.25">
      <c r="A3572" s="1">
        <v>45787</v>
      </c>
      <c r="B3572" s="2" t="s">
        <v>10</v>
      </c>
      <c r="C3572" s="2" t="s">
        <v>6</v>
      </c>
      <c r="D3572" s="2" t="s">
        <v>6</v>
      </c>
      <c r="E3572" s="3">
        <v>109.9</v>
      </c>
      <c r="F3572" t="str">
        <f t="shared" si="279"/>
        <v>marketing</v>
      </c>
      <c r="G3572" s="7" t="s">
        <v>6</v>
      </c>
      <c r="H3572">
        <f t="shared" si="281"/>
        <v>2025</v>
      </c>
      <c r="I3572">
        <f t="shared" si="282"/>
        <v>5</v>
      </c>
      <c r="J3572">
        <f t="shared" si="283"/>
        <v>-106.97</v>
      </c>
    </row>
    <row r="3573" spans="1:10" ht="12.5" x14ac:dyDescent="0.25">
      <c r="A3573" s="1">
        <v>45787</v>
      </c>
      <c r="B3573" s="2" t="s">
        <v>11</v>
      </c>
      <c r="C3573" s="3">
        <v>9.99</v>
      </c>
      <c r="D3573" s="3">
        <v>54</v>
      </c>
      <c r="E3573" s="3">
        <v>539.46</v>
      </c>
      <c r="F3573" t="str">
        <f t="shared" si="279"/>
        <v>net sales</v>
      </c>
      <c r="G3573" s="7" t="str">
        <f t="shared" si="280"/>
        <v>product 1</v>
      </c>
      <c r="H3573">
        <f t="shared" si="281"/>
        <v>2025</v>
      </c>
      <c r="I3573">
        <f t="shared" si="282"/>
        <v>5</v>
      </c>
      <c r="J3573">
        <f t="shared" si="283"/>
        <v>989.01</v>
      </c>
    </row>
    <row r="3574" spans="1:10" ht="12.5" x14ac:dyDescent="0.25">
      <c r="A3574" s="1">
        <v>45787</v>
      </c>
      <c r="B3574" s="2" t="s">
        <v>12</v>
      </c>
      <c r="C3574" s="3">
        <v>24.99</v>
      </c>
      <c r="D3574" s="3">
        <v>1</v>
      </c>
      <c r="E3574" s="3">
        <v>24.99</v>
      </c>
      <c r="F3574" t="str">
        <f t="shared" si="279"/>
        <v>net sales</v>
      </c>
      <c r="G3574" s="7" t="str">
        <f t="shared" si="280"/>
        <v>product 2</v>
      </c>
      <c r="H3574">
        <f t="shared" si="281"/>
        <v>2025</v>
      </c>
      <c r="I3574">
        <f t="shared" si="282"/>
        <v>5</v>
      </c>
      <c r="J3574">
        <f t="shared" si="283"/>
        <v>24.99</v>
      </c>
    </row>
    <row r="3575" spans="1:10" ht="12.5" x14ac:dyDescent="0.25">
      <c r="A3575" s="1">
        <v>45787</v>
      </c>
      <c r="B3575" s="2" t="s">
        <v>13</v>
      </c>
      <c r="C3575" s="3">
        <v>12.49</v>
      </c>
      <c r="D3575" s="3">
        <v>0</v>
      </c>
      <c r="E3575" s="2">
        <f>C3575*D3575</f>
        <v>0</v>
      </c>
      <c r="F3575" t="str">
        <f t="shared" si="279"/>
        <v>net sales</v>
      </c>
      <c r="G3575" s="7" t="str">
        <f t="shared" si="280"/>
        <v>product 3</v>
      </c>
      <c r="H3575">
        <f t="shared" si="281"/>
        <v>2025</v>
      </c>
      <c r="I3575">
        <f t="shared" si="282"/>
        <v>5</v>
      </c>
      <c r="J3575">
        <f t="shared" si="283"/>
        <v>2023.38</v>
      </c>
    </row>
    <row r="3576" spans="1:10" ht="12.5" x14ac:dyDescent="0.25">
      <c r="A3576" s="1">
        <v>45788</v>
      </c>
      <c r="B3576" s="2" t="s">
        <v>7</v>
      </c>
      <c r="C3576" s="3">
        <v>5.49</v>
      </c>
      <c r="D3576" s="3">
        <v>72</v>
      </c>
      <c r="E3576" s="3">
        <v>395.28000000000003</v>
      </c>
      <c r="F3576" t="str">
        <f t="shared" si="279"/>
        <v>cogs</v>
      </c>
      <c r="G3576" s="7" t="str">
        <f t="shared" si="280"/>
        <v>product 1</v>
      </c>
      <c r="H3576">
        <f t="shared" si="281"/>
        <v>2025</v>
      </c>
      <c r="I3576">
        <f t="shared" si="282"/>
        <v>5</v>
      </c>
      <c r="J3576">
        <f t="shared" si="283"/>
        <v>-428.22</v>
      </c>
    </row>
    <row r="3577" spans="1:10" ht="12.5" x14ac:dyDescent="0.25">
      <c r="A3577" s="1">
        <v>45788</v>
      </c>
      <c r="B3577" s="2" t="s">
        <v>8</v>
      </c>
      <c r="C3577" s="3">
        <v>19.989999999999998</v>
      </c>
      <c r="D3577" s="3">
        <v>5</v>
      </c>
      <c r="E3577" s="3">
        <v>99.949999999999989</v>
      </c>
      <c r="F3577" t="str">
        <f t="shared" si="279"/>
        <v>cogs</v>
      </c>
      <c r="G3577" s="7" t="str">
        <f t="shared" si="280"/>
        <v>product 2</v>
      </c>
      <c r="H3577">
        <f t="shared" si="281"/>
        <v>2025</v>
      </c>
      <c r="I3577">
        <f t="shared" si="282"/>
        <v>5</v>
      </c>
      <c r="J3577">
        <f t="shared" si="283"/>
        <v>-79.959999999999994</v>
      </c>
    </row>
    <row r="3578" spans="1:10" ht="12.5" x14ac:dyDescent="0.25">
      <c r="A3578" s="1">
        <v>45788</v>
      </c>
      <c r="B3578" s="2" t="s">
        <v>9</v>
      </c>
      <c r="C3578" s="3">
        <v>8.99</v>
      </c>
      <c r="D3578" s="3">
        <v>149</v>
      </c>
      <c r="E3578" s="3">
        <v>1339.51</v>
      </c>
      <c r="F3578" t="str">
        <f t="shared" si="279"/>
        <v>cogs</v>
      </c>
      <c r="G3578" s="7" t="str">
        <f t="shared" si="280"/>
        <v>product 3</v>
      </c>
      <c r="H3578">
        <f t="shared" si="281"/>
        <v>2025</v>
      </c>
      <c r="I3578">
        <f t="shared" si="282"/>
        <v>5</v>
      </c>
      <c r="J3578">
        <f t="shared" si="283"/>
        <v>-1330.52</v>
      </c>
    </row>
    <row r="3579" spans="1:10" ht="12.5" x14ac:dyDescent="0.25">
      <c r="A3579" s="1">
        <v>45788</v>
      </c>
      <c r="B3579" s="2" t="s">
        <v>10</v>
      </c>
      <c r="C3579" s="2" t="s">
        <v>6</v>
      </c>
      <c r="D3579" s="2" t="s">
        <v>6</v>
      </c>
      <c r="E3579" s="3">
        <v>115.08</v>
      </c>
      <c r="F3579" t="str">
        <f t="shared" si="279"/>
        <v>marketing</v>
      </c>
      <c r="G3579" s="7" t="s">
        <v>6</v>
      </c>
      <c r="H3579">
        <f t="shared" si="281"/>
        <v>2025</v>
      </c>
      <c r="I3579">
        <f t="shared" si="282"/>
        <v>5</v>
      </c>
      <c r="J3579">
        <f t="shared" si="283"/>
        <v>-103.98</v>
      </c>
    </row>
    <row r="3580" spans="1:10" ht="12.5" x14ac:dyDescent="0.25">
      <c r="A3580" s="1">
        <v>45788</v>
      </c>
      <c r="B3580" s="2" t="s">
        <v>11</v>
      </c>
      <c r="C3580" s="3">
        <v>9.99</v>
      </c>
      <c r="D3580" s="3">
        <v>72</v>
      </c>
      <c r="E3580" s="3">
        <v>719.28</v>
      </c>
      <c r="F3580" t="str">
        <f t="shared" si="279"/>
        <v>net sales</v>
      </c>
      <c r="G3580" s="7" t="str">
        <f t="shared" si="280"/>
        <v>product 1</v>
      </c>
      <c r="H3580">
        <f t="shared" si="281"/>
        <v>2025</v>
      </c>
      <c r="I3580">
        <f t="shared" si="282"/>
        <v>5</v>
      </c>
      <c r="J3580">
        <f t="shared" si="283"/>
        <v>779.22</v>
      </c>
    </row>
    <row r="3581" spans="1:10" ht="12.5" x14ac:dyDescent="0.25">
      <c r="A3581" s="1">
        <v>45788</v>
      </c>
      <c r="B3581" s="2" t="s">
        <v>12</v>
      </c>
      <c r="C3581" s="3">
        <v>24.99</v>
      </c>
      <c r="D3581" s="3">
        <v>5</v>
      </c>
      <c r="E3581" s="3">
        <v>124.94999999999999</v>
      </c>
      <c r="F3581" t="str">
        <f t="shared" si="279"/>
        <v>net sales</v>
      </c>
      <c r="G3581" s="7" t="str">
        <f t="shared" si="280"/>
        <v>product 2</v>
      </c>
      <c r="H3581">
        <f t="shared" si="281"/>
        <v>2025</v>
      </c>
      <c r="I3581">
        <f t="shared" si="282"/>
        <v>5</v>
      </c>
      <c r="J3581">
        <f t="shared" si="283"/>
        <v>99.96</v>
      </c>
    </row>
    <row r="3582" spans="1:10" ht="12.5" x14ac:dyDescent="0.25">
      <c r="A3582" s="1">
        <v>45788</v>
      </c>
      <c r="B3582" s="2" t="s">
        <v>13</v>
      </c>
      <c r="C3582" s="3">
        <v>12.49</v>
      </c>
      <c r="D3582" s="3">
        <v>149</v>
      </c>
      <c r="E3582" s="3">
        <v>1861.01</v>
      </c>
      <c r="F3582" t="str">
        <f t="shared" si="279"/>
        <v>net sales</v>
      </c>
      <c r="G3582" s="7" t="str">
        <f t="shared" si="280"/>
        <v>product 3</v>
      </c>
      <c r="H3582">
        <f t="shared" si="281"/>
        <v>2025</v>
      </c>
      <c r="I3582">
        <f t="shared" si="282"/>
        <v>5</v>
      </c>
      <c r="J3582">
        <f t="shared" si="283"/>
        <v>1848.52</v>
      </c>
    </row>
    <row r="3583" spans="1:10" ht="12.5" x14ac:dyDescent="0.25">
      <c r="A3583" s="1">
        <v>45789</v>
      </c>
      <c r="B3583" s="2" t="s">
        <v>7</v>
      </c>
      <c r="C3583" s="3">
        <v>5.49</v>
      </c>
      <c r="D3583" s="3">
        <v>45</v>
      </c>
      <c r="E3583" s="3">
        <v>247.05</v>
      </c>
      <c r="F3583" t="str">
        <f t="shared" si="279"/>
        <v>cogs</v>
      </c>
      <c r="G3583" s="7" t="str">
        <f t="shared" si="280"/>
        <v>product 1</v>
      </c>
      <c r="H3583">
        <f t="shared" si="281"/>
        <v>2025</v>
      </c>
      <c r="I3583">
        <f t="shared" si="282"/>
        <v>5</v>
      </c>
      <c r="J3583">
        <f t="shared" si="283"/>
        <v>-1200</v>
      </c>
    </row>
    <row r="3584" spans="1:10" ht="12.5" x14ac:dyDescent="0.25">
      <c r="A3584" s="1">
        <v>45789</v>
      </c>
      <c r="B3584" s="2" t="s">
        <v>8</v>
      </c>
      <c r="C3584" s="3">
        <v>19.989999999999998</v>
      </c>
      <c r="D3584" s="3">
        <v>3</v>
      </c>
      <c r="E3584" s="3">
        <v>59.97</v>
      </c>
      <c r="F3584" t="str">
        <f t="shared" si="279"/>
        <v>cogs</v>
      </c>
      <c r="G3584" s="7" t="str">
        <f t="shared" si="280"/>
        <v>product 2</v>
      </c>
      <c r="H3584">
        <f t="shared" si="281"/>
        <v>2025</v>
      </c>
      <c r="I3584">
        <f t="shared" si="282"/>
        <v>5</v>
      </c>
      <c r="J3584">
        <f t="shared" si="283"/>
        <v>-120.78</v>
      </c>
    </row>
    <row r="3585" spans="1:10" ht="12.5" x14ac:dyDescent="0.25">
      <c r="A3585" s="1">
        <v>45789</v>
      </c>
      <c r="B3585" s="2" t="s">
        <v>9</v>
      </c>
      <c r="C3585" s="3">
        <v>8.99</v>
      </c>
      <c r="D3585" s="3">
        <v>115</v>
      </c>
      <c r="E3585" s="3">
        <v>1033.8500000000001</v>
      </c>
      <c r="F3585" t="str">
        <f t="shared" si="279"/>
        <v>cogs</v>
      </c>
      <c r="G3585" s="7" t="str">
        <f t="shared" si="280"/>
        <v>product 3</v>
      </c>
      <c r="H3585">
        <f t="shared" si="281"/>
        <v>2025</v>
      </c>
      <c r="I3585">
        <f t="shared" si="282"/>
        <v>5</v>
      </c>
      <c r="J3585">
        <f t="shared" si="283"/>
        <v>-159.91999999999999</v>
      </c>
    </row>
    <row r="3586" spans="1:10" ht="12.5" x14ac:dyDescent="0.25">
      <c r="A3586" s="1">
        <v>45789</v>
      </c>
      <c r="B3586" s="2" t="s">
        <v>10</v>
      </c>
      <c r="C3586" s="2" t="s">
        <v>6</v>
      </c>
      <c r="D3586" s="2" t="s">
        <v>6</v>
      </c>
      <c r="E3586" s="3">
        <v>110.94</v>
      </c>
      <c r="F3586" t="str">
        <f t="shared" si="279"/>
        <v>marketing</v>
      </c>
      <c r="G3586" s="7" t="s">
        <v>6</v>
      </c>
      <c r="H3586">
        <f t="shared" si="281"/>
        <v>2025</v>
      </c>
      <c r="I3586">
        <f t="shared" si="282"/>
        <v>5</v>
      </c>
      <c r="J3586">
        <f t="shared" si="283"/>
        <v>-116.87</v>
      </c>
    </row>
    <row r="3587" spans="1:10" ht="12.5" x14ac:dyDescent="0.25">
      <c r="A3587" s="1">
        <v>45789</v>
      </c>
      <c r="B3587" s="2" t="s">
        <v>11</v>
      </c>
      <c r="C3587" s="3">
        <v>9.99</v>
      </c>
      <c r="D3587" s="3">
        <v>45</v>
      </c>
      <c r="E3587" s="3">
        <v>449.55</v>
      </c>
      <c r="F3587" t="str">
        <f t="shared" ref="F3587:F3650" si="284">IFERROR(LEFT(B3587,FIND(":",B3587)-1),B3587)</f>
        <v>net sales</v>
      </c>
      <c r="G3587" s="7" t="str">
        <f t="shared" ref="G3587:G3650" si="285">IFERROR(RIGHT(B3587,LEN(B3587)-FIND(":",B3587)),"")</f>
        <v>product 1</v>
      </c>
      <c r="H3587">
        <f t="shared" ref="H3587:H3650" si="286">YEAR(A3587)</f>
        <v>2025</v>
      </c>
      <c r="I3587">
        <f t="shared" ref="I3587:I3650" si="287">MONTH(A3587)</f>
        <v>5</v>
      </c>
      <c r="J3587">
        <f t="shared" si="283"/>
        <v>-112.98</v>
      </c>
    </row>
    <row r="3588" spans="1:10" ht="12.5" x14ac:dyDescent="0.25">
      <c r="A3588" s="1">
        <v>45789</v>
      </c>
      <c r="B3588" s="2" t="s">
        <v>12</v>
      </c>
      <c r="C3588" s="3">
        <v>24.99</v>
      </c>
      <c r="D3588" s="3">
        <v>3</v>
      </c>
      <c r="E3588" s="3">
        <v>74.97</v>
      </c>
      <c r="F3588" t="str">
        <f t="shared" si="284"/>
        <v>net sales</v>
      </c>
      <c r="G3588" s="7" t="str">
        <f t="shared" si="285"/>
        <v>product 2</v>
      </c>
      <c r="H3588">
        <f t="shared" si="286"/>
        <v>2025</v>
      </c>
      <c r="I3588">
        <f t="shared" si="287"/>
        <v>5</v>
      </c>
      <c r="J3588">
        <f t="shared" si="283"/>
        <v>219.78</v>
      </c>
    </row>
    <row r="3589" spans="1:10" ht="12.5" x14ac:dyDescent="0.25">
      <c r="A3589" s="1">
        <v>45789</v>
      </c>
      <c r="B3589" s="2" t="s">
        <v>13</v>
      </c>
      <c r="C3589" s="3">
        <v>12.49</v>
      </c>
      <c r="D3589" s="3">
        <v>115</v>
      </c>
      <c r="E3589" s="3">
        <v>1436.3500000000001</v>
      </c>
      <c r="F3589" t="str">
        <f t="shared" si="284"/>
        <v>net sales</v>
      </c>
      <c r="G3589" s="7" t="str">
        <f t="shared" si="285"/>
        <v>product 3</v>
      </c>
      <c r="H3589">
        <f t="shared" si="286"/>
        <v>2025</v>
      </c>
      <c r="I3589">
        <f t="shared" si="287"/>
        <v>5</v>
      </c>
      <c r="J3589">
        <f t="shared" si="283"/>
        <v>199.92</v>
      </c>
    </row>
    <row r="3590" spans="1:10" ht="12.5" x14ac:dyDescent="0.25">
      <c r="A3590" s="1">
        <v>45790</v>
      </c>
      <c r="B3590" s="2" t="s">
        <v>7</v>
      </c>
      <c r="C3590" s="3">
        <v>5.49</v>
      </c>
      <c r="D3590" s="3">
        <v>38</v>
      </c>
      <c r="E3590" s="3">
        <v>208.62</v>
      </c>
      <c r="F3590" t="str">
        <f t="shared" si="284"/>
        <v>cogs</v>
      </c>
      <c r="G3590" s="7" t="str">
        <f t="shared" si="285"/>
        <v>product 1</v>
      </c>
      <c r="H3590">
        <f t="shared" si="286"/>
        <v>2025</v>
      </c>
      <c r="I3590">
        <f t="shared" si="287"/>
        <v>5</v>
      </c>
      <c r="J3590">
        <f t="shared" si="283"/>
        <v>162.37</v>
      </c>
    </row>
    <row r="3591" spans="1:10" ht="12.5" x14ac:dyDescent="0.25">
      <c r="A3591" s="1">
        <v>45790</v>
      </c>
      <c r="B3591" s="2" t="s">
        <v>8</v>
      </c>
      <c r="C3591" s="3">
        <v>19.989999999999998</v>
      </c>
      <c r="D3591" s="3">
        <v>2</v>
      </c>
      <c r="E3591" s="3">
        <v>39.979999999999997</v>
      </c>
      <c r="F3591" t="str">
        <f t="shared" si="284"/>
        <v>cogs</v>
      </c>
      <c r="G3591" s="7" t="str">
        <f t="shared" si="285"/>
        <v>product 2</v>
      </c>
      <c r="H3591">
        <f t="shared" si="286"/>
        <v>2025</v>
      </c>
      <c r="I3591">
        <f t="shared" si="287"/>
        <v>5</v>
      </c>
      <c r="J3591">
        <f t="shared" si="283"/>
        <v>-175.68</v>
      </c>
    </row>
    <row r="3592" spans="1:10" ht="12.5" x14ac:dyDescent="0.25">
      <c r="A3592" s="1">
        <v>45790</v>
      </c>
      <c r="B3592" s="2" t="s">
        <v>9</v>
      </c>
      <c r="C3592" s="3">
        <v>8.99</v>
      </c>
      <c r="D3592" s="3">
        <v>179</v>
      </c>
      <c r="E3592" s="3">
        <v>1609.21</v>
      </c>
      <c r="F3592" t="str">
        <f t="shared" si="284"/>
        <v>cogs</v>
      </c>
      <c r="G3592" s="7" t="str">
        <f t="shared" si="285"/>
        <v>product 3</v>
      </c>
      <c r="H3592">
        <f t="shared" si="286"/>
        <v>2025</v>
      </c>
      <c r="I3592">
        <f t="shared" si="287"/>
        <v>5</v>
      </c>
      <c r="J3592">
        <f t="shared" si="283"/>
        <v>-59.97</v>
      </c>
    </row>
    <row r="3593" spans="1:10" ht="12.5" x14ac:dyDescent="0.25">
      <c r="A3593" s="1">
        <v>45790</v>
      </c>
      <c r="B3593" s="2" t="s">
        <v>10</v>
      </c>
      <c r="C3593" s="2" t="s">
        <v>6</v>
      </c>
      <c r="D3593" s="2" t="s">
        <v>6</v>
      </c>
      <c r="E3593" s="3">
        <v>106.92</v>
      </c>
      <c r="F3593" t="str">
        <f t="shared" si="284"/>
        <v>marketing</v>
      </c>
      <c r="G3593" s="7" t="s">
        <v>6</v>
      </c>
      <c r="H3593">
        <f t="shared" si="286"/>
        <v>2025</v>
      </c>
      <c r="I3593">
        <f t="shared" si="287"/>
        <v>5</v>
      </c>
      <c r="J3593">
        <f t="shared" si="283"/>
        <v>-611.32000000000005</v>
      </c>
    </row>
    <row r="3594" spans="1:10" ht="12.5" x14ac:dyDescent="0.25">
      <c r="A3594" s="1">
        <v>45790</v>
      </c>
      <c r="B3594" s="2" t="s">
        <v>11</v>
      </c>
      <c r="C3594" s="3">
        <v>9.99</v>
      </c>
      <c r="D3594" s="3">
        <v>38</v>
      </c>
      <c r="E3594" s="3">
        <v>379.62</v>
      </c>
      <c r="F3594" t="str">
        <f t="shared" si="284"/>
        <v>net sales</v>
      </c>
      <c r="G3594" s="7" t="str">
        <f t="shared" si="285"/>
        <v>product 1</v>
      </c>
      <c r="H3594">
        <f t="shared" si="286"/>
        <v>2025</v>
      </c>
      <c r="I3594">
        <f t="shared" si="287"/>
        <v>5</v>
      </c>
      <c r="J3594">
        <f t="shared" si="283"/>
        <v>-116.08</v>
      </c>
    </row>
    <row r="3595" spans="1:10" ht="12.5" x14ac:dyDescent="0.25">
      <c r="A3595" s="1">
        <v>45790</v>
      </c>
      <c r="B3595" s="2" t="s">
        <v>12</v>
      </c>
      <c r="C3595" s="3">
        <v>24.99</v>
      </c>
      <c r="D3595" s="3">
        <v>2</v>
      </c>
      <c r="E3595" s="3">
        <v>49.98</v>
      </c>
      <c r="F3595" t="str">
        <f t="shared" si="284"/>
        <v>net sales</v>
      </c>
      <c r="G3595" s="7" t="str">
        <f t="shared" si="285"/>
        <v>product 2</v>
      </c>
      <c r="H3595">
        <f t="shared" si="286"/>
        <v>2025</v>
      </c>
      <c r="I3595">
        <f t="shared" si="287"/>
        <v>5</v>
      </c>
      <c r="J3595">
        <f t="shared" si="283"/>
        <v>319.68</v>
      </c>
    </row>
    <row r="3596" spans="1:10" ht="12.5" x14ac:dyDescent="0.25">
      <c r="A3596" s="1">
        <v>45790</v>
      </c>
      <c r="B3596" s="2" t="s">
        <v>13</v>
      </c>
      <c r="C3596" s="3">
        <v>12.49</v>
      </c>
      <c r="D3596" s="3">
        <v>179</v>
      </c>
      <c r="E3596" s="3">
        <v>2235.71</v>
      </c>
      <c r="F3596" t="str">
        <f t="shared" si="284"/>
        <v>net sales</v>
      </c>
      <c r="G3596" s="7" t="str">
        <f t="shared" si="285"/>
        <v>product 3</v>
      </c>
      <c r="H3596">
        <f t="shared" si="286"/>
        <v>2025</v>
      </c>
      <c r="I3596">
        <f t="shared" si="287"/>
        <v>5</v>
      </c>
      <c r="J3596">
        <f t="shared" si="283"/>
        <v>74.97</v>
      </c>
    </row>
    <row r="3597" spans="1:10" ht="12.5" x14ac:dyDescent="0.25">
      <c r="A3597" s="1">
        <v>45791</v>
      </c>
      <c r="B3597" s="2" t="s">
        <v>7</v>
      </c>
      <c r="C3597" s="3">
        <v>5.49</v>
      </c>
      <c r="D3597" s="3">
        <v>7</v>
      </c>
      <c r="E3597" s="3">
        <v>38.43</v>
      </c>
      <c r="F3597" t="str">
        <f t="shared" si="284"/>
        <v>cogs</v>
      </c>
      <c r="G3597" s="7" t="str">
        <f t="shared" si="285"/>
        <v>product 1</v>
      </c>
      <c r="H3597">
        <f t="shared" si="286"/>
        <v>2025</v>
      </c>
      <c r="I3597">
        <f t="shared" si="287"/>
        <v>5</v>
      </c>
      <c r="J3597">
        <f t="shared" si="283"/>
        <v>849.32</v>
      </c>
    </row>
    <row r="3598" spans="1:10" ht="12.5" x14ac:dyDescent="0.25">
      <c r="A3598" s="1">
        <v>45791</v>
      </c>
      <c r="B3598" s="2" t="s">
        <v>8</v>
      </c>
      <c r="C3598" s="3">
        <v>19.989999999999998</v>
      </c>
      <c r="D3598" s="3">
        <v>4</v>
      </c>
      <c r="E3598" s="3">
        <v>79.959999999999994</v>
      </c>
      <c r="F3598" t="str">
        <f t="shared" si="284"/>
        <v>cogs</v>
      </c>
      <c r="G3598" s="7" t="str">
        <f t="shared" si="285"/>
        <v>product 2</v>
      </c>
      <c r="H3598">
        <f t="shared" si="286"/>
        <v>2025</v>
      </c>
      <c r="I3598">
        <f t="shared" si="287"/>
        <v>5</v>
      </c>
      <c r="J3598">
        <f t="shared" si="283"/>
        <v>-384.3</v>
      </c>
    </row>
    <row r="3599" spans="1:10" ht="12.5" x14ac:dyDescent="0.25">
      <c r="A3599" s="1">
        <v>45791</v>
      </c>
      <c r="B3599" s="2" t="s">
        <v>9</v>
      </c>
      <c r="C3599" s="3">
        <v>8.99</v>
      </c>
      <c r="D3599" s="3">
        <v>145</v>
      </c>
      <c r="E3599" s="3">
        <v>1303.55</v>
      </c>
      <c r="F3599" t="str">
        <f t="shared" si="284"/>
        <v>cogs</v>
      </c>
      <c r="G3599" s="7" t="str">
        <f t="shared" si="285"/>
        <v>product 3</v>
      </c>
      <c r="H3599">
        <f t="shared" si="286"/>
        <v>2025</v>
      </c>
      <c r="I3599">
        <f t="shared" si="287"/>
        <v>5</v>
      </c>
      <c r="J3599">
        <f t="shared" si="283"/>
        <v>-159.91999999999999</v>
      </c>
    </row>
    <row r="3600" spans="1:10" ht="12.5" x14ac:dyDescent="0.25">
      <c r="A3600" s="1">
        <v>45791</v>
      </c>
      <c r="B3600" s="2" t="s">
        <v>10</v>
      </c>
      <c r="C3600" s="2" t="s">
        <v>6</v>
      </c>
      <c r="D3600" s="2" t="s">
        <v>6</v>
      </c>
      <c r="E3600" s="3">
        <v>110.97</v>
      </c>
      <c r="F3600" t="str">
        <f t="shared" si="284"/>
        <v>marketing</v>
      </c>
      <c r="G3600" s="7" t="s">
        <v>6</v>
      </c>
      <c r="H3600">
        <f t="shared" si="286"/>
        <v>2025</v>
      </c>
      <c r="I3600">
        <f t="shared" si="287"/>
        <v>5</v>
      </c>
      <c r="J3600">
        <f t="shared" si="283"/>
        <v>-125.86</v>
      </c>
    </row>
    <row r="3601" spans="1:10" ht="12.5" x14ac:dyDescent="0.25">
      <c r="A3601" s="1">
        <v>45791</v>
      </c>
      <c r="B3601" s="2" t="s">
        <v>11</v>
      </c>
      <c r="C3601" s="3">
        <v>9.99</v>
      </c>
      <c r="D3601" s="3">
        <v>7</v>
      </c>
      <c r="E3601" s="3">
        <v>69.930000000000007</v>
      </c>
      <c r="F3601" t="str">
        <f t="shared" si="284"/>
        <v>net sales</v>
      </c>
      <c r="G3601" s="7" t="str">
        <f t="shared" si="285"/>
        <v>product 1</v>
      </c>
      <c r="H3601">
        <f t="shared" si="286"/>
        <v>2025</v>
      </c>
      <c r="I3601">
        <f t="shared" si="287"/>
        <v>5</v>
      </c>
      <c r="J3601">
        <f t="shared" si="283"/>
        <v>-112.92</v>
      </c>
    </row>
    <row r="3602" spans="1:10" ht="12.5" x14ac:dyDescent="0.25">
      <c r="A3602" s="1">
        <v>45791</v>
      </c>
      <c r="B3602" s="2" t="s">
        <v>12</v>
      </c>
      <c r="C3602" s="3">
        <v>24.99</v>
      </c>
      <c r="D3602" s="3">
        <v>4</v>
      </c>
      <c r="E3602" s="3">
        <v>99.96</v>
      </c>
      <c r="F3602" t="str">
        <f t="shared" si="284"/>
        <v>net sales</v>
      </c>
      <c r="G3602" s="7" t="str">
        <f t="shared" si="285"/>
        <v>product 2</v>
      </c>
      <c r="H3602">
        <f t="shared" si="286"/>
        <v>2025</v>
      </c>
      <c r="I3602">
        <f t="shared" si="287"/>
        <v>5</v>
      </c>
      <c r="J3602">
        <f t="shared" si="283"/>
        <v>699.30000000000007</v>
      </c>
    </row>
    <row r="3603" spans="1:10" ht="12.5" x14ac:dyDescent="0.25">
      <c r="A3603" s="1">
        <v>45791</v>
      </c>
      <c r="B3603" s="2" t="s">
        <v>13</v>
      </c>
      <c r="C3603" s="3">
        <v>12.49</v>
      </c>
      <c r="D3603" s="3">
        <v>145</v>
      </c>
      <c r="E3603" s="3">
        <v>1811.05</v>
      </c>
      <c r="F3603" t="str">
        <f t="shared" si="284"/>
        <v>net sales</v>
      </c>
      <c r="G3603" s="7" t="str">
        <f t="shared" si="285"/>
        <v>product 3</v>
      </c>
      <c r="H3603">
        <f t="shared" si="286"/>
        <v>2025</v>
      </c>
      <c r="I3603">
        <f t="shared" si="287"/>
        <v>5</v>
      </c>
      <c r="J3603">
        <f t="shared" si="283"/>
        <v>199.92</v>
      </c>
    </row>
    <row r="3604" spans="1:10" ht="12.5" x14ac:dyDescent="0.25">
      <c r="A3604" s="1">
        <v>45792</v>
      </c>
      <c r="B3604" s="2" t="s">
        <v>7</v>
      </c>
      <c r="C3604" s="3">
        <v>5.49</v>
      </c>
      <c r="D3604" s="3">
        <v>88</v>
      </c>
      <c r="E3604" s="3">
        <v>483.12</v>
      </c>
      <c r="F3604" t="str">
        <f t="shared" si="284"/>
        <v>cogs</v>
      </c>
      <c r="G3604" s="7" t="str">
        <f t="shared" si="285"/>
        <v>product 1</v>
      </c>
      <c r="H3604">
        <f t="shared" si="286"/>
        <v>2025</v>
      </c>
      <c r="I3604">
        <f t="shared" si="287"/>
        <v>5</v>
      </c>
      <c r="J3604">
        <f t="shared" si="283"/>
        <v>174.86</v>
      </c>
    </row>
    <row r="3605" spans="1:10" ht="12.5" x14ac:dyDescent="0.25">
      <c r="A3605" s="1">
        <v>45792</v>
      </c>
      <c r="B3605" s="2" t="s">
        <v>8</v>
      </c>
      <c r="C3605" s="3">
        <v>19.989999999999998</v>
      </c>
      <c r="D3605" s="3">
        <v>1</v>
      </c>
      <c r="E3605" s="3">
        <v>19.989999999999998</v>
      </c>
      <c r="F3605" t="str">
        <f t="shared" si="284"/>
        <v>cogs</v>
      </c>
      <c r="G3605" s="7" t="str">
        <f t="shared" si="285"/>
        <v>product 2</v>
      </c>
      <c r="H3605">
        <f t="shared" si="286"/>
        <v>2025</v>
      </c>
      <c r="I3605">
        <f t="shared" si="287"/>
        <v>5</v>
      </c>
      <c r="J3605">
        <f t="shared" si="283"/>
        <v>-543.51</v>
      </c>
    </row>
    <row r="3606" spans="1:10" ht="12.5" x14ac:dyDescent="0.25">
      <c r="A3606" s="1">
        <v>45792</v>
      </c>
      <c r="B3606" s="2" t="s">
        <v>9</v>
      </c>
      <c r="C3606" s="3">
        <v>8.99</v>
      </c>
      <c r="D3606" s="3">
        <v>239</v>
      </c>
      <c r="E3606" s="3">
        <v>2148.61</v>
      </c>
      <c r="F3606" t="str">
        <f t="shared" si="284"/>
        <v>cogs</v>
      </c>
      <c r="G3606" s="7" t="str">
        <f t="shared" si="285"/>
        <v>product 3</v>
      </c>
      <c r="H3606">
        <f t="shared" si="286"/>
        <v>2025</v>
      </c>
      <c r="I3606">
        <f t="shared" si="287"/>
        <v>5</v>
      </c>
      <c r="J3606">
        <f t="shared" si="283"/>
        <v>-139.92999999999998</v>
      </c>
    </row>
    <row r="3607" spans="1:10" ht="12.5" x14ac:dyDescent="0.25">
      <c r="A3607" s="1">
        <v>45792</v>
      </c>
      <c r="B3607" s="2" t="s">
        <v>16</v>
      </c>
      <c r="C3607" s="2" t="s">
        <v>6</v>
      </c>
      <c r="D3607" s="2" t="s">
        <v>6</v>
      </c>
      <c r="E3607" s="3">
        <v>1237.28</v>
      </c>
      <c r="F3607" t="str">
        <f t="shared" si="284"/>
        <v>interest</v>
      </c>
      <c r="G3607" s="7" t="s">
        <v>6</v>
      </c>
      <c r="H3607">
        <f t="shared" si="286"/>
        <v>2025</v>
      </c>
      <c r="I3607">
        <f t="shared" si="287"/>
        <v>5</v>
      </c>
      <c r="J3607">
        <f t="shared" si="283"/>
        <v>-2229.52</v>
      </c>
    </row>
    <row r="3608" spans="1:10" ht="12.5" x14ac:dyDescent="0.25">
      <c r="A3608" s="1">
        <v>45792</v>
      </c>
      <c r="B3608" s="2" t="s">
        <v>10</v>
      </c>
      <c r="C3608" s="2" t="s">
        <v>6</v>
      </c>
      <c r="D3608" s="2" t="s">
        <v>6</v>
      </c>
      <c r="E3608" s="3">
        <v>116.93</v>
      </c>
      <c r="F3608" t="str">
        <f t="shared" si="284"/>
        <v>marketing</v>
      </c>
      <c r="G3608" s="7" t="s">
        <v>6</v>
      </c>
      <c r="H3608">
        <f t="shared" si="286"/>
        <v>2025</v>
      </c>
      <c r="I3608">
        <f t="shared" si="287"/>
        <v>5</v>
      </c>
      <c r="J3608">
        <f t="shared" si="283"/>
        <v>-1265.1199999999999</v>
      </c>
    </row>
    <row r="3609" spans="1:10" ht="12.5" x14ac:dyDescent="0.25">
      <c r="A3609" s="1">
        <v>45792</v>
      </c>
      <c r="B3609" s="2" t="s">
        <v>11</v>
      </c>
      <c r="C3609" s="3">
        <v>9.99</v>
      </c>
      <c r="D3609" s="3">
        <v>88</v>
      </c>
      <c r="E3609" s="3">
        <v>879.12</v>
      </c>
      <c r="F3609" t="str">
        <f t="shared" si="284"/>
        <v>net sales</v>
      </c>
      <c r="G3609" s="7" t="str">
        <f t="shared" si="285"/>
        <v>product 1</v>
      </c>
      <c r="H3609">
        <f t="shared" si="286"/>
        <v>2025</v>
      </c>
      <c r="I3609">
        <f t="shared" si="287"/>
        <v>5</v>
      </c>
      <c r="J3609">
        <f t="shared" si="283"/>
        <v>-103.98</v>
      </c>
    </row>
    <row r="3610" spans="1:10" ht="12.5" x14ac:dyDescent="0.25">
      <c r="A3610" s="1">
        <v>45792</v>
      </c>
      <c r="B3610" s="2" t="s">
        <v>12</v>
      </c>
      <c r="C3610" s="3">
        <v>24.99</v>
      </c>
      <c r="D3610" s="3">
        <v>1</v>
      </c>
      <c r="E3610" s="3">
        <v>24.99</v>
      </c>
      <c r="F3610" t="str">
        <f t="shared" si="284"/>
        <v>net sales</v>
      </c>
      <c r="G3610" s="7" t="str">
        <f t="shared" si="285"/>
        <v>product 2</v>
      </c>
      <c r="H3610">
        <f t="shared" si="286"/>
        <v>2025</v>
      </c>
      <c r="I3610">
        <f t="shared" si="287"/>
        <v>5</v>
      </c>
      <c r="J3610">
        <f t="shared" si="283"/>
        <v>989.01</v>
      </c>
    </row>
    <row r="3611" spans="1:10" ht="12.5" x14ac:dyDescent="0.25">
      <c r="A3611" s="1">
        <v>45792</v>
      </c>
      <c r="B3611" s="2" t="s">
        <v>13</v>
      </c>
      <c r="C3611" s="3">
        <v>12.49</v>
      </c>
      <c r="D3611" s="3">
        <v>239</v>
      </c>
      <c r="E3611" s="3">
        <v>2985.11</v>
      </c>
      <c r="F3611" t="str">
        <f t="shared" si="284"/>
        <v>net sales</v>
      </c>
      <c r="G3611" s="7" t="str">
        <f t="shared" si="285"/>
        <v>product 3</v>
      </c>
      <c r="H3611">
        <f t="shared" si="286"/>
        <v>2025</v>
      </c>
      <c r="I3611">
        <f t="shared" si="287"/>
        <v>5</v>
      </c>
      <c r="J3611">
        <f t="shared" si="283"/>
        <v>174.92999999999998</v>
      </c>
    </row>
    <row r="3612" spans="1:10" ht="12.5" x14ac:dyDescent="0.25">
      <c r="A3612" s="1">
        <v>45792</v>
      </c>
      <c r="B3612" s="2" t="s">
        <v>14</v>
      </c>
      <c r="C3612" s="2" t="s">
        <v>6</v>
      </c>
      <c r="D3612" s="2" t="s">
        <v>6</v>
      </c>
      <c r="E3612" s="3">
        <v>309.32</v>
      </c>
      <c r="F3612" t="str">
        <f t="shared" si="284"/>
        <v>overhead</v>
      </c>
      <c r="G3612" s="7" t="s">
        <v>6</v>
      </c>
      <c r="H3612">
        <f t="shared" si="286"/>
        <v>2025</v>
      </c>
      <c r="I3612">
        <f t="shared" si="287"/>
        <v>5</v>
      </c>
      <c r="J3612">
        <f t="shared" ref="J3612:J3675" si="288">IF(F3395="net sales",E3395,
IF(F3395="cogs",-E3395,
IF(OR(F3395="marketing",F3395="overhead",F3395="payroll",F3395="interest","amortization"),-E3395,0)))</f>
        <v>3097.52</v>
      </c>
    </row>
    <row r="3613" spans="1:10" ht="12.5" x14ac:dyDescent="0.25">
      <c r="A3613" s="1">
        <v>45793</v>
      </c>
      <c r="B3613" s="2" t="s">
        <v>7</v>
      </c>
      <c r="C3613" s="3">
        <v>5.49</v>
      </c>
      <c r="D3613" s="3">
        <v>72</v>
      </c>
      <c r="E3613" s="3">
        <v>395.28000000000003</v>
      </c>
      <c r="F3613" t="str">
        <f t="shared" si="284"/>
        <v>cogs</v>
      </c>
      <c r="G3613" s="7" t="str">
        <f t="shared" si="285"/>
        <v>product 1</v>
      </c>
      <c r="H3613">
        <f t="shared" si="286"/>
        <v>2025</v>
      </c>
      <c r="I3613">
        <f t="shared" si="287"/>
        <v>5</v>
      </c>
      <c r="J3613">
        <f t="shared" si="288"/>
        <v>-313.02999999999997</v>
      </c>
    </row>
    <row r="3614" spans="1:10" ht="12.5" x14ac:dyDescent="0.25">
      <c r="A3614" s="1">
        <v>45793</v>
      </c>
      <c r="B3614" s="2" t="s">
        <v>8</v>
      </c>
      <c r="C3614" s="3">
        <v>19.989999999999998</v>
      </c>
      <c r="D3614" s="3">
        <v>4</v>
      </c>
      <c r="E3614" s="3">
        <v>79.959999999999994</v>
      </c>
      <c r="F3614" t="str">
        <f t="shared" si="284"/>
        <v>cogs</v>
      </c>
      <c r="G3614" s="7" t="str">
        <f t="shared" si="285"/>
        <v>product 2</v>
      </c>
      <c r="H3614">
        <f t="shared" si="286"/>
        <v>2025</v>
      </c>
      <c r="I3614">
        <f t="shared" si="287"/>
        <v>5</v>
      </c>
      <c r="J3614">
        <f t="shared" si="288"/>
        <v>-175.68</v>
      </c>
    </row>
    <row r="3615" spans="1:10" ht="12.5" x14ac:dyDescent="0.25">
      <c r="A3615" s="1">
        <v>45793</v>
      </c>
      <c r="B3615" s="2" t="s">
        <v>9</v>
      </c>
      <c r="C3615" s="3">
        <v>8.99</v>
      </c>
      <c r="D3615" s="3">
        <v>157</v>
      </c>
      <c r="E3615" s="3">
        <v>1411.43</v>
      </c>
      <c r="F3615" t="str">
        <f t="shared" si="284"/>
        <v>cogs</v>
      </c>
      <c r="G3615" s="7" t="str">
        <f t="shared" si="285"/>
        <v>product 3</v>
      </c>
      <c r="H3615">
        <f t="shared" si="286"/>
        <v>2025</v>
      </c>
      <c r="I3615">
        <f t="shared" si="287"/>
        <v>5</v>
      </c>
      <c r="J3615">
        <f t="shared" si="288"/>
        <v>0</v>
      </c>
    </row>
    <row r="3616" spans="1:10" ht="12.5" x14ac:dyDescent="0.25">
      <c r="A3616" s="1">
        <v>45793</v>
      </c>
      <c r="B3616" s="2" t="s">
        <v>10</v>
      </c>
      <c r="C3616" s="2" t="s">
        <v>6</v>
      </c>
      <c r="D3616" s="2" t="s">
        <v>6</v>
      </c>
      <c r="E3616" s="3">
        <v>115.91</v>
      </c>
      <c r="F3616" t="str">
        <f t="shared" si="284"/>
        <v>marketing</v>
      </c>
      <c r="G3616" s="7" t="s">
        <v>6</v>
      </c>
      <c r="H3616">
        <f t="shared" si="286"/>
        <v>2025</v>
      </c>
      <c r="I3616">
        <f t="shared" si="287"/>
        <v>5</v>
      </c>
      <c r="J3616">
        <f t="shared" si="288"/>
        <v>-1087.79</v>
      </c>
    </row>
    <row r="3617" spans="1:10" ht="12.5" x14ac:dyDescent="0.25">
      <c r="A3617" s="1">
        <v>45793</v>
      </c>
      <c r="B3617" s="2" t="s">
        <v>11</v>
      </c>
      <c r="C3617" s="3">
        <v>9.99</v>
      </c>
      <c r="D3617" s="3">
        <v>72</v>
      </c>
      <c r="E3617" s="3">
        <v>719.28</v>
      </c>
      <c r="F3617" t="str">
        <f t="shared" si="284"/>
        <v>net sales</v>
      </c>
      <c r="G3617" s="7" t="str">
        <f t="shared" si="285"/>
        <v>product 1</v>
      </c>
      <c r="H3617">
        <f t="shared" si="286"/>
        <v>2025</v>
      </c>
      <c r="I3617">
        <f t="shared" si="287"/>
        <v>5</v>
      </c>
      <c r="J3617">
        <f t="shared" si="288"/>
        <v>-119.98</v>
      </c>
    </row>
    <row r="3618" spans="1:10" ht="12.5" x14ac:dyDescent="0.25">
      <c r="A3618" s="1">
        <v>45793</v>
      </c>
      <c r="B3618" s="2" t="s">
        <v>12</v>
      </c>
      <c r="C3618" s="3">
        <v>24.99</v>
      </c>
      <c r="D3618" s="3">
        <v>4</v>
      </c>
      <c r="E3618" s="3">
        <v>99.96</v>
      </c>
      <c r="F3618" t="str">
        <f t="shared" si="284"/>
        <v>net sales</v>
      </c>
      <c r="G3618" s="7" t="str">
        <f t="shared" si="285"/>
        <v>product 2</v>
      </c>
      <c r="H3618">
        <f t="shared" si="286"/>
        <v>2025</v>
      </c>
      <c r="I3618">
        <f t="shared" si="287"/>
        <v>5</v>
      </c>
      <c r="J3618">
        <f t="shared" si="288"/>
        <v>319.68</v>
      </c>
    </row>
    <row r="3619" spans="1:10" ht="12.5" x14ac:dyDescent="0.25">
      <c r="A3619" s="1">
        <v>45793</v>
      </c>
      <c r="B3619" s="2" t="s">
        <v>13</v>
      </c>
      <c r="C3619" s="3">
        <v>12.49</v>
      </c>
      <c r="D3619" s="3">
        <v>157</v>
      </c>
      <c r="E3619" s="3">
        <v>1960.93</v>
      </c>
      <c r="F3619" t="str">
        <f t="shared" si="284"/>
        <v>net sales</v>
      </c>
      <c r="G3619" s="7" t="str">
        <f t="shared" si="285"/>
        <v>product 3</v>
      </c>
      <c r="H3619">
        <f t="shared" si="286"/>
        <v>2025</v>
      </c>
      <c r="I3619">
        <f t="shared" si="287"/>
        <v>5</v>
      </c>
      <c r="J3619">
        <f t="shared" si="288"/>
        <v>0</v>
      </c>
    </row>
    <row r="3620" spans="1:10" ht="12.5" x14ac:dyDescent="0.25">
      <c r="A3620" s="1">
        <v>45794</v>
      </c>
      <c r="B3620" s="2" t="s">
        <v>7</v>
      </c>
      <c r="C3620" s="3">
        <v>5.49</v>
      </c>
      <c r="D3620" s="3">
        <v>20</v>
      </c>
      <c r="E3620" s="3">
        <v>109.80000000000001</v>
      </c>
      <c r="F3620" t="str">
        <f t="shared" si="284"/>
        <v>cogs</v>
      </c>
      <c r="G3620" s="7" t="str">
        <f t="shared" si="285"/>
        <v>product 1</v>
      </c>
      <c r="H3620">
        <f t="shared" si="286"/>
        <v>2025</v>
      </c>
      <c r="I3620">
        <f t="shared" si="287"/>
        <v>5</v>
      </c>
      <c r="J3620">
        <f t="shared" si="288"/>
        <v>1511.29</v>
      </c>
    </row>
    <row r="3621" spans="1:10" ht="12.5" x14ac:dyDescent="0.25">
      <c r="A3621" s="1">
        <v>45794</v>
      </c>
      <c r="B3621" s="2" t="s">
        <v>8</v>
      </c>
      <c r="C3621" s="3">
        <v>19.989999999999998</v>
      </c>
      <c r="D3621" s="3">
        <v>4</v>
      </c>
      <c r="E3621" s="3">
        <v>79.959999999999994</v>
      </c>
      <c r="F3621" t="str">
        <f t="shared" si="284"/>
        <v>cogs</v>
      </c>
      <c r="G3621" s="7" t="str">
        <f t="shared" si="285"/>
        <v>product 2</v>
      </c>
      <c r="H3621">
        <f t="shared" si="286"/>
        <v>2025</v>
      </c>
      <c r="I3621">
        <f t="shared" si="287"/>
        <v>5</v>
      </c>
      <c r="J3621">
        <f t="shared" si="288"/>
        <v>-389.79</v>
      </c>
    </row>
    <row r="3622" spans="1:10" ht="12.5" x14ac:dyDescent="0.25">
      <c r="A3622" s="1">
        <v>45794</v>
      </c>
      <c r="B3622" s="2" t="s">
        <v>9</v>
      </c>
      <c r="C3622" s="3">
        <v>8.99</v>
      </c>
      <c r="D3622" s="3">
        <v>148</v>
      </c>
      <c r="E3622" s="3">
        <v>1330.52</v>
      </c>
      <c r="F3622" t="str">
        <f t="shared" si="284"/>
        <v>cogs</v>
      </c>
      <c r="G3622" s="7" t="str">
        <f t="shared" si="285"/>
        <v>product 3</v>
      </c>
      <c r="H3622">
        <f t="shared" si="286"/>
        <v>2025</v>
      </c>
      <c r="I3622">
        <f t="shared" si="287"/>
        <v>5</v>
      </c>
      <c r="J3622">
        <f t="shared" si="288"/>
        <v>-99.949999999999989</v>
      </c>
    </row>
    <row r="3623" spans="1:10" ht="12.5" x14ac:dyDescent="0.25">
      <c r="A3623" s="1">
        <v>45794</v>
      </c>
      <c r="B3623" s="2" t="s">
        <v>10</v>
      </c>
      <c r="C3623" s="2" t="s">
        <v>6</v>
      </c>
      <c r="D3623" s="2" t="s">
        <v>6</v>
      </c>
      <c r="E3623" s="3">
        <v>112.07000000000001</v>
      </c>
      <c r="F3623" t="str">
        <f t="shared" si="284"/>
        <v>marketing</v>
      </c>
      <c r="G3623" s="7" t="s">
        <v>6</v>
      </c>
      <c r="H3623">
        <f t="shared" si="286"/>
        <v>2025</v>
      </c>
      <c r="I3623">
        <f t="shared" si="287"/>
        <v>5</v>
      </c>
      <c r="J3623">
        <f t="shared" si="288"/>
        <v>-2229.52</v>
      </c>
    </row>
    <row r="3624" spans="1:10" ht="12.5" x14ac:dyDescent="0.25">
      <c r="A3624" s="1">
        <v>45794</v>
      </c>
      <c r="B3624" s="2" t="s">
        <v>11</v>
      </c>
      <c r="C3624" s="3">
        <v>9.99</v>
      </c>
      <c r="D3624" s="3">
        <v>20</v>
      </c>
      <c r="E3624" s="3">
        <v>199.8</v>
      </c>
      <c r="F3624" t="str">
        <f t="shared" si="284"/>
        <v>net sales</v>
      </c>
      <c r="G3624" s="7" t="str">
        <f t="shared" si="285"/>
        <v>product 1</v>
      </c>
      <c r="H3624">
        <f t="shared" si="286"/>
        <v>2025</v>
      </c>
      <c r="I3624">
        <f t="shared" si="287"/>
        <v>5</v>
      </c>
      <c r="J3624">
        <f t="shared" si="288"/>
        <v>-104.03</v>
      </c>
    </row>
    <row r="3625" spans="1:10" ht="12.5" x14ac:dyDescent="0.25">
      <c r="A3625" s="1">
        <v>45794</v>
      </c>
      <c r="B3625" s="2" t="s">
        <v>12</v>
      </c>
      <c r="C3625" s="3">
        <v>24.99</v>
      </c>
      <c r="D3625" s="3">
        <v>4</v>
      </c>
      <c r="E3625" s="3">
        <v>99.96</v>
      </c>
      <c r="F3625" t="str">
        <f t="shared" si="284"/>
        <v>net sales</v>
      </c>
      <c r="G3625" s="7" t="str">
        <f t="shared" si="285"/>
        <v>product 2</v>
      </c>
      <c r="H3625">
        <f t="shared" si="286"/>
        <v>2025</v>
      </c>
      <c r="I3625">
        <f t="shared" si="287"/>
        <v>5</v>
      </c>
      <c r="J3625">
        <f t="shared" si="288"/>
        <v>709.29</v>
      </c>
    </row>
    <row r="3626" spans="1:10" ht="12.5" x14ac:dyDescent="0.25">
      <c r="A3626" s="1">
        <v>45794</v>
      </c>
      <c r="B3626" s="2" t="s">
        <v>13</v>
      </c>
      <c r="C3626" s="3">
        <v>12.49</v>
      </c>
      <c r="D3626" s="3">
        <v>148</v>
      </c>
      <c r="E3626" s="3">
        <v>1848.52</v>
      </c>
      <c r="F3626" t="str">
        <f t="shared" si="284"/>
        <v>net sales</v>
      </c>
      <c r="G3626" s="7" t="str">
        <f t="shared" si="285"/>
        <v>product 3</v>
      </c>
      <c r="H3626">
        <f t="shared" si="286"/>
        <v>2025</v>
      </c>
      <c r="I3626">
        <f t="shared" si="287"/>
        <v>5</v>
      </c>
      <c r="J3626">
        <f t="shared" si="288"/>
        <v>124.94999999999999</v>
      </c>
    </row>
    <row r="3627" spans="1:10" ht="12.5" x14ac:dyDescent="0.25">
      <c r="A3627" s="1">
        <v>45795</v>
      </c>
      <c r="B3627" s="2" t="s">
        <v>7</v>
      </c>
      <c r="C3627" s="3">
        <v>5.49</v>
      </c>
      <c r="D3627" s="3">
        <v>45</v>
      </c>
      <c r="E3627" s="3">
        <v>247.05</v>
      </c>
      <c r="F3627" t="str">
        <f t="shared" si="284"/>
        <v>cogs</v>
      </c>
      <c r="G3627" s="7" t="str">
        <f t="shared" si="285"/>
        <v>product 1</v>
      </c>
      <c r="H3627">
        <f t="shared" si="286"/>
        <v>2025</v>
      </c>
      <c r="I3627">
        <f t="shared" si="287"/>
        <v>5</v>
      </c>
      <c r="J3627">
        <f t="shared" si="288"/>
        <v>3097.52</v>
      </c>
    </row>
    <row r="3628" spans="1:10" ht="12.5" x14ac:dyDescent="0.25">
      <c r="A3628" s="1">
        <v>45795</v>
      </c>
      <c r="B3628" s="2" t="s">
        <v>8</v>
      </c>
      <c r="C3628" s="3">
        <v>19.989999999999998</v>
      </c>
      <c r="D3628" s="3">
        <v>3</v>
      </c>
      <c r="E3628" s="3">
        <v>59.97</v>
      </c>
      <c r="F3628" t="str">
        <f t="shared" si="284"/>
        <v>cogs</v>
      </c>
      <c r="G3628" s="7" t="str">
        <f t="shared" si="285"/>
        <v>product 2</v>
      </c>
      <c r="H3628">
        <f t="shared" si="286"/>
        <v>2025</v>
      </c>
      <c r="I3628">
        <f t="shared" si="287"/>
        <v>5</v>
      </c>
      <c r="J3628">
        <f t="shared" si="288"/>
        <v>-516.06000000000006</v>
      </c>
    </row>
    <row r="3629" spans="1:10" ht="12.5" x14ac:dyDescent="0.25">
      <c r="A3629" s="1">
        <v>45795</v>
      </c>
      <c r="B3629" s="2" t="s">
        <v>9</v>
      </c>
      <c r="C3629" s="3">
        <v>8.99</v>
      </c>
      <c r="D3629" s="3">
        <v>0</v>
      </c>
      <c r="E3629" s="2">
        <f>C3629*D3629</f>
        <v>0</v>
      </c>
      <c r="F3629" t="str">
        <f t="shared" si="284"/>
        <v>cogs</v>
      </c>
      <c r="G3629" s="7" t="str">
        <f t="shared" si="285"/>
        <v>product 3</v>
      </c>
      <c r="H3629">
        <f t="shared" si="286"/>
        <v>2025</v>
      </c>
      <c r="I3629">
        <f t="shared" si="287"/>
        <v>5</v>
      </c>
      <c r="J3629">
        <f t="shared" si="288"/>
        <v>-19.989999999999998</v>
      </c>
    </row>
    <row r="3630" spans="1:10" ht="12.5" x14ac:dyDescent="0.25">
      <c r="A3630" s="1">
        <v>45795</v>
      </c>
      <c r="B3630" s="2" t="s">
        <v>10</v>
      </c>
      <c r="C3630" s="2" t="s">
        <v>6</v>
      </c>
      <c r="D3630" s="2" t="s">
        <v>6</v>
      </c>
      <c r="E3630" s="3">
        <v>101.98</v>
      </c>
      <c r="F3630" t="str">
        <f t="shared" si="284"/>
        <v>marketing</v>
      </c>
      <c r="G3630" s="7" t="s">
        <v>6</v>
      </c>
      <c r="H3630">
        <f t="shared" si="286"/>
        <v>2025</v>
      </c>
      <c r="I3630">
        <f t="shared" si="287"/>
        <v>5</v>
      </c>
      <c r="J3630">
        <f t="shared" si="288"/>
        <v>-1806.99</v>
      </c>
    </row>
    <row r="3631" spans="1:10" ht="12.5" x14ac:dyDescent="0.25">
      <c r="A3631" s="1">
        <v>45795</v>
      </c>
      <c r="B3631" s="2" t="s">
        <v>11</v>
      </c>
      <c r="C3631" s="3">
        <v>9.99</v>
      </c>
      <c r="D3631" s="3">
        <v>45</v>
      </c>
      <c r="E3631" s="3">
        <v>449.55</v>
      </c>
      <c r="F3631" t="str">
        <f t="shared" si="284"/>
        <v>net sales</v>
      </c>
      <c r="G3631" s="7" t="str">
        <f t="shared" si="285"/>
        <v>product 1</v>
      </c>
      <c r="H3631">
        <f t="shared" si="286"/>
        <v>2025</v>
      </c>
      <c r="I3631">
        <f t="shared" si="287"/>
        <v>5</v>
      </c>
      <c r="J3631">
        <f t="shared" si="288"/>
        <v>-111.04</v>
      </c>
    </row>
    <row r="3632" spans="1:10" ht="12.5" x14ac:dyDescent="0.25">
      <c r="A3632" s="1">
        <v>45795</v>
      </c>
      <c r="B3632" s="2" t="s">
        <v>12</v>
      </c>
      <c r="C3632" s="3">
        <v>24.99</v>
      </c>
      <c r="D3632" s="3">
        <v>3</v>
      </c>
      <c r="E3632" s="3">
        <v>74.97</v>
      </c>
      <c r="F3632" t="str">
        <f t="shared" si="284"/>
        <v>net sales</v>
      </c>
      <c r="G3632" s="7" t="str">
        <f t="shared" si="285"/>
        <v>product 2</v>
      </c>
      <c r="H3632">
        <f t="shared" si="286"/>
        <v>2025</v>
      </c>
      <c r="I3632">
        <f t="shared" si="287"/>
        <v>5</v>
      </c>
      <c r="J3632">
        <f t="shared" si="288"/>
        <v>939.06000000000006</v>
      </c>
    </row>
    <row r="3633" spans="1:10" ht="12.5" x14ac:dyDescent="0.25">
      <c r="A3633" s="1">
        <v>45795</v>
      </c>
      <c r="B3633" s="2" t="s">
        <v>13</v>
      </c>
      <c r="C3633" s="3">
        <v>12.49</v>
      </c>
      <c r="D3633" s="3">
        <v>0</v>
      </c>
      <c r="E3633" s="2">
        <f>C3633*D3633</f>
        <v>0</v>
      </c>
      <c r="F3633" t="str">
        <f t="shared" si="284"/>
        <v>net sales</v>
      </c>
      <c r="G3633" s="7" t="str">
        <f t="shared" si="285"/>
        <v>product 3</v>
      </c>
      <c r="H3633">
        <f t="shared" si="286"/>
        <v>2025</v>
      </c>
      <c r="I3633">
        <f t="shared" si="287"/>
        <v>5</v>
      </c>
      <c r="J3633">
        <f t="shared" si="288"/>
        <v>24.99</v>
      </c>
    </row>
    <row r="3634" spans="1:10" ht="12.5" x14ac:dyDescent="0.25">
      <c r="A3634" s="1">
        <v>45796</v>
      </c>
      <c r="B3634" s="2" t="s">
        <v>7</v>
      </c>
      <c r="C3634" s="3">
        <v>5.49</v>
      </c>
      <c r="D3634" s="3">
        <v>8</v>
      </c>
      <c r="E3634" s="3">
        <v>43.92</v>
      </c>
      <c r="F3634" t="str">
        <f t="shared" si="284"/>
        <v>cogs</v>
      </c>
      <c r="G3634" s="7" t="str">
        <f t="shared" si="285"/>
        <v>product 1</v>
      </c>
      <c r="H3634">
        <f t="shared" si="286"/>
        <v>2025</v>
      </c>
      <c r="I3634">
        <f t="shared" si="287"/>
        <v>5</v>
      </c>
      <c r="J3634">
        <f t="shared" si="288"/>
        <v>2510.4900000000002</v>
      </c>
    </row>
    <row r="3635" spans="1:10" ht="12.5" x14ac:dyDescent="0.25">
      <c r="A3635" s="1">
        <v>45796</v>
      </c>
      <c r="B3635" s="2" t="s">
        <v>8</v>
      </c>
      <c r="C3635" s="3">
        <v>19.989999999999998</v>
      </c>
      <c r="D3635" s="3">
        <v>9</v>
      </c>
      <c r="E3635" s="3">
        <v>179.91</v>
      </c>
      <c r="F3635" t="str">
        <f t="shared" si="284"/>
        <v>cogs</v>
      </c>
      <c r="G3635" s="7" t="str">
        <f t="shared" si="285"/>
        <v>product 2</v>
      </c>
      <c r="H3635">
        <f t="shared" si="286"/>
        <v>2025</v>
      </c>
      <c r="I3635">
        <f t="shared" si="287"/>
        <v>5</v>
      </c>
      <c r="J3635">
        <f t="shared" si="288"/>
        <v>-274.5</v>
      </c>
    </row>
    <row r="3636" spans="1:10" ht="12.5" x14ac:dyDescent="0.25">
      <c r="A3636" s="1">
        <v>45796</v>
      </c>
      <c r="B3636" s="2" t="s">
        <v>9</v>
      </c>
      <c r="C3636" s="3">
        <v>8.99</v>
      </c>
      <c r="D3636" s="3">
        <v>5</v>
      </c>
      <c r="E3636" s="3">
        <v>44.95</v>
      </c>
      <c r="F3636" t="str">
        <f t="shared" si="284"/>
        <v>cogs</v>
      </c>
      <c r="G3636" s="7" t="str">
        <f t="shared" si="285"/>
        <v>product 3</v>
      </c>
      <c r="H3636">
        <f t="shared" si="286"/>
        <v>2025</v>
      </c>
      <c r="I3636">
        <f t="shared" si="287"/>
        <v>5</v>
      </c>
      <c r="J3636">
        <f t="shared" si="288"/>
        <v>-39.979999999999997</v>
      </c>
    </row>
    <row r="3637" spans="1:10" ht="12.5" x14ac:dyDescent="0.25">
      <c r="A3637" s="1">
        <v>45796</v>
      </c>
      <c r="B3637" s="2" t="s">
        <v>10</v>
      </c>
      <c r="C3637" s="2" t="s">
        <v>6</v>
      </c>
      <c r="D3637" s="2" t="s">
        <v>6</v>
      </c>
      <c r="E3637" s="3">
        <v>103.01</v>
      </c>
      <c r="F3637" t="str">
        <f t="shared" si="284"/>
        <v>marketing</v>
      </c>
      <c r="G3637" s="7" t="s">
        <v>6</v>
      </c>
      <c r="H3637">
        <f t="shared" si="286"/>
        <v>2025</v>
      </c>
      <c r="I3637">
        <f t="shared" si="287"/>
        <v>5</v>
      </c>
      <c r="J3637">
        <f t="shared" si="288"/>
        <v>-503.44</v>
      </c>
    </row>
    <row r="3638" spans="1:10" ht="12.5" x14ac:dyDescent="0.25">
      <c r="A3638" s="1">
        <v>45796</v>
      </c>
      <c r="B3638" s="2" t="s">
        <v>11</v>
      </c>
      <c r="C3638" s="3">
        <v>9.99</v>
      </c>
      <c r="D3638" s="3">
        <v>8</v>
      </c>
      <c r="E3638" s="3">
        <v>79.92</v>
      </c>
      <c r="F3638" t="str">
        <f t="shared" si="284"/>
        <v>net sales</v>
      </c>
      <c r="G3638" s="7" t="str">
        <f t="shared" si="285"/>
        <v>product 1</v>
      </c>
      <c r="H3638">
        <f t="shared" si="286"/>
        <v>2025</v>
      </c>
      <c r="I3638">
        <f t="shared" si="287"/>
        <v>5</v>
      </c>
      <c r="J3638">
        <f t="shared" si="288"/>
        <v>-113.04</v>
      </c>
    </row>
    <row r="3639" spans="1:10" ht="12.5" x14ac:dyDescent="0.25">
      <c r="A3639" s="1">
        <v>45796</v>
      </c>
      <c r="B3639" s="2" t="s">
        <v>12</v>
      </c>
      <c r="C3639" s="3">
        <v>24.99</v>
      </c>
      <c r="D3639" s="3">
        <v>9</v>
      </c>
      <c r="E3639" s="3">
        <v>224.91</v>
      </c>
      <c r="F3639" t="str">
        <f t="shared" si="284"/>
        <v>net sales</v>
      </c>
      <c r="G3639" s="7" t="str">
        <f t="shared" si="285"/>
        <v>product 2</v>
      </c>
      <c r="H3639">
        <f t="shared" si="286"/>
        <v>2025</v>
      </c>
      <c r="I3639">
        <f t="shared" si="287"/>
        <v>5</v>
      </c>
      <c r="J3639">
        <f t="shared" si="288"/>
        <v>499.5</v>
      </c>
    </row>
    <row r="3640" spans="1:10" ht="12.5" x14ac:dyDescent="0.25">
      <c r="A3640" s="1">
        <v>45796</v>
      </c>
      <c r="B3640" s="2" t="s">
        <v>13</v>
      </c>
      <c r="C3640" s="3">
        <v>12.49</v>
      </c>
      <c r="D3640" s="3">
        <v>5</v>
      </c>
      <c r="E3640" s="3">
        <v>62.45</v>
      </c>
      <c r="F3640" t="str">
        <f t="shared" si="284"/>
        <v>net sales</v>
      </c>
      <c r="G3640" s="7" t="str">
        <f t="shared" si="285"/>
        <v>product 3</v>
      </c>
      <c r="H3640">
        <f t="shared" si="286"/>
        <v>2025</v>
      </c>
      <c r="I3640">
        <f t="shared" si="287"/>
        <v>5</v>
      </c>
      <c r="J3640">
        <f t="shared" si="288"/>
        <v>49.98</v>
      </c>
    </row>
    <row r="3641" spans="1:10" ht="12.5" x14ac:dyDescent="0.25">
      <c r="A3641" s="1">
        <v>45797</v>
      </c>
      <c r="B3641" s="2" t="s">
        <v>7</v>
      </c>
      <c r="C3641" s="3">
        <v>5.49</v>
      </c>
      <c r="D3641" s="3">
        <v>34</v>
      </c>
      <c r="E3641" s="3">
        <v>186.66</v>
      </c>
      <c r="F3641" t="str">
        <f t="shared" si="284"/>
        <v>cogs</v>
      </c>
      <c r="G3641" s="7" t="str">
        <f t="shared" si="285"/>
        <v>product 1</v>
      </c>
      <c r="H3641">
        <f t="shared" si="286"/>
        <v>2025</v>
      </c>
      <c r="I3641">
        <f t="shared" si="287"/>
        <v>5</v>
      </c>
      <c r="J3641">
        <f t="shared" si="288"/>
        <v>699.44</v>
      </c>
    </row>
    <row r="3642" spans="1:10" ht="12.5" x14ac:dyDescent="0.25">
      <c r="A3642" s="1">
        <v>45797</v>
      </c>
      <c r="B3642" s="2" t="s">
        <v>8</v>
      </c>
      <c r="C3642" s="3">
        <v>19.989999999999998</v>
      </c>
      <c r="D3642" s="3">
        <v>3</v>
      </c>
      <c r="E3642" s="3">
        <v>59.97</v>
      </c>
      <c r="F3642" t="str">
        <f t="shared" si="284"/>
        <v>cogs</v>
      </c>
      <c r="G3642" s="7" t="str">
        <f t="shared" si="285"/>
        <v>product 2</v>
      </c>
      <c r="H3642">
        <f t="shared" si="286"/>
        <v>2025</v>
      </c>
      <c r="I3642">
        <f t="shared" si="287"/>
        <v>5</v>
      </c>
      <c r="J3642">
        <f t="shared" si="288"/>
        <v>-192.15</v>
      </c>
    </row>
    <row r="3643" spans="1:10" ht="12.5" x14ac:dyDescent="0.25">
      <c r="A3643" s="1">
        <v>45797</v>
      </c>
      <c r="B3643" s="2" t="s">
        <v>9</v>
      </c>
      <c r="C3643" s="3">
        <v>8.99</v>
      </c>
      <c r="D3643" s="3">
        <v>0</v>
      </c>
      <c r="E3643" s="2">
        <f>C3643*D3643</f>
        <v>0</v>
      </c>
      <c r="F3643" t="str">
        <f t="shared" si="284"/>
        <v>cogs</v>
      </c>
      <c r="G3643" s="7" t="str">
        <f t="shared" si="285"/>
        <v>product 3</v>
      </c>
      <c r="H3643">
        <f t="shared" si="286"/>
        <v>2025</v>
      </c>
      <c r="I3643">
        <f t="shared" si="287"/>
        <v>5</v>
      </c>
      <c r="J3643">
        <f t="shared" si="288"/>
        <v>-39.979999999999997</v>
      </c>
    </row>
    <row r="3644" spans="1:10" ht="12.5" x14ac:dyDescent="0.25">
      <c r="A3644" s="1">
        <v>45797</v>
      </c>
      <c r="B3644" s="2" t="s">
        <v>10</v>
      </c>
      <c r="C3644" s="2" t="s">
        <v>6</v>
      </c>
      <c r="D3644" s="2" t="s">
        <v>6</v>
      </c>
      <c r="E3644" s="3">
        <v>119</v>
      </c>
      <c r="F3644" t="str">
        <f t="shared" si="284"/>
        <v>marketing</v>
      </c>
      <c r="G3644" s="7" t="s">
        <v>6</v>
      </c>
      <c r="H3644">
        <f t="shared" si="286"/>
        <v>2025</v>
      </c>
      <c r="I3644">
        <f t="shared" si="287"/>
        <v>5</v>
      </c>
      <c r="J3644">
        <f t="shared" si="288"/>
        <v>-710.21</v>
      </c>
    </row>
    <row r="3645" spans="1:10" ht="12.5" x14ac:dyDescent="0.25">
      <c r="A3645" s="1">
        <v>45797</v>
      </c>
      <c r="B3645" s="2" t="s">
        <v>11</v>
      </c>
      <c r="C3645" s="3">
        <v>9.99</v>
      </c>
      <c r="D3645" s="3">
        <v>34</v>
      </c>
      <c r="E3645" s="3">
        <v>339.66</v>
      </c>
      <c r="F3645" t="str">
        <f t="shared" si="284"/>
        <v>net sales</v>
      </c>
      <c r="G3645" s="7" t="str">
        <f t="shared" si="285"/>
        <v>product 1</v>
      </c>
      <c r="H3645">
        <f t="shared" si="286"/>
        <v>2025</v>
      </c>
      <c r="I3645">
        <f t="shared" si="287"/>
        <v>5</v>
      </c>
      <c r="J3645">
        <f t="shared" si="288"/>
        <v>-113.95</v>
      </c>
    </row>
    <row r="3646" spans="1:10" ht="12.5" x14ac:dyDescent="0.25">
      <c r="A3646" s="1">
        <v>45797</v>
      </c>
      <c r="B3646" s="2" t="s">
        <v>12</v>
      </c>
      <c r="C3646" s="3">
        <v>24.99</v>
      </c>
      <c r="D3646" s="3">
        <v>3</v>
      </c>
      <c r="E3646" s="3">
        <v>74.97</v>
      </c>
      <c r="F3646" t="str">
        <f t="shared" si="284"/>
        <v>net sales</v>
      </c>
      <c r="G3646" s="7" t="str">
        <f t="shared" si="285"/>
        <v>product 2</v>
      </c>
      <c r="H3646">
        <f t="shared" si="286"/>
        <v>2025</v>
      </c>
      <c r="I3646">
        <f t="shared" si="287"/>
        <v>5</v>
      </c>
      <c r="J3646">
        <f t="shared" si="288"/>
        <v>349.65000000000003</v>
      </c>
    </row>
    <row r="3647" spans="1:10" ht="12.5" x14ac:dyDescent="0.25">
      <c r="A3647" s="1">
        <v>45797</v>
      </c>
      <c r="B3647" s="2" t="s">
        <v>13</v>
      </c>
      <c r="C3647" s="3">
        <v>12.49</v>
      </c>
      <c r="D3647" s="3">
        <v>0</v>
      </c>
      <c r="E3647" s="2">
        <f>C3647*D3647</f>
        <v>0</v>
      </c>
      <c r="F3647" t="str">
        <f t="shared" si="284"/>
        <v>net sales</v>
      </c>
      <c r="G3647" s="7" t="str">
        <f t="shared" si="285"/>
        <v>product 3</v>
      </c>
      <c r="H3647">
        <f t="shared" si="286"/>
        <v>2025</v>
      </c>
      <c r="I3647">
        <f t="shared" si="287"/>
        <v>5</v>
      </c>
      <c r="J3647">
        <f t="shared" si="288"/>
        <v>49.98</v>
      </c>
    </row>
    <row r="3648" spans="1:10" ht="12.5" x14ac:dyDescent="0.25">
      <c r="A3648" s="1">
        <v>45798</v>
      </c>
      <c r="B3648" s="2" t="s">
        <v>7</v>
      </c>
      <c r="C3648" s="3">
        <v>5.49</v>
      </c>
      <c r="D3648" s="3">
        <v>18</v>
      </c>
      <c r="E3648" s="3">
        <v>98.820000000000007</v>
      </c>
      <c r="F3648" t="str">
        <f t="shared" si="284"/>
        <v>cogs</v>
      </c>
      <c r="G3648" s="7" t="str">
        <f t="shared" si="285"/>
        <v>product 1</v>
      </c>
      <c r="H3648">
        <f t="shared" si="286"/>
        <v>2025</v>
      </c>
      <c r="I3648">
        <f t="shared" si="287"/>
        <v>5</v>
      </c>
      <c r="J3648">
        <f t="shared" si="288"/>
        <v>986.71</v>
      </c>
    </row>
    <row r="3649" spans="1:10" ht="12.5" x14ac:dyDescent="0.25">
      <c r="A3649" s="1">
        <v>45798</v>
      </c>
      <c r="B3649" s="2" t="s">
        <v>8</v>
      </c>
      <c r="C3649" s="3">
        <v>19.989999999999998</v>
      </c>
      <c r="D3649" s="3">
        <v>0</v>
      </c>
      <c r="E3649" s="2">
        <f>C3649*D3649</f>
        <v>0</v>
      </c>
      <c r="F3649" t="str">
        <f t="shared" si="284"/>
        <v>cogs</v>
      </c>
      <c r="G3649" s="7" t="str">
        <f t="shared" si="285"/>
        <v>product 2</v>
      </c>
      <c r="H3649">
        <f t="shared" si="286"/>
        <v>2025</v>
      </c>
      <c r="I3649">
        <f t="shared" si="287"/>
        <v>5</v>
      </c>
      <c r="J3649">
        <f t="shared" si="288"/>
        <v>-263.52</v>
      </c>
    </row>
    <row r="3650" spans="1:10" ht="12.5" x14ac:dyDescent="0.25">
      <c r="A3650" s="1">
        <v>45798</v>
      </c>
      <c r="B3650" s="2" t="s">
        <v>9</v>
      </c>
      <c r="C3650" s="3">
        <v>8.99</v>
      </c>
      <c r="D3650" s="3">
        <v>230</v>
      </c>
      <c r="E3650" s="3">
        <v>2067.7000000000003</v>
      </c>
      <c r="F3650" t="str">
        <f t="shared" si="284"/>
        <v>cogs</v>
      </c>
      <c r="G3650" s="7" t="str">
        <f t="shared" si="285"/>
        <v>product 3</v>
      </c>
      <c r="H3650">
        <f t="shared" si="286"/>
        <v>2025</v>
      </c>
      <c r="I3650">
        <f t="shared" si="287"/>
        <v>5</v>
      </c>
      <c r="J3650">
        <f t="shared" si="288"/>
        <v>-19.989999999999998</v>
      </c>
    </row>
    <row r="3651" spans="1:10" ht="12.5" x14ac:dyDescent="0.25">
      <c r="A3651" s="1">
        <v>45798</v>
      </c>
      <c r="B3651" s="2" t="s">
        <v>10</v>
      </c>
      <c r="C3651" s="2" t="s">
        <v>6</v>
      </c>
      <c r="D3651" s="2" t="s">
        <v>6</v>
      </c>
      <c r="E3651" s="3">
        <v>103.07000000000001</v>
      </c>
      <c r="F3651" t="str">
        <f t="shared" ref="F3651:F3714" si="289">IFERROR(LEFT(B3651,FIND(":",B3651)-1),B3651)</f>
        <v>marketing</v>
      </c>
      <c r="G3651" s="7" t="s">
        <v>6</v>
      </c>
      <c r="H3651">
        <f t="shared" ref="H3651:H3714" si="290">YEAR(A3651)</f>
        <v>2025</v>
      </c>
      <c r="I3651">
        <f t="shared" ref="I3651:I3714" si="291">MONTH(A3651)</f>
        <v>5</v>
      </c>
      <c r="J3651">
        <f t="shared" si="288"/>
        <v>-1501.33</v>
      </c>
    </row>
    <row r="3652" spans="1:10" ht="12.5" x14ac:dyDescent="0.25">
      <c r="A3652" s="1">
        <v>45798</v>
      </c>
      <c r="B3652" s="2" t="s">
        <v>11</v>
      </c>
      <c r="C3652" s="3">
        <v>9.99</v>
      </c>
      <c r="D3652" s="3">
        <v>18</v>
      </c>
      <c r="E3652" s="3">
        <v>179.82</v>
      </c>
      <c r="F3652" t="str">
        <f t="shared" si="289"/>
        <v>net sales</v>
      </c>
      <c r="G3652" s="7" t="str">
        <f t="shared" ref="G3652:G3714" si="292">IFERROR(RIGHT(B3652,LEN(B3652)-FIND(":",B3652)),"")</f>
        <v>product 1</v>
      </c>
      <c r="H3652">
        <f t="shared" si="290"/>
        <v>2025</v>
      </c>
      <c r="I3652">
        <f t="shared" si="291"/>
        <v>5</v>
      </c>
      <c r="J3652">
        <f t="shared" si="288"/>
        <v>-108</v>
      </c>
    </row>
    <row r="3653" spans="1:10" ht="12.5" x14ac:dyDescent="0.25">
      <c r="A3653" s="1">
        <v>45798</v>
      </c>
      <c r="B3653" s="2" t="s">
        <v>12</v>
      </c>
      <c r="C3653" s="3">
        <v>24.99</v>
      </c>
      <c r="D3653" s="3">
        <v>0</v>
      </c>
      <c r="E3653" s="2">
        <f>C3653*D3653</f>
        <v>0</v>
      </c>
      <c r="F3653" t="str">
        <f t="shared" si="289"/>
        <v>net sales</v>
      </c>
      <c r="G3653" s="7" t="str">
        <f t="shared" si="292"/>
        <v>product 2</v>
      </c>
      <c r="H3653">
        <f t="shared" si="290"/>
        <v>2025</v>
      </c>
      <c r="I3653">
        <f t="shared" si="291"/>
        <v>5</v>
      </c>
      <c r="J3653">
        <f t="shared" si="288"/>
        <v>479.52</v>
      </c>
    </row>
    <row r="3654" spans="1:10" ht="12.5" x14ac:dyDescent="0.25">
      <c r="A3654" s="1">
        <v>45798</v>
      </c>
      <c r="B3654" s="2" t="s">
        <v>13</v>
      </c>
      <c r="C3654" s="3">
        <v>12.49</v>
      </c>
      <c r="D3654" s="3">
        <v>230</v>
      </c>
      <c r="E3654" s="3">
        <v>2872.7000000000003</v>
      </c>
      <c r="F3654" t="str">
        <f t="shared" si="289"/>
        <v>net sales</v>
      </c>
      <c r="G3654" s="7" t="str">
        <f t="shared" si="292"/>
        <v>product 3</v>
      </c>
      <c r="H3654">
        <f t="shared" si="290"/>
        <v>2025</v>
      </c>
      <c r="I3654">
        <f t="shared" si="291"/>
        <v>5</v>
      </c>
      <c r="J3654">
        <f t="shared" si="288"/>
        <v>24.99</v>
      </c>
    </row>
    <row r="3655" spans="1:10" ht="12.5" x14ac:dyDescent="0.25">
      <c r="A3655" s="1">
        <v>45799</v>
      </c>
      <c r="B3655" s="2" t="s">
        <v>7</v>
      </c>
      <c r="C3655" s="3">
        <v>5.49</v>
      </c>
      <c r="D3655" s="3">
        <v>21</v>
      </c>
      <c r="E3655" s="3">
        <v>115.29</v>
      </c>
      <c r="F3655" t="str">
        <f t="shared" si="289"/>
        <v>cogs</v>
      </c>
      <c r="G3655" s="7" t="str">
        <f t="shared" si="292"/>
        <v>product 1</v>
      </c>
      <c r="H3655">
        <f t="shared" si="290"/>
        <v>2025</v>
      </c>
      <c r="I3655">
        <f t="shared" si="291"/>
        <v>5</v>
      </c>
      <c r="J3655">
        <f t="shared" si="288"/>
        <v>2085.83</v>
      </c>
    </row>
    <row r="3656" spans="1:10" ht="12.5" x14ac:dyDescent="0.25">
      <c r="A3656" s="1">
        <v>45799</v>
      </c>
      <c r="B3656" s="2" t="s">
        <v>8</v>
      </c>
      <c r="C3656" s="3">
        <v>19.989999999999998</v>
      </c>
      <c r="D3656" s="3">
        <v>7</v>
      </c>
      <c r="E3656" s="3">
        <v>139.92999999999998</v>
      </c>
      <c r="F3656" t="str">
        <f t="shared" si="289"/>
        <v>cogs</v>
      </c>
      <c r="G3656" s="7" t="str">
        <f t="shared" si="292"/>
        <v>product 2</v>
      </c>
      <c r="H3656">
        <f t="shared" si="290"/>
        <v>2025</v>
      </c>
      <c r="I3656">
        <f t="shared" si="291"/>
        <v>5</v>
      </c>
      <c r="J3656">
        <f t="shared" si="288"/>
        <v>-527.04</v>
      </c>
    </row>
    <row r="3657" spans="1:10" ht="12.5" x14ac:dyDescent="0.25">
      <c r="A3657" s="1">
        <v>45799</v>
      </c>
      <c r="B3657" s="2" t="s">
        <v>9</v>
      </c>
      <c r="C3657" s="3">
        <v>8.99</v>
      </c>
      <c r="D3657" s="3">
        <v>77</v>
      </c>
      <c r="E3657" s="3">
        <v>692.23</v>
      </c>
      <c r="F3657" t="str">
        <f t="shared" si="289"/>
        <v>cogs</v>
      </c>
      <c r="G3657" s="7" t="str">
        <f t="shared" si="292"/>
        <v>product 3</v>
      </c>
      <c r="H3657">
        <f t="shared" si="290"/>
        <v>2025</v>
      </c>
      <c r="I3657">
        <f t="shared" si="291"/>
        <v>5</v>
      </c>
      <c r="J3657">
        <f t="shared" si="288"/>
        <v>-139.92999999999998</v>
      </c>
    </row>
    <row r="3658" spans="1:10" ht="12.5" x14ac:dyDescent="0.25">
      <c r="A3658" s="1">
        <v>45799</v>
      </c>
      <c r="B3658" s="2" t="s">
        <v>10</v>
      </c>
      <c r="C3658" s="2" t="s">
        <v>6</v>
      </c>
      <c r="D3658" s="2" t="s">
        <v>6</v>
      </c>
      <c r="E3658" s="3">
        <v>117.07000000000001</v>
      </c>
      <c r="F3658" t="str">
        <f t="shared" si="289"/>
        <v>marketing</v>
      </c>
      <c r="G3658" s="7" t="s">
        <v>6</v>
      </c>
      <c r="H3658">
        <f t="shared" si="290"/>
        <v>2025</v>
      </c>
      <c r="I3658">
        <f t="shared" si="291"/>
        <v>5</v>
      </c>
      <c r="J3658">
        <f t="shared" si="288"/>
        <v>-305.66000000000003</v>
      </c>
    </row>
    <row r="3659" spans="1:10" ht="12.5" x14ac:dyDescent="0.25">
      <c r="A3659" s="1">
        <v>45799</v>
      </c>
      <c r="B3659" s="2" t="s">
        <v>11</v>
      </c>
      <c r="C3659" s="3">
        <v>9.99</v>
      </c>
      <c r="D3659" s="3">
        <v>21</v>
      </c>
      <c r="E3659" s="3">
        <v>209.79</v>
      </c>
      <c r="F3659" t="str">
        <f t="shared" si="289"/>
        <v>net sales</v>
      </c>
      <c r="G3659" s="7" t="str">
        <f t="shared" si="292"/>
        <v>product 1</v>
      </c>
      <c r="H3659">
        <f t="shared" si="290"/>
        <v>2025</v>
      </c>
      <c r="I3659">
        <f t="shared" si="291"/>
        <v>5</v>
      </c>
      <c r="J3659">
        <f t="shared" si="288"/>
        <v>-118.04</v>
      </c>
    </row>
    <row r="3660" spans="1:10" ht="12.5" x14ac:dyDescent="0.25">
      <c r="A3660" s="1">
        <v>45799</v>
      </c>
      <c r="B3660" s="2" t="s">
        <v>12</v>
      </c>
      <c r="C3660" s="3">
        <v>24.99</v>
      </c>
      <c r="D3660" s="3">
        <v>7</v>
      </c>
      <c r="E3660" s="3">
        <v>174.92999999999998</v>
      </c>
      <c r="F3660" t="str">
        <f t="shared" si="289"/>
        <v>net sales</v>
      </c>
      <c r="G3660" s="7" t="str">
        <f t="shared" si="292"/>
        <v>product 2</v>
      </c>
      <c r="H3660">
        <f t="shared" si="290"/>
        <v>2025</v>
      </c>
      <c r="I3660">
        <f t="shared" si="291"/>
        <v>5</v>
      </c>
      <c r="J3660">
        <f t="shared" si="288"/>
        <v>959.04</v>
      </c>
    </row>
    <row r="3661" spans="1:10" ht="12.5" x14ac:dyDescent="0.25">
      <c r="A3661" s="1">
        <v>45799</v>
      </c>
      <c r="B3661" s="2" t="s">
        <v>13</v>
      </c>
      <c r="C3661" s="3">
        <v>12.49</v>
      </c>
      <c r="D3661" s="3">
        <v>77</v>
      </c>
      <c r="E3661" s="3">
        <v>961.73</v>
      </c>
      <c r="F3661" t="str">
        <f t="shared" si="289"/>
        <v>net sales</v>
      </c>
      <c r="G3661" s="7" t="str">
        <f t="shared" si="292"/>
        <v>product 3</v>
      </c>
      <c r="H3661">
        <f t="shared" si="290"/>
        <v>2025</v>
      </c>
      <c r="I3661">
        <f t="shared" si="291"/>
        <v>5</v>
      </c>
      <c r="J3661">
        <f t="shared" si="288"/>
        <v>174.92999999999998</v>
      </c>
    </row>
    <row r="3662" spans="1:10" ht="12.5" x14ac:dyDescent="0.25">
      <c r="A3662" s="1">
        <v>45800</v>
      </c>
      <c r="B3662" s="2" t="s">
        <v>7</v>
      </c>
      <c r="C3662" s="3">
        <v>5.49</v>
      </c>
      <c r="D3662" s="3">
        <v>85</v>
      </c>
      <c r="E3662" s="3">
        <v>466.65000000000003</v>
      </c>
      <c r="F3662" t="str">
        <f t="shared" si="289"/>
        <v>cogs</v>
      </c>
      <c r="G3662" s="7" t="str">
        <f t="shared" si="292"/>
        <v>product 1</v>
      </c>
      <c r="H3662">
        <f t="shared" si="290"/>
        <v>2025</v>
      </c>
      <c r="I3662">
        <f t="shared" si="291"/>
        <v>5</v>
      </c>
      <c r="J3662">
        <f t="shared" si="288"/>
        <v>424.66</v>
      </c>
    </row>
    <row r="3663" spans="1:10" ht="12.5" x14ac:dyDescent="0.25">
      <c r="A3663" s="1">
        <v>45800</v>
      </c>
      <c r="B3663" s="2" t="s">
        <v>8</v>
      </c>
      <c r="C3663" s="3">
        <v>19.989999999999998</v>
      </c>
      <c r="D3663" s="3">
        <v>7</v>
      </c>
      <c r="E3663" s="3">
        <v>139.92999999999998</v>
      </c>
      <c r="F3663" t="str">
        <f t="shared" si="289"/>
        <v>cogs</v>
      </c>
      <c r="G3663" s="7" t="str">
        <f t="shared" si="292"/>
        <v>product 2</v>
      </c>
      <c r="H3663">
        <f t="shared" si="290"/>
        <v>2025</v>
      </c>
      <c r="I3663">
        <f t="shared" si="291"/>
        <v>5</v>
      </c>
      <c r="J3663">
        <f t="shared" si="288"/>
        <v>-516.06000000000006</v>
      </c>
    </row>
    <row r="3664" spans="1:10" ht="12.5" x14ac:dyDescent="0.25">
      <c r="A3664" s="1">
        <v>45800</v>
      </c>
      <c r="B3664" s="2" t="s">
        <v>9</v>
      </c>
      <c r="C3664" s="3">
        <v>8.99</v>
      </c>
      <c r="D3664" s="3">
        <v>81</v>
      </c>
      <c r="E3664" s="3">
        <v>728.19</v>
      </c>
      <c r="F3664" t="str">
        <f t="shared" si="289"/>
        <v>cogs</v>
      </c>
      <c r="G3664" s="7" t="str">
        <f t="shared" si="292"/>
        <v>product 3</v>
      </c>
      <c r="H3664">
        <f t="shared" si="290"/>
        <v>2025</v>
      </c>
      <c r="I3664">
        <f t="shared" si="291"/>
        <v>5</v>
      </c>
      <c r="J3664">
        <f t="shared" si="288"/>
        <v>-139.92999999999998</v>
      </c>
    </row>
    <row r="3665" spans="1:10" ht="12.5" x14ac:dyDescent="0.25">
      <c r="A3665" s="1">
        <v>45800</v>
      </c>
      <c r="B3665" s="2" t="s">
        <v>10</v>
      </c>
      <c r="C3665" s="2" t="s">
        <v>6</v>
      </c>
      <c r="D3665" s="2" t="s">
        <v>6</v>
      </c>
      <c r="E3665" s="3">
        <v>117.99000000000001</v>
      </c>
      <c r="F3665" t="str">
        <f t="shared" si="289"/>
        <v>marketing</v>
      </c>
      <c r="G3665" s="7" t="s">
        <v>6</v>
      </c>
      <c r="H3665">
        <f t="shared" si="290"/>
        <v>2025</v>
      </c>
      <c r="I3665">
        <f t="shared" si="291"/>
        <v>5</v>
      </c>
      <c r="J3665">
        <f t="shared" si="288"/>
        <v>-323.64</v>
      </c>
    </row>
    <row r="3666" spans="1:10" ht="12.5" x14ac:dyDescent="0.25">
      <c r="A3666" s="1">
        <v>45800</v>
      </c>
      <c r="B3666" s="2" t="s">
        <v>11</v>
      </c>
      <c r="C3666" s="3">
        <v>9.99</v>
      </c>
      <c r="D3666" s="3">
        <v>85</v>
      </c>
      <c r="E3666" s="3">
        <v>849.15</v>
      </c>
      <c r="F3666" t="str">
        <f t="shared" si="289"/>
        <v>net sales</v>
      </c>
      <c r="G3666" s="7" t="str">
        <f t="shared" si="292"/>
        <v>product 1</v>
      </c>
      <c r="H3666">
        <f t="shared" si="290"/>
        <v>2025</v>
      </c>
      <c r="I3666">
        <f t="shared" si="291"/>
        <v>5</v>
      </c>
      <c r="J3666">
        <f t="shared" si="288"/>
        <v>-110.02</v>
      </c>
    </row>
    <row r="3667" spans="1:10" ht="12.5" x14ac:dyDescent="0.25">
      <c r="A3667" s="1">
        <v>45800</v>
      </c>
      <c r="B3667" s="2" t="s">
        <v>12</v>
      </c>
      <c r="C3667" s="3">
        <v>24.99</v>
      </c>
      <c r="D3667" s="3">
        <v>7</v>
      </c>
      <c r="E3667" s="3">
        <v>174.92999999999998</v>
      </c>
      <c r="F3667" t="str">
        <f t="shared" si="289"/>
        <v>net sales</v>
      </c>
      <c r="G3667" s="7" t="str">
        <f t="shared" si="292"/>
        <v>product 2</v>
      </c>
      <c r="H3667">
        <f t="shared" si="290"/>
        <v>2025</v>
      </c>
      <c r="I3667">
        <f t="shared" si="291"/>
        <v>5</v>
      </c>
      <c r="J3667">
        <f t="shared" si="288"/>
        <v>939.06000000000006</v>
      </c>
    </row>
    <row r="3668" spans="1:10" ht="12.5" x14ac:dyDescent="0.25">
      <c r="A3668" s="1">
        <v>45800</v>
      </c>
      <c r="B3668" s="2" t="s">
        <v>13</v>
      </c>
      <c r="C3668" s="3">
        <v>12.49</v>
      </c>
      <c r="D3668" s="3">
        <v>81</v>
      </c>
      <c r="E3668" s="3">
        <v>1011.69</v>
      </c>
      <c r="F3668" t="str">
        <f t="shared" si="289"/>
        <v>net sales</v>
      </c>
      <c r="G3668" s="7" t="str">
        <f t="shared" si="292"/>
        <v>product 3</v>
      </c>
      <c r="H3668">
        <f t="shared" si="290"/>
        <v>2025</v>
      </c>
      <c r="I3668">
        <f t="shared" si="291"/>
        <v>5</v>
      </c>
      <c r="J3668">
        <f t="shared" si="288"/>
        <v>174.92999999999998</v>
      </c>
    </row>
    <row r="3669" spans="1:10" ht="12.5" x14ac:dyDescent="0.25">
      <c r="A3669" s="1">
        <v>45800</v>
      </c>
      <c r="B3669" s="2" t="s">
        <v>15</v>
      </c>
      <c r="C3669" s="2" t="s">
        <v>6</v>
      </c>
      <c r="D3669" s="2" t="s">
        <v>6</v>
      </c>
      <c r="E3669" s="3">
        <v>1200</v>
      </c>
      <c r="F3669" t="str">
        <f t="shared" si="289"/>
        <v>payroll</v>
      </c>
      <c r="G3669" s="7" t="s">
        <v>6</v>
      </c>
      <c r="H3669">
        <f t="shared" si="290"/>
        <v>2025</v>
      </c>
      <c r="I3669">
        <f t="shared" si="291"/>
        <v>5</v>
      </c>
      <c r="J3669">
        <f t="shared" si="288"/>
        <v>449.64</v>
      </c>
    </row>
    <row r="3670" spans="1:10" ht="12.5" x14ac:dyDescent="0.25">
      <c r="A3670" s="1">
        <v>45801</v>
      </c>
      <c r="B3670" s="2" t="s">
        <v>7</v>
      </c>
      <c r="C3670" s="3">
        <v>5.49</v>
      </c>
      <c r="D3670" s="3">
        <v>79</v>
      </c>
      <c r="E3670" s="3">
        <v>433.71000000000004</v>
      </c>
      <c r="F3670" t="str">
        <f t="shared" si="289"/>
        <v>cogs</v>
      </c>
      <c r="G3670" s="7" t="str">
        <f t="shared" si="292"/>
        <v>product 1</v>
      </c>
      <c r="H3670">
        <f t="shared" si="290"/>
        <v>2025</v>
      </c>
      <c r="I3670">
        <f t="shared" si="291"/>
        <v>5</v>
      </c>
      <c r="J3670">
        <f t="shared" si="288"/>
        <v>-521.55000000000007</v>
      </c>
    </row>
    <row r="3671" spans="1:10" ht="12.5" x14ac:dyDescent="0.25">
      <c r="A3671" s="1">
        <v>45801</v>
      </c>
      <c r="B3671" s="2" t="s">
        <v>8</v>
      </c>
      <c r="C3671" s="3">
        <v>19.989999999999998</v>
      </c>
      <c r="D3671" s="3">
        <v>6</v>
      </c>
      <c r="E3671" s="3">
        <v>119.94</v>
      </c>
      <c r="F3671" t="str">
        <f t="shared" si="289"/>
        <v>cogs</v>
      </c>
      <c r="G3671" s="7" t="str">
        <f t="shared" si="292"/>
        <v>product 2</v>
      </c>
      <c r="H3671">
        <f t="shared" si="290"/>
        <v>2025</v>
      </c>
      <c r="I3671">
        <f t="shared" si="291"/>
        <v>5</v>
      </c>
      <c r="J3671">
        <f t="shared" si="288"/>
        <v>-79.959999999999994</v>
      </c>
    </row>
    <row r="3672" spans="1:10" ht="12.5" x14ac:dyDescent="0.25">
      <c r="A3672" s="1">
        <v>45801</v>
      </c>
      <c r="B3672" s="2" t="s">
        <v>9</v>
      </c>
      <c r="C3672" s="3">
        <v>8.99</v>
      </c>
      <c r="D3672" s="3">
        <v>48</v>
      </c>
      <c r="E3672" s="3">
        <v>431.52</v>
      </c>
      <c r="F3672" t="str">
        <f t="shared" si="289"/>
        <v>cogs</v>
      </c>
      <c r="G3672" s="7" t="str">
        <f t="shared" si="292"/>
        <v>product 3</v>
      </c>
      <c r="H3672">
        <f t="shared" si="290"/>
        <v>2025</v>
      </c>
      <c r="I3672">
        <f t="shared" si="291"/>
        <v>5</v>
      </c>
      <c r="J3672">
        <f t="shared" si="288"/>
        <v>-2211.54</v>
      </c>
    </row>
    <row r="3673" spans="1:10" ht="12.5" x14ac:dyDescent="0.25">
      <c r="A3673" s="1">
        <v>45801</v>
      </c>
      <c r="B3673" s="2" t="s">
        <v>10</v>
      </c>
      <c r="C3673" s="2" t="s">
        <v>6</v>
      </c>
      <c r="D3673" s="2" t="s">
        <v>6</v>
      </c>
      <c r="E3673" s="3">
        <v>114.09</v>
      </c>
      <c r="F3673" t="str">
        <f t="shared" si="289"/>
        <v>marketing</v>
      </c>
      <c r="G3673" s="7" t="s">
        <v>6</v>
      </c>
      <c r="H3673">
        <f t="shared" si="290"/>
        <v>2025</v>
      </c>
      <c r="I3673">
        <f t="shared" si="291"/>
        <v>5</v>
      </c>
      <c r="J3673">
        <f t="shared" si="288"/>
        <v>-106.02</v>
      </c>
    </row>
    <row r="3674" spans="1:10" ht="12.5" x14ac:dyDescent="0.25">
      <c r="A3674" s="1">
        <v>45801</v>
      </c>
      <c r="B3674" s="2" t="s">
        <v>11</v>
      </c>
      <c r="C3674" s="3">
        <v>9.99</v>
      </c>
      <c r="D3674" s="3">
        <v>79</v>
      </c>
      <c r="E3674" s="3">
        <v>789.21</v>
      </c>
      <c r="F3674" t="str">
        <f t="shared" si="289"/>
        <v>net sales</v>
      </c>
      <c r="G3674" s="7" t="str">
        <f t="shared" si="292"/>
        <v>product 1</v>
      </c>
      <c r="H3674">
        <f t="shared" si="290"/>
        <v>2025</v>
      </c>
      <c r="I3674">
        <f t="shared" si="291"/>
        <v>5</v>
      </c>
      <c r="J3674">
        <f t="shared" si="288"/>
        <v>949.05000000000007</v>
      </c>
    </row>
    <row r="3675" spans="1:10" ht="12.5" x14ac:dyDescent="0.25">
      <c r="A3675" s="1">
        <v>45801</v>
      </c>
      <c r="B3675" s="2" t="s">
        <v>12</v>
      </c>
      <c r="C3675" s="3">
        <v>24.99</v>
      </c>
      <c r="D3675" s="3">
        <v>6</v>
      </c>
      <c r="E3675" s="3">
        <v>149.94</v>
      </c>
      <c r="F3675" t="str">
        <f t="shared" si="289"/>
        <v>net sales</v>
      </c>
      <c r="G3675" s="7" t="str">
        <f t="shared" si="292"/>
        <v>product 2</v>
      </c>
      <c r="H3675">
        <f t="shared" si="290"/>
        <v>2025</v>
      </c>
      <c r="I3675">
        <f t="shared" si="291"/>
        <v>5</v>
      </c>
      <c r="J3675">
        <f t="shared" si="288"/>
        <v>99.96</v>
      </c>
    </row>
    <row r="3676" spans="1:10" ht="12.5" x14ac:dyDescent="0.25">
      <c r="A3676" s="1">
        <v>45801</v>
      </c>
      <c r="B3676" s="2" t="s">
        <v>13</v>
      </c>
      <c r="C3676" s="3">
        <v>12.49</v>
      </c>
      <c r="D3676" s="3">
        <v>48</v>
      </c>
      <c r="E3676" s="3">
        <v>599.52</v>
      </c>
      <c r="F3676" t="str">
        <f t="shared" si="289"/>
        <v>net sales</v>
      </c>
      <c r="G3676" s="7" t="str">
        <f t="shared" si="292"/>
        <v>product 3</v>
      </c>
      <c r="H3676">
        <f t="shared" si="290"/>
        <v>2025</v>
      </c>
      <c r="I3676">
        <f t="shared" si="291"/>
        <v>5</v>
      </c>
      <c r="J3676">
        <f t="shared" ref="J3676:J3739" si="293">IF(F3459="net sales",E3459,
IF(F3459="cogs",-E3459,
IF(OR(F3459="marketing",F3459="overhead",F3459="payroll",F3459="interest","amortization"),-E3459,0)))</f>
        <v>3072.54</v>
      </c>
    </row>
    <row r="3677" spans="1:10" ht="12.5" x14ac:dyDescent="0.25">
      <c r="A3677" s="1">
        <v>45802</v>
      </c>
      <c r="B3677" s="2" t="s">
        <v>7</v>
      </c>
      <c r="C3677" s="3">
        <v>5.49</v>
      </c>
      <c r="D3677" s="3">
        <v>21</v>
      </c>
      <c r="E3677" s="3">
        <v>115.29</v>
      </c>
      <c r="F3677" t="str">
        <f t="shared" si="289"/>
        <v>cogs</v>
      </c>
      <c r="G3677" s="7" t="str">
        <f t="shared" si="292"/>
        <v>product 1</v>
      </c>
      <c r="H3677">
        <f t="shared" si="290"/>
        <v>2025</v>
      </c>
      <c r="I3677">
        <f t="shared" si="291"/>
        <v>5</v>
      </c>
      <c r="J3677">
        <f t="shared" si="293"/>
        <v>-27.450000000000003</v>
      </c>
    </row>
    <row r="3678" spans="1:10" ht="12.5" x14ac:dyDescent="0.25">
      <c r="A3678" s="1">
        <v>45802</v>
      </c>
      <c r="B3678" s="2" t="s">
        <v>8</v>
      </c>
      <c r="C3678" s="3">
        <v>19.989999999999998</v>
      </c>
      <c r="D3678" s="3">
        <v>4</v>
      </c>
      <c r="E3678" s="3">
        <v>79.959999999999994</v>
      </c>
      <c r="F3678" t="str">
        <f t="shared" si="289"/>
        <v>cogs</v>
      </c>
      <c r="G3678" s="7" t="str">
        <f t="shared" si="292"/>
        <v>product 2</v>
      </c>
      <c r="H3678">
        <f t="shared" si="290"/>
        <v>2025</v>
      </c>
      <c r="I3678">
        <f t="shared" si="291"/>
        <v>5</v>
      </c>
      <c r="J3678">
        <f t="shared" si="293"/>
        <v>-119.94</v>
      </c>
    </row>
    <row r="3679" spans="1:10" ht="12.5" x14ac:dyDescent="0.25">
      <c r="A3679" s="1">
        <v>45802</v>
      </c>
      <c r="B3679" s="2" t="s">
        <v>9</v>
      </c>
      <c r="C3679" s="3">
        <v>8.99</v>
      </c>
      <c r="D3679" s="3">
        <v>246</v>
      </c>
      <c r="E3679" s="3">
        <v>2211.54</v>
      </c>
      <c r="F3679" t="str">
        <f t="shared" si="289"/>
        <v>cogs</v>
      </c>
      <c r="G3679" s="7" t="str">
        <f t="shared" si="292"/>
        <v>product 3</v>
      </c>
      <c r="H3679">
        <f t="shared" si="290"/>
        <v>2025</v>
      </c>
      <c r="I3679">
        <f t="shared" si="291"/>
        <v>5</v>
      </c>
      <c r="J3679">
        <f t="shared" si="293"/>
        <v>-1240.6200000000001</v>
      </c>
    </row>
    <row r="3680" spans="1:10" ht="12.5" x14ac:dyDescent="0.25">
      <c r="A3680" s="1">
        <v>45802</v>
      </c>
      <c r="B3680" s="2" t="s">
        <v>10</v>
      </c>
      <c r="C3680" s="2" t="s">
        <v>6</v>
      </c>
      <c r="D3680" s="2" t="s">
        <v>6</v>
      </c>
      <c r="E3680" s="3">
        <v>118.04</v>
      </c>
      <c r="F3680" t="str">
        <f t="shared" si="289"/>
        <v>marketing</v>
      </c>
      <c r="G3680" s="7" t="s">
        <v>6</v>
      </c>
      <c r="H3680">
        <f t="shared" si="290"/>
        <v>2025</v>
      </c>
      <c r="I3680">
        <f t="shared" si="291"/>
        <v>5</v>
      </c>
      <c r="J3680">
        <f t="shared" si="293"/>
        <v>-118</v>
      </c>
    </row>
    <row r="3681" spans="1:10" ht="12.5" x14ac:dyDescent="0.25">
      <c r="A3681" s="1">
        <v>45802</v>
      </c>
      <c r="B3681" s="2" t="s">
        <v>11</v>
      </c>
      <c r="C3681" s="3">
        <v>9.99</v>
      </c>
      <c r="D3681" s="3">
        <v>21</v>
      </c>
      <c r="E3681" s="3">
        <v>209.79</v>
      </c>
      <c r="F3681" t="str">
        <f t="shared" si="289"/>
        <v>net sales</v>
      </c>
      <c r="G3681" s="7" t="str">
        <f t="shared" si="292"/>
        <v>product 1</v>
      </c>
      <c r="H3681">
        <f t="shared" si="290"/>
        <v>2025</v>
      </c>
      <c r="I3681">
        <f t="shared" si="291"/>
        <v>5</v>
      </c>
      <c r="J3681">
        <f t="shared" si="293"/>
        <v>49.95</v>
      </c>
    </row>
    <row r="3682" spans="1:10" ht="12.5" x14ac:dyDescent="0.25">
      <c r="A3682" s="1">
        <v>45802</v>
      </c>
      <c r="B3682" s="2" t="s">
        <v>12</v>
      </c>
      <c r="C3682" s="3">
        <v>24.99</v>
      </c>
      <c r="D3682" s="3">
        <v>4</v>
      </c>
      <c r="E3682" s="3">
        <v>99.96</v>
      </c>
      <c r="F3682" t="str">
        <f t="shared" si="289"/>
        <v>net sales</v>
      </c>
      <c r="G3682" s="7" t="str">
        <f t="shared" si="292"/>
        <v>product 2</v>
      </c>
      <c r="H3682">
        <f t="shared" si="290"/>
        <v>2025</v>
      </c>
      <c r="I3682">
        <f t="shared" si="291"/>
        <v>5</v>
      </c>
      <c r="J3682">
        <f t="shared" si="293"/>
        <v>149.94</v>
      </c>
    </row>
    <row r="3683" spans="1:10" ht="12.5" x14ac:dyDescent="0.25">
      <c r="A3683" s="1">
        <v>45802</v>
      </c>
      <c r="B3683" s="2" t="s">
        <v>13</v>
      </c>
      <c r="C3683" s="3">
        <v>12.49</v>
      </c>
      <c r="D3683" s="3">
        <v>246</v>
      </c>
      <c r="E3683" s="3">
        <v>3072.54</v>
      </c>
      <c r="F3683" t="str">
        <f t="shared" si="289"/>
        <v>net sales</v>
      </c>
      <c r="G3683" s="7" t="str">
        <f t="shared" si="292"/>
        <v>product 3</v>
      </c>
      <c r="H3683">
        <f t="shared" si="290"/>
        <v>2025</v>
      </c>
      <c r="I3683">
        <f t="shared" si="291"/>
        <v>5</v>
      </c>
      <c r="J3683">
        <f t="shared" si="293"/>
        <v>1723.6200000000001</v>
      </c>
    </row>
    <row r="3684" spans="1:10" ht="12.5" x14ac:dyDescent="0.25">
      <c r="A3684" s="1">
        <v>45803</v>
      </c>
      <c r="B3684" s="2" t="s">
        <v>7</v>
      </c>
      <c r="C3684" s="3">
        <v>5.49</v>
      </c>
      <c r="D3684" s="3">
        <v>9</v>
      </c>
      <c r="E3684" s="3">
        <v>49.410000000000004</v>
      </c>
      <c r="F3684" t="str">
        <f t="shared" si="289"/>
        <v>cogs</v>
      </c>
      <c r="G3684" s="7" t="str">
        <f t="shared" si="292"/>
        <v>product 1</v>
      </c>
      <c r="H3684">
        <f t="shared" si="290"/>
        <v>2025</v>
      </c>
      <c r="I3684">
        <f t="shared" si="291"/>
        <v>5</v>
      </c>
      <c r="J3684">
        <f t="shared" si="293"/>
        <v>-1200</v>
      </c>
    </row>
    <row r="3685" spans="1:10" ht="12.5" x14ac:dyDescent="0.25">
      <c r="A3685" s="1">
        <v>45803</v>
      </c>
      <c r="B3685" s="2" t="s">
        <v>8</v>
      </c>
      <c r="C3685" s="3">
        <v>19.989999999999998</v>
      </c>
      <c r="D3685" s="3">
        <v>2</v>
      </c>
      <c r="E3685" s="3">
        <v>39.979999999999997</v>
      </c>
      <c r="F3685" t="str">
        <f t="shared" si="289"/>
        <v>cogs</v>
      </c>
      <c r="G3685" s="7" t="str">
        <f t="shared" si="292"/>
        <v>product 2</v>
      </c>
      <c r="H3685">
        <f t="shared" si="290"/>
        <v>2025</v>
      </c>
      <c r="I3685">
        <f t="shared" si="291"/>
        <v>5</v>
      </c>
      <c r="J3685">
        <f t="shared" si="293"/>
        <v>-334.89</v>
      </c>
    </row>
    <row r="3686" spans="1:10" ht="12.5" x14ac:dyDescent="0.25">
      <c r="A3686" s="1">
        <v>45803</v>
      </c>
      <c r="B3686" s="2" t="s">
        <v>9</v>
      </c>
      <c r="C3686" s="3">
        <v>8.99</v>
      </c>
      <c r="D3686" s="3">
        <v>215</v>
      </c>
      <c r="E3686" s="3">
        <v>1932.8500000000001</v>
      </c>
      <c r="F3686" t="str">
        <f t="shared" si="289"/>
        <v>cogs</v>
      </c>
      <c r="G3686" s="7" t="str">
        <f t="shared" si="292"/>
        <v>product 3</v>
      </c>
      <c r="H3686">
        <f t="shared" si="290"/>
        <v>2025</v>
      </c>
      <c r="I3686">
        <f t="shared" si="291"/>
        <v>5</v>
      </c>
      <c r="J3686">
        <f t="shared" si="293"/>
        <v>-39.979999999999997</v>
      </c>
    </row>
    <row r="3687" spans="1:10" ht="12.5" x14ac:dyDescent="0.25">
      <c r="A3687" s="1">
        <v>45803</v>
      </c>
      <c r="B3687" s="2" t="s">
        <v>10</v>
      </c>
      <c r="C3687" s="2" t="s">
        <v>6</v>
      </c>
      <c r="D3687" s="2" t="s">
        <v>6</v>
      </c>
      <c r="E3687" s="3">
        <v>100.96000000000001</v>
      </c>
      <c r="F3687" t="str">
        <f t="shared" si="289"/>
        <v>marketing</v>
      </c>
      <c r="G3687" s="7" t="s">
        <v>6</v>
      </c>
      <c r="H3687">
        <f t="shared" si="290"/>
        <v>2025</v>
      </c>
      <c r="I3687">
        <f t="shared" si="291"/>
        <v>5</v>
      </c>
      <c r="J3687">
        <f t="shared" si="293"/>
        <v>-2157.6</v>
      </c>
    </row>
    <row r="3688" spans="1:10" ht="12.5" x14ac:dyDescent="0.25">
      <c r="A3688" s="1">
        <v>45803</v>
      </c>
      <c r="B3688" s="2" t="s">
        <v>11</v>
      </c>
      <c r="C3688" s="3">
        <v>9.99</v>
      </c>
      <c r="D3688" s="3">
        <v>9</v>
      </c>
      <c r="E3688" s="3">
        <v>89.91</v>
      </c>
      <c r="F3688" t="str">
        <f t="shared" si="289"/>
        <v>net sales</v>
      </c>
      <c r="G3688" s="7" t="str">
        <f t="shared" si="292"/>
        <v>product 1</v>
      </c>
      <c r="H3688">
        <f t="shared" si="290"/>
        <v>2025</v>
      </c>
      <c r="I3688">
        <f t="shared" si="291"/>
        <v>5</v>
      </c>
      <c r="J3688">
        <f t="shared" si="293"/>
        <v>-100.01</v>
      </c>
    </row>
    <row r="3689" spans="1:10" ht="12.5" x14ac:dyDescent="0.25">
      <c r="A3689" s="1">
        <v>45803</v>
      </c>
      <c r="B3689" s="2" t="s">
        <v>12</v>
      </c>
      <c r="C3689" s="3">
        <v>24.99</v>
      </c>
      <c r="D3689" s="3">
        <v>2</v>
      </c>
      <c r="E3689" s="3">
        <v>49.98</v>
      </c>
      <c r="F3689" t="str">
        <f t="shared" si="289"/>
        <v>net sales</v>
      </c>
      <c r="G3689" s="7" t="str">
        <f t="shared" si="292"/>
        <v>product 2</v>
      </c>
      <c r="H3689">
        <f t="shared" si="290"/>
        <v>2025</v>
      </c>
      <c r="I3689">
        <f t="shared" si="291"/>
        <v>5</v>
      </c>
      <c r="J3689">
        <f t="shared" si="293"/>
        <v>609.39</v>
      </c>
    </row>
    <row r="3690" spans="1:10" ht="12.5" x14ac:dyDescent="0.25">
      <c r="A3690" s="1">
        <v>45803</v>
      </c>
      <c r="B3690" s="2" t="s">
        <v>13</v>
      </c>
      <c r="C3690" s="3">
        <v>12.49</v>
      </c>
      <c r="D3690" s="3">
        <v>215</v>
      </c>
      <c r="E3690" s="3">
        <v>2685.35</v>
      </c>
      <c r="F3690" t="str">
        <f t="shared" si="289"/>
        <v>net sales</v>
      </c>
      <c r="G3690" s="7" t="str">
        <f t="shared" si="292"/>
        <v>product 3</v>
      </c>
      <c r="H3690">
        <f t="shared" si="290"/>
        <v>2025</v>
      </c>
      <c r="I3690">
        <f t="shared" si="291"/>
        <v>5</v>
      </c>
      <c r="J3690">
        <f t="shared" si="293"/>
        <v>49.98</v>
      </c>
    </row>
    <row r="3691" spans="1:10" ht="12.5" x14ac:dyDescent="0.25">
      <c r="A3691" s="1">
        <v>45804</v>
      </c>
      <c r="B3691" s="2" t="s">
        <v>7</v>
      </c>
      <c r="C3691" s="3">
        <v>5.49</v>
      </c>
      <c r="D3691" s="3">
        <v>88</v>
      </c>
      <c r="E3691" s="3">
        <v>483.12</v>
      </c>
      <c r="F3691" t="str">
        <f t="shared" si="289"/>
        <v>cogs</v>
      </c>
      <c r="G3691" s="7" t="str">
        <f t="shared" si="292"/>
        <v>product 1</v>
      </c>
      <c r="H3691">
        <f t="shared" si="290"/>
        <v>2025</v>
      </c>
      <c r="I3691">
        <f t="shared" si="291"/>
        <v>5</v>
      </c>
      <c r="J3691">
        <f t="shared" si="293"/>
        <v>2997.6</v>
      </c>
    </row>
    <row r="3692" spans="1:10" ht="12.5" x14ac:dyDescent="0.25">
      <c r="A3692" s="1">
        <v>45804</v>
      </c>
      <c r="B3692" s="2" t="s">
        <v>8</v>
      </c>
      <c r="C3692" s="3">
        <v>19.989999999999998</v>
      </c>
      <c r="D3692" s="3">
        <v>4</v>
      </c>
      <c r="E3692" s="3">
        <v>79.959999999999994</v>
      </c>
      <c r="F3692" t="str">
        <f t="shared" si="289"/>
        <v>cogs</v>
      </c>
      <c r="G3692" s="7" t="str">
        <f t="shared" si="292"/>
        <v>product 2</v>
      </c>
      <c r="H3692">
        <f t="shared" si="290"/>
        <v>2025</v>
      </c>
      <c r="I3692">
        <f t="shared" si="291"/>
        <v>5</v>
      </c>
      <c r="J3692">
        <f t="shared" si="293"/>
        <v>-290.97000000000003</v>
      </c>
    </row>
    <row r="3693" spans="1:10" ht="12.5" x14ac:dyDescent="0.25">
      <c r="A3693" s="1">
        <v>45804</v>
      </c>
      <c r="B3693" s="2" t="s">
        <v>9</v>
      </c>
      <c r="C3693" s="3">
        <v>8.99</v>
      </c>
      <c r="D3693" s="3">
        <v>153</v>
      </c>
      <c r="E3693" s="3">
        <v>1375.47</v>
      </c>
      <c r="F3693" t="str">
        <f t="shared" si="289"/>
        <v>cogs</v>
      </c>
      <c r="G3693" s="7" t="str">
        <f t="shared" si="292"/>
        <v>product 3</v>
      </c>
      <c r="H3693">
        <f t="shared" si="290"/>
        <v>2025</v>
      </c>
      <c r="I3693">
        <f t="shared" si="291"/>
        <v>5</v>
      </c>
      <c r="J3693">
        <f t="shared" si="293"/>
        <v>-79.959999999999994</v>
      </c>
    </row>
    <row r="3694" spans="1:10" ht="12.5" x14ac:dyDescent="0.25">
      <c r="A3694" s="1">
        <v>45804</v>
      </c>
      <c r="B3694" s="2" t="s">
        <v>10</v>
      </c>
      <c r="C3694" s="2" t="s">
        <v>6</v>
      </c>
      <c r="D3694" s="2" t="s">
        <v>6</v>
      </c>
      <c r="E3694" s="3">
        <v>111.02</v>
      </c>
      <c r="F3694" t="str">
        <f t="shared" si="289"/>
        <v>marketing</v>
      </c>
      <c r="G3694" s="7" t="s">
        <v>6</v>
      </c>
      <c r="H3694">
        <f t="shared" si="290"/>
        <v>2025</v>
      </c>
      <c r="I3694">
        <f t="shared" si="291"/>
        <v>5</v>
      </c>
      <c r="J3694">
        <f t="shared" si="293"/>
        <v>-134.85</v>
      </c>
    </row>
    <row r="3695" spans="1:10" ht="12.5" x14ac:dyDescent="0.25">
      <c r="A3695" s="1">
        <v>45804</v>
      </c>
      <c r="B3695" s="2" t="s">
        <v>11</v>
      </c>
      <c r="C3695" s="3">
        <v>9.99</v>
      </c>
      <c r="D3695" s="3">
        <v>88</v>
      </c>
      <c r="E3695" s="3">
        <v>879.12</v>
      </c>
      <c r="F3695" t="str">
        <f t="shared" si="289"/>
        <v>net sales</v>
      </c>
      <c r="G3695" s="7" t="str">
        <f t="shared" si="292"/>
        <v>product 1</v>
      </c>
      <c r="H3695">
        <f t="shared" si="290"/>
        <v>2025</v>
      </c>
      <c r="I3695">
        <f t="shared" si="291"/>
        <v>5</v>
      </c>
      <c r="J3695">
        <f t="shared" si="293"/>
        <v>-115.08</v>
      </c>
    </row>
    <row r="3696" spans="1:10" ht="12.5" x14ac:dyDescent="0.25">
      <c r="A3696" s="1">
        <v>45804</v>
      </c>
      <c r="B3696" s="2" t="s">
        <v>12</v>
      </c>
      <c r="C3696" s="3">
        <v>24.99</v>
      </c>
      <c r="D3696" s="3">
        <v>4</v>
      </c>
      <c r="E3696" s="3">
        <v>99.96</v>
      </c>
      <c r="F3696" t="str">
        <f t="shared" si="289"/>
        <v>net sales</v>
      </c>
      <c r="G3696" s="7" t="str">
        <f t="shared" si="292"/>
        <v>product 2</v>
      </c>
      <c r="H3696">
        <f t="shared" si="290"/>
        <v>2025</v>
      </c>
      <c r="I3696">
        <f t="shared" si="291"/>
        <v>5</v>
      </c>
      <c r="J3696">
        <f t="shared" si="293"/>
        <v>529.47</v>
      </c>
    </row>
    <row r="3697" spans="1:10" ht="12.5" x14ac:dyDescent="0.25">
      <c r="A3697" s="1">
        <v>45804</v>
      </c>
      <c r="B3697" s="2" t="s">
        <v>13</v>
      </c>
      <c r="C3697" s="3">
        <v>12.49</v>
      </c>
      <c r="D3697" s="3">
        <v>153</v>
      </c>
      <c r="E3697" s="3">
        <v>1910.97</v>
      </c>
      <c r="F3697" t="str">
        <f t="shared" si="289"/>
        <v>net sales</v>
      </c>
      <c r="G3697" s="7" t="str">
        <f t="shared" si="292"/>
        <v>product 3</v>
      </c>
      <c r="H3697">
        <f t="shared" si="290"/>
        <v>2025</v>
      </c>
      <c r="I3697">
        <f t="shared" si="291"/>
        <v>5</v>
      </c>
      <c r="J3697">
        <f t="shared" si="293"/>
        <v>99.96</v>
      </c>
    </row>
    <row r="3698" spans="1:10" ht="12.5" x14ac:dyDescent="0.25">
      <c r="A3698" s="1">
        <v>45805</v>
      </c>
      <c r="B3698" s="2" t="s">
        <v>7</v>
      </c>
      <c r="C3698" s="3">
        <v>5.49</v>
      </c>
      <c r="D3698" s="3">
        <v>9</v>
      </c>
      <c r="E3698" s="3">
        <v>49.410000000000004</v>
      </c>
      <c r="F3698" t="str">
        <f t="shared" si="289"/>
        <v>cogs</v>
      </c>
      <c r="G3698" s="7" t="str">
        <f t="shared" si="292"/>
        <v>product 1</v>
      </c>
      <c r="H3698">
        <f t="shared" si="290"/>
        <v>2025</v>
      </c>
      <c r="I3698">
        <f t="shared" si="291"/>
        <v>5</v>
      </c>
      <c r="J3698">
        <f t="shared" si="293"/>
        <v>187.35</v>
      </c>
    </row>
    <row r="3699" spans="1:10" ht="12.5" x14ac:dyDescent="0.25">
      <c r="A3699" s="1">
        <v>45805</v>
      </c>
      <c r="B3699" s="2" t="s">
        <v>8</v>
      </c>
      <c r="C3699" s="3">
        <v>19.989999999999998</v>
      </c>
      <c r="D3699" s="3">
        <v>5</v>
      </c>
      <c r="E3699" s="3">
        <v>99.949999999999989</v>
      </c>
      <c r="F3699" t="str">
        <f t="shared" si="289"/>
        <v>cogs</v>
      </c>
      <c r="G3699" s="7" t="str">
        <f t="shared" si="292"/>
        <v>product 2</v>
      </c>
      <c r="H3699">
        <f t="shared" si="290"/>
        <v>2025</v>
      </c>
      <c r="I3699">
        <f t="shared" si="291"/>
        <v>5</v>
      </c>
      <c r="J3699">
        <f t="shared" si="293"/>
        <v>-159.21</v>
      </c>
    </row>
    <row r="3700" spans="1:10" ht="12.5" x14ac:dyDescent="0.25">
      <c r="A3700" s="1">
        <v>45805</v>
      </c>
      <c r="B3700" s="2" t="s">
        <v>9</v>
      </c>
      <c r="C3700" s="3">
        <v>8.99</v>
      </c>
      <c r="D3700" s="3">
        <v>226</v>
      </c>
      <c r="E3700" s="3">
        <v>2031.74</v>
      </c>
      <c r="F3700" t="str">
        <f t="shared" si="289"/>
        <v>cogs</v>
      </c>
      <c r="G3700" s="7" t="str">
        <f t="shared" si="292"/>
        <v>product 3</v>
      </c>
      <c r="H3700">
        <f t="shared" si="290"/>
        <v>2025</v>
      </c>
      <c r="I3700">
        <f t="shared" si="291"/>
        <v>5</v>
      </c>
      <c r="J3700">
        <f t="shared" si="293"/>
        <v>-159.91999999999999</v>
      </c>
    </row>
    <row r="3701" spans="1:10" ht="12.5" x14ac:dyDescent="0.25">
      <c r="A3701" s="1">
        <v>45805</v>
      </c>
      <c r="B3701" s="2" t="s">
        <v>10</v>
      </c>
      <c r="C3701" s="2" t="s">
        <v>6</v>
      </c>
      <c r="D3701" s="2" t="s">
        <v>6</v>
      </c>
      <c r="E3701" s="3">
        <v>103.91</v>
      </c>
      <c r="F3701" t="str">
        <f t="shared" si="289"/>
        <v>marketing</v>
      </c>
      <c r="G3701" s="7" t="s">
        <v>6</v>
      </c>
      <c r="H3701">
        <f t="shared" si="290"/>
        <v>2025</v>
      </c>
      <c r="I3701">
        <f t="shared" si="291"/>
        <v>5</v>
      </c>
      <c r="J3701">
        <f t="shared" si="293"/>
        <v>-943.95</v>
      </c>
    </row>
    <row r="3702" spans="1:10" ht="12.5" x14ac:dyDescent="0.25">
      <c r="A3702" s="1">
        <v>45805</v>
      </c>
      <c r="B3702" s="2" t="s">
        <v>11</v>
      </c>
      <c r="C3702" s="3">
        <v>9.99</v>
      </c>
      <c r="D3702" s="3">
        <v>9</v>
      </c>
      <c r="E3702" s="3">
        <v>89.91</v>
      </c>
      <c r="F3702" t="str">
        <f t="shared" si="289"/>
        <v>net sales</v>
      </c>
      <c r="G3702" s="7" t="str">
        <f t="shared" si="292"/>
        <v>product 1</v>
      </c>
      <c r="H3702">
        <f t="shared" si="290"/>
        <v>2025</v>
      </c>
      <c r="I3702">
        <f t="shared" si="291"/>
        <v>5</v>
      </c>
      <c r="J3702">
        <f t="shared" si="293"/>
        <v>-110.93</v>
      </c>
    </row>
    <row r="3703" spans="1:10" ht="12.5" x14ac:dyDescent="0.25">
      <c r="A3703" s="1">
        <v>45805</v>
      </c>
      <c r="B3703" s="2" t="s">
        <v>12</v>
      </c>
      <c r="C3703" s="3">
        <v>24.99</v>
      </c>
      <c r="D3703" s="3">
        <v>5</v>
      </c>
      <c r="E3703" s="3">
        <v>124.94999999999999</v>
      </c>
      <c r="F3703" t="str">
        <f t="shared" si="289"/>
        <v>net sales</v>
      </c>
      <c r="G3703" s="7" t="str">
        <f t="shared" si="292"/>
        <v>product 2</v>
      </c>
      <c r="H3703">
        <f t="shared" si="290"/>
        <v>2025</v>
      </c>
      <c r="I3703">
        <f t="shared" si="291"/>
        <v>5</v>
      </c>
      <c r="J3703">
        <f t="shared" si="293"/>
        <v>289.70999999999998</v>
      </c>
    </row>
    <row r="3704" spans="1:10" ht="12.5" x14ac:dyDescent="0.25">
      <c r="A3704" s="1">
        <v>45805</v>
      </c>
      <c r="B3704" s="2" t="s">
        <v>13</v>
      </c>
      <c r="C3704" s="3">
        <v>12.49</v>
      </c>
      <c r="D3704" s="3">
        <v>226</v>
      </c>
      <c r="E3704" s="3">
        <v>2822.7400000000002</v>
      </c>
      <c r="F3704" t="str">
        <f t="shared" si="289"/>
        <v>net sales</v>
      </c>
      <c r="G3704" s="7" t="str">
        <f t="shared" si="292"/>
        <v>product 3</v>
      </c>
      <c r="H3704">
        <f t="shared" si="290"/>
        <v>2025</v>
      </c>
      <c r="I3704">
        <f t="shared" si="291"/>
        <v>5</v>
      </c>
      <c r="J3704">
        <f t="shared" si="293"/>
        <v>199.92</v>
      </c>
    </row>
    <row r="3705" spans="1:10" ht="12.5" x14ac:dyDescent="0.25">
      <c r="A3705" s="1">
        <v>45806</v>
      </c>
      <c r="B3705" s="2" t="s">
        <v>7</v>
      </c>
      <c r="C3705" s="3">
        <v>5.49</v>
      </c>
      <c r="D3705" s="3">
        <v>20</v>
      </c>
      <c r="E3705" s="3">
        <v>109.80000000000001</v>
      </c>
      <c r="F3705" t="str">
        <f t="shared" si="289"/>
        <v>cogs</v>
      </c>
      <c r="G3705" s="7" t="str">
        <f t="shared" si="292"/>
        <v>product 1</v>
      </c>
      <c r="H3705">
        <f t="shared" si="290"/>
        <v>2025</v>
      </c>
      <c r="I3705">
        <f t="shared" si="291"/>
        <v>5</v>
      </c>
      <c r="J3705">
        <f t="shared" si="293"/>
        <v>1311.45</v>
      </c>
    </row>
    <row r="3706" spans="1:10" ht="12.5" x14ac:dyDescent="0.25">
      <c r="A3706" s="1">
        <v>45806</v>
      </c>
      <c r="B3706" s="2" t="s">
        <v>8</v>
      </c>
      <c r="C3706" s="3">
        <v>19.989999999999998</v>
      </c>
      <c r="D3706" s="3">
        <v>8</v>
      </c>
      <c r="E3706" s="3">
        <v>159.91999999999999</v>
      </c>
      <c r="F3706" t="str">
        <f t="shared" si="289"/>
        <v>cogs</v>
      </c>
      <c r="G3706" s="7" t="str">
        <f t="shared" si="292"/>
        <v>product 2</v>
      </c>
      <c r="H3706">
        <f t="shared" si="290"/>
        <v>2025</v>
      </c>
      <c r="I3706">
        <f t="shared" si="291"/>
        <v>5</v>
      </c>
      <c r="J3706">
        <f t="shared" si="293"/>
        <v>-422.73</v>
      </c>
    </row>
    <row r="3707" spans="1:10" ht="12.5" x14ac:dyDescent="0.25">
      <c r="A3707" s="1">
        <v>45806</v>
      </c>
      <c r="B3707" s="2" t="s">
        <v>9</v>
      </c>
      <c r="C3707" s="3">
        <v>8.99</v>
      </c>
      <c r="D3707" s="3">
        <v>56</v>
      </c>
      <c r="E3707" s="3">
        <v>503.44</v>
      </c>
      <c r="F3707" t="str">
        <f t="shared" si="289"/>
        <v>cogs</v>
      </c>
      <c r="G3707" s="7" t="str">
        <f t="shared" si="292"/>
        <v>product 3</v>
      </c>
      <c r="H3707">
        <f t="shared" si="290"/>
        <v>2025</v>
      </c>
      <c r="I3707">
        <f t="shared" si="291"/>
        <v>5</v>
      </c>
      <c r="J3707">
        <f t="shared" si="293"/>
        <v>-79.959999999999994</v>
      </c>
    </row>
    <row r="3708" spans="1:10" ht="12.5" x14ac:dyDescent="0.25">
      <c r="A3708" s="1">
        <v>45806</v>
      </c>
      <c r="B3708" s="2" t="s">
        <v>10</v>
      </c>
      <c r="C3708" s="2" t="s">
        <v>6</v>
      </c>
      <c r="D3708" s="2" t="s">
        <v>6</v>
      </c>
      <c r="E3708" s="3">
        <v>118.98</v>
      </c>
      <c r="F3708" t="str">
        <f t="shared" si="289"/>
        <v>marketing</v>
      </c>
      <c r="G3708" s="7" t="s">
        <v>6</v>
      </c>
      <c r="H3708">
        <f t="shared" si="290"/>
        <v>2025</v>
      </c>
      <c r="I3708">
        <f t="shared" si="291"/>
        <v>5</v>
      </c>
      <c r="J3708">
        <f t="shared" si="293"/>
        <v>0</v>
      </c>
    </row>
    <row r="3709" spans="1:10" ht="12.5" x14ac:dyDescent="0.25">
      <c r="A3709" s="1">
        <v>45806</v>
      </c>
      <c r="B3709" s="2" t="s">
        <v>11</v>
      </c>
      <c r="C3709" s="3">
        <v>9.99</v>
      </c>
      <c r="D3709" s="3">
        <v>20</v>
      </c>
      <c r="E3709" s="3">
        <v>199.8</v>
      </c>
      <c r="F3709" t="str">
        <f t="shared" si="289"/>
        <v>net sales</v>
      </c>
      <c r="G3709" s="7" t="str">
        <f t="shared" si="292"/>
        <v>product 1</v>
      </c>
      <c r="H3709">
        <f t="shared" si="290"/>
        <v>2025</v>
      </c>
      <c r="I3709">
        <f t="shared" si="291"/>
        <v>5</v>
      </c>
      <c r="J3709">
        <f t="shared" si="293"/>
        <v>-116.08</v>
      </c>
    </row>
    <row r="3710" spans="1:10" ht="12.5" x14ac:dyDescent="0.25">
      <c r="A3710" s="1">
        <v>45806</v>
      </c>
      <c r="B3710" s="2" t="s">
        <v>12</v>
      </c>
      <c r="C3710" s="3">
        <v>24.99</v>
      </c>
      <c r="D3710" s="3">
        <v>8</v>
      </c>
      <c r="E3710" s="3">
        <v>199.92</v>
      </c>
      <c r="F3710" t="str">
        <f t="shared" si="289"/>
        <v>net sales</v>
      </c>
      <c r="G3710" s="7" t="str">
        <f t="shared" si="292"/>
        <v>product 2</v>
      </c>
      <c r="H3710">
        <f t="shared" si="290"/>
        <v>2025</v>
      </c>
      <c r="I3710">
        <f t="shared" si="291"/>
        <v>5</v>
      </c>
      <c r="J3710">
        <f t="shared" si="293"/>
        <v>769.23</v>
      </c>
    </row>
    <row r="3711" spans="1:10" ht="12.5" x14ac:dyDescent="0.25">
      <c r="A3711" s="1">
        <v>45806</v>
      </c>
      <c r="B3711" s="2" t="s">
        <v>13</v>
      </c>
      <c r="C3711" s="3">
        <v>12.49</v>
      </c>
      <c r="D3711" s="3">
        <v>56</v>
      </c>
      <c r="E3711" s="3">
        <v>699.44</v>
      </c>
      <c r="F3711" t="str">
        <f t="shared" si="289"/>
        <v>net sales</v>
      </c>
      <c r="G3711" s="7" t="str">
        <f t="shared" si="292"/>
        <v>product 3</v>
      </c>
      <c r="H3711">
        <f t="shared" si="290"/>
        <v>2025</v>
      </c>
      <c r="I3711">
        <f t="shared" si="291"/>
        <v>5</v>
      </c>
      <c r="J3711">
        <f t="shared" si="293"/>
        <v>99.96</v>
      </c>
    </row>
    <row r="3712" spans="1:10" ht="12.5" x14ac:dyDescent="0.25">
      <c r="A3712" s="1">
        <v>45807</v>
      </c>
      <c r="B3712" s="2" t="s">
        <v>7</v>
      </c>
      <c r="C3712" s="3">
        <v>5.49</v>
      </c>
      <c r="D3712" s="3">
        <v>56</v>
      </c>
      <c r="E3712" s="3">
        <v>307.44</v>
      </c>
      <c r="F3712" t="str">
        <f t="shared" si="289"/>
        <v>cogs</v>
      </c>
      <c r="G3712" s="7" t="str">
        <f t="shared" si="292"/>
        <v>product 1</v>
      </c>
      <c r="H3712">
        <f t="shared" si="290"/>
        <v>2025</v>
      </c>
      <c r="I3712">
        <f t="shared" si="291"/>
        <v>5</v>
      </c>
      <c r="J3712">
        <f t="shared" si="293"/>
        <v>0</v>
      </c>
    </row>
    <row r="3713" spans="1:10" ht="12.5" x14ac:dyDescent="0.25">
      <c r="A3713" s="1">
        <v>45807</v>
      </c>
      <c r="B3713" s="2" t="s">
        <v>8</v>
      </c>
      <c r="C3713" s="3">
        <v>19.989999999999998</v>
      </c>
      <c r="D3713" s="3">
        <v>1</v>
      </c>
      <c r="E3713" s="3">
        <v>19.989999999999998</v>
      </c>
      <c r="F3713" t="str">
        <f t="shared" si="289"/>
        <v>cogs</v>
      </c>
      <c r="G3713" s="7" t="str">
        <f t="shared" si="292"/>
        <v>product 2</v>
      </c>
      <c r="H3713">
        <f t="shared" si="290"/>
        <v>2025</v>
      </c>
      <c r="I3713">
        <f t="shared" si="291"/>
        <v>5</v>
      </c>
      <c r="J3713">
        <f t="shared" si="293"/>
        <v>-345.87</v>
      </c>
    </row>
    <row r="3714" spans="1:10" ht="12.5" x14ac:dyDescent="0.25">
      <c r="A3714" s="1">
        <v>45807</v>
      </c>
      <c r="B3714" s="2" t="s">
        <v>9</v>
      </c>
      <c r="C3714" s="3">
        <v>8.99</v>
      </c>
      <c r="D3714" s="3">
        <v>46</v>
      </c>
      <c r="E3714" s="3">
        <v>413.54</v>
      </c>
      <c r="F3714" t="str">
        <f t="shared" si="289"/>
        <v>cogs</v>
      </c>
      <c r="G3714" s="7" t="str">
        <f t="shared" si="292"/>
        <v>product 3</v>
      </c>
      <c r="H3714">
        <f t="shared" si="290"/>
        <v>2025</v>
      </c>
      <c r="I3714">
        <f t="shared" si="291"/>
        <v>5</v>
      </c>
      <c r="J3714">
        <f t="shared" si="293"/>
        <v>-79.959999999999994</v>
      </c>
    </row>
    <row r="3715" spans="1:10" ht="12.5" x14ac:dyDescent="0.25">
      <c r="A3715" s="1">
        <v>45807</v>
      </c>
      <c r="B3715" s="2" t="s">
        <v>10</v>
      </c>
      <c r="C3715" s="2" t="s">
        <v>6</v>
      </c>
      <c r="D3715" s="2" t="s">
        <v>6</v>
      </c>
      <c r="E3715" s="3">
        <v>117.07000000000001</v>
      </c>
      <c r="F3715" t="str">
        <f t="shared" ref="F3715:F3778" si="294">IFERROR(LEFT(B3715,FIND(":",B3715)-1),B3715)</f>
        <v>marketing</v>
      </c>
      <c r="G3715" s="7" t="s">
        <v>6</v>
      </c>
      <c r="H3715">
        <f t="shared" ref="H3715:H3778" si="295">YEAR(A3715)</f>
        <v>2025</v>
      </c>
      <c r="I3715">
        <f t="shared" ref="I3715:I3778" si="296">MONTH(A3715)</f>
        <v>5</v>
      </c>
      <c r="J3715">
        <f t="shared" si="293"/>
        <v>-575.36</v>
      </c>
    </row>
    <row r="3716" spans="1:10" ht="12.5" x14ac:dyDescent="0.25">
      <c r="A3716" s="1">
        <v>45807</v>
      </c>
      <c r="B3716" s="2" t="s">
        <v>11</v>
      </c>
      <c r="C3716" s="3">
        <v>9.99</v>
      </c>
      <c r="D3716" s="3">
        <v>56</v>
      </c>
      <c r="E3716" s="3">
        <v>559.44000000000005</v>
      </c>
      <c r="F3716" t="str">
        <f t="shared" si="294"/>
        <v>net sales</v>
      </c>
      <c r="G3716" s="7" t="str">
        <f t="shared" ref="G3716:G3778" si="297">IFERROR(RIGHT(B3716,LEN(B3716)-FIND(":",B3716)),"")</f>
        <v>product 1</v>
      </c>
      <c r="H3716">
        <f t="shared" si="295"/>
        <v>2025</v>
      </c>
      <c r="I3716">
        <f t="shared" si="296"/>
        <v>5</v>
      </c>
      <c r="J3716">
        <f t="shared" si="293"/>
        <v>-118.94</v>
      </c>
    </row>
    <row r="3717" spans="1:10" ht="12.5" x14ac:dyDescent="0.25">
      <c r="A3717" s="1">
        <v>45807</v>
      </c>
      <c r="B3717" s="2" t="s">
        <v>12</v>
      </c>
      <c r="C3717" s="3">
        <v>24.99</v>
      </c>
      <c r="D3717" s="3">
        <v>1</v>
      </c>
      <c r="E3717" s="3">
        <v>24.99</v>
      </c>
      <c r="F3717" t="str">
        <f t="shared" si="294"/>
        <v>net sales</v>
      </c>
      <c r="G3717" s="7" t="str">
        <f t="shared" si="297"/>
        <v>product 2</v>
      </c>
      <c r="H3717">
        <f t="shared" si="295"/>
        <v>2025</v>
      </c>
      <c r="I3717">
        <f t="shared" si="296"/>
        <v>5</v>
      </c>
      <c r="J3717">
        <f t="shared" si="293"/>
        <v>629.37</v>
      </c>
    </row>
    <row r="3718" spans="1:10" ht="12.5" x14ac:dyDescent="0.25">
      <c r="A3718" s="1">
        <v>45807</v>
      </c>
      <c r="B3718" s="2" t="s">
        <v>13</v>
      </c>
      <c r="C3718" s="3">
        <v>12.49</v>
      </c>
      <c r="D3718" s="3">
        <v>46</v>
      </c>
      <c r="E3718" s="3">
        <v>574.54</v>
      </c>
      <c r="F3718" t="str">
        <f t="shared" si="294"/>
        <v>net sales</v>
      </c>
      <c r="G3718" s="7" t="str">
        <f t="shared" si="297"/>
        <v>product 3</v>
      </c>
      <c r="H3718">
        <f t="shared" si="295"/>
        <v>2025</v>
      </c>
      <c r="I3718">
        <f t="shared" si="296"/>
        <v>5</v>
      </c>
      <c r="J3718">
        <f t="shared" si="293"/>
        <v>99.96</v>
      </c>
    </row>
    <row r="3719" spans="1:10" ht="12.5" x14ac:dyDescent="0.25">
      <c r="A3719" s="1">
        <v>45808</v>
      </c>
      <c r="B3719" s="2" t="s">
        <v>7</v>
      </c>
      <c r="C3719" s="3">
        <v>5.49</v>
      </c>
      <c r="D3719" s="3">
        <v>13</v>
      </c>
      <c r="E3719" s="3">
        <v>71.37</v>
      </c>
      <c r="F3719" t="str">
        <f t="shared" si="294"/>
        <v>cogs</v>
      </c>
      <c r="G3719" s="7" t="str">
        <f t="shared" si="297"/>
        <v>product 1</v>
      </c>
      <c r="H3719">
        <f t="shared" si="295"/>
        <v>2025</v>
      </c>
      <c r="I3719">
        <f t="shared" si="296"/>
        <v>5</v>
      </c>
      <c r="J3719">
        <f t="shared" si="293"/>
        <v>799.36</v>
      </c>
    </row>
    <row r="3720" spans="1:10" ht="12.5" x14ac:dyDescent="0.25">
      <c r="A3720" s="1">
        <v>45808</v>
      </c>
      <c r="B3720" s="2" t="s">
        <v>8</v>
      </c>
      <c r="C3720" s="3">
        <v>19.989999999999998</v>
      </c>
      <c r="D3720" s="3">
        <v>0</v>
      </c>
      <c r="E3720" s="2">
        <f>C3720*D3720</f>
        <v>0</v>
      </c>
      <c r="F3720" t="str">
        <f t="shared" si="294"/>
        <v>cogs</v>
      </c>
      <c r="G3720" s="7" t="str">
        <f t="shared" si="297"/>
        <v>product 2</v>
      </c>
      <c r="H3720">
        <f t="shared" si="295"/>
        <v>2025</v>
      </c>
      <c r="I3720">
        <f t="shared" si="296"/>
        <v>5</v>
      </c>
      <c r="J3720">
        <f t="shared" si="293"/>
        <v>0</v>
      </c>
    </row>
    <row r="3721" spans="1:10" ht="12.5" x14ac:dyDescent="0.25">
      <c r="A3721" s="1">
        <v>45808</v>
      </c>
      <c r="B3721" s="2" t="s">
        <v>9</v>
      </c>
      <c r="C3721" s="3">
        <v>8.99</v>
      </c>
      <c r="D3721" s="3">
        <v>225</v>
      </c>
      <c r="E3721" s="3">
        <v>2022.75</v>
      </c>
      <c r="F3721" t="str">
        <f t="shared" si="294"/>
        <v>cogs</v>
      </c>
      <c r="G3721" s="7" t="str">
        <f t="shared" si="297"/>
        <v>product 3</v>
      </c>
      <c r="H3721">
        <f t="shared" si="295"/>
        <v>2025</v>
      </c>
      <c r="I3721">
        <f t="shared" si="296"/>
        <v>5</v>
      </c>
      <c r="J3721">
        <f t="shared" si="293"/>
        <v>-329.40000000000003</v>
      </c>
    </row>
    <row r="3722" spans="1:10" ht="12.5" x14ac:dyDescent="0.25">
      <c r="A3722" s="1">
        <v>45808</v>
      </c>
      <c r="B3722" s="2" t="s">
        <v>10</v>
      </c>
      <c r="C3722" s="2" t="s">
        <v>6</v>
      </c>
      <c r="D3722" s="2" t="s">
        <v>6</v>
      </c>
      <c r="E3722" s="3">
        <v>111.96000000000001</v>
      </c>
      <c r="F3722" t="str">
        <f t="shared" si="294"/>
        <v>marketing</v>
      </c>
      <c r="G3722" s="7" t="s">
        <v>6</v>
      </c>
      <c r="H3722">
        <f t="shared" si="295"/>
        <v>2025</v>
      </c>
      <c r="I3722">
        <f t="shared" si="296"/>
        <v>5</v>
      </c>
      <c r="J3722">
        <f t="shared" si="293"/>
        <v>-19.989999999999998</v>
      </c>
    </row>
    <row r="3723" spans="1:10" ht="12.5" x14ac:dyDescent="0.25">
      <c r="A3723" s="1">
        <v>45808</v>
      </c>
      <c r="B3723" s="2" t="s">
        <v>11</v>
      </c>
      <c r="C3723" s="3">
        <v>9.99</v>
      </c>
      <c r="D3723" s="3">
        <v>13</v>
      </c>
      <c r="E3723" s="3">
        <v>129.87</v>
      </c>
      <c r="F3723" t="str">
        <f t="shared" si="294"/>
        <v>net sales</v>
      </c>
      <c r="G3723" s="7" t="str">
        <f t="shared" si="297"/>
        <v>product 1</v>
      </c>
      <c r="H3723">
        <f t="shared" si="295"/>
        <v>2025</v>
      </c>
      <c r="I3723">
        <f t="shared" si="296"/>
        <v>5</v>
      </c>
      <c r="J3723">
        <f t="shared" si="293"/>
        <v>-89.9</v>
      </c>
    </row>
    <row r="3724" spans="1:10" ht="12.5" x14ac:dyDescent="0.25">
      <c r="A3724" s="1">
        <v>45808</v>
      </c>
      <c r="B3724" s="2" t="s">
        <v>12</v>
      </c>
      <c r="C3724" s="3">
        <v>24.99</v>
      </c>
      <c r="D3724" s="3">
        <v>0</v>
      </c>
      <c r="E3724" s="2">
        <f>C3724*D3724</f>
        <v>0</v>
      </c>
      <c r="F3724" t="str">
        <f t="shared" si="294"/>
        <v>net sales</v>
      </c>
      <c r="G3724" s="7" t="str">
        <f t="shared" si="297"/>
        <v>product 2</v>
      </c>
      <c r="H3724">
        <f t="shared" si="295"/>
        <v>2025</v>
      </c>
      <c r="I3724">
        <f t="shared" si="296"/>
        <v>5</v>
      </c>
      <c r="J3724">
        <f t="shared" si="293"/>
        <v>-109.07000000000001</v>
      </c>
    </row>
    <row r="3725" spans="1:10" ht="12.5" x14ac:dyDescent="0.25">
      <c r="A3725" s="1">
        <v>45808</v>
      </c>
      <c r="B3725" s="2" t="s">
        <v>13</v>
      </c>
      <c r="C3725" s="3">
        <v>12.49</v>
      </c>
      <c r="D3725" s="3">
        <v>225</v>
      </c>
      <c r="E3725" s="3">
        <v>2810.25</v>
      </c>
      <c r="F3725" t="str">
        <f t="shared" si="294"/>
        <v>net sales</v>
      </c>
      <c r="G3725" s="7" t="str">
        <f t="shared" si="297"/>
        <v>product 3</v>
      </c>
      <c r="H3725">
        <f t="shared" si="295"/>
        <v>2025</v>
      </c>
      <c r="I3725">
        <f t="shared" si="296"/>
        <v>5</v>
      </c>
      <c r="J3725">
        <f t="shared" si="293"/>
        <v>599.4</v>
      </c>
    </row>
    <row r="3726" spans="1:10" ht="12.5" x14ac:dyDescent="0.25">
      <c r="A3726" s="1">
        <v>45809</v>
      </c>
      <c r="B3726" s="2" t="s">
        <v>5</v>
      </c>
      <c r="C3726" s="2" t="s">
        <v>6</v>
      </c>
      <c r="D3726" s="2" t="s">
        <v>6</v>
      </c>
      <c r="E3726" s="3">
        <v>50</v>
      </c>
      <c r="F3726" t="str">
        <f t="shared" si="294"/>
        <v>amortization</v>
      </c>
      <c r="G3726" s="7" t="s">
        <v>6</v>
      </c>
      <c r="H3726">
        <f t="shared" si="295"/>
        <v>2025</v>
      </c>
      <c r="I3726">
        <f t="shared" si="296"/>
        <v>6</v>
      </c>
      <c r="J3726">
        <f t="shared" si="293"/>
        <v>24.99</v>
      </c>
    </row>
    <row r="3727" spans="1:10" ht="12.5" x14ac:dyDescent="0.25">
      <c r="A3727" s="1">
        <v>45809</v>
      </c>
      <c r="B3727" s="2" t="s">
        <v>7</v>
      </c>
      <c r="C3727" s="3">
        <v>5.49</v>
      </c>
      <c r="D3727" s="3">
        <v>40</v>
      </c>
      <c r="E3727" s="3">
        <v>219.60000000000002</v>
      </c>
      <c r="F3727" t="str">
        <f t="shared" si="294"/>
        <v>cogs</v>
      </c>
      <c r="G3727" s="7" t="str">
        <f t="shared" si="297"/>
        <v>product 1</v>
      </c>
      <c r="H3727">
        <f t="shared" si="295"/>
        <v>2025</v>
      </c>
      <c r="I3727">
        <f t="shared" si="296"/>
        <v>6</v>
      </c>
      <c r="J3727">
        <f t="shared" si="293"/>
        <v>124.9</v>
      </c>
    </row>
    <row r="3728" spans="1:10" ht="12.5" x14ac:dyDescent="0.25">
      <c r="A3728" s="1">
        <v>45809</v>
      </c>
      <c r="B3728" s="2" t="s">
        <v>8</v>
      </c>
      <c r="C3728" s="3">
        <v>19.989999999999998</v>
      </c>
      <c r="D3728" s="3">
        <v>0</v>
      </c>
      <c r="E3728" s="2">
        <f>C3728*D3728</f>
        <v>0</v>
      </c>
      <c r="F3728" t="str">
        <f t="shared" si="294"/>
        <v>cogs</v>
      </c>
      <c r="G3728" s="7" t="str">
        <f t="shared" si="297"/>
        <v>product 2</v>
      </c>
      <c r="H3728">
        <f t="shared" si="295"/>
        <v>2025</v>
      </c>
      <c r="I3728">
        <f t="shared" si="296"/>
        <v>6</v>
      </c>
      <c r="J3728">
        <f t="shared" si="293"/>
        <v>-2000</v>
      </c>
    </row>
    <row r="3729" spans="1:10" ht="12.5" x14ac:dyDescent="0.25">
      <c r="A3729" s="1">
        <v>45809</v>
      </c>
      <c r="B3729" s="2" t="s">
        <v>9</v>
      </c>
      <c r="C3729" s="3">
        <v>8.99</v>
      </c>
      <c r="D3729" s="3">
        <v>69</v>
      </c>
      <c r="E3729" s="3">
        <v>620.31000000000006</v>
      </c>
      <c r="F3729" t="str">
        <f t="shared" si="294"/>
        <v>cogs</v>
      </c>
      <c r="G3729" s="7" t="str">
        <f t="shared" si="297"/>
        <v>product 3</v>
      </c>
      <c r="H3729">
        <f t="shared" si="295"/>
        <v>2025</v>
      </c>
      <c r="I3729">
        <f t="shared" si="296"/>
        <v>6</v>
      </c>
      <c r="J3729">
        <f t="shared" si="293"/>
        <v>-93.33</v>
      </c>
    </row>
    <row r="3730" spans="1:10" ht="12.5" x14ac:dyDescent="0.25">
      <c r="A3730" s="1">
        <v>45809</v>
      </c>
      <c r="B3730" s="2" t="s">
        <v>10</v>
      </c>
      <c r="C3730" s="2" t="s">
        <v>6</v>
      </c>
      <c r="D3730" s="2" t="s">
        <v>6</v>
      </c>
      <c r="E3730" s="3">
        <v>105.08</v>
      </c>
      <c r="F3730" t="str">
        <f t="shared" si="294"/>
        <v>marketing</v>
      </c>
      <c r="G3730" s="7" t="s">
        <v>6</v>
      </c>
      <c r="H3730">
        <f t="shared" si="295"/>
        <v>2025</v>
      </c>
      <c r="I3730">
        <f t="shared" si="296"/>
        <v>6</v>
      </c>
      <c r="J3730">
        <f t="shared" si="293"/>
        <v>-59.97</v>
      </c>
    </row>
    <row r="3731" spans="1:10" ht="12.5" x14ac:dyDescent="0.25">
      <c r="A3731" s="1">
        <v>45809</v>
      </c>
      <c r="B3731" s="2" t="s">
        <v>11</v>
      </c>
      <c r="C3731" s="3">
        <v>9.99</v>
      </c>
      <c r="D3731" s="3">
        <v>40</v>
      </c>
      <c r="E3731" s="3">
        <v>399.6</v>
      </c>
      <c r="F3731" t="str">
        <f t="shared" si="294"/>
        <v>net sales</v>
      </c>
      <c r="G3731" s="7" t="str">
        <f t="shared" si="297"/>
        <v>product 1</v>
      </c>
      <c r="H3731">
        <f t="shared" si="295"/>
        <v>2025</v>
      </c>
      <c r="I3731">
        <f t="shared" si="296"/>
        <v>6</v>
      </c>
      <c r="J3731">
        <f t="shared" si="293"/>
        <v>-1438.4</v>
      </c>
    </row>
    <row r="3732" spans="1:10" ht="12.5" x14ac:dyDescent="0.25">
      <c r="A3732" s="1">
        <v>45809</v>
      </c>
      <c r="B3732" s="2" t="s">
        <v>12</v>
      </c>
      <c r="C3732" s="3">
        <v>24.99</v>
      </c>
      <c r="D3732" s="3">
        <v>0</v>
      </c>
      <c r="E3732" s="2">
        <f>C3732*D3732</f>
        <v>0</v>
      </c>
      <c r="F3732" t="str">
        <f t="shared" si="294"/>
        <v>net sales</v>
      </c>
      <c r="G3732" s="7" t="str">
        <f t="shared" si="297"/>
        <v>product 2</v>
      </c>
      <c r="H3732">
        <f t="shared" si="295"/>
        <v>2025</v>
      </c>
      <c r="I3732">
        <f t="shared" si="296"/>
        <v>6</v>
      </c>
      <c r="J3732">
        <f t="shared" si="293"/>
        <v>-105.92</v>
      </c>
    </row>
    <row r="3733" spans="1:10" ht="12.5" x14ac:dyDescent="0.25">
      <c r="A3733" s="1">
        <v>45809</v>
      </c>
      <c r="B3733" s="2" t="s">
        <v>13</v>
      </c>
      <c r="C3733" s="3">
        <v>12.49</v>
      </c>
      <c r="D3733" s="3">
        <v>69</v>
      </c>
      <c r="E3733" s="3">
        <v>861.81000000000006</v>
      </c>
      <c r="F3733" t="str">
        <f t="shared" si="294"/>
        <v>net sales</v>
      </c>
      <c r="G3733" s="7" t="str">
        <f t="shared" si="297"/>
        <v>product 3</v>
      </c>
      <c r="H3733">
        <f t="shared" si="295"/>
        <v>2025</v>
      </c>
      <c r="I3733">
        <f t="shared" si="296"/>
        <v>6</v>
      </c>
      <c r="J3733">
        <f t="shared" si="293"/>
        <v>169.83</v>
      </c>
    </row>
    <row r="3734" spans="1:10" ht="12.5" x14ac:dyDescent="0.25">
      <c r="A3734" s="1">
        <v>45809</v>
      </c>
      <c r="B3734" s="2" t="s">
        <v>14</v>
      </c>
      <c r="C3734" s="2" t="s">
        <v>6</v>
      </c>
      <c r="D3734" s="2" t="s">
        <v>6</v>
      </c>
      <c r="E3734" s="3">
        <v>2000</v>
      </c>
      <c r="F3734" t="str">
        <f t="shared" si="294"/>
        <v>overhead</v>
      </c>
      <c r="G3734" s="7" t="s">
        <v>6</v>
      </c>
      <c r="H3734">
        <f t="shared" si="295"/>
        <v>2025</v>
      </c>
      <c r="I3734">
        <f t="shared" si="296"/>
        <v>6</v>
      </c>
      <c r="J3734">
        <f t="shared" si="293"/>
        <v>74.97</v>
      </c>
    </row>
    <row r="3735" spans="1:10" ht="12.5" x14ac:dyDescent="0.25">
      <c r="A3735" s="1">
        <v>45810</v>
      </c>
      <c r="B3735" s="2" t="s">
        <v>7</v>
      </c>
      <c r="C3735" s="3">
        <v>5.49</v>
      </c>
      <c r="D3735" s="3">
        <v>97</v>
      </c>
      <c r="E3735" s="3">
        <v>532.53</v>
      </c>
      <c r="F3735" t="str">
        <f t="shared" si="294"/>
        <v>cogs</v>
      </c>
      <c r="G3735" s="7" t="str">
        <f t="shared" si="297"/>
        <v>product 1</v>
      </c>
      <c r="H3735">
        <f t="shared" si="295"/>
        <v>2025</v>
      </c>
      <c r="I3735">
        <f t="shared" si="296"/>
        <v>6</v>
      </c>
      <c r="J3735">
        <f t="shared" si="293"/>
        <v>1998.4</v>
      </c>
    </row>
    <row r="3736" spans="1:10" ht="12.5" x14ac:dyDescent="0.25">
      <c r="A3736" s="1">
        <v>45810</v>
      </c>
      <c r="B3736" s="2" t="s">
        <v>8</v>
      </c>
      <c r="C3736" s="3">
        <v>19.989999999999998</v>
      </c>
      <c r="D3736" s="3">
        <v>4</v>
      </c>
      <c r="E3736" s="3">
        <v>79.959999999999994</v>
      </c>
      <c r="F3736" t="str">
        <f t="shared" si="294"/>
        <v>cogs</v>
      </c>
      <c r="G3736" s="7" t="str">
        <f t="shared" si="297"/>
        <v>product 2</v>
      </c>
      <c r="H3736">
        <f t="shared" si="295"/>
        <v>2025</v>
      </c>
      <c r="I3736">
        <f t="shared" si="296"/>
        <v>6</v>
      </c>
      <c r="J3736">
        <f t="shared" si="293"/>
        <v>-197.64000000000001</v>
      </c>
    </row>
    <row r="3737" spans="1:10" ht="12.5" x14ac:dyDescent="0.25">
      <c r="A3737" s="1">
        <v>45810</v>
      </c>
      <c r="B3737" s="2" t="s">
        <v>9</v>
      </c>
      <c r="C3737" s="3">
        <v>8.99</v>
      </c>
      <c r="D3737" s="3">
        <v>99</v>
      </c>
      <c r="E3737" s="3">
        <v>890.01</v>
      </c>
      <c r="F3737" t="str">
        <f t="shared" si="294"/>
        <v>cogs</v>
      </c>
      <c r="G3737" s="7" t="str">
        <f t="shared" si="297"/>
        <v>product 3</v>
      </c>
      <c r="H3737">
        <f t="shared" si="295"/>
        <v>2025</v>
      </c>
      <c r="I3737">
        <f t="shared" si="296"/>
        <v>6</v>
      </c>
      <c r="J3737">
        <f t="shared" si="293"/>
        <v>-79.959999999999994</v>
      </c>
    </row>
    <row r="3738" spans="1:10" ht="12.5" x14ac:dyDescent="0.25">
      <c r="A3738" s="1">
        <v>45810</v>
      </c>
      <c r="B3738" s="2" t="s">
        <v>10</v>
      </c>
      <c r="C3738" s="2" t="s">
        <v>6</v>
      </c>
      <c r="D3738" s="2" t="s">
        <v>6</v>
      </c>
      <c r="E3738" s="3">
        <v>106.04</v>
      </c>
      <c r="F3738" t="str">
        <f t="shared" si="294"/>
        <v>marketing</v>
      </c>
      <c r="G3738" s="7" t="s">
        <v>6</v>
      </c>
      <c r="H3738">
        <f t="shared" si="295"/>
        <v>2025</v>
      </c>
      <c r="I3738">
        <f t="shared" si="296"/>
        <v>6</v>
      </c>
      <c r="J3738">
        <f t="shared" si="293"/>
        <v>-1537.29</v>
      </c>
    </row>
    <row r="3739" spans="1:10" ht="12.5" x14ac:dyDescent="0.25">
      <c r="A3739" s="1">
        <v>45810</v>
      </c>
      <c r="B3739" s="2" t="s">
        <v>11</v>
      </c>
      <c r="C3739" s="3">
        <v>9.99</v>
      </c>
      <c r="D3739" s="3">
        <v>97</v>
      </c>
      <c r="E3739" s="3">
        <v>969.03</v>
      </c>
      <c r="F3739" t="str">
        <f t="shared" si="294"/>
        <v>net sales</v>
      </c>
      <c r="G3739" s="7" t="str">
        <f t="shared" si="297"/>
        <v>product 1</v>
      </c>
      <c r="H3739">
        <f t="shared" si="295"/>
        <v>2025</v>
      </c>
      <c r="I3739">
        <f t="shared" si="296"/>
        <v>6</v>
      </c>
      <c r="J3739">
        <f t="shared" si="293"/>
        <v>-105</v>
      </c>
    </row>
    <row r="3740" spans="1:10" ht="12.5" x14ac:dyDescent="0.25">
      <c r="A3740" s="1">
        <v>45810</v>
      </c>
      <c r="B3740" s="2" t="s">
        <v>12</v>
      </c>
      <c r="C3740" s="3">
        <v>24.99</v>
      </c>
      <c r="D3740" s="3">
        <v>4</v>
      </c>
      <c r="E3740" s="3">
        <v>99.96</v>
      </c>
      <c r="F3740" t="str">
        <f t="shared" si="294"/>
        <v>net sales</v>
      </c>
      <c r="G3740" s="7" t="str">
        <f t="shared" si="297"/>
        <v>product 2</v>
      </c>
      <c r="H3740">
        <f t="shared" si="295"/>
        <v>2025</v>
      </c>
      <c r="I3740">
        <f t="shared" si="296"/>
        <v>6</v>
      </c>
      <c r="J3740">
        <f t="shared" ref="J3740:J3803" si="298">IF(F3523="net sales",E3523,
IF(F3523="cogs",-E3523,
IF(OR(F3523="marketing",F3523="overhead",F3523="payroll",F3523="interest","amortization"),-E3523,0)))</f>
        <v>359.64</v>
      </c>
    </row>
    <row r="3741" spans="1:10" ht="12.5" x14ac:dyDescent="0.25">
      <c r="A3741" s="1">
        <v>45810</v>
      </c>
      <c r="B3741" s="2" t="s">
        <v>13</v>
      </c>
      <c r="C3741" s="3">
        <v>12.49</v>
      </c>
      <c r="D3741" s="3">
        <v>99</v>
      </c>
      <c r="E3741" s="3">
        <v>1236.51</v>
      </c>
      <c r="F3741" t="str">
        <f t="shared" si="294"/>
        <v>net sales</v>
      </c>
      <c r="G3741" s="7" t="str">
        <f t="shared" si="297"/>
        <v>product 3</v>
      </c>
      <c r="H3741">
        <f t="shared" si="295"/>
        <v>2025</v>
      </c>
      <c r="I3741">
        <f t="shared" si="296"/>
        <v>6</v>
      </c>
      <c r="J3741">
        <f t="shared" si="298"/>
        <v>99.96</v>
      </c>
    </row>
    <row r="3742" spans="1:10" ht="12.5" x14ac:dyDescent="0.25">
      <c r="A3742" s="1">
        <v>45811</v>
      </c>
      <c r="B3742" s="2" t="s">
        <v>7</v>
      </c>
      <c r="C3742" s="3">
        <v>5.49</v>
      </c>
      <c r="D3742" s="3">
        <v>13</v>
      </c>
      <c r="E3742" s="3">
        <v>71.37</v>
      </c>
      <c r="F3742" t="str">
        <f t="shared" si="294"/>
        <v>cogs</v>
      </c>
      <c r="G3742" s="7" t="str">
        <f t="shared" si="297"/>
        <v>product 1</v>
      </c>
      <c r="H3742">
        <f t="shared" si="295"/>
        <v>2025</v>
      </c>
      <c r="I3742">
        <f t="shared" si="296"/>
        <v>6</v>
      </c>
      <c r="J3742">
        <f t="shared" si="298"/>
        <v>2135.79</v>
      </c>
    </row>
    <row r="3743" spans="1:10" ht="12.5" x14ac:dyDescent="0.25">
      <c r="A3743" s="1">
        <v>45811</v>
      </c>
      <c r="B3743" s="2" t="s">
        <v>8</v>
      </c>
      <c r="C3743" s="3">
        <v>19.989999999999998</v>
      </c>
      <c r="D3743" s="3">
        <v>2</v>
      </c>
      <c r="E3743" s="3">
        <v>39.979999999999997</v>
      </c>
      <c r="F3743" t="str">
        <f t="shared" si="294"/>
        <v>cogs</v>
      </c>
      <c r="G3743" s="7" t="str">
        <f t="shared" si="297"/>
        <v>product 2</v>
      </c>
      <c r="H3743">
        <f t="shared" si="295"/>
        <v>2025</v>
      </c>
      <c r="I3743">
        <f t="shared" si="296"/>
        <v>6</v>
      </c>
      <c r="J3743">
        <f t="shared" si="298"/>
        <v>-527.04</v>
      </c>
    </row>
    <row r="3744" spans="1:10" ht="12.5" x14ac:dyDescent="0.25">
      <c r="A3744" s="1">
        <v>45811</v>
      </c>
      <c r="B3744" s="2" t="s">
        <v>9</v>
      </c>
      <c r="C3744" s="3">
        <v>8.99</v>
      </c>
      <c r="D3744" s="3">
        <v>248</v>
      </c>
      <c r="E3744" s="3">
        <v>2229.52</v>
      </c>
      <c r="F3744" t="str">
        <f t="shared" si="294"/>
        <v>cogs</v>
      </c>
      <c r="G3744" s="7" t="str">
        <f t="shared" si="297"/>
        <v>product 3</v>
      </c>
      <c r="H3744">
        <f t="shared" si="295"/>
        <v>2025</v>
      </c>
      <c r="I3744">
        <f t="shared" si="296"/>
        <v>6</v>
      </c>
      <c r="J3744">
        <f t="shared" si="298"/>
        <v>-159.91999999999999</v>
      </c>
    </row>
    <row r="3745" spans="1:10" ht="12.5" x14ac:dyDescent="0.25">
      <c r="A3745" s="1">
        <v>45811</v>
      </c>
      <c r="B3745" s="2" t="s">
        <v>10</v>
      </c>
      <c r="C3745" s="2" t="s">
        <v>6</v>
      </c>
      <c r="D3745" s="2" t="s">
        <v>6</v>
      </c>
      <c r="E3745" s="3">
        <v>111.94</v>
      </c>
      <c r="F3745" t="str">
        <f t="shared" si="294"/>
        <v>marketing</v>
      </c>
      <c r="G3745" s="7" t="s">
        <v>6</v>
      </c>
      <c r="H3745">
        <f t="shared" si="295"/>
        <v>2025</v>
      </c>
      <c r="I3745">
        <f t="shared" si="296"/>
        <v>6</v>
      </c>
      <c r="J3745">
        <f t="shared" si="298"/>
        <v>-1132.74</v>
      </c>
    </row>
    <row r="3746" spans="1:10" ht="12.5" x14ac:dyDescent="0.25">
      <c r="A3746" s="1">
        <v>45811</v>
      </c>
      <c r="B3746" s="2" t="s">
        <v>11</v>
      </c>
      <c r="C3746" s="3">
        <v>9.99</v>
      </c>
      <c r="D3746" s="3">
        <v>13</v>
      </c>
      <c r="E3746" s="3">
        <v>129.87</v>
      </c>
      <c r="F3746" t="str">
        <f t="shared" si="294"/>
        <v>net sales</v>
      </c>
      <c r="G3746" s="7" t="str">
        <f t="shared" si="297"/>
        <v>product 1</v>
      </c>
      <c r="H3746">
        <f t="shared" si="295"/>
        <v>2025</v>
      </c>
      <c r="I3746">
        <f t="shared" si="296"/>
        <v>6</v>
      </c>
      <c r="J3746">
        <f t="shared" si="298"/>
        <v>-106.92</v>
      </c>
    </row>
    <row r="3747" spans="1:10" ht="12.5" x14ac:dyDescent="0.25">
      <c r="A3747" s="1">
        <v>45811</v>
      </c>
      <c r="B3747" s="2" t="s">
        <v>12</v>
      </c>
      <c r="C3747" s="3">
        <v>24.99</v>
      </c>
      <c r="D3747" s="3">
        <v>2</v>
      </c>
      <c r="E3747" s="3">
        <v>49.98</v>
      </c>
      <c r="F3747" t="str">
        <f t="shared" si="294"/>
        <v>net sales</v>
      </c>
      <c r="G3747" s="7" t="str">
        <f t="shared" si="297"/>
        <v>product 2</v>
      </c>
      <c r="H3747">
        <f t="shared" si="295"/>
        <v>2025</v>
      </c>
      <c r="I3747">
        <f t="shared" si="296"/>
        <v>6</v>
      </c>
      <c r="J3747">
        <f t="shared" si="298"/>
        <v>959.04</v>
      </c>
    </row>
    <row r="3748" spans="1:10" ht="12.5" x14ac:dyDescent="0.25">
      <c r="A3748" s="1">
        <v>45811</v>
      </c>
      <c r="B3748" s="2" t="s">
        <v>13</v>
      </c>
      <c r="C3748" s="3">
        <v>12.49</v>
      </c>
      <c r="D3748" s="3">
        <v>248</v>
      </c>
      <c r="E3748" s="3">
        <v>3097.52</v>
      </c>
      <c r="F3748" t="str">
        <f t="shared" si="294"/>
        <v>net sales</v>
      </c>
      <c r="G3748" s="7" t="str">
        <f t="shared" si="297"/>
        <v>product 3</v>
      </c>
      <c r="H3748">
        <f t="shared" si="295"/>
        <v>2025</v>
      </c>
      <c r="I3748">
        <f t="shared" si="296"/>
        <v>6</v>
      </c>
      <c r="J3748">
        <f t="shared" si="298"/>
        <v>199.92</v>
      </c>
    </row>
    <row r="3749" spans="1:10" ht="12.5" x14ac:dyDescent="0.25">
      <c r="A3749" s="1">
        <v>45812</v>
      </c>
      <c r="B3749" s="2" t="s">
        <v>7</v>
      </c>
      <c r="C3749" s="3">
        <v>5.49</v>
      </c>
      <c r="D3749" s="3">
        <v>25</v>
      </c>
      <c r="E3749" s="3">
        <v>137.25</v>
      </c>
      <c r="F3749" t="str">
        <f t="shared" si="294"/>
        <v>cogs</v>
      </c>
      <c r="G3749" s="7" t="str">
        <f t="shared" si="297"/>
        <v>product 1</v>
      </c>
      <c r="H3749">
        <f t="shared" si="295"/>
        <v>2025</v>
      </c>
      <c r="I3749">
        <f t="shared" si="296"/>
        <v>6</v>
      </c>
      <c r="J3749">
        <f t="shared" si="298"/>
        <v>1573.74</v>
      </c>
    </row>
    <row r="3750" spans="1:10" ht="12.5" x14ac:dyDescent="0.25">
      <c r="A3750" s="1">
        <v>45812</v>
      </c>
      <c r="B3750" s="2" t="s">
        <v>8</v>
      </c>
      <c r="C3750" s="3">
        <v>19.989999999999998</v>
      </c>
      <c r="D3750" s="3">
        <v>3</v>
      </c>
      <c r="E3750" s="3">
        <v>59.97</v>
      </c>
      <c r="F3750" t="str">
        <f t="shared" si="294"/>
        <v>cogs</v>
      </c>
      <c r="G3750" s="7" t="str">
        <f t="shared" si="297"/>
        <v>product 2</v>
      </c>
      <c r="H3750">
        <f t="shared" si="295"/>
        <v>2025</v>
      </c>
      <c r="I3750">
        <f t="shared" si="296"/>
        <v>6</v>
      </c>
      <c r="J3750">
        <f t="shared" si="298"/>
        <v>-49.410000000000004</v>
      </c>
    </row>
    <row r="3751" spans="1:10" ht="12.5" x14ac:dyDescent="0.25">
      <c r="A3751" s="1">
        <v>45812</v>
      </c>
      <c r="B3751" s="2" t="s">
        <v>9</v>
      </c>
      <c r="C3751" s="3">
        <v>8.99</v>
      </c>
      <c r="D3751" s="3">
        <v>24</v>
      </c>
      <c r="E3751" s="3">
        <v>215.76</v>
      </c>
      <c r="F3751" t="str">
        <f t="shared" si="294"/>
        <v>cogs</v>
      </c>
      <c r="G3751" s="7" t="str">
        <f t="shared" si="297"/>
        <v>product 3</v>
      </c>
      <c r="H3751">
        <f t="shared" si="295"/>
        <v>2025</v>
      </c>
      <c r="I3751">
        <f t="shared" si="296"/>
        <v>6</v>
      </c>
      <c r="J3751">
        <f t="shared" si="298"/>
        <v>-19.989999999999998</v>
      </c>
    </row>
    <row r="3752" spans="1:10" ht="12.5" x14ac:dyDescent="0.25">
      <c r="A3752" s="1">
        <v>45812</v>
      </c>
      <c r="B3752" s="2" t="s">
        <v>10</v>
      </c>
      <c r="C3752" s="2" t="s">
        <v>6</v>
      </c>
      <c r="D3752" s="2" t="s">
        <v>6</v>
      </c>
      <c r="E3752" s="3">
        <v>118.98</v>
      </c>
      <c r="F3752" t="str">
        <f t="shared" si="294"/>
        <v>marketing</v>
      </c>
      <c r="G3752" s="7" t="s">
        <v>6</v>
      </c>
      <c r="H3752">
        <f t="shared" si="295"/>
        <v>2025</v>
      </c>
      <c r="I3752">
        <f t="shared" si="296"/>
        <v>6</v>
      </c>
      <c r="J3752">
        <f t="shared" si="298"/>
        <v>0</v>
      </c>
    </row>
    <row r="3753" spans="1:10" ht="12.5" x14ac:dyDescent="0.25">
      <c r="A3753" s="1">
        <v>45812</v>
      </c>
      <c r="B3753" s="2" t="s">
        <v>11</v>
      </c>
      <c r="C3753" s="3">
        <v>9.99</v>
      </c>
      <c r="D3753" s="3">
        <v>25</v>
      </c>
      <c r="E3753" s="3">
        <v>249.75</v>
      </c>
      <c r="F3753" t="str">
        <f t="shared" si="294"/>
        <v>net sales</v>
      </c>
      <c r="G3753" s="7" t="str">
        <f t="shared" si="297"/>
        <v>product 1</v>
      </c>
      <c r="H3753">
        <f t="shared" si="295"/>
        <v>2025</v>
      </c>
      <c r="I3753">
        <f t="shared" si="296"/>
        <v>6</v>
      </c>
      <c r="J3753">
        <f t="shared" si="298"/>
        <v>-120.05</v>
      </c>
    </row>
    <row r="3754" spans="1:10" ht="12.5" x14ac:dyDescent="0.25">
      <c r="A3754" s="1">
        <v>45812</v>
      </c>
      <c r="B3754" s="2" t="s">
        <v>12</v>
      </c>
      <c r="C3754" s="3">
        <v>24.99</v>
      </c>
      <c r="D3754" s="3">
        <v>3</v>
      </c>
      <c r="E3754" s="3">
        <v>74.97</v>
      </c>
      <c r="F3754" t="str">
        <f t="shared" si="294"/>
        <v>net sales</v>
      </c>
      <c r="G3754" s="7" t="str">
        <f t="shared" si="297"/>
        <v>product 2</v>
      </c>
      <c r="H3754">
        <f t="shared" si="295"/>
        <v>2025</v>
      </c>
      <c r="I3754">
        <f t="shared" si="296"/>
        <v>6</v>
      </c>
      <c r="J3754">
        <f t="shared" si="298"/>
        <v>89.91</v>
      </c>
    </row>
    <row r="3755" spans="1:10" ht="12.5" x14ac:dyDescent="0.25">
      <c r="A3755" s="1">
        <v>45812</v>
      </c>
      <c r="B3755" s="2" t="s">
        <v>13</v>
      </c>
      <c r="C3755" s="3">
        <v>12.49</v>
      </c>
      <c r="D3755" s="3">
        <v>24</v>
      </c>
      <c r="E3755" s="3">
        <v>299.76</v>
      </c>
      <c r="F3755" t="str">
        <f t="shared" si="294"/>
        <v>net sales</v>
      </c>
      <c r="G3755" s="7" t="str">
        <f t="shared" si="297"/>
        <v>product 3</v>
      </c>
      <c r="H3755">
        <f t="shared" si="295"/>
        <v>2025</v>
      </c>
      <c r="I3755">
        <f t="shared" si="296"/>
        <v>6</v>
      </c>
      <c r="J3755">
        <f t="shared" si="298"/>
        <v>24.99</v>
      </c>
    </row>
    <row r="3756" spans="1:10" ht="12.5" x14ac:dyDescent="0.25">
      <c r="A3756" s="1">
        <v>45813</v>
      </c>
      <c r="B3756" s="2" t="s">
        <v>7</v>
      </c>
      <c r="C3756" s="3">
        <v>5.49</v>
      </c>
      <c r="D3756" s="3">
        <v>36</v>
      </c>
      <c r="E3756" s="3">
        <v>197.64000000000001</v>
      </c>
      <c r="F3756" t="str">
        <f t="shared" si="294"/>
        <v>cogs</v>
      </c>
      <c r="G3756" s="7" t="str">
        <f t="shared" si="297"/>
        <v>product 1</v>
      </c>
      <c r="H3756">
        <f t="shared" si="295"/>
        <v>2025</v>
      </c>
      <c r="I3756">
        <f t="shared" si="296"/>
        <v>6</v>
      </c>
      <c r="J3756">
        <f t="shared" si="298"/>
        <v>0</v>
      </c>
    </row>
    <row r="3757" spans="1:10" ht="12.5" x14ac:dyDescent="0.25">
      <c r="A3757" s="1">
        <v>45813</v>
      </c>
      <c r="B3757" s="2" t="s">
        <v>8</v>
      </c>
      <c r="C3757" s="3">
        <v>19.989999999999998</v>
      </c>
      <c r="D3757" s="3">
        <v>5</v>
      </c>
      <c r="E3757" s="3">
        <v>99.949999999999989</v>
      </c>
      <c r="F3757" t="str">
        <f t="shared" si="294"/>
        <v>cogs</v>
      </c>
      <c r="G3757" s="7" t="str">
        <f t="shared" si="297"/>
        <v>product 2</v>
      </c>
      <c r="H3757">
        <f t="shared" si="295"/>
        <v>2025</v>
      </c>
      <c r="I3757">
        <f t="shared" si="296"/>
        <v>6</v>
      </c>
      <c r="J3757">
        <f t="shared" si="298"/>
        <v>-186.66</v>
      </c>
    </row>
    <row r="3758" spans="1:10" ht="12.5" x14ac:dyDescent="0.25">
      <c r="A3758" s="1">
        <v>45813</v>
      </c>
      <c r="B3758" s="2" t="s">
        <v>9</v>
      </c>
      <c r="C3758" s="3">
        <v>8.99</v>
      </c>
      <c r="D3758" s="3">
        <v>211</v>
      </c>
      <c r="E3758" s="3">
        <v>1896.89</v>
      </c>
      <c r="F3758" t="str">
        <f t="shared" si="294"/>
        <v>cogs</v>
      </c>
      <c r="G3758" s="7" t="str">
        <f t="shared" si="297"/>
        <v>product 3</v>
      </c>
      <c r="H3758">
        <f t="shared" si="295"/>
        <v>2025</v>
      </c>
      <c r="I3758">
        <f t="shared" si="296"/>
        <v>6</v>
      </c>
      <c r="J3758">
        <f t="shared" si="298"/>
        <v>-119.94</v>
      </c>
    </row>
    <row r="3759" spans="1:10" ht="12.5" x14ac:dyDescent="0.25">
      <c r="A3759" s="1">
        <v>45813</v>
      </c>
      <c r="B3759" s="2" t="s">
        <v>10</v>
      </c>
      <c r="C3759" s="2" t="s">
        <v>6</v>
      </c>
      <c r="D3759" s="2" t="s">
        <v>6</v>
      </c>
      <c r="E3759" s="3">
        <v>116.99000000000001</v>
      </c>
      <c r="F3759" t="str">
        <f t="shared" si="294"/>
        <v>marketing</v>
      </c>
      <c r="G3759" s="7" t="s">
        <v>6</v>
      </c>
      <c r="H3759">
        <f t="shared" si="295"/>
        <v>2025</v>
      </c>
      <c r="I3759">
        <f t="shared" si="296"/>
        <v>6</v>
      </c>
      <c r="J3759">
        <f t="shared" si="298"/>
        <v>-305.66000000000003</v>
      </c>
    </row>
    <row r="3760" spans="1:10" ht="12.5" x14ac:dyDescent="0.25">
      <c r="A3760" s="1">
        <v>45813</v>
      </c>
      <c r="B3760" s="2" t="s">
        <v>11</v>
      </c>
      <c r="C3760" s="3">
        <v>9.99</v>
      </c>
      <c r="D3760" s="3">
        <v>36</v>
      </c>
      <c r="E3760" s="3">
        <v>359.64</v>
      </c>
      <c r="F3760" t="str">
        <f t="shared" si="294"/>
        <v>net sales</v>
      </c>
      <c r="G3760" s="7" t="str">
        <f t="shared" si="297"/>
        <v>product 1</v>
      </c>
      <c r="H3760">
        <f t="shared" si="295"/>
        <v>2025</v>
      </c>
      <c r="I3760">
        <f t="shared" si="296"/>
        <v>6</v>
      </c>
      <c r="J3760">
        <f t="shared" si="298"/>
        <v>-112.03</v>
      </c>
    </row>
    <row r="3761" spans="1:10" ht="12.5" x14ac:dyDescent="0.25">
      <c r="A3761" s="1">
        <v>45813</v>
      </c>
      <c r="B3761" s="2" t="s">
        <v>12</v>
      </c>
      <c r="C3761" s="3">
        <v>24.99</v>
      </c>
      <c r="D3761" s="3">
        <v>5</v>
      </c>
      <c r="E3761" s="3">
        <v>124.94999999999999</v>
      </c>
      <c r="F3761" t="str">
        <f t="shared" si="294"/>
        <v>net sales</v>
      </c>
      <c r="G3761" s="7" t="str">
        <f t="shared" si="297"/>
        <v>product 2</v>
      </c>
      <c r="H3761">
        <f t="shared" si="295"/>
        <v>2025</v>
      </c>
      <c r="I3761">
        <f t="shared" si="296"/>
        <v>6</v>
      </c>
      <c r="J3761">
        <f t="shared" si="298"/>
        <v>339.66</v>
      </c>
    </row>
    <row r="3762" spans="1:10" ht="12.5" x14ac:dyDescent="0.25">
      <c r="A3762" s="1">
        <v>45813</v>
      </c>
      <c r="B3762" s="2" t="s">
        <v>13</v>
      </c>
      <c r="C3762" s="3">
        <v>12.49</v>
      </c>
      <c r="D3762" s="3">
        <v>211</v>
      </c>
      <c r="E3762" s="3">
        <v>2635.39</v>
      </c>
      <c r="F3762" t="str">
        <f t="shared" si="294"/>
        <v>net sales</v>
      </c>
      <c r="G3762" s="7" t="str">
        <f t="shared" si="297"/>
        <v>product 3</v>
      </c>
      <c r="H3762">
        <f t="shared" si="295"/>
        <v>2025</v>
      </c>
      <c r="I3762">
        <f t="shared" si="296"/>
        <v>6</v>
      </c>
      <c r="J3762">
        <f t="shared" si="298"/>
        <v>149.94</v>
      </c>
    </row>
    <row r="3763" spans="1:10" ht="12.5" x14ac:dyDescent="0.25">
      <c r="A3763" s="1">
        <v>45814</v>
      </c>
      <c r="B3763" s="2" t="s">
        <v>7</v>
      </c>
      <c r="C3763" s="3">
        <v>5.49</v>
      </c>
      <c r="D3763" s="3">
        <v>64</v>
      </c>
      <c r="E3763" s="3">
        <v>351.36</v>
      </c>
      <c r="F3763" t="str">
        <f t="shared" si="294"/>
        <v>cogs</v>
      </c>
      <c r="G3763" s="7" t="str">
        <f t="shared" si="297"/>
        <v>product 1</v>
      </c>
      <c r="H3763">
        <f t="shared" si="295"/>
        <v>2025</v>
      </c>
      <c r="I3763">
        <f t="shared" si="296"/>
        <v>6</v>
      </c>
      <c r="J3763">
        <f t="shared" si="298"/>
        <v>424.66</v>
      </c>
    </row>
    <row r="3764" spans="1:10" ht="12.5" x14ac:dyDescent="0.25">
      <c r="A3764" s="1">
        <v>45814</v>
      </c>
      <c r="B3764" s="2" t="s">
        <v>8</v>
      </c>
      <c r="C3764" s="3">
        <v>19.989999999999998</v>
      </c>
      <c r="D3764" s="3">
        <v>4</v>
      </c>
      <c r="E3764" s="3">
        <v>79.959999999999994</v>
      </c>
      <c r="F3764" t="str">
        <f t="shared" si="294"/>
        <v>cogs</v>
      </c>
      <c r="G3764" s="7" t="str">
        <f t="shared" si="297"/>
        <v>product 2</v>
      </c>
      <c r="H3764">
        <f t="shared" si="295"/>
        <v>2025</v>
      </c>
      <c r="I3764">
        <f t="shared" si="296"/>
        <v>6</v>
      </c>
      <c r="J3764">
        <f t="shared" si="298"/>
        <v>-494.1</v>
      </c>
    </row>
    <row r="3765" spans="1:10" ht="12.5" x14ac:dyDescent="0.25">
      <c r="A3765" s="1">
        <v>45814</v>
      </c>
      <c r="B3765" s="2" t="s">
        <v>9</v>
      </c>
      <c r="C3765" s="3">
        <v>8.99</v>
      </c>
      <c r="D3765" s="3">
        <v>114</v>
      </c>
      <c r="E3765" s="3">
        <v>1024.8600000000001</v>
      </c>
      <c r="F3765" t="str">
        <f t="shared" si="294"/>
        <v>cogs</v>
      </c>
      <c r="G3765" s="7" t="str">
        <f t="shared" si="297"/>
        <v>product 3</v>
      </c>
      <c r="H3765">
        <f t="shared" si="295"/>
        <v>2025</v>
      </c>
      <c r="I3765">
        <f t="shared" si="296"/>
        <v>6</v>
      </c>
      <c r="J3765">
        <f t="shared" si="298"/>
        <v>-159.91999999999999</v>
      </c>
    </row>
    <row r="3766" spans="1:10" ht="12.5" x14ac:dyDescent="0.25">
      <c r="A3766" s="1">
        <v>45814</v>
      </c>
      <c r="B3766" s="2" t="s">
        <v>10</v>
      </c>
      <c r="C3766" s="2" t="s">
        <v>6</v>
      </c>
      <c r="D3766" s="2" t="s">
        <v>6</v>
      </c>
      <c r="E3766" s="3">
        <v>110.92</v>
      </c>
      <c r="F3766" t="str">
        <f t="shared" si="294"/>
        <v>marketing</v>
      </c>
      <c r="G3766" s="7" t="s">
        <v>6</v>
      </c>
      <c r="H3766">
        <f t="shared" si="295"/>
        <v>2025</v>
      </c>
      <c r="I3766">
        <f t="shared" si="296"/>
        <v>6</v>
      </c>
      <c r="J3766">
        <f t="shared" si="298"/>
        <v>-1869.92</v>
      </c>
    </row>
    <row r="3767" spans="1:10" ht="12.5" x14ac:dyDescent="0.25">
      <c r="A3767" s="1">
        <v>45814</v>
      </c>
      <c r="B3767" s="2" t="s">
        <v>11</v>
      </c>
      <c r="C3767" s="3">
        <v>9.99</v>
      </c>
      <c r="D3767" s="3">
        <v>64</v>
      </c>
      <c r="E3767" s="3">
        <v>639.36</v>
      </c>
      <c r="F3767" t="str">
        <f t="shared" si="294"/>
        <v>net sales</v>
      </c>
      <c r="G3767" s="7" t="str">
        <f t="shared" si="297"/>
        <v>product 1</v>
      </c>
      <c r="H3767">
        <f t="shared" si="295"/>
        <v>2025</v>
      </c>
      <c r="I3767">
        <f t="shared" si="296"/>
        <v>6</v>
      </c>
      <c r="J3767">
        <f t="shared" si="298"/>
        <v>-106.09</v>
      </c>
    </row>
    <row r="3768" spans="1:10" ht="12.5" x14ac:dyDescent="0.25">
      <c r="A3768" s="1">
        <v>45814</v>
      </c>
      <c r="B3768" s="2" t="s">
        <v>12</v>
      </c>
      <c r="C3768" s="3">
        <v>24.99</v>
      </c>
      <c r="D3768" s="3">
        <v>4</v>
      </c>
      <c r="E3768" s="3">
        <v>99.96</v>
      </c>
      <c r="F3768" t="str">
        <f t="shared" si="294"/>
        <v>net sales</v>
      </c>
      <c r="G3768" s="7" t="str">
        <f t="shared" si="297"/>
        <v>product 2</v>
      </c>
      <c r="H3768">
        <f t="shared" si="295"/>
        <v>2025</v>
      </c>
      <c r="I3768">
        <f t="shared" si="296"/>
        <v>6</v>
      </c>
      <c r="J3768">
        <f t="shared" si="298"/>
        <v>899.1</v>
      </c>
    </row>
    <row r="3769" spans="1:10" ht="12.5" x14ac:dyDescent="0.25">
      <c r="A3769" s="1">
        <v>45814</v>
      </c>
      <c r="B3769" s="2" t="s">
        <v>13</v>
      </c>
      <c r="C3769" s="3">
        <v>12.49</v>
      </c>
      <c r="D3769" s="3">
        <v>114</v>
      </c>
      <c r="E3769" s="3">
        <v>1423.8600000000001</v>
      </c>
      <c r="F3769" t="str">
        <f t="shared" si="294"/>
        <v>net sales</v>
      </c>
      <c r="G3769" s="7" t="str">
        <f t="shared" si="297"/>
        <v>product 3</v>
      </c>
      <c r="H3769">
        <f t="shared" si="295"/>
        <v>2025</v>
      </c>
      <c r="I3769">
        <f t="shared" si="296"/>
        <v>6</v>
      </c>
      <c r="J3769">
        <f t="shared" si="298"/>
        <v>199.92</v>
      </c>
    </row>
    <row r="3770" spans="1:10" ht="12.5" x14ac:dyDescent="0.25">
      <c r="A3770" s="1">
        <v>45814</v>
      </c>
      <c r="B3770" s="2" t="s">
        <v>15</v>
      </c>
      <c r="C3770" s="2" t="s">
        <v>6</v>
      </c>
      <c r="D3770" s="2" t="s">
        <v>6</v>
      </c>
      <c r="E3770" s="3">
        <v>1200</v>
      </c>
      <c r="F3770" t="str">
        <f t="shared" si="294"/>
        <v>payroll</v>
      </c>
      <c r="G3770" s="7" t="s">
        <v>6</v>
      </c>
      <c r="H3770">
        <f t="shared" si="295"/>
        <v>2025</v>
      </c>
      <c r="I3770">
        <f t="shared" si="296"/>
        <v>6</v>
      </c>
      <c r="J3770">
        <f t="shared" si="298"/>
        <v>2597.92</v>
      </c>
    </row>
    <row r="3771" spans="1:10" ht="12.5" x14ac:dyDescent="0.25">
      <c r="A3771" s="1">
        <v>45815</v>
      </c>
      <c r="B3771" s="2" t="s">
        <v>7</v>
      </c>
      <c r="C3771" s="3">
        <v>5.49</v>
      </c>
      <c r="D3771" s="3">
        <v>8</v>
      </c>
      <c r="E3771" s="3">
        <v>43.92</v>
      </c>
      <c r="F3771" t="str">
        <f t="shared" si="294"/>
        <v>cogs</v>
      </c>
      <c r="G3771" s="7" t="str">
        <f t="shared" si="297"/>
        <v>product 1</v>
      </c>
      <c r="H3771">
        <f t="shared" si="295"/>
        <v>2025</v>
      </c>
      <c r="I3771">
        <f t="shared" si="296"/>
        <v>6</v>
      </c>
      <c r="J3771">
        <f t="shared" si="298"/>
        <v>-439.20000000000005</v>
      </c>
    </row>
    <row r="3772" spans="1:10" ht="12.5" x14ac:dyDescent="0.25">
      <c r="A3772" s="1">
        <v>45815</v>
      </c>
      <c r="B3772" s="2" t="s">
        <v>8</v>
      </c>
      <c r="C3772" s="3">
        <v>19.989999999999998</v>
      </c>
      <c r="D3772" s="3">
        <v>5</v>
      </c>
      <c r="E3772" s="3">
        <v>99.949999999999989</v>
      </c>
      <c r="F3772" t="str">
        <f t="shared" si="294"/>
        <v>cogs</v>
      </c>
      <c r="G3772" s="7" t="str">
        <f t="shared" si="297"/>
        <v>product 2</v>
      </c>
      <c r="H3772">
        <f t="shared" si="295"/>
        <v>2025</v>
      </c>
      <c r="I3772">
        <f t="shared" si="296"/>
        <v>6</v>
      </c>
      <c r="J3772">
        <f t="shared" si="298"/>
        <v>0</v>
      </c>
    </row>
    <row r="3773" spans="1:10" ht="12.5" x14ac:dyDescent="0.25">
      <c r="A3773" s="1">
        <v>45815</v>
      </c>
      <c r="B3773" s="2" t="s">
        <v>9</v>
      </c>
      <c r="C3773" s="3">
        <v>8.99</v>
      </c>
      <c r="D3773" s="3">
        <v>59</v>
      </c>
      <c r="E3773" s="3">
        <v>530.41</v>
      </c>
      <c r="F3773" t="str">
        <f t="shared" si="294"/>
        <v>cogs</v>
      </c>
      <c r="G3773" s="7" t="str">
        <f t="shared" si="297"/>
        <v>product 3</v>
      </c>
      <c r="H3773">
        <f t="shared" si="295"/>
        <v>2025</v>
      </c>
      <c r="I3773">
        <f t="shared" si="296"/>
        <v>6</v>
      </c>
      <c r="J3773">
        <f t="shared" si="298"/>
        <v>-2049.7200000000003</v>
      </c>
    </row>
    <row r="3774" spans="1:10" ht="12.5" x14ac:dyDescent="0.25">
      <c r="A3774" s="1">
        <v>45815</v>
      </c>
      <c r="B3774" s="2" t="s">
        <v>10</v>
      </c>
      <c r="C3774" s="2" t="s">
        <v>6</v>
      </c>
      <c r="D3774" s="2" t="s">
        <v>6</v>
      </c>
      <c r="E3774" s="3">
        <v>111.95</v>
      </c>
      <c r="F3774" t="str">
        <f t="shared" si="294"/>
        <v>marketing</v>
      </c>
      <c r="G3774" s="7" t="s">
        <v>6</v>
      </c>
      <c r="H3774">
        <f t="shared" si="295"/>
        <v>2025</v>
      </c>
      <c r="I3774">
        <f t="shared" si="296"/>
        <v>6</v>
      </c>
      <c r="J3774">
        <f t="shared" si="298"/>
        <v>-116.10000000000001</v>
      </c>
    </row>
    <row r="3775" spans="1:10" ht="12.5" x14ac:dyDescent="0.25">
      <c r="A3775" s="1">
        <v>45815</v>
      </c>
      <c r="B3775" s="2" t="s">
        <v>11</v>
      </c>
      <c r="C3775" s="3">
        <v>9.99</v>
      </c>
      <c r="D3775" s="3">
        <v>8</v>
      </c>
      <c r="E3775" s="3">
        <v>79.92</v>
      </c>
      <c r="F3775" t="str">
        <f t="shared" si="294"/>
        <v>net sales</v>
      </c>
      <c r="G3775" s="7" t="str">
        <f t="shared" si="297"/>
        <v>product 1</v>
      </c>
      <c r="H3775">
        <f t="shared" si="295"/>
        <v>2025</v>
      </c>
      <c r="I3775">
        <f t="shared" si="296"/>
        <v>6</v>
      </c>
      <c r="J3775">
        <f t="shared" si="298"/>
        <v>799.2</v>
      </c>
    </row>
    <row r="3776" spans="1:10" ht="12.5" x14ac:dyDescent="0.25">
      <c r="A3776" s="1">
        <v>45815</v>
      </c>
      <c r="B3776" s="2" t="s">
        <v>12</v>
      </c>
      <c r="C3776" s="3">
        <v>24.99</v>
      </c>
      <c r="D3776" s="3">
        <v>5</v>
      </c>
      <c r="E3776" s="3">
        <v>124.94999999999999</v>
      </c>
      <c r="F3776" t="str">
        <f t="shared" si="294"/>
        <v>net sales</v>
      </c>
      <c r="G3776" s="7" t="str">
        <f t="shared" si="297"/>
        <v>product 2</v>
      </c>
      <c r="H3776">
        <f t="shared" si="295"/>
        <v>2025</v>
      </c>
      <c r="I3776">
        <f t="shared" si="296"/>
        <v>6</v>
      </c>
      <c r="J3776">
        <f t="shared" si="298"/>
        <v>0</v>
      </c>
    </row>
    <row r="3777" spans="1:10" ht="12.5" x14ac:dyDescent="0.25">
      <c r="A3777" s="1">
        <v>45815</v>
      </c>
      <c r="B3777" s="2" t="s">
        <v>13</v>
      </c>
      <c r="C3777" s="3">
        <v>12.49</v>
      </c>
      <c r="D3777" s="3">
        <v>59</v>
      </c>
      <c r="E3777" s="3">
        <v>736.91</v>
      </c>
      <c r="F3777" t="str">
        <f t="shared" si="294"/>
        <v>net sales</v>
      </c>
      <c r="G3777" s="7" t="str">
        <f t="shared" si="297"/>
        <v>product 3</v>
      </c>
      <c r="H3777">
        <f t="shared" si="295"/>
        <v>2025</v>
      </c>
      <c r="I3777">
        <f t="shared" si="296"/>
        <v>6</v>
      </c>
      <c r="J3777">
        <f t="shared" si="298"/>
        <v>2847.7200000000003</v>
      </c>
    </row>
    <row r="3778" spans="1:10" ht="12.5" x14ac:dyDescent="0.25">
      <c r="A3778" s="1">
        <v>45816</v>
      </c>
      <c r="B3778" s="2" t="s">
        <v>7</v>
      </c>
      <c r="C3778" s="3">
        <v>5.49</v>
      </c>
      <c r="D3778" s="3">
        <v>45</v>
      </c>
      <c r="E3778" s="3">
        <v>247.05</v>
      </c>
      <c r="F3778" t="str">
        <f t="shared" si="294"/>
        <v>cogs</v>
      </c>
      <c r="G3778" s="7" t="str">
        <f t="shared" si="297"/>
        <v>product 1</v>
      </c>
      <c r="H3778">
        <f t="shared" si="295"/>
        <v>2025</v>
      </c>
      <c r="I3778">
        <f t="shared" si="296"/>
        <v>6</v>
      </c>
      <c r="J3778">
        <f t="shared" si="298"/>
        <v>-181.17000000000002</v>
      </c>
    </row>
    <row r="3779" spans="1:10" ht="12.5" x14ac:dyDescent="0.25">
      <c r="A3779" s="1">
        <v>45816</v>
      </c>
      <c r="B3779" s="2" t="s">
        <v>8</v>
      </c>
      <c r="C3779" s="3">
        <v>19.989999999999998</v>
      </c>
      <c r="D3779" s="3">
        <v>1</v>
      </c>
      <c r="E3779" s="3">
        <v>19.989999999999998</v>
      </c>
      <c r="F3779" t="str">
        <f t="shared" ref="F3779:F3842" si="299">IFERROR(LEFT(B3779,FIND(":",B3779)-1),B3779)</f>
        <v>cogs</v>
      </c>
      <c r="G3779" s="7" t="str">
        <f t="shared" ref="G3779:G3842" si="300">IFERROR(RIGHT(B3779,LEN(B3779)-FIND(":",B3779)),"")</f>
        <v>product 2</v>
      </c>
      <c r="H3779">
        <f t="shared" ref="H3779:H3842" si="301">YEAR(A3779)</f>
        <v>2025</v>
      </c>
      <c r="I3779">
        <f t="shared" ref="I3779:I3842" si="302">MONTH(A3779)</f>
        <v>6</v>
      </c>
      <c r="J3779">
        <f t="shared" si="298"/>
        <v>-19.989999999999998</v>
      </c>
    </row>
    <row r="3780" spans="1:10" ht="12.5" x14ac:dyDescent="0.25">
      <c r="A3780" s="1">
        <v>45816</v>
      </c>
      <c r="B3780" s="2" t="s">
        <v>9</v>
      </c>
      <c r="C3780" s="3">
        <v>8.99</v>
      </c>
      <c r="D3780" s="3">
        <v>17</v>
      </c>
      <c r="E3780" s="3">
        <v>152.83000000000001</v>
      </c>
      <c r="F3780" t="str">
        <f t="shared" si="299"/>
        <v>cogs</v>
      </c>
      <c r="G3780" s="7" t="str">
        <f t="shared" si="300"/>
        <v>product 3</v>
      </c>
      <c r="H3780">
        <f t="shared" si="301"/>
        <v>2025</v>
      </c>
      <c r="I3780">
        <f t="shared" si="302"/>
        <v>6</v>
      </c>
      <c r="J3780">
        <f t="shared" si="298"/>
        <v>-1393.45</v>
      </c>
    </row>
    <row r="3781" spans="1:10" ht="12.5" x14ac:dyDescent="0.25">
      <c r="A3781" s="1">
        <v>45816</v>
      </c>
      <c r="B3781" s="2" t="s">
        <v>10</v>
      </c>
      <c r="C3781" s="2" t="s">
        <v>6</v>
      </c>
      <c r="D3781" s="2" t="s">
        <v>6</v>
      </c>
      <c r="E3781" s="3">
        <v>120.08</v>
      </c>
      <c r="F3781" t="str">
        <f t="shared" si="299"/>
        <v>marketing</v>
      </c>
      <c r="G3781" s="7" t="s">
        <v>6</v>
      </c>
      <c r="H3781">
        <f t="shared" si="301"/>
        <v>2025</v>
      </c>
      <c r="I3781">
        <f t="shared" si="302"/>
        <v>6</v>
      </c>
      <c r="J3781">
        <f t="shared" si="298"/>
        <v>-110.03</v>
      </c>
    </row>
    <row r="3782" spans="1:10" ht="12.5" x14ac:dyDescent="0.25">
      <c r="A3782" s="1">
        <v>45816</v>
      </c>
      <c r="B3782" s="2" t="s">
        <v>11</v>
      </c>
      <c r="C3782" s="3">
        <v>9.99</v>
      </c>
      <c r="D3782" s="3">
        <v>45</v>
      </c>
      <c r="E3782" s="3">
        <v>449.55</v>
      </c>
      <c r="F3782" t="str">
        <f t="shared" si="299"/>
        <v>net sales</v>
      </c>
      <c r="G3782" s="7" t="str">
        <f t="shared" si="300"/>
        <v>product 1</v>
      </c>
      <c r="H3782">
        <f t="shared" si="301"/>
        <v>2025</v>
      </c>
      <c r="I3782">
        <f t="shared" si="302"/>
        <v>6</v>
      </c>
      <c r="J3782">
        <f t="shared" si="298"/>
        <v>329.67</v>
      </c>
    </row>
    <row r="3783" spans="1:10" ht="12.5" x14ac:dyDescent="0.25">
      <c r="A3783" s="1">
        <v>45816</v>
      </c>
      <c r="B3783" s="2" t="s">
        <v>12</v>
      </c>
      <c r="C3783" s="3">
        <v>24.99</v>
      </c>
      <c r="D3783" s="3">
        <v>1</v>
      </c>
      <c r="E3783" s="3">
        <v>24.99</v>
      </c>
      <c r="F3783" t="str">
        <f t="shared" si="299"/>
        <v>net sales</v>
      </c>
      <c r="G3783" s="7" t="str">
        <f t="shared" si="300"/>
        <v>product 2</v>
      </c>
      <c r="H3783">
        <f t="shared" si="301"/>
        <v>2025</v>
      </c>
      <c r="I3783">
        <f t="shared" si="302"/>
        <v>6</v>
      </c>
      <c r="J3783">
        <f t="shared" si="298"/>
        <v>24.99</v>
      </c>
    </row>
    <row r="3784" spans="1:10" ht="12.5" x14ac:dyDescent="0.25">
      <c r="A3784" s="1">
        <v>45816</v>
      </c>
      <c r="B3784" s="2" t="s">
        <v>13</v>
      </c>
      <c r="C3784" s="3">
        <v>12.49</v>
      </c>
      <c r="D3784" s="3">
        <v>17</v>
      </c>
      <c r="E3784" s="3">
        <v>212.33</v>
      </c>
      <c r="F3784" t="str">
        <f t="shared" si="299"/>
        <v>net sales</v>
      </c>
      <c r="G3784" s="7" t="str">
        <f t="shared" si="300"/>
        <v>product 3</v>
      </c>
      <c r="H3784">
        <f t="shared" si="301"/>
        <v>2025</v>
      </c>
      <c r="I3784">
        <f t="shared" si="302"/>
        <v>6</v>
      </c>
      <c r="J3784">
        <f t="shared" si="298"/>
        <v>1935.95</v>
      </c>
    </row>
    <row r="3785" spans="1:10" ht="12.5" x14ac:dyDescent="0.25">
      <c r="A3785" s="1">
        <v>45817</v>
      </c>
      <c r="B3785" s="2" t="s">
        <v>7</v>
      </c>
      <c r="C3785" s="3">
        <v>5.49</v>
      </c>
      <c r="D3785" s="3">
        <v>19</v>
      </c>
      <c r="E3785" s="3">
        <v>104.31</v>
      </c>
      <c r="F3785" t="str">
        <f t="shared" si="299"/>
        <v>cogs</v>
      </c>
      <c r="G3785" s="7" t="str">
        <f t="shared" si="300"/>
        <v>product 1</v>
      </c>
      <c r="H3785">
        <f t="shared" si="301"/>
        <v>2025</v>
      </c>
      <c r="I3785">
        <f t="shared" si="302"/>
        <v>6</v>
      </c>
      <c r="J3785">
        <f t="shared" si="298"/>
        <v>-1200</v>
      </c>
    </row>
    <row r="3786" spans="1:10" ht="12.5" x14ac:dyDescent="0.25">
      <c r="A3786" s="1">
        <v>45817</v>
      </c>
      <c r="B3786" s="2" t="s">
        <v>8</v>
      </c>
      <c r="C3786" s="3">
        <v>19.989999999999998</v>
      </c>
      <c r="D3786" s="3">
        <v>2</v>
      </c>
      <c r="E3786" s="3">
        <v>39.979999999999997</v>
      </c>
      <c r="F3786" t="str">
        <f t="shared" si="299"/>
        <v>cogs</v>
      </c>
      <c r="G3786" s="7" t="str">
        <f t="shared" si="300"/>
        <v>product 2</v>
      </c>
      <c r="H3786">
        <f t="shared" si="301"/>
        <v>2025</v>
      </c>
      <c r="I3786">
        <f t="shared" si="302"/>
        <v>6</v>
      </c>
      <c r="J3786">
        <f t="shared" si="298"/>
        <v>-296.46000000000004</v>
      </c>
    </row>
    <row r="3787" spans="1:10" ht="12.5" x14ac:dyDescent="0.25">
      <c r="A3787" s="1">
        <v>45817</v>
      </c>
      <c r="B3787" s="2" t="s">
        <v>9</v>
      </c>
      <c r="C3787" s="3">
        <v>8.99</v>
      </c>
      <c r="D3787" s="3">
        <v>103</v>
      </c>
      <c r="E3787" s="3">
        <v>925.97</v>
      </c>
      <c r="F3787" t="str">
        <f t="shared" si="299"/>
        <v>cogs</v>
      </c>
      <c r="G3787" s="7" t="str">
        <f t="shared" si="300"/>
        <v>product 3</v>
      </c>
      <c r="H3787">
        <f t="shared" si="301"/>
        <v>2025</v>
      </c>
      <c r="I3787">
        <f t="shared" si="302"/>
        <v>6</v>
      </c>
      <c r="J3787">
        <f t="shared" si="298"/>
        <v>-19.989999999999998</v>
      </c>
    </row>
    <row r="3788" spans="1:10" ht="12.5" x14ac:dyDescent="0.25">
      <c r="A3788" s="1">
        <v>45817</v>
      </c>
      <c r="B3788" s="2" t="s">
        <v>10</v>
      </c>
      <c r="C3788" s="2" t="s">
        <v>6</v>
      </c>
      <c r="D3788" s="2" t="s">
        <v>6</v>
      </c>
      <c r="E3788" s="3">
        <v>107</v>
      </c>
      <c r="F3788" t="str">
        <f t="shared" si="299"/>
        <v>marketing</v>
      </c>
      <c r="G3788" s="7" t="s">
        <v>6</v>
      </c>
      <c r="H3788">
        <f t="shared" si="301"/>
        <v>2025</v>
      </c>
      <c r="I3788">
        <f t="shared" si="302"/>
        <v>6</v>
      </c>
      <c r="J3788">
        <f t="shared" si="298"/>
        <v>0</v>
      </c>
    </row>
    <row r="3789" spans="1:10" ht="12.5" x14ac:dyDescent="0.25">
      <c r="A3789" s="1">
        <v>45817</v>
      </c>
      <c r="B3789" s="2" t="s">
        <v>11</v>
      </c>
      <c r="C3789" s="3">
        <v>9.99</v>
      </c>
      <c r="D3789" s="3">
        <v>19</v>
      </c>
      <c r="E3789" s="3">
        <v>189.81</v>
      </c>
      <c r="F3789" t="str">
        <f t="shared" si="299"/>
        <v>net sales</v>
      </c>
      <c r="G3789" s="7" t="str">
        <f t="shared" si="300"/>
        <v>product 1</v>
      </c>
      <c r="H3789">
        <f t="shared" si="301"/>
        <v>2025</v>
      </c>
      <c r="I3789">
        <f t="shared" si="302"/>
        <v>6</v>
      </c>
      <c r="J3789">
        <f t="shared" si="298"/>
        <v>-109.9</v>
      </c>
    </row>
    <row r="3790" spans="1:10" ht="12.5" x14ac:dyDescent="0.25">
      <c r="A3790" s="1">
        <v>45817</v>
      </c>
      <c r="B3790" s="2" t="s">
        <v>12</v>
      </c>
      <c r="C3790" s="3">
        <v>24.99</v>
      </c>
      <c r="D3790" s="3">
        <v>2</v>
      </c>
      <c r="E3790" s="3">
        <v>49.98</v>
      </c>
      <c r="F3790" t="str">
        <f t="shared" si="299"/>
        <v>net sales</v>
      </c>
      <c r="G3790" s="7" t="str">
        <f t="shared" si="300"/>
        <v>product 2</v>
      </c>
      <c r="H3790">
        <f t="shared" si="301"/>
        <v>2025</v>
      </c>
      <c r="I3790">
        <f t="shared" si="302"/>
        <v>6</v>
      </c>
      <c r="J3790">
        <f t="shared" si="298"/>
        <v>539.46</v>
      </c>
    </row>
    <row r="3791" spans="1:10" ht="12.5" x14ac:dyDescent="0.25">
      <c r="A3791" s="1">
        <v>45817</v>
      </c>
      <c r="B3791" s="2" t="s">
        <v>13</v>
      </c>
      <c r="C3791" s="3">
        <v>12.49</v>
      </c>
      <c r="D3791" s="3">
        <v>103</v>
      </c>
      <c r="E3791" s="3">
        <v>1286.47</v>
      </c>
      <c r="F3791" t="str">
        <f t="shared" si="299"/>
        <v>net sales</v>
      </c>
      <c r="G3791" s="7" t="str">
        <f t="shared" si="300"/>
        <v>product 3</v>
      </c>
      <c r="H3791">
        <f t="shared" si="301"/>
        <v>2025</v>
      </c>
      <c r="I3791">
        <f t="shared" si="302"/>
        <v>6</v>
      </c>
      <c r="J3791">
        <f t="shared" si="298"/>
        <v>24.99</v>
      </c>
    </row>
    <row r="3792" spans="1:10" ht="12.5" x14ac:dyDescent="0.25">
      <c r="A3792" s="1">
        <v>45818</v>
      </c>
      <c r="B3792" s="2" t="s">
        <v>7</v>
      </c>
      <c r="C3792" s="3">
        <v>5.49</v>
      </c>
      <c r="D3792" s="3">
        <v>47</v>
      </c>
      <c r="E3792" s="3">
        <v>258.03000000000003</v>
      </c>
      <c r="F3792" t="str">
        <f t="shared" si="299"/>
        <v>cogs</v>
      </c>
      <c r="G3792" s="7" t="str">
        <f t="shared" si="300"/>
        <v>product 1</v>
      </c>
      <c r="H3792">
        <f t="shared" si="301"/>
        <v>2025</v>
      </c>
      <c r="I3792">
        <f t="shared" si="302"/>
        <v>6</v>
      </c>
      <c r="J3792">
        <f t="shared" si="298"/>
        <v>0</v>
      </c>
    </row>
    <row r="3793" spans="1:10" ht="12.5" x14ac:dyDescent="0.25">
      <c r="A3793" s="1">
        <v>45818</v>
      </c>
      <c r="B3793" s="2" t="s">
        <v>8</v>
      </c>
      <c r="C3793" s="3">
        <v>19.989999999999998</v>
      </c>
      <c r="D3793" s="3">
        <v>6</v>
      </c>
      <c r="E3793" s="3">
        <v>119.94</v>
      </c>
      <c r="F3793" t="str">
        <f t="shared" si="299"/>
        <v>cogs</v>
      </c>
      <c r="G3793" s="7" t="str">
        <f t="shared" si="300"/>
        <v>product 2</v>
      </c>
      <c r="H3793">
        <f t="shared" si="301"/>
        <v>2025</v>
      </c>
      <c r="I3793">
        <f t="shared" si="302"/>
        <v>6</v>
      </c>
      <c r="J3793">
        <f t="shared" si="298"/>
        <v>-395.28000000000003</v>
      </c>
    </row>
    <row r="3794" spans="1:10" ht="12.5" x14ac:dyDescent="0.25">
      <c r="A3794" s="1">
        <v>45818</v>
      </c>
      <c r="B3794" s="2" t="s">
        <v>9</v>
      </c>
      <c r="C3794" s="3">
        <v>8.99</v>
      </c>
      <c r="D3794" s="3">
        <v>74</v>
      </c>
      <c r="E3794" s="3">
        <v>665.26</v>
      </c>
      <c r="F3794" t="str">
        <f t="shared" si="299"/>
        <v>cogs</v>
      </c>
      <c r="G3794" s="7" t="str">
        <f t="shared" si="300"/>
        <v>product 3</v>
      </c>
      <c r="H3794">
        <f t="shared" si="301"/>
        <v>2025</v>
      </c>
      <c r="I3794">
        <f t="shared" si="302"/>
        <v>6</v>
      </c>
      <c r="J3794">
        <f t="shared" si="298"/>
        <v>-99.949999999999989</v>
      </c>
    </row>
    <row r="3795" spans="1:10" ht="12.5" x14ac:dyDescent="0.25">
      <c r="A3795" s="1">
        <v>45818</v>
      </c>
      <c r="B3795" s="2" t="s">
        <v>10</v>
      </c>
      <c r="C3795" s="2" t="s">
        <v>6</v>
      </c>
      <c r="D3795" s="2" t="s">
        <v>6</v>
      </c>
      <c r="E3795" s="3">
        <v>105.09</v>
      </c>
      <c r="F3795" t="str">
        <f t="shared" si="299"/>
        <v>marketing</v>
      </c>
      <c r="G3795" s="7" t="s">
        <v>6</v>
      </c>
      <c r="H3795">
        <f t="shared" si="301"/>
        <v>2025</v>
      </c>
      <c r="I3795">
        <f t="shared" si="302"/>
        <v>6</v>
      </c>
      <c r="J3795">
        <f t="shared" si="298"/>
        <v>-1339.51</v>
      </c>
    </row>
    <row r="3796" spans="1:10" ht="12.5" x14ac:dyDescent="0.25">
      <c r="A3796" s="1">
        <v>45818</v>
      </c>
      <c r="B3796" s="2" t="s">
        <v>11</v>
      </c>
      <c r="C3796" s="3">
        <v>9.99</v>
      </c>
      <c r="D3796" s="3">
        <v>47</v>
      </c>
      <c r="E3796" s="3">
        <v>469.53000000000003</v>
      </c>
      <c r="F3796" t="str">
        <f t="shared" si="299"/>
        <v>net sales</v>
      </c>
      <c r="G3796" s="7" t="str">
        <f t="shared" si="300"/>
        <v>product 1</v>
      </c>
      <c r="H3796">
        <f t="shared" si="301"/>
        <v>2025</v>
      </c>
      <c r="I3796">
        <f t="shared" si="302"/>
        <v>6</v>
      </c>
      <c r="J3796">
        <f t="shared" si="298"/>
        <v>-115.08</v>
      </c>
    </row>
    <row r="3797" spans="1:10" ht="12.5" x14ac:dyDescent="0.25">
      <c r="A3797" s="1">
        <v>45818</v>
      </c>
      <c r="B3797" s="2" t="s">
        <v>12</v>
      </c>
      <c r="C3797" s="3">
        <v>24.99</v>
      </c>
      <c r="D3797" s="3">
        <v>6</v>
      </c>
      <c r="E3797" s="3">
        <v>149.94</v>
      </c>
      <c r="F3797" t="str">
        <f t="shared" si="299"/>
        <v>net sales</v>
      </c>
      <c r="G3797" s="7" t="str">
        <f t="shared" si="300"/>
        <v>product 2</v>
      </c>
      <c r="H3797">
        <f t="shared" si="301"/>
        <v>2025</v>
      </c>
      <c r="I3797">
        <f t="shared" si="302"/>
        <v>6</v>
      </c>
      <c r="J3797">
        <f t="shared" si="298"/>
        <v>719.28</v>
      </c>
    </row>
    <row r="3798" spans="1:10" ht="12.5" x14ac:dyDescent="0.25">
      <c r="A3798" s="1">
        <v>45818</v>
      </c>
      <c r="B3798" s="2" t="s">
        <v>13</v>
      </c>
      <c r="C3798" s="3">
        <v>12.49</v>
      </c>
      <c r="D3798" s="3">
        <v>74</v>
      </c>
      <c r="E3798" s="3">
        <v>924.26</v>
      </c>
      <c r="F3798" t="str">
        <f t="shared" si="299"/>
        <v>net sales</v>
      </c>
      <c r="G3798" s="7" t="str">
        <f t="shared" si="300"/>
        <v>product 3</v>
      </c>
      <c r="H3798">
        <f t="shared" si="301"/>
        <v>2025</v>
      </c>
      <c r="I3798">
        <f t="shared" si="302"/>
        <v>6</v>
      </c>
      <c r="J3798">
        <f t="shared" si="298"/>
        <v>124.94999999999999</v>
      </c>
    </row>
    <row r="3799" spans="1:10" ht="12.5" x14ac:dyDescent="0.25">
      <c r="A3799" s="1">
        <v>45819</v>
      </c>
      <c r="B3799" s="2" t="s">
        <v>7</v>
      </c>
      <c r="C3799" s="3">
        <v>5.49</v>
      </c>
      <c r="D3799" s="3">
        <v>76</v>
      </c>
      <c r="E3799" s="3">
        <v>417.24</v>
      </c>
      <c r="F3799" t="str">
        <f t="shared" si="299"/>
        <v>cogs</v>
      </c>
      <c r="G3799" s="7" t="str">
        <f t="shared" si="300"/>
        <v>product 1</v>
      </c>
      <c r="H3799">
        <f t="shared" si="301"/>
        <v>2025</v>
      </c>
      <c r="I3799">
        <f t="shared" si="302"/>
        <v>6</v>
      </c>
      <c r="J3799">
        <f t="shared" si="298"/>
        <v>1861.01</v>
      </c>
    </row>
    <row r="3800" spans="1:10" ht="12.5" x14ac:dyDescent="0.25">
      <c r="A3800" s="1">
        <v>45819</v>
      </c>
      <c r="B3800" s="2" t="s">
        <v>8</v>
      </c>
      <c r="C3800" s="3">
        <v>19.989999999999998</v>
      </c>
      <c r="D3800" s="3">
        <v>3</v>
      </c>
      <c r="E3800" s="3">
        <v>59.97</v>
      </c>
      <c r="F3800" t="str">
        <f t="shared" si="299"/>
        <v>cogs</v>
      </c>
      <c r="G3800" s="7" t="str">
        <f t="shared" si="300"/>
        <v>product 2</v>
      </c>
      <c r="H3800">
        <f t="shared" si="301"/>
        <v>2025</v>
      </c>
      <c r="I3800">
        <f t="shared" si="302"/>
        <v>6</v>
      </c>
      <c r="J3800">
        <f t="shared" si="298"/>
        <v>-247.05</v>
      </c>
    </row>
    <row r="3801" spans="1:10" ht="12.5" x14ac:dyDescent="0.25">
      <c r="A3801" s="1">
        <v>45819</v>
      </c>
      <c r="B3801" s="2" t="s">
        <v>9</v>
      </c>
      <c r="C3801" s="3">
        <v>8.99</v>
      </c>
      <c r="D3801" s="3">
        <v>112</v>
      </c>
      <c r="E3801" s="3">
        <v>1006.88</v>
      </c>
      <c r="F3801" t="str">
        <f t="shared" si="299"/>
        <v>cogs</v>
      </c>
      <c r="G3801" s="7" t="str">
        <f t="shared" si="300"/>
        <v>product 3</v>
      </c>
      <c r="H3801">
        <f t="shared" si="301"/>
        <v>2025</v>
      </c>
      <c r="I3801">
        <f t="shared" si="302"/>
        <v>6</v>
      </c>
      <c r="J3801">
        <f t="shared" si="298"/>
        <v>-59.97</v>
      </c>
    </row>
    <row r="3802" spans="1:10" ht="12.5" x14ac:dyDescent="0.25">
      <c r="A3802" s="1">
        <v>45819</v>
      </c>
      <c r="B3802" s="2" t="s">
        <v>10</v>
      </c>
      <c r="C3802" s="2" t="s">
        <v>6</v>
      </c>
      <c r="D3802" s="2" t="s">
        <v>6</v>
      </c>
      <c r="E3802" s="3">
        <v>116.91</v>
      </c>
      <c r="F3802" t="str">
        <f t="shared" si="299"/>
        <v>marketing</v>
      </c>
      <c r="G3802" s="7" t="s">
        <v>6</v>
      </c>
      <c r="H3802">
        <f t="shared" si="301"/>
        <v>2025</v>
      </c>
      <c r="I3802">
        <f t="shared" si="302"/>
        <v>6</v>
      </c>
      <c r="J3802">
        <f t="shared" si="298"/>
        <v>-1033.8500000000001</v>
      </c>
    </row>
    <row r="3803" spans="1:10" ht="12.5" x14ac:dyDescent="0.25">
      <c r="A3803" s="1">
        <v>45819</v>
      </c>
      <c r="B3803" s="2" t="s">
        <v>11</v>
      </c>
      <c r="C3803" s="3">
        <v>9.99</v>
      </c>
      <c r="D3803" s="3">
        <v>76</v>
      </c>
      <c r="E3803" s="3">
        <v>759.24</v>
      </c>
      <c r="F3803" t="str">
        <f t="shared" si="299"/>
        <v>net sales</v>
      </c>
      <c r="G3803" s="7" t="str">
        <f t="shared" si="300"/>
        <v>product 1</v>
      </c>
      <c r="H3803">
        <f t="shared" si="301"/>
        <v>2025</v>
      </c>
      <c r="I3803">
        <f t="shared" si="302"/>
        <v>6</v>
      </c>
      <c r="J3803">
        <f t="shared" si="298"/>
        <v>-110.94</v>
      </c>
    </row>
    <row r="3804" spans="1:10" ht="12.5" x14ac:dyDescent="0.25">
      <c r="A3804" s="1">
        <v>45819</v>
      </c>
      <c r="B3804" s="2" t="s">
        <v>12</v>
      </c>
      <c r="C3804" s="3">
        <v>24.99</v>
      </c>
      <c r="D3804" s="3">
        <v>3</v>
      </c>
      <c r="E3804" s="3">
        <v>74.97</v>
      </c>
      <c r="F3804" t="str">
        <f t="shared" si="299"/>
        <v>net sales</v>
      </c>
      <c r="G3804" s="7" t="str">
        <f t="shared" si="300"/>
        <v>product 2</v>
      </c>
      <c r="H3804">
        <f t="shared" si="301"/>
        <v>2025</v>
      </c>
      <c r="I3804">
        <f t="shared" si="302"/>
        <v>6</v>
      </c>
      <c r="J3804">
        <f t="shared" ref="J3804:J3867" si="303">IF(F3587="net sales",E3587,
IF(F3587="cogs",-E3587,
IF(OR(F3587="marketing",F3587="overhead",F3587="payroll",F3587="interest","amortization"),-E3587,0)))</f>
        <v>449.55</v>
      </c>
    </row>
    <row r="3805" spans="1:10" ht="12.5" x14ac:dyDescent="0.25">
      <c r="A3805" s="1">
        <v>45819</v>
      </c>
      <c r="B3805" s="2" t="s">
        <v>13</v>
      </c>
      <c r="C3805" s="3">
        <v>12.49</v>
      </c>
      <c r="D3805" s="3">
        <v>112</v>
      </c>
      <c r="E3805" s="3">
        <v>1398.88</v>
      </c>
      <c r="F3805" t="str">
        <f t="shared" si="299"/>
        <v>net sales</v>
      </c>
      <c r="G3805" s="7" t="str">
        <f t="shared" si="300"/>
        <v>product 3</v>
      </c>
      <c r="H3805">
        <f t="shared" si="301"/>
        <v>2025</v>
      </c>
      <c r="I3805">
        <f t="shared" si="302"/>
        <v>6</v>
      </c>
      <c r="J3805">
        <f t="shared" si="303"/>
        <v>74.97</v>
      </c>
    </row>
    <row r="3806" spans="1:10" ht="12.5" x14ac:dyDescent="0.25">
      <c r="A3806" s="1">
        <v>45820</v>
      </c>
      <c r="B3806" s="2" t="s">
        <v>7</v>
      </c>
      <c r="C3806" s="3">
        <v>5.49</v>
      </c>
      <c r="D3806" s="3">
        <v>43</v>
      </c>
      <c r="E3806" s="3">
        <v>236.07000000000002</v>
      </c>
      <c r="F3806" t="str">
        <f t="shared" si="299"/>
        <v>cogs</v>
      </c>
      <c r="G3806" s="7" t="str">
        <f t="shared" si="300"/>
        <v>product 1</v>
      </c>
      <c r="H3806">
        <f t="shared" si="301"/>
        <v>2025</v>
      </c>
      <c r="I3806">
        <f t="shared" si="302"/>
        <v>6</v>
      </c>
      <c r="J3806">
        <f t="shared" si="303"/>
        <v>1436.3500000000001</v>
      </c>
    </row>
    <row r="3807" spans="1:10" ht="12.5" x14ac:dyDescent="0.25">
      <c r="A3807" s="1">
        <v>45820</v>
      </c>
      <c r="B3807" s="2" t="s">
        <v>8</v>
      </c>
      <c r="C3807" s="3">
        <v>19.989999999999998</v>
      </c>
      <c r="D3807" s="3">
        <v>8</v>
      </c>
      <c r="E3807" s="3">
        <v>159.91999999999999</v>
      </c>
      <c r="F3807" t="str">
        <f t="shared" si="299"/>
        <v>cogs</v>
      </c>
      <c r="G3807" s="7" t="str">
        <f t="shared" si="300"/>
        <v>product 2</v>
      </c>
      <c r="H3807">
        <f t="shared" si="301"/>
        <v>2025</v>
      </c>
      <c r="I3807">
        <f t="shared" si="302"/>
        <v>6</v>
      </c>
      <c r="J3807">
        <f t="shared" si="303"/>
        <v>-208.62</v>
      </c>
    </row>
    <row r="3808" spans="1:10" ht="12.5" x14ac:dyDescent="0.25">
      <c r="A3808" s="1">
        <v>45820</v>
      </c>
      <c r="B3808" s="2" t="s">
        <v>9</v>
      </c>
      <c r="C3808" s="3">
        <v>8.99</v>
      </c>
      <c r="D3808" s="3">
        <v>190</v>
      </c>
      <c r="E3808" s="3">
        <v>1708.1000000000001</v>
      </c>
      <c r="F3808" t="str">
        <f t="shared" si="299"/>
        <v>cogs</v>
      </c>
      <c r="G3808" s="7" t="str">
        <f t="shared" si="300"/>
        <v>product 3</v>
      </c>
      <c r="H3808">
        <f t="shared" si="301"/>
        <v>2025</v>
      </c>
      <c r="I3808">
        <f t="shared" si="302"/>
        <v>6</v>
      </c>
      <c r="J3808">
        <f t="shared" si="303"/>
        <v>-39.979999999999997</v>
      </c>
    </row>
    <row r="3809" spans="1:10" ht="12.5" x14ac:dyDescent="0.25">
      <c r="A3809" s="1">
        <v>45820</v>
      </c>
      <c r="B3809" s="2" t="s">
        <v>10</v>
      </c>
      <c r="C3809" s="2" t="s">
        <v>6</v>
      </c>
      <c r="D3809" s="2" t="s">
        <v>6</v>
      </c>
      <c r="E3809" s="3">
        <v>106.08</v>
      </c>
      <c r="F3809" t="str">
        <f t="shared" si="299"/>
        <v>marketing</v>
      </c>
      <c r="G3809" s="7" t="s">
        <v>6</v>
      </c>
      <c r="H3809">
        <f t="shared" si="301"/>
        <v>2025</v>
      </c>
      <c r="I3809">
        <f t="shared" si="302"/>
        <v>6</v>
      </c>
      <c r="J3809">
        <f t="shared" si="303"/>
        <v>-1609.21</v>
      </c>
    </row>
    <row r="3810" spans="1:10" ht="12.5" x14ac:dyDescent="0.25">
      <c r="A3810" s="1">
        <v>45820</v>
      </c>
      <c r="B3810" s="2" t="s">
        <v>11</v>
      </c>
      <c r="C3810" s="3">
        <v>9.99</v>
      </c>
      <c r="D3810" s="3">
        <v>43</v>
      </c>
      <c r="E3810" s="3">
        <v>429.57</v>
      </c>
      <c r="F3810" t="str">
        <f t="shared" si="299"/>
        <v>net sales</v>
      </c>
      <c r="G3810" s="7" t="str">
        <f t="shared" si="300"/>
        <v>product 1</v>
      </c>
      <c r="H3810">
        <f t="shared" si="301"/>
        <v>2025</v>
      </c>
      <c r="I3810">
        <f t="shared" si="302"/>
        <v>6</v>
      </c>
      <c r="J3810">
        <f t="shared" si="303"/>
        <v>-106.92</v>
      </c>
    </row>
    <row r="3811" spans="1:10" ht="12.5" x14ac:dyDescent="0.25">
      <c r="A3811" s="1">
        <v>45820</v>
      </c>
      <c r="B3811" s="2" t="s">
        <v>12</v>
      </c>
      <c r="C3811" s="3">
        <v>24.99</v>
      </c>
      <c r="D3811" s="3">
        <v>8</v>
      </c>
      <c r="E3811" s="3">
        <v>199.92</v>
      </c>
      <c r="F3811" t="str">
        <f t="shared" si="299"/>
        <v>net sales</v>
      </c>
      <c r="G3811" s="7" t="str">
        <f t="shared" si="300"/>
        <v>product 2</v>
      </c>
      <c r="H3811">
        <f t="shared" si="301"/>
        <v>2025</v>
      </c>
      <c r="I3811">
        <f t="shared" si="302"/>
        <v>6</v>
      </c>
      <c r="J3811">
        <f t="shared" si="303"/>
        <v>379.62</v>
      </c>
    </row>
    <row r="3812" spans="1:10" ht="12.5" x14ac:dyDescent="0.25">
      <c r="A3812" s="1">
        <v>45820</v>
      </c>
      <c r="B3812" s="2" t="s">
        <v>13</v>
      </c>
      <c r="C3812" s="3">
        <v>12.49</v>
      </c>
      <c r="D3812" s="3">
        <v>190</v>
      </c>
      <c r="E3812" s="3">
        <v>2373.1</v>
      </c>
      <c r="F3812" t="str">
        <f t="shared" si="299"/>
        <v>net sales</v>
      </c>
      <c r="G3812" s="7" t="str">
        <f t="shared" si="300"/>
        <v>product 3</v>
      </c>
      <c r="H3812">
        <f t="shared" si="301"/>
        <v>2025</v>
      </c>
      <c r="I3812">
        <f t="shared" si="302"/>
        <v>6</v>
      </c>
      <c r="J3812">
        <f t="shared" si="303"/>
        <v>49.98</v>
      </c>
    </row>
    <row r="3813" spans="1:10" ht="12.5" x14ac:dyDescent="0.25">
      <c r="A3813" s="1">
        <v>45821</v>
      </c>
      <c r="B3813" s="2" t="s">
        <v>7</v>
      </c>
      <c r="C3813" s="3">
        <v>5.49</v>
      </c>
      <c r="D3813" s="3">
        <v>74</v>
      </c>
      <c r="E3813" s="3">
        <v>406.26</v>
      </c>
      <c r="F3813" t="str">
        <f t="shared" si="299"/>
        <v>cogs</v>
      </c>
      <c r="G3813" s="7" t="str">
        <f t="shared" si="300"/>
        <v>product 1</v>
      </c>
      <c r="H3813">
        <f t="shared" si="301"/>
        <v>2025</v>
      </c>
      <c r="I3813">
        <f t="shared" si="302"/>
        <v>6</v>
      </c>
      <c r="J3813">
        <f t="shared" si="303"/>
        <v>2235.71</v>
      </c>
    </row>
    <row r="3814" spans="1:10" ht="12.5" x14ac:dyDescent="0.25">
      <c r="A3814" s="1">
        <v>45821</v>
      </c>
      <c r="B3814" s="2" t="s">
        <v>8</v>
      </c>
      <c r="C3814" s="3">
        <v>19.989999999999998</v>
      </c>
      <c r="D3814" s="3">
        <v>3</v>
      </c>
      <c r="E3814" s="3">
        <v>59.97</v>
      </c>
      <c r="F3814" t="str">
        <f t="shared" si="299"/>
        <v>cogs</v>
      </c>
      <c r="G3814" s="7" t="str">
        <f t="shared" si="300"/>
        <v>product 2</v>
      </c>
      <c r="H3814">
        <f t="shared" si="301"/>
        <v>2025</v>
      </c>
      <c r="I3814">
        <f t="shared" si="302"/>
        <v>6</v>
      </c>
      <c r="J3814">
        <f t="shared" si="303"/>
        <v>-38.43</v>
      </c>
    </row>
    <row r="3815" spans="1:10" ht="12.5" x14ac:dyDescent="0.25">
      <c r="A3815" s="1">
        <v>45821</v>
      </c>
      <c r="B3815" s="2" t="s">
        <v>9</v>
      </c>
      <c r="C3815" s="3">
        <v>8.99</v>
      </c>
      <c r="D3815" s="3">
        <v>0</v>
      </c>
      <c r="E3815" s="2">
        <f>C3815*D3815</f>
        <v>0</v>
      </c>
      <c r="F3815" t="str">
        <f t="shared" si="299"/>
        <v>cogs</v>
      </c>
      <c r="G3815" s="7" t="str">
        <f t="shared" si="300"/>
        <v>product 3</v>
      </c>
      <c r="H3815">
        <f t="shared" si="301"/>
        <v>2025</v>
      </c>
      <c r="I3815">
        <f t="shared" si="302"/>
        <v>6</v>
      </c>
      <c r="J3815">
        <f t="shared" si="303"/>
        <v>-79.959999999999994</v>
      </c>
    </row>
    <row r="3816" spans="1:10" ht="12.5" x14ac:dyDescent="0.25">
      <c r="A3816" s="1">
        <v>45821</v>
      </c>
      <c r="B3816" s="2" t="s">
        <v>10</v>
      </c>
      <c r="C3816" s="2" t="s">
        <v>6</v>
      </c>
      <c r="D3816" s="2" t="s">
        <v>6</v>
      </c>
      <c r="E3816" s="3">
        <v>110.08</v>
      </c>
      <c r="F3816" t="str">
        <f t="shared" si="299"/>
        <v>marketing</v>
      </c>
      <c r="G3816" s="7" t="s">
        <v>6</v>
      </c>
      <c r="H3816">
        <f t="shared" si="301"/>
        <v>2025</v>
      </c>
      <c r="I3816">
        <f t="shared" si="302"/>
        <v>6</v>
      </c>
      <c r="J3816">
        <f t="shared" si="303"/>
        <v>-1303.55</v>
      </c>
    </row>
    <row r="3817" spans="1:10" ht="12.5" x14ac:dyDescent="0.25">
      <c r="A3817" s="1">
        <v>45821</v>
      </c>
      <c r="B3817" s="2" t="s">
        <v>11</v>
      </c>
      <c r="C3817" s="3">
        <v>9.99</v>
      </c>
      <c r="D3817" s="3">
        <v>74</v>
      </c>
      <c r="E3817" s="3">
        <v>739.26</v>
      </c>
      <c r="F3817" t="str">
        <f t="shared" si="299"/>
        <v>net sales</v>
      </c>
      <c r="G3817" s="7" t="str">
        <f t="shared" si="300"/>
        <v>product 1</v>
      </c>
      <c r="H3817">
        <f t="shared" si="301"/>
        <v>2025</v>
      </c>
      <c r="I3817">
        <f t="shared" si="302"/>
        <v>6</v>
      </c>
      <c r="J3817">
        <f t="shared" si="303"/>
        <v>-110.97</v>
      </c>
    </row>
    <row r="3818" spans="1:10" ht="12.5" x14ac:dyDescent="0.25">
      <c r="A3818" s="1">
        <v>45821</v>
      </c>
      <c r="B3818" s="2" t="s">
        <v>12</v>
      </c>
      <c r="C3818" s="3">
        <v>24.99</v>
      </c>
      <c r="D3818" s="3">
        <v>3</v>
      </c>
      <c r="E3818" s="3">
        <v>74.97</v>
      </c>
      <c r="F3818" t="str">
        <f t="shared" si="299"/>
        <v>net sales</v>
      </c>
      <c r="G3818" s="7" t="str">
        <f t="shared" si="300"/>
        <v>product 2</v>
      </c>
      <c r="H3818">
        <f t="shared" si="301"/>
        <v>2025</v>
      </c>
      <c r="I3818">
        <f t="shared" si="302"/>
        <v>6</v>
      </c>
      <c r="J3818">
        <f t="shared" si="303"/>
        <v>69.930000000000007</v>
      </c>
    </row>
    <row r="3819" spans="1:10" ht="12.5" x14ac:dyDescent="0.25">
      <c r="A3819" s="1">
        <v>45821</v>
      </c>
      <c r="B3819" s="2" t="s">
        <v>13</v>
      </c>
      <c r="C3819" s="3">
        <v>12.49</v>
      </c>
      <c r="D3819" s="3">
        <v>0</v>
      </c>
      <c r="E3819" s="2">
        <f>C3819*D3819</f>
        <v>0</v>
      </c>
      <c r="F3819" t="str">
        <f t="shared" si="299"/>
        <v>net sales</v>
      </c>
      <c r="G3819" s="7" t="str">
        <f t="shared" si="300"/>
        <v>product 3</v>
      </c>
      <c r="H3819">
        <f t="shared" si="301"/>
        <v>2025</v>
      </c>
      <c r="I3819">
        <f t="shared" si="302"/>
        <v>6</v>
      </c>
      <c r="J3819">
        <f t="shared" si="303"/>
        <v>99.96</v>
      </c>
    </row>
    <row r="3820" spans="1:10" ht="12.5" x14ac:dyDescent="0.25">
      <c r="A3820" s="1">
        <v>45822</v>
      </c>
      <c r="B3820" s="2" t="s">
        <v>7</v>
      </c>
      <c r="C3820" s="3">
        <v>5.49</v>
      </c>
      <c r="D3820" s="3">
        <v>33</v>
      </c>
      <c r="E3820" s="3">
        <v>181.17000000000002</v>
      </c>
      <c r="F3820" t="str">
        <f t="shared" si="299"/>
        <v>cogs</v>
      </c>
      <c r="G3820" s="7" t="str">
        <f t="shared" si="300"/>
        <v>product 1</v>
      </c>
      <c r="H3820">
        <f t="shared" si="301"/>
        <v>2025</v>
      </c>
      <c r="I3820">
        <f t="shared" si="302"/>
        <v>6</v>
      </c>
      <c r="J3820">
        <f t="shared" si="303"/>
        <v>1811.05</v>
      </c>
    </row>
    <row r="3821" spans="1:10" ht="12.5" x14ac:dyDescent="0.25">
      <c r="A3821" s="1">
        <v>45822</v>
      </c>
      <c r="B3821" s="2" t="s">
        <v>8</v>
      </c>
      <c r="C3821" s="3">
        <v>19.989999999999998</v>
      </c>
      <c r="D3821" s="3">
        <v>1</v>
      </c>
      <c r="E3821" s="3">
        <v>19.989999999999998</v>
      </c>
      <c r="F3821" t="str">
        <f t="shared" si="299"/>
        <v>cogs</v>
      </c>
      <c r="G3821" s="7" t="str">
        <f t="shared" si="300"/>
        <v>product 2</v>
      </c>
      <c r="H3821">
        <f t="shared" si="301"/>
        <v>2025</v>
      </c>
      <c r="I3821">
        <f t="shared" si="302"/>
        <v>6</v>
      </c>
      <c r="J3821">
        <f t="shared" si="303"/>
        <v>-483.12</v>
      </c>
    </row>
    <row r="3822" spans="1:10" ht="12.5" x14ac:dyDescent="0.25">
      <c r="A3822" s="1">
        <v>45822</v>
      </c>
      <c r="B3822" s="2" t="s">
        <v>9</v>
      </c>
      <c r="C3822" s="3">
        <v>8.99</v>
      </c>
      <c r="D3822" s="3">
        <v>77</v>
      </c>
      <c r="E3822" s="3">
        <v>692.23</v>
      </c>
      <c r="F3822" t="str">
        <f t="shared" si="299"/>
        <v>cogs</v>
      </c>
      <c r="G3822" s="7" t="str">
        <f t="shared" si="300"/>
        <v>product 3</v>
      </c>
      <c r="H3822">
        <f t="shared" si="301"/>
        <v>2025</v>
      </c>
      <c r="I3822">
        <f t="shared" si="302"/>
        <v>6</v>
      </c>
      <c r="J3822">
        <f t="shared" si="303"/>
        <v>-19.989999999999998</v>
      </c>
    </row>
    <row r="3823" spans="1:10" ht="12.5" x14ac:dyDescent="0.25">
      <c r="A3823" s="1">
        <v>45822</v>
      </c>
      <c r="B3823" s="2" t="s">
        <v>10</v>
      </c>
      <c r="C3823" s="2" t="s">
        <v>6</v>
      </c>
      <c r="D3823" s="2" t="s">
        <v>6</v>
      </c>
      <c r="E3823" s="3">
        <v>114.07000000000001</v>
      </c>
      <c r="F3823" t="str">
        <f t="shared" si="299"/>
        <v>marketing</v>
      </c>
      <c r="G3823" s="7" t="s">
        <v>6</v>
      </c>
      <c r="H3823">
        <f t="shared" si="301"/>
        <v>2025</v>
      </c>
      <c r="I3823">
        <f t="shared" si="302"/>
        <v>6</v>
      </c>
      <c r="J3823">
        <f t="shared" si="303"/>
        <v>-2148.61</v>
      </c>
    </row>
    <row r="3824" spans="1:10" ht="12.5" x14ac:dyDescent="0.25">
      <c r="A3824" s="1">
        <v>45822</v>
      </c>
      <c r="B3824" s="2" t="s">
        <v>11</v>
      </c>
      <c r="C3824" s="3">
        <v>9.99</v>
      </c>
      <c r="D3824" s="3">
        <v>33</v>
      </c>
      <c r="E3824" s="3">
        <v>329.67</v>
      </c>
      <c r="F3824" t="str">
        <f t="shared" si="299"/>
        <v>net sales</v>
      </c>
      <c r="G3824" s="7" t="str">
        <f t="shared" si="300"/>
        <v>product 1</v>
      </c>
      <c r="H3824">
        <f t="shared" si="301"/>
        <v>2025</v>
      </c>
      <c r="I3824">
        <f t="shared" si="302"/>
        <v>6</v>
      </c>
      <c r="J3824">
        <f t="shared" si="303"/>
        <v>-1237.28</v>
      </c>
    </row>
    <row r="3825" spans="1:10" ht="12.5" x14ac:dyDescent="0.25">
      <c r="A3825" s="1">
        <v>45822</v>
      </c>
      <c r="B3825" s="2" t="s">
        <v>12</v>
      </c>
      <c r="C3825" s="3">
        <v>24.99</v>
      </c>
      <c r="D3825" s="3">
        <v>1</v>
      </c>
      <c r="E3825" s="3">
        <v>24.99</v>
      </c>
      <c r="F3825" t="str">
        <f t="shared" si="299"/>
        <v>net sales</v>
      </c>
      <c r="G3825" s="7" t="str">
        <f t="shared" si="300"/>
        <v>product 2</v>
      </c>
      <c r="H3825">
        <f t="shared" si="301"/>
        <v>2025</v>
      </c>
      <c r="I3825">
        <f t="shared" si="302"/>
        <v>6</v>
      </c>
      <c r="J3825">
        <f t="shared" si="303"/>
        <v>-116.93</v>
      </c>
    </row>
    <row r="3826" spans="1:10" ht="12.5" x14ac:dyDescent="0.25">
      <c r="A3826" s="1">
        <v>45822</v>
      </c>
      <c r="B3826" s="2" t="s">
        <v>13</v>
      </c>
      <c r="C3826" s="3">
        <v>12.49</v>
      </c>
      <c r="D3826" s="3">
        <v>77</v>
      </c>
      <c r="E3826" s="3">
        <v>961.73</v>
      </c>
      <c r="F3826" t="str">
        <f t="shared" si="299"/>
        <v>net sales</v>
      </c>
      <c r="G3826" s="7" t="str">
        <f t="shared" si="300"/>
        <v>product 3</v>
      </c>
      <c r="H3826">
        <f t="shared" si="301"/>
        <v>2025</v>
      </c>
      <c r="I3826">
        <f t="shared" si="302"/>
        <v>6</v>
      </c>
      <c r="J3826">
        <f t="shared" si="303"/>
        <v>879.12</v>
      </c>
    </row>
    <row r="3827" spans="1:10" ht="12.5" x14ac:dyDescent="0.25">
      <c r="A3827" s="1">
        <v>45823</v>
      </c>
      <c r="B3827" s="2" t="s">
        <v>7</v>
      </c>
      <c r="C3827" s="3">
        <v>5.49</v>
      </c>
      <c r="D3827" s="3">
        <v>37</v>
      </c>
      <c r="E3827" s="3">
        <v>203.13</v>
      </c>
      <c r="F3827" t="str">
        <f t="shared" si="299"/>
        <v>cogs</v>
      </c>
      <c r="G3827" s="7" t="str">
        <f t="shared" si="300"/>
        <v>product 1</v>
      </c>
      <c r="H3827">
        <f t="shared" si="301"/>
        <v>2025</v>
      </c>
      <c r="I3827">
        <f t="shared" si="302"/>
        <v>6</v>
      </c>
      <c r="J3827">
        <f t="shared" si="303"/>
        <v>24.99</v>
      </c>
    </row>
    <row r="3828" spans="1:10" ht="12.5" x14ac:dyDescent="0.25">
      <c r="A3828" s="1">
        <v>45823</v>
      </c>
      <c r="B3828" s="2" t="s">
        <v>8</v>
      </c>
      <c r="C3828" s="3">
        <v>19.989999999999998</v>
      </c>
      <c r="D3828" s="3">
        <v>1</v>
      </c>
      <c r="E3828" s="3">
        <v>19.989999999999998</v>
      </c>
      <c r="F3828" t="str">
        <f t="shared" si="299"/>
        <v>cogs</v>
      </c>
      <c r="G3828" s="7" t="str">
        <f t="shared" si="300"/>
        <v>product 2</v>
      </c>
      <c r="H3828">
        <f t="shared" si="301"/>
        <v>2025</v>
      </c>
      <c r="I3828">
        <f t="shared" si="302"/>
        <v>6</v>
      </c>
      <c r="J3828">
        <f t="shared" si="303"/>
        <v>2985.11</v>
      </c>
    </row>
    <row r="3829" spans="1:10" ht="12.5" x14ac:dyDescent="0.25">
      <c r="A3829" s="1">
        <v>45823</v>
      </c>
      <c r="B3829" s="2" t="s">
        <v>9</v>
      </c>
      <c r="C3829" s="3">
        <v>8.99</v>
      </c>
      <c r="D3829" s="3">
        <v>12</v>
      </c>
      <c r="E3829" s="3">
        <v>107.88</v>
      </c>
      <c r="F3829" t="str">
        <f t="shared" si="299"/>
        <v>cogs</v>
      </c>
      <c r="G3829" s="7" t="str">
        <f t="shared" si="300"/>
        <v>product 3</v>
      </c>
      <c r="H3829">
        <f t="shared" si="301"/>
        <v>2025</v>
      </c>
      <c r="I3829">
        <f t="shared" si="302"/>
        <v>6</v>
      </c>
      <c r="J3829">
        <f t="shared" si="303"/>
        <v>-309.32</v>
      </c>
    </row>
    <row r="3830" spans="1:10" ht="12.5" x14ac:dyDescent="0.25">
      <c r="A3830" s="1">
        <v>45823</v>
      </c>
      <c r="B3830" s="2" t="s">
        <v>16</v>
      </c>
      <c r="C3830" s="2" t="s">
        <v>6</v>
      </c>
      <c r="D3830" s="2" t="s">
        <v>6</v>
      </c>
      <c r="E3830" s="3">
        <v>1260.8</v>
      </c>
      <c r="F3830" t="str">
        <f t="shared" si="299"/>
        <v>interest</v>
      </c>
      <c r="G3830" s="7" t="s">
        <v>6</v>
      </c>
      <c r="H3830">
        <f t="shared" si="301"/>
        <v>2025</v>
      </c>
      <c r="I3830">
        <f t="shared" si="302"/>
        <v>6</v>
      </c>
      <c r="J3830">
        <f t="shared" si="303"/>
        <v>-395.28000000000003</v>
      </c>
    </row>
    <row r="3831" spans="1:10" ht="12.5" x14ac:dyDescent="0.25">
      <c r="A3831" s="1">
        <v>45823</v>
      </c>
      <c r="B3831" s="2" t="s">
        <v>10</v>
      </c>
      <c r="C3831" s="2" t="s">
        <v>6</v>
      </c>
      <c r="D3831" s="2" t="s">
        <v>6</v>
      </c>
      <c r="E3831" s="3">
        <v>105.93</v>
      </c>
      <c r="F3831" t="str">
        <f t="shared" si="299"/>
        <v>marketing</v>
      </c>
      <c r="G3831" s="7" t="s">
        <v>6</v>
      </c>
      <c r="H3831">
        <f t="shared" si="301"/>
        <v>2025</v>
      </c>
      <c r="I3831">
        <f t="shared" si="302"/>
        <v>6</v>
      </c>
      <c r="J3831">
        <f t="shared" si="303"/>
        <v>-79.959999999999994</v>
      </c>
    </row>
    <row r="3832" spans="1:10" ht="12.5" x14ac:dyDescent="0.25">
      <c r="A3832" s="1">
        <v>45823</v>
      </c>
      <c r="B3832" s="2" t="s">
        <v>11</v>
      </c>
      <c r="C3832" s="3">
        <v>9.99</v>
      </c>
      <c r="D3832" s="3">
        <v>37</v>
      </c>
      <c r="E3832" s="3">
        <v>369.63</v>
      </c>
      <c r="F3832" t="str">
        <f t="shared" si="299"/>
        <v>net sales</v>
      </c>
      <c r="G3832" s="7" t="str">
        <f t="shared" si="300"/>
        <v>product 1</v>
      </c>
      <c r="H3832">
        <f t="shared" si="301"/>
        <v>2025</v>
      </c>
      <c r="I3832">
        <f t="shared" si="302"/>
        <v>6</v>
      </c>
      <c r="J3832">
        <f t="shared" si="303"/>
        <v>-1411.43</v>
      </c>
    </row>
    <row r="3833" spans="1:10" ht="12.5" x14ac:dyDescent="0.25">
      <c r="A3833" s="1">
        <v>45823</v>
      </c>
      <c r="B3833" s="2" t="s">
        <v>12</v>
      </c>
      <c r="C3833" s="3">
        <v>24.99</v>
      </c>
      <c r="D3833" s="3">
        <v>1</v>
      </c>
      <c r="E3833" s="3">
        <v>24.99</v>
      </c>
      <c r="F3833" t="str">
        <f t="shared" si="299"/>
        <v>net sales</v>
      </c>
      <c r="G3833" s="7" t="str">
        <f t="shared" si="300"/>
        <v>product 2</v>
      </c>
      <c r="H3833">
        <f t="shared" si="301"/>
        <v>2025</v>
      </c>
      <c r="I3833">
        <f t="shared" si="302"/>
        <v>6</v>
      </c>
      <c r="J3833">
        <f t="shared" si="303"/>
        <v>-115.91</v>
      </c>
    </row>
    <row r="3834" spans="1:10" ht="12.5" x14ac:dyDescent="0.25">
      <c r="A3834" s="1">
        <v>45823</v>
      </c>
      <c r="B3834" s="2" t="s">
        <v>13</v>
      </c>
      <c r="C3834" s="3">
        <v>12.49</v>
      </c>
      <c r="D3834" s="3">
        <v>12</v>
      </c>
      <c r="E3834" s="3">
        <v>149.88</v>
      </c>
      <c r="F3834" t="str">
        <f t="shared" si="299"/>
        <v>net sales</v>
      </c>
      <c r="G3834" s="7" t="str">
        <f t="shared" si="300"/>
        <v>product 3</v>
      </c>
      <c r="H3834">
        <f t="shared" si="301"/>
        <v>2025</v>
      </c>
      <c r="I3834">
        <f t="shared" si="302"/>
        <v>6</v>
      </c>
      <c r="J3834">
        <f t="shared" si="303"/>
        <v>719.28</v>
      </c>
    </row>
    <row r="3835" spans="1:10" ht="12.5" x14ac:dyDescent="0.25">
      <c r="A3835" s="1">
        <v>45823</v>
      </c>
      <c r="B3835" s="2" t="s">
        <v>14</v>
      </c>
      <c r="C3835" s="2" t="s">
        <v>6</v>
      </c>
      <c r="D3835" s="2" t="s">
        <v>6</v>
      </c>
      <c r="E3835" s="3">
        <v>320.56</v>
      </c>
      <c r="F3835" t="str">
        <f t="shared" si="299"/>
        <v>overhead</v>
      </c>
      <c r="G3835" s="7" t="s">
        <v>6</v>
      </c>
      <c r="H3835">
        <f t="shared" si="301"/>
        <v>2025</v>
      </c>
      <c r="I3835">
        <f t="shared" si="302"/>
        <v>6</v>
      </c>
      <c r="J3835">
        <f t="shared" si="303"/>
        <v>99.96</v>
      </c>
    </row>
    <row r="3836" spans="1:10" ht="12.5" x14ac:dyDescent="0.25">
      <c r="A3836" s="1">
        <v>45824</v>
      </c>
      <c r="B3836" s="2" t="s">
        <v>7</v>
      </c>
      <c r="C3836" s="3">
        <v>5.49</v>
      </c>
      <c r="D3836" s="3">
        <v>79</v>
      </c>
      <c r="E3836" s="3">
        <v>433.71000000000004</v>
      </c>
      <c r="F3836" t="str">
        <f t="shared" si="299"/>
        <v>cogs</v>
      </c>
      <c r="G3836" s="7" t="str">
        <f t="shared" si="300"/>
        <v>product 1</v>
      </c>
      <c r="H3836">
        <f t="shared" si="301"/>
        <v>2025</v>
      </c>
      <c r="I3836">
        <f t="shared" si="302"/>
        <v>6</v>
      </c>
      <c r="J3836">
        <f t="shared" si="303"/>
        <v>1960.93</v>
      </c>
    </row>
    <row r="3837" spans="1:10" ht="12.5" x14ac:dyDescent="0.25">
      <c r="A3837" s="1">
        <v>45824</v>
      </c>
      <c r="B3837" s="2" t="s">
        <v>8</v>
      </c>
      <c r="C3837" s="3">
        <v>19.989999999999998</v>
      </c>
      <c r="D3837" s="3">
        <v>5</v>
      </c>
      <c r="E3837" s="3">
        <v>99.949999999999989</v>
      </c>
      <c r="F3837" t="str">
        <f t="shared" si="299"/>
        <v>cogs</v>
      </c>
      <c r="G3837" s="7" t="str">
        <f t="shared" si="300"/>
        <v>product 2</v>
      </c>
      <c r="H3837">
        <f t="shared" si="301"/>
        <v>2025</v>
      </c>
      <c r="I3837">
        <f t="shared" si="302"/>
        <v>6</v>
      </c>
      <c r="J3837">
        <f t="shared" si="303"/>
        <v>-109.80000000000001</v>
      </c>
    </row>
    <row r="3838" spans="1:10" ht="12.5" x14ac:dyDescent="0.25">
      <c r="A3838" s="1">
        <v>45824</v>
      </c>
      <c r="B3838" s="2" t="s">
        <v>9</v>
      </c>
      <c r="C3838" s="3">
        <v>8.99</v>
      </c>
      <c r="D3838" s="3">
        <v>238</v>
      </c>
      <c r="E3838" s="3">
        <v>2139.62</v>
      </c>
      <c r="F3838" t="str">
        <f t="shared" si="299"/>
        <v>cogs</v>
      </c>
      <c r="G3838" s="7" t="str">
        <f t="shared" si="300"/>
        <v>product 3</v>
      </c>
      <c r="H3838">
        <f t="shared" si="301"/>
        <v>2025</v>
      </c>
      <c r="I3838">
        <f t="shared" si="302"/>
        <v>6</v>
      </c>
      <c r="J3838">
        <f t="shared" si="303"/>
        <v>-79.959999999999994</v>
      </c>
    </row>
    <row r="3839" spans="1:10" ht="12.5" x14ac:dyDescent="0.25">
      <c r="A3839" s="1">
        <v>45824</v>
      </c>
      <c r="B3839" s="2" t="s">
        <v>10</v>
      </c>
      <c r="C3839" s="2" t="s">
        <v>6</v>
      </c>
      <c r="D3839" s="2" t="s">
        <v>6</v>
      </c>
      <c r="E3839" s="3">
        <v>104.91</v>
      </c>
      <c r="F3839" t="str">
        <f t="shared" si="299"/>
        <v>marketing</v>
      </c>
      <c r="G3839" s="7" t="s">
        <v>6</v>
      </c>
      <c r="H3839">
        <f t="shared" si="301"/>
        <v>2025</v>
      </c>
      <c r="I3839">
        <f t="shared" si="302"/>
        <v>6</v>
      </c>
      <c r="J3839">
        <f t="shared" si="303"/>
        <v>-1330.52</v>
      </c>
    </row>
    <row r="3840" spans="1:10" ht="12.5" x14ac:dyDescent="0.25">
      <c r="A3840" s="1">
        <v>45824</v>
      </c>
      <c r="B3840" s="2" t="s">
        <v>11</v>
      </c>
      <c r="C3840" s="3">
        <v>9.99</v>
      </c>
      <c r="D3840" s="3">
        <v>79</v>
      </c>
      <c r="E3840" s="3">
        <v>789.21</v>
      </c>
      <c r="F3840" t="str">
        <f t="shared" si="299"/>
        <v>net sales</v>
      </c>
      <c r="G3840" s="7" t="str">
        <f t="shared" si="300"/>
        <v>product 1</v>
      </c>
      <c r="H3840">
        <f t="shared" si="301"/>
        <v>2025</v>
      </c>
      <c r="I3840">
        <f t="shared" si="302"/>
        <v>6</v>
      </c>
      <c r="J3840">
        <f t="shared" si="303"/>
        <v>-112.07000000000001</v>
      </c>
    </row>
    <row r="3841" spans="1:10" ht="12.5" x14ac:dyDescent="0.25">
      <c r="A3841" s="1">
        <v>45824</v>
      </c>
      <c r="B3841" s="2" t="s">
        <v>12</v>
      </c>
      <c r="C3841" s="3">
        <v>24.99</v>
      </c>
      <c r="D3841" s="3">
        <v>5</v>
      </c>
      <c r="E3841" s="3">
        <v>124.94999999999999</v>
      </c>
      <c r="F3841" t="str">
        <f t="shared" si="299"/>
        <v>net sales</v>
      </c>
      <c r="G3841" s="7" t="str">
        <f t="shared" si="300"/>
        <v>product 2</v>
      </c>
      <c r="H3841">
        <f t="shared" si="301"/>
        <v>2025</v>
      </c>
      <c r="I3841">
        <f t="shared" si="302"/>
        <v>6</v>
      </c>
      <c r="J3841">
        <f t="shared" si="303"/>
        <v>199.8</v>
      </c>
    </row>
    <row r="3842" spans="1:10" ht="12.5" x14ac:dyDescent="0.25">
      <c r="A3842" s="1">
        <v>45824</v>
      </c>
      <c r="B3842" s="2" t="s">
        <v>13</v>
      </c>
      <c r="C3842" s="3">
        <v>12.49</v>
      </c>
      <c r="D3842" s="3">
        <v>238</v>
      </c>
      <c r="E3842" s="3">
        <v>2972.62</v>
      </c>
      <c r="F3842" t="str">
        <f t="shared" si="299"/>
        <v>net sales</v>
      </c>
      <c r="G3842" s="7" t="str">
        <f t="shared" si="300"/>
        <v>product 3</v>
      </c>
      <c r="H3842">
        <f t="shared" si="301"/>
        <v>2025</v>
      </c>
      <c r="I3842">
        <f t="shared" si="302"/>
        <v>6</v>
      </c>
      <c r="J3842">
        <f t="shared" si="303"/>
        <v>99.96</v>
      </c>
    </row>
    <row r="3843" spans="1:10" ht="12.5" x14ac:dyDescent="0.25">
      <c r="A3843" s="1">
        <v>45825</v>
      </c>
      <c r="B3843" s="2" t="s">
        <v>7</v>
      </c>
      <c r="C3843" s="3">
        <v>5.49</v>
      </c>
      <c r="D3843" s="3">
        <v>0</v>
      </c>
      <c r="E3843" s="2">
        <f>C3843*D3843</f>
        <v>0</v>
      </c>
      <c r="F3843" t="str">
        <f t="shared" ref="F3843:F3906" si="304">IFERROR(LEFT(B3843,FIND(":",B3843)-1),B3843)</f>
        <v>cogs</v>
      </c>
      <c r="G3843" s="7" t="str">
        <f t="shared" ref="G3843:G3906" si="305">IFERROR(RIGHT(B3843,LEN(B3843)-FIND(":",B3843)),"")</f>
        <v>product 1</v>
      </c>
      <c r="H3843">
        <f t="shared" ref="H3843:H3906" si="306">YEAR(A3843)</f>
        <v>2025</v>
      </c>
      <c r="I3843">
        <f t="shared" ref="I3843:I3906" si="307">MONTH(A3843)</f>
        <v>6</v>
      </c>
      <c r="J3843">
        <f t="shared" si="303"/>
        <v>1848.52</v>
      </c>
    </row>
    <row r="3844" spans="1:10" ht="12.5" x14ac:dyDescent="0.25">
      <c r="A3844" s="1">
        <v>45825</v>
      </c>
      <c r="B3844" s="2" t="s">
        <v>8</v>
      </c>
      <c r="C3844" s="3">
        <v>19.989999999999998</v>
      </c>
      <c r="D3844" s="3">
        <v>6</v>
      </c>
      <c r="E3844" s="3">
        <v>119.94</v>
      </c>
      <c r="F3844" t="str">
        <f t="shared" si="304"/>
        <v>cogs</v>
      </c>
      <c r="G3844" s="7" t="str">
        <f t="shared" si="305"/>
        <v>product 2</v>
      </c>
      <c r="H3844">
        <f t="shared" si="306"/>
        <v>2025</v>
      </c>
      <c r="I3844">
        <f t="shared" si="307"/>
        <v>6</v>
      </c>
      <c r="J3844">
        <f t="shared" si="303"/>
        <v>-247.05</v>
      </c>
    </row>
    <row r="3845" spans="1:10" ht="12.5" x14ac:dyDescent="0.25">
      <c r="A3845" s="1">
        <v>45825</v>
      </c>
      <c r="B3845" s="2" t="s">
        <v>9</v>
      </c>
      <c r="C3845" s="3">
        <v>8.99</v>
      </c>
      <c r="D3845" s="3">
        <v>168</v>
      </c>
      <c r="E3845" s="3">
        <v>1510.32</v>
      </c>
      <c r="F3845" t="str">
        <f t="shared" si="304"/>
        <v>cogs</v>
      </c>
      <c r="G3845" s="7" t="str">
        <f t="shared" si="305"/>
        <v>product 3</v>
      </c>
      <c r="H3845">
        <f t="shared" si="306"/>
        <v>2025</v>
      </c>
      <c r="I3845">
        <f t="shared" si="307"/>
        <v>6</v>
      </c>
      <c r="J3845">
        <f t="shared" si="303"/>
        <v>-59.97</v>
      </c>
    </row>
    <row r="3846" spans="1:10" ht="12.5" x14ac:dyDescent="0.25">
      <c r="A3846" s="1">
        <v>45825</v>
      </c>
      <c r="B3846" s="2" t="s">
        <v>10</v>
      </c>
      <c r="C3846" s="2" t="s">
        <v>6</v>
      </c>
      <c r="D3846" s="2" t="s">
        <v>6</v>
      </c>
      <c r="E3846" s="3">
        <v>114.91</v>
      </c>
      <c r="F3846" t="str">
        <f t="shared" si="304"/>
        <v>marketing</v>
      </c>
      <c r="G3846" s="7" t="s">
        <v>6</v>
      </c>
      <c r="H3846">
        <f t="shared" si="306"/>
        <v>2025</v>
      </c>
      <c r="I3846">
        <f t="shared" si="307"/>
        <v>6</v>
      </c>
      <c r="J3846">
        <f t="shared" si="303"/>
        <v>0</v>
      </c>
    </row>
    <row r="3847" spans="1:10" ht="12.5" x14ac:dyDescent="0.25">
      <c r="A3847" s="1">
        <v>45825</v>
      </c>
      <c r="B3847" s="2" t="s">
        <v>11</v>
      </c>
      <c r="C3847" s="3">
        <v>9.99</v>
      </c>
      <c r="D3847" s="3">
        <v>0</v>
      </c>
      <c r="E3847" s="2">
        <f>C3847*D3847</f>
        <v>0</v>
      </c>
      <c r="F3847" t="str">
        <f t="shared" si="304"/>
        <v>net sales</v>
      </c>
      <c r="G3847" s="7" t="str">
        <f t="shared" si="305"/>
        <v>product 1</v>
      </c>
      <c r="H3847">
        <f t="shared" si="306"/>
        <v>2025</v>
      </c>
      <c r="I3847">
        <f t="shared" si="307"/>
        <v>6</v>
      </c>
      <c r="J3847">
        <f t="shared" si="303"/>
        <v>-101.98</v>
      </c>
    </row>
    <row r="3848" spans="1:10" ht="12.5" x14ac:dyDescent="0.25">
      <c r="A3848" s="1">
        <v>45825</v>
      </c>
      <c r="B3848" s="2" t="s">
        <v>12</v>
      </c>
      <c r="C3848" s="3">
        <v>24.99</v>
      </c>
      <c r="D3848" s="3">
        <v>6</v>
      </c>
      <c r="E3848" s="3">
        <v>149.94</v>
      </c>
      <c r="F3848" t="str">
        <f t="shared" si="304"/>
        <v>net sales</v>
      </c>
      <c r="G3848" s="7" t="str">
        <f t="shared" si="305"/>
        <v>product 2</v>
      </c>
      <c r="H3848">
        <f t="shared" si="306"/>
        <v>2025</v>
      </c>
      <c r="I3848">
        <f t="shared" si="307"/>
        <v>6</v>
      </c>
      <c r="J3848">
        <f t="shared" si="303"/>
        <v>449.55</v>
      </c>
    </row>
    <row r="3849" spans="1:10" ht="12.5" x14ac:dyDescent="0.25">
      <c r="A3849" s="1">
        <v>45825</v>
      </c>
      <c r="B3849" s="2" t="s">
        <v>13</v>
      </c>
      <c r="C3849" s="3">
        <v>12.49</v>
      </c>
      <c r="D3849" s="3">
        <v>168</v>
      </c>
      <c r="E3849" s="3">
        <v>2098.3200000000002</v>
      </c>
      <c r="F3849" t="str">
        <f t="shared" si="304"/>
        <v>net sales</v>
      </c>
      <c r="G3849" s="7" t="str">
        <f t="shared" si="305"/>
        <v>product 3</v>
      </c>
      <c r="H3849">
        <f t="shared" si="306"/>
        <v>2025</v>
      </c>
      <c r="I3849">
        <f t="shared" si="307"/>
        <v>6</v>
      </c>
      <c r="J3849">
        <f t="shared" si="303"/>
        <v>74.97</v>
      </c>
    </row>
    <row r="3850" spans="1:10" ht="12.5" x14ac:dyDescent="0.25">
      <c r="A3850" s="1">
        <v>45826</v>
      </c>
      <c r="B3850" s="2" t="s">
        <v>7</v>
      </c>
      <c r="C3850" s="3">
        <v>5.49</v>
      </c>
      <c r="D3850" s="3">
        <v>28</v>
      </c>
      <c r="E3850" s="3">
        <v>153.72</v>
      </c>
      <c r="F3850" t="str">
        <f t="shared" si="304"/>
        <v>cogs</v>
      </c>
      <c r="G3850" s="7" t="str">
        <f t="shared" si="305"/>
        <v>product 1</v>
      </c>
      <c r="H3850">
        <f t="shared" si="306"/>
        <v>2025</v>
      </c>
      <c r="I3850">
        <f t="shared" si="307"/>
        <v>6</v>
      </c>
      <c r="J3850">
        <f t="shared" si="303"/>
        <v>0</v>
      </c>
    </row>
    <row r="3851" spans="1:10" ht="12.5" x14ac:dyDescent="0.25">
      <c r="A3851" s="1">
        <v>45826</v>
      </c>
      <c r="B3851" s="2" t="s">
        <v>8</v>
      </c>
      <c r="C3851" s="3">
        <v>19.989999999999998</v>
      </c>
      <c r="D3851" s="3">
        <v>3</v>
      </c>
      <c r="E3851" s="3">
        <v>59.97</v>
      </c>
      <c r="F3851" t="str">
        <f t="shared" si="304"/>
        <v>cogs</v>
      </c>
      <c r="G3851" s="7" t="str">
        <f t="shared" si="305"/>
        <v>product 2</v>
      </c>
      <c r="H3851">
        <f t="shared" si="306"/>
        <v>2025</v>
      </c>
      <c r="I3851">
        <f t="shared" si="307"/>
        <v>6</v>
      </c>
      <c r="J3851">
        <f t="shared" si="303"/>
        <v>-43.92</v>
      </c>
    </row>
    <row r="3852" spans="1:10" ht="12.5" x14ac:dyDescent="0.25">
      <c r="A3852" s="1">
        <v>45826</v>
      </c>
      <c r="B3852" s="2" t="s">
        <v>9</v>
      </c>
      <c r="C3852" s="3">
        <v>8.99</v>
      </c>
      <c r="D3852" s="3">
        <v>232</v>
      </c>
      <c r="E3852" s="3">
        <v>2085.6799999999998</v>
      </c>
      <c r="F3852" t="str">
        <f t="shared" si="304"/>
        <v>cogs</v>
      </c>
      <c r="G3852" s="7" t="str">
        <f t="shared" si="305"/>
        <v>product 3</v>
      </c>
      <c r="H3852">
        <f t="shared" si="306"/>
        <v>2025</v>
      </c>
      <c r="I3852">
        <f t="shared" si="307"/>
        <v>6</v>
      </c>
      <c r="J3852">
        <f t="shared" si="303"/>
        <v>-179.91</v>
      </c>
    </row>
    <row r="3853" spans="1:10" ht="12.5" x14ac:dyDescent="0.25">
      <c r="A3853" s="1">
        <v>45826</v>
      </c>
      <c r="B3853" s="2" t="s">
        <v>10</v>
      </c>
      <c r="C3853" s="2" t="s">
        <v>6</v>
      </c>
      <c r="D3853" s="2" t="s">
        <v>6</v>
      </c>
      <c r="E3853" s="3">
        <v>109.03</v>
      </c>
      <c r="F3853" t="str">
        <f t="shared" si="304"/>
        <v>marketing</v>
      </c>
      <c r="G3853" s="7" t="s">
        <v>6</v>
      </c>
      <c r="H3853">
        <f t="shared" si="306"/>
        <v>2025</v>
      </c>
      <c r="I3853">
        <f t="shared" si="307"/>
        <v>6</v>
      </c>
      <c r="J3853">
        <f t="shared" si="303"/>
        <v>-44.95</v>
      </c>
    </row>
    <row r="3854" spans="1:10" ht="12.5" x14ac:dyDescent="0.25">
      <c r="A3854" s="1">
        <v>45826</v>
      </c>
      <c r="B3854" s="2" t="s">
        <v>11</v>
      </c>
      <c r="C3854" s="3">
        <v>9.99</v>
      </c>
      <c r="D3854" s="3">
        <v>28</v>
      </c>
      <c r="E3854" s="3">
        <v>279.72000000000003</v>
      </c>
      <c r="F3854" t="str">
        <f t="shared" si="304"/>
        <v>net sales</v>
      </c>
      <c r="G3854" s="7" t="str">
        <f t="shared" si="305"/>
        <v>product 1</v>
      </c>
      <c r="H3854">
        <f t="shared" si="306"/>
        <v>2025</v>
      </c>
      <c r="I3854">
        <f t="shared" si="307"/>
        <v>6</v>
      </c>
      <c r="J3854">
        <f t="shared" si="303"/>
        <v>-103.01</v>
      </c>
    </row>
    <row r="3855" spans="1:10" ht="12.5" x14ac:dyDescent="0.25">
      <c r="A3855" s="1">
        <v>45826</v>
      </c>
      <c r="B3855" s="2" t="s">
        <v>12</v>
      </c>
      <c r="C3855" s="3">
        <v>24.99</v>
      </c>
      <c r="D3855" s="3">
        <v>3</v>
      </c>
      <c r="E3855" s="3">
        <v>74.97</v>
      </c>
      <c r="F3855" t="str">
        <f t="shared" si="304"/>
        <v>net sales</v>
      </c>
      <c r="G3855" s="7" t="str">
        <f t="shared" si="305"/>
        <v>product 2</v>
      </c>
      <c r="H3855">
        <f t="shared" si="306"/>
        <v>2025</v>
      </c>
      <c r="I3855">
        <f t="shared" si="307"/>
        <v>6</v>
      </c>
      <c r="J3855">
        <f t="shared" si="303"/>
        <v>79.92</v>
      </c>
    </row>
    <row r="3856" spans="1:10" ht="12.5" x14ac:dyDescent="0.25">
      <c r="A3856" s="1">
        <v>45826</v>
      </c>
      <c r="B3856" s="2" t="s">
        <v>13</v>
      </c>
      <c r="C3856" s="3">
        <v>12.49</v>
      </c>
      <c r="D3856" s="3">
        <v>232</v>
      </c>
      <c r="E3856" s="3">
        <v>2897.68</v>
      </c>
      <c r="F3856" t="str">
        <f t="shared" si="304"/>
        <v>net sales</v>
      </c>
      <c r="G3856" s="7" t="str">
        <f t="shared" si="305"/>
        <v>product 3</v>
      </c>
      <c r="H3856">
        <f t="shared" si="306"/>
        <v>2025</v>
      </c>
      <c r="I3856">
        <f t="shared" si="307"/>
        <v>6</v>
      </c>
      <c r="J3856">
        <f t="shared" si="303"/>
        <v>224.91</v>
      </c>
    </row>
    <row r="3857" spans="1:10" ht="12.5" x14ac:dyDescent="0.25">
      <c r="A3857" s="1">
        <v>45827</v>
      </c>
      <c r="B3857" s="2" t="s">
        <v>7</v>
      </c>
      <c r="C3857" s="3">
        <v>5.49</v>
      </c>
      <c r="D3857" s="3">
        <v>94</v>
      </c>
      <c r="E3857" s="3">
        <v>516.06000000000006</v>
      </c>
      <c r="F3857" t="str">
        <f t="shared" si="304"/>
        <v>cogs</v>
      </c>
      <c r="G3857" s="7" t="str">
        <f t="shared" si="305"/>
        <v>product 1</v>
      </c>
      <c r="H3857">
        <f t="shared" si="306"/>
        <v>2025</v>
      </c>
      <c r="I3857">
        <f t="shared" si="307"/>
        <v>6</v>
      </c>
      <c r="J3857">
        <f t="shared" si="303"/>
        <v>62.45</v>
      </c>
    </row>
    <row r="3858" spans="1:10" ht="12.5" x14ac:dyDescent="0.25">
      <c r="A3858" s="1">
        <v>45827</v>
      </c>
      <c r="B3858" s="2" t="s">
        <v>8</v>
      </c>
      <c r="C3858" s="3">
        <v>19.989999999999998</v>
      </c>
      <c r="D3858" s="3">
        <v>1</v>
      </c>
      <c r="E3858" s="3">
        <v>19.989999999999998</v>
      </c>
      <c r="F3858" t="str">
        <f t="shared" si="304"/>
        <v>cogs</v>
      </c>
      <c r="G3858" s="7" t="str">
        <f t="shared" si="305"/>
        <v>product 2</v>
      </c>
      <c r="H3858">
        <f t="shared" si="306"/>
        <v>2025</v>
      </c>
      <c r="I3858">
        <f t="shared" si="307"/>
        <v>6</v>
      </c>
      <c r="J3858">
        <f t="shared" si="303"/>
        <v>-186.66</v>
      </c>
    </row>
    <row r="3859" spans="1:10" ht="12.5" x14ac:dyDescent="0.25">
      <c r="A3859" s="1">
        <v>45827</v>
      </c>
      <c r="B3859" s="2" t="s">
        <v>9</v>
      </c>
      <c r="C3859" s="3">
        <v>8.99</v>
      </c>
      <c r="D3859" s="3">
        <v>46</v>
      </c>
      <c r="E3859" s="3">
        <v>413.54</v>
      </c>
      <c r="F3859" t="str">
        <f t="shared" si="304"/>
        <v>cogs</v>
      </c>
      <c r="G3859" s="7" t="str">
        <f t="shared" si="305"/>
        <v>product 3</v>
      </c>
      <c r="H3859">
        <f t="shared" si="306"/>
        <v>2025</v>
      </c>
      <c r="I3859">
        <f t="shared" si="307"/>
        <v>6</v>
      </c>
      <c r="J3859">
        <f t="shared" si="303"/>
        <v>-59.97</v>
      </c>
    </row>
    <row r="3860" spans="1:10" ht="12.5" x14ac:dyDescent="0.25">
      <c r="A3860" s="1">
        <v>45827</v>
      </c>
      <c r="B3860" s="2" t="s">
        <v>10</v>
      </c>
      <c r="C3860" s="2" t="s">
        <v>6</v>
      </c>
      <c r="D3860" s="2" t="s">
        <v>6</v>
      </c>
      <c r="E3860" s="3">
        <v>116.03</v>
      </c>
      <c r="F3860" t="str">
        <f t="shared" si="304"/>
        <v>marketing</v>
      </c>
      <c r="G3860" s="7" t="s">
        <v>6</v>
      </c>
      <c r="H3860">
        <f t="shared" si="306"/>
        <v>2025</v>
      </c>
      <c r="I3860">
        <f t="shared" si="307"/>
        <v>6</v>
      </c>
      <c r="J3860">
        <f t="shared" si="303"/>
        <v>0</v>
      </c>
    </row>
    <row r="3861" spans="1:10" ht="12.5" x14ac:dyDescent="0.25">
      <c r="A3861" s="1">
        <v>45827</v>
      </c>
      <c r="B3861" s="2" t="s">
        <v>11</v>
      </c>
      <c r="C3861" s="3">
        <v>9.99</v>
      </c>
      <c r="D3861" s="3">
        <v>94</v>
      </c>
      <c r="E3861" s="3">
        <v>939.06000000000006</v>
      </c>
      <c r="F3861" t="str">
        <f t="shared" si="304"/>
        <v>net sales</v>
      </c>
      <c r="G3861" s="7" t="str">
        <f t="shared" si="305"/>
        <v>product 1</v>
      </c>
      <c r="H3861">
        <f t="shared" si="306"/>
        <v>2025</v>
      </c>
      <c r="I3861">
        <f t="shared" si="307"/>
        <v>6</v>
      </c>
      <c r="J3861">
        <f t="shared" si="303"/>
        <v>-119</v>
      </c>
    </row>
    <row r="3862" spans="1:10" ht="12.5" x14ac:dyDescent="0.25">
      <c r="A3862" s="1">
        <v>45827</v>
      </c>
      <c r="B3862" s="2" t="s">
        <v>12</v>
      </c>
      <c r="C3862" s="3">
        <v>24.99</v>
      </c>
      <c r="D3862" s="3">
        <v>1</v>
      </c>
      <c r="E3862" s="3">
        <v>24.99</v>
      </c>
      <c r="F3862" t="str">
        <f t="shared" si="304"/>
        <v>net sales</v>
      </c>
      <c r="G3862" s="7" t="str">
        <f t="shared" si="305"/>
        <v>product 2</v>
      </c>
      <c r="H3862">
        <f t="shared" si="306"/>
        <v>2025</v>
      </c>
      <c r="I3862">
        <f t="shared" si="307"/>
        <v>6</v>
      </c>
      <c r="J3862">
        <f t="shared" si="303"/>
        <v>339.66</v>
      </c>
    </row>
    <row r="3863" spans="1:10" ht="12.5" x14ac:dyDescent="0.25">
      <c r="A3863" s="1">
        <v>45827</v>
      </c>
      <c r="B3863" s="2" t="s">
        <v>13</v>
      </c>
      <c r="C3863" s="3">
        <v>12.49</v>
      </c>
      <c r="D3863" s="3">
        <v>46</v>
      </c>
      <c r="E3863" s="3">
        <v>574.54</v>
      </c>
      <c r="F3863" t="str">
        <f t="shared" si="304"/>
        <v>net sales</v>
      </c>
      <c r="G3863" s="7" t="str">
        <f t="shared" si="305"/>
        <v>product 3</v>
      </c>
      <c r="H3863">
        <f t="shared" si="306"/>
        <v>2025</v>
      </c>
      <c r="I3863">
        <f t="shared" si="307"/>
        <v>6</v>
      </c>
      <c r="J3863">
        <f t="shared" si="303"/>
        <v>74.97</v>
      </c>
    </row>
    <row r="3864" spans="1:10" ht="12.5" x14ac:dyDescent="0.25">
      <c r="A3864" s="1">
        <v>45828</v>
      </c>
      <c r="B3864" s="2" t="s">
        <v>7</v>
      </c>
      <c r="C3864" s="3">
        <v>5.49</v>
      </c>
      <c r="D3864" s="3">
        <v>35</v>
      </c>
      <c r="E3864" s="3">
        <v>192.15</v>
      </c>
      <c r="F3864" t="str">
        <f t="shared" si="304"/>
        <v>cogs</v>
      </c>
      <c r="G3864" s="7" t="str">
        <f t="shared" si="305"/>
        <v>product 1</v>
      </c>
      <c r="H3864">
        <f t="shared" si="306"/>
        <v>2025</v>
      </c>
      <c r="I3864">
        <f t="shared" si="307"/>
        <v>6</v>
      </c>
      <c r="J3864">
        <f t="shared" si="303"/>
        <v>0</v>
      </c>
    </row>
    <row r="3865" spans="1:10" ht="12.5" x14ac:dyDescent="0.25">
      <c r="A3865" s="1">
        <v>45828</v>
      </c>
      <c r="B3865" s="2" t="s">
        <v>8</v>
      </c>
      <c r="C3865" s="3">
        <v>19.989999999999998</v>
      </c>
      <c r="D3865" s="3">
        <v>7</v>
      </c>
      <c r="E3865" s="3">
        <v>139.92999999999998</v>
      </c>
      <c r="F3865" t="str">
        <f t="shared" si="304"/>
        <v>cogs</v>
      </c>
      <c r="G3865" s="7" t="str">
        <f t="shared" si="305"/>
        <v>product 2</v>
      </c>
      <c r="H3865">
        <f t="shared" si="306"/>
        <v>2025</v>
      </c>
      <c r="I3865">
        <f t="shared" si="307"/>
        <v>6</v>
      </c>
      <c r="J3865">
        <f t="shared" si="303"/>
        <v>-98.820000000000007</v>
      </c>
    </row>
    <row r="3866" spans="1:10" ht="12.5" x14ac:dyDescent="0.25">
      <c r="A3866" s="1">
        <v>45828</v>
      </c>
      <c r="B3866" s="2" t="s">
        <v>9</v>
      </c>
      <c r="C3866" s="3">
        <v>8.99</v>
      </c>
      <c r="D3866" s="3">
        <v>61</v>
      </c>
      <c r="E3866" s="3">
        <v>548.39</v>
      </c>
      <c r="F3866" t="str">
        <f t="shared" si="304"/>
        <v>cogs</v>
      </c>
      <c r="G3866" s="7" t="str">
        <f t="shared" si="305"/>
        <v>product 3</v>
      </c>
      <c r="H3866">
        <f t="shared" si="306"/>
        <v>2025</v>
      </c>
      <c r="I3866">
        <f t="shared" si="307"/>
        <v>6</v>
      </c>
      <c r="J3866">
        <f t="shared" si="303"/>
        <v>0</v>
      </c>
    </row>
    <row r="3867" spans="1:10" ht="12.5" x14ac:dyDescent="0.25">
      <c r="A3867" s="1">
        <v>45828</v>
      </c>
      <c r="B3867" s="2" t="s">
        <v>10</v>
      </c>
      <c r="C3867" s="2" t="s">
        <v>6</v>
      </c>
      <c r="D3867" s="2" t="s">
        <v>6</v>
      </c>
      <c r="E3867" s="3">
        <v>100.91</v>
      </c>
      <c r="F3867" t="str">
        <f t="shared" si="304"/>
        <v>marketing</v>
      </c>
      <c r="G3867" s="7" t="s">
        <v>6</v>
      </c>
      <c r="H3867">
        <f t="shared" si="306"/>
        <v>2025</v>
      </c>
      <c r="I3867">
        <f t="shared" si="307"/>
        <v>6</v>
      </c>
      <c r="J3867">
        <f t="shared" si="303"/>
        <v>-2067.7000000000003</v>
      </c>
    </row>
    <row r="3868" spans="1:10" ht="12.5" x14ac:dyDescent="0.25">
      <c r="A3868" s="1">
        <v>45828</v>
      </c>
      <c r="B3868" s="2" t="s">
        <v>11</v>
      </c>
      <c r="C3868" s="3">
        <v>9.99</v>
      </c>
      <c r="D3868" s="3">
        <v>35</v>
      </c>
      <c r="E3868" s="3">
        <v>349.65000000000003</v>
      </c>
      <c r="F3868" t="str">
        <f t="shared" si="304"/>
        <v>net sales</v>
      </c>
      <c r="G3868" s="7" t="str">
        <f t="shared" si="305"/>
        <v>product 1</v>
      </c>
      <c r="H3868">
        <f t="shared" si="306"/>
        <v>2025</v>
      </c>
      <c r="I3868">
        <f t="shared" si="307"/>
        <v>6</v>
      </c>
      <c r="J3868">
        <f t="shared" ref="J3868:J3931" si="308">IF(F3651="net sales",E3651,
IF(F3651="cogs",-E3651,
IF(OR(F3651="marketing",F3651="overhead",F3651="payroll",F3651="interest","amortization"),-E3651,0)))</f>
        <v>-103.07000000000001</v>
      </c>
    </row>
    <row r="3869" spans="1:10" ht="12.5" x14ac:dyDescent="0.25">
      <c r="A3869" s="1">
        <v>45828</v>
      </c>
      <c r="B3869" s="2" t="s">
        <v>12</v>
      </c>
      <c r="C3869" s="3">
        <v>24.99</v>
      </c>
      <c r="D3869" s="3">
        <v>7</v>
      </c>
      <c r="E3869" s="3">
        <v>174.92999999999998</v>
      </c>
      <c r="F3869" t="str">
        <f t="shared" si="304"/>
        <v>net sales</v>
      </c>
      <c r="G3869" s="7" t="str">
        <f t="shared" si="305"/>
        <v>product 2</v>
      </c>
      <c r="H3869">
        <f t="shared" si="306"/>
        <v>2025</v>
      </c>
      <c r="I3869">
        <f t="shared" si="307"/>
        <v>6</v>
      </c>
      <c r="J3869">
        <f t="shared" si="308"/>
        <v>179.82</v>
      </c>
    </row>
    <row r="3870" spans="1:10" ht="12.5" x14ac:dyDescent="0.25">
      <c r="A3870" s="1">
        <v>45828</v>
      </c>
      <c r="B3870" s="2" t="s">
        <v>13</v>
      </c>
      <c r="C3870" s="3">
        <v>12.49</v>
      </c>
      <c r="D3870" s="3">
        <v>61</v>
      </c>
      <c r="E3870" s="3">
        <v>761.89</v>
      </c>
      <c r="F3870" t="str">
        <f t="shared" si="304"/>
        <v>net sales</v>
      </c>
      <c r="G3870" s="7" t="str">
        <f t="shared" si="305"/>
        <v>product 3</v>
      </c>
      <c r="H3870">
        <f t="shared" si="306"/>
        <v>2025</v>
      </c>
      <c r="I3870">
        <f t="shared" si="307"/>
        <v>6</v>
      </c>
      <c r="J3870">
        <f t="shared" si="308"/>
        <v>0</v>
      </c>
    </row>
    <row r="3871" spans="1:10" ht="12.5" x14ac:dyDescent="0.25">
      <c r="A3871" s="1">
        <v>45828</v>
      </c>
      <c r="B3871" s="2" t="s">
        <v>15</v>
      </c>
      <c r="C3871" s="2" t="s">
        <v>6</v>
      </c>
      <c r="D3871" s="2" t="s">
        <v>6</v>
      </c>
      <c r="E3871" s="3">
        <v>1200</v>
      </c>
      <c r="F3871" t="str">
        <f t="shared" si="304"/>
        <v>payroll</v>
      </c>
      <c r="G3871" s="7" t="s">
        <v>6</v>
      </c>
      <c r="H3871">
        <f t="shared" si="306"/>
        <v>2025</v>
      </c>
      <c r="I3871">
        <f t="shared" si="307"/>
        <v>6</v>
      </c>
      <c r="J3871">
        <f t="shared" si="308"/>
        <v>2872.7000000000003</v>
      </c>
    </row>
    <row r="3872" spans="1:10" ht="12.5" x14ac:dyDescent="0.25">
      <c r="A3872" s="1">
        <v>45829</v>
      </c>
      <c r="B3872" s="2" t="s">
        <v>7</v>
      </c>
      <c r="C3872" s="3">
        <v>5.49</v>
      </c>
      <c r="D3872" s="3">
        <v>28</v>
      </c>
      <c r="E3872" s="3">
        <v>153.72</v>
      </c>
      <c r="F3872" t="str">
        <f t="shared" si="304"/>
        <v>cogs</v>
      </c>
      <c r="G3872" s="7" t="str">
        <f t="shared" si="305"/>
        <v>product 1</v>
      </c>
      <c r="H3872">
        <f t="shared" si="306"/>
        <v>2025</v>
      </c>
      <c r="I3872">
        <f t="shared" si="307"/>
        <v>6</v>
      </c>
      <c r="J3872">
        <f t="shared" si="308"/>
        <v>-115.29</v>
      </c>
    </row>
    <row r="3873" spans="1:10" ht="12.5" x14ac:dyDescent="0.25">
      <c r="A3873" s="1">
        <v>45829</v>
      </c>
      <c r="B3873" s="2" t="s">
        <v>8</v>
      </c>
      <c r="C3873" s="3">
        <v>19.989999999999998</v>
      </c>
      <c r="D3873" s="3">
        <v>0</v>
      </c>
      <c r="E3873" s="2">
        <f>C3873*D3873</f>
        <v>0</v>
      </c>
      <c r="F3873" t="str">
        <f t="shared" si="304"/>
        <v>cogs</v>
      </c>
      <c r="G3873" s="7" t="str">
        <f t="shared" si="305"/>
        <v>product 2</v>
      </c>
      <c r="H3873">
        <f t="shared" si="306"/>
        <v>2025</v>
      </c>
      <c r="I3873">
        <f t="shared" si="307"/>
        <v>6</v>
      </c>
      <c r="J3873">
        <f t="shared" si="308"/>
        <v>-139.92999999999998</v>
      </c>
    </row>
    <row r="3874" spans="1:10" ht="12.5" x14ac:dyDescent="0.25">
      <c r="A3874" s="1">
        <v>45829</v>
      </c>
      <c r="B3874" s="2" t="s">
        <v>9</v>
      </c>
      <c r="C3874" s="3">
        <v>8.99</v>
      </c>
      <c r="D3874" s="3">
        <v>134</v>
      </c>
      <c r="E3874" s="3">
        <v>1204.6600000000001</v>
      </c>
      <c r="F3874" t="str">
        <f t="shared" si="304"/>
        <v>cogs</v>
      </c>
      <c r="G3874" s="7" t="str">
        <f t="shared" si="305"/>
        <v>product 3</v>
      </c>
      <c r="H3874">
        <f t="shared" si="306"/>
        <v>2025</v>
      </c>
      <c r="I3874">
        <f t="shared" si="307"/>
        <v>6</v>
      </c>
      <c r="J3874">
        <f t="shared" si="308"/>
        <v>-692.23</v>
      </c>
    </row>
    <row r="3875" spans="1:10" ht="12.5" x14ac:dyDescent="0.25">
      <c r="A3875" s="1">
        <v>45829</v>
      </c>
      <c r="B3875" s="2" t="s">
        <v>10</v>
      </c>
      <c r="C3875" s="2" t="s">
        <v>6</v>
      </c>
      <c r="D3875" s="2" t="s">
        <v>6</v>
      </c>
      <c r="E3875" s="3">
        <v>110.93</v>
      </c>
      <c r="F3875" t="str">
        <f t="shared" si="304"/>
        <v>marketing</v>
      </c>
      <c r="G3875" s="7" t="s">
        <v>6</v>
      </c>
      <c r="H3875">
        <f t="shared" si="306"/>
        <v>2025</v>
      </c>
      <c r="I3875">
        <f t="shared" si="307"/>
        <v>6</v>
      </c>
      <c r="J3875">
        <f t="shared" si="308"/>
        <v>-117.07000000000001</v>
      </c>
    </row>
    <row r="3876" spans="1:10" ht="12.5" x14ac:dyDescent="0.25">
      <c r="A3876" s="1">
        <v>45829</v>
      </c>
      <c r="B3876" s="2" t="s">
        <v>11</v>
      </c>
      <c r="C3876" s="3">
        <v>9.99</v>
      </c>
      <c r="D3876" s="3">
        <v>28</v>
      </c>
      <c r="E3876" s="3">
        <v>279.72000000000003</v>
      </c>
      <c r="F3876" t="str">
        <f t="shared" si="304"/>
        <v>net sales</v>
      </c>
      <c r="G3876" s="7" t="str">
        <f t="shared" si="305"/>
        <v>product 1</v>
      </c>
      <c r="H3876">
        <f t="shared" si="306"/>
        <v>2025</v>
      </c>
      <c r="I3876">
        <f t="shared" si="307"/>
        <v>6</v>
      </c>
      <c r="J3876">
        <f t="shared" si="308"/>
        <v>209.79</v>
      </c>
    </row>
    <row r="3877" spans="1:10" ht="12.5" x14ac:dyDescent="0.25">
      <c r="A3877" s="1">
        <v>45829</v>
      </c>
      <c r="B3877" s="2" t="s">
        <v>12</v>
      </c>
      <c r="C3877" s="3">
        <v>24.99</v>
      </c>
      <c r="D3877" s="3">
        <v>0</v>
      </c>
      <c r="E3877" s="2">
        <f>C3877*D3877</f>
        <v>0</v>
      </c>
      <c r="F3877" t="str">
        <f t="shared" si="304"/>
        <v>net sales</v>
      </c>
      <c r="G3877" s="7" t="str">
        <f t="shared" si="305"/>
        <v>product 2</v>
      </c>
      <c r="H3877">
        <f t="shared" si="306"/>
        <v>2025</v>
      </c>
      <c r="I3877">
        <f t="shared" si="307"/>
        <v>6</v>
      </c>
      <c r="J3877">
        <f t="shared" si="308"/>
        <v>174.92999999999998</v>
      </c>
    </row>
    <row r="3878" spans="1:10" ht="12.5" x14ac:dyDescent="0.25">
      <c r="A3878" s="1">
        <v>45829</v>
      </c>
      <c r="B3878" s="2" t="s">
        <v>13</v>
      </c>
      <c r="C3878" s="3">
        <v>12.49</v>
      </c>
      <c r="D3878" s="3">
        <v>134</v>
      </c>
      <c r="E3878" s="3">
        <v>1673.66</v>
      </c>
      <c r="F3878" t="str">
        <f t="shared" si="304"/>
        <v>net sales</v>
      </c>
      <c r="G3878" s="7" t="str">
        <f t="shared" si="305"/>
        <v>product 3</v>
      </c>
      <c r="H3878">
        <f t="shared" si="306"/>
        <v>2025</v>
      </c>
      <c r="I3878">
        <f t="shared" si="307"/>
        <v>6</v>
      </c>
      <c r="J3878">
        <f t="shared" si="308"/>
        <v>961.73</v>
      </c>
    </row>
    <row r="3879" spans="1:10" ht="12.5" x14ac:dyDescent="0.25">
      <c r="A3879" s="1">
        <v>45830</v>
      </c>
      <c r="B3879" s="2" t="s">
        <v>7</v>
      </c>
      <c r="C3879" s="3">
        <v>5.49</v>
      </c>
      <c r="D3879" s="3">
        <v>22</v>
      </c>
      <c r="E3879" s="3">
        <v>120.78</v>
      </c>
      <c r="F3879" t="str">
        <f t="shared" si="304"/>
        <v>cogs</v>
      </c>
      <c r="G3879" s="7" t="str">
        <f t="shared" si="305"/>
        <v>product 1</v>
      </c>
      <c r="H3879">
        <f t="shared" si="306"/>
        <v>2025</v>
      </c>
      <c r="I3879">
        <f t="shared" si="307"/>
        <v>6</v>
      </c>
      <c r="J3879">
        <f t="shared" si="308"/>
        <v>-466.65000000000003</v>
      </c>
    </row>
    <row r="3880" spans="1:10" ht="12.5" x14ac:dyDescent="0.25">
      <c r="A3880" s="1">
        <v>45830</v>
      </c>
      <c r="B3880" s="2" t="s">
        <v>8</v>
      </c>
      <c r="C3880" s="3">
        <v>19.989999999999998</v>
      </c>
      <c r="D3880" s="3">
        <v>8</v>
      </c>
      <c r="E3880" s="3">
        <v>159.91999999999999</v>
      </c>
      <c r="F3880" t="str">
        <f t="shared" si="304"/>
        <v>cogs</v>
      </c>
      <c r="G3880" s="7" t="str">
        <f t="shared" si="305"/>
        <v>product 2</v>
      </c>
      <c r="H3880">
        <f t="shared" si="306"/>
        <v>2025</v>
      </c>
      <c r="I3880">
        <f t="shared" si="307"/>
        <v>6</v>
      </c>
      <c r="J3880">
        <f t="shared" si="308"/>
        <v>-139.92999999999998</v>
      </c>
    </row>
    <row r="3881" spans="1:10" ht="12.5" x14ac:dyDescent="0.25">
      <c r="A3881" s="1">
        <v>45830</v>
      </c>
      <c r="B3881" s="2" t="s">
        <v>9</v>
      </c>
      <c r="C3881" s="3">
        <v>8.99</v>
      </c>
      <c r="D3881" s="3">
        <v>137</v>
      </c>
      <c r="E3881" s="3">
        <v>1231.6300000000001</v>
      </c>
      <c r="F3881" t="str">
        <f t="shared" si="304"/>
        <v>cogs</v>
      </c>
      <c r="G3881" s="7" t="str">
        <f t="shared" si="305"/>
        <v>product 3</v>
      </c>
      <c r="H3881">
        <f t="shared" si="306"/>
        <v>2025</v>
      </c>
      <c r="I3881">
        <f t="shared" si="307"/>
        <v>6</v>
      </c>
      <c r="J3881">
        <f t="shared" si="308"/>
        <v>-728.19</v>
      </c>
    </row>
    <row r="3882" spans="1:10" ht="12.5" x14ac:dyDescent="0.25">
      <c r="A3882" s="1">
        <v>45830</v>
      </c>
      <c r="B3882" s="2" t="s">
        <v>10</v>
      </c>
      <c r="C3882" s="2" t="s">
        <v>6</v>
      </c>
      <c r="D3882" s="2" t="s">
        <v>6</v>
      </c>
      <c r="E3882" s="3">
        <v>118.05</v>
      </c>
      <c r="F3882" t="str">
        <f t="shared" si="304"/>
        <v>marketing</v>
      </c>
      <c r="G3882" s="7" t="s">
        <v>6</v>
      </c>
      <c r="H3882">
        <f t="shared" si="306"/>
        <v>2025</v>
      </c>
      <c r="I3882">
        <f t="shared" si="307"/>
        <v>6</v>
      </c>
      <c r="J3882">
        <f t="shared" si="308"/>
        <v>-117.99000000000001</v>
      </c>
    </row>
    <row r="3883" spans="1:10" ht="12.5" x14ac:dyDescent="0.25">
      <c r="A3883" s="1">
        <v>45830</v>
      </c>
      <c r="B3883" s="2" t="s">
        <v>11</v>
      </c>
      <c r="C3883" s="3">
        <v>9.99</v>
      </c>
      <c r="D3883" s="3">
        <v>22</v>
      </c>
      <c r="E3883" s="3">
        <v>219.78</v>
      </c>
      <c r="F3883" t="str">
        <f t="shared" si="304"/>
        <v>net sales</v>
      </c>
      <c r="G3883" s="7" t="str">
        <f t="shared" si="305"/>
        <v>product 1</v>
      </c>
      <c r="H3883">
        <f t="shared" si="306"/>
        <v>2025</v>
      </c>
      <c r="I3883">
        <f t="shared" si="307"/>
        <v>6</v>
      </c>
      <c r="J3883">
        <f t="shared" si="308"/>
        <v>849.15</v>
      </c>
    </row>
    <row r="3884" spans="1:10" ht="12.5" x14ac:dyDescent="0.25">
      <c r="A3884" s="1">
        <v>45830</v>
      </c>
      <c r="B3884" s="2" t="s">
        <v>12</v>
      </c>
      <c r="C3884" s="3">
        <v>24.99</v>
      </c>
      <c r="D3884" s="3">
        <v>8</v>
      </c>
      <c r="E3884" s="3">
        <v>199.92</v>
      </c>
      <c r="F3884" t="str">
        <f t="shared" si="304"/>
        <v>net sales</v>
      </c>
      <c r="G3884" s="7" t="str">
        <f t="shared" si="305"/>
        <v>product 2</v>
      </c>
      <c r="H3884">
        <f t="shared" si="306"/>
        <v>2025</v>
      </c>
      <c r="I3884">
        <f t="shared" si="307"/>
        <v>6</v>
      </c>
      <c r="J3884">
        <f t="shared" si="308"/>
        <v>174.92999999999998</v>
      </c>
    </row>
    <row r="3885" spans="1:10" ht="12.5" x14ac:dyDescent="0.25">
      <c r="A3885" s="1">
        <v>45830</v>
      </c>
      <c r="B3885" s="2" t="s">
        <v>13</v>
      </c>
      <c r="C3885" s="3">
        <v>12.49</v>
      </c>
      <c r="D3885" s="3">
        <v>137</v>
      </c>
      <c r="E3885" s="3">
        <v>1711.13</v>
      </c>
      <c r="F3885" t="str">
        <f t="shared" si="304"/>
        <v>net sales</v>
      </c>
      <c r="G3885" s="7" t="str">
        <f t="shared" si="305"/>
        <v>product 3</v>
      </c>
      <c r="H3885">
        <f t="shared" si="306"/>
        <v>2025</v>
      </c>
      <c r="I3885">
        <f t="shared" si="307"/>
        <v>6</v>
      </c>
      <c r="J3885">
        <f t="shared" si="308"/>
        <v>1011.69</v>
      </c>
    </row>
    <row r="3886" spans="1:10" ht="12.5" x14ac:dyDescent="0.25">
      <c r="A3886" s="1">
        <v>45831</v>
      </c>
      <c r="B3886" s="2" t="s">
        <v>7</v>
      </c>
      <c r="C3886" s="3">
        <v>5.49</v>
      </c>
      <c r="D3886" s="3">
        <v>5</v>
      </c>
      <c r="E3886" s="3">
        <v>27.450000000000003</v>
      </c>
      <c r="F3886" t="str">
        <f t="shared" si="304"/>
        <v>cogs</v>
      </c>
      <c r="G3886" s="7" t="str">
        <f t="shared" si="305"/>
        <v>product 1</v>
      </c>
      <c r="H3886">
        <f t="shared" si="306"/>
        <v>2025</v>
      </c>
      <c r="I3886">
        <f t="shared" si="307"/>
        <v>6</v>
      </c>
      <c r="J3886">
        <f t="shared" si="308"/>
        <v>-1200</v>
      </c>
    </row>
    <row r="3887" spans="1:10" ht="12.5" x14ac:dyDescent="0.25">
      <c r="A3887" s="1">
        <v>45831</v>
      </c>
      <c r="B3887" s="2" t="s">
        <v>8</v>
      </c>
      <c r="C3887" s="3">
        <v>19.989999999999998</v>
      </c>
      <c r="D3887" s="3">
        <v>3</v>
      </c>
      <c r="E3887" s="3">
        <v>59.97</v>
      </c>
      <c r="F3887" t="str">
        <f t="shared" si="304"/>
        <v>cogs</v>
      </c>
      <c r="G3887" s="7" t="str">
        <f t="shared" si="305"/>
        <v>product 2</v>
      </c>
      <c r="H3887">
        <f t="shared" si="306"/>
        <v>2025</v>
      </c>
      <c r="I3887">
        <f t="shared" si="307"/>
        <v>6</v>
      </c>
      <c r="J3887">
        <f t="shared" si="308"/>
        <v>-433.71000000000004</v>
      </c>
    </row>
    <row r="3888" spans="1:10" ht="12.5" x14ac:dyDescent="0.25">
      <c r="A3888" s="1">
        <v>45831</v>
      </c>
      <c r="B3888" s="2" t="s">
        <v>9</v>
      </c>
      <c r="C3888" s="3">
        <v>8.99</v>
      </c>
      <c r="D3888" s="3">
        <v>91</v>
      </c>
      <c r="E3888" s="3">
        <v>818.09</v>
      </c>
      <c r="F3888" t="str">
        <f t="shared" si="304"/>
        <v>cogs</v>
      </c>
      <c r="G3888" s="7" t="str">
        <f t="shared" si="305"/>
        <v>product 3</v>
      </c>
      <c r="H3888">
        <f t="shared" si="306"/>
        <v>2025</v>
      </c>
      <c r="I3888">
        <f t="shared" si="307"/>
        <v>6</v>
      </c>
      <c r="J3888">
        <f t="shared" si="308"/>
        <v>-119.94</v>
      </c>
    </row>
    <row r="3889" spans="1:10" ht="12.5" x14ac:dyDescent="0.25">
      <c r="A3889" s="1">
        <v>45831</v>
      </c>
      <c r="B3889" s="2" t="s">
        <v>10</v>
      </c>
      <c r="C3889" s="2" t="s">
        <v>6</v>
      </c>
      <c r="D3889" s="2" t="s">
        <v>6</v>
      </c>
      <c r="E3889" s="3">
        <v>117.02</v>
      </c>
      <c r="F3889" t="str">
        <f t="shared" si="304"/>
        <v>marketing</v>
      </c>
      <c r="G3889" s="7" t="s">
        <v>6</v>
      </c>
      <c r="H3889">
        <f t="shared" si="306"/>
        <v>2025</v>
      </c>
      <c r="I3889">
        <f t="shared" si="307"/>
        <v>6</v>
      </c>
      <c r="J3889">
        <f t="shared" si="308"/>
        <v>-431.52</v>
      </c>
    </row>
    <row r="3890" spans="1:10" ht="12.5" x14ac:dyDescent="0.25">
      <c r="A3890" s="1">
        <v>45831</v>
      </c>
      <c r="B3890" s="2" t="s">
        <v>11</v>
      </c>
      <c r="C3890" s="3">
        <v>9.99</v>
      </c>
      <c r="D3890" s="3">
        <v>5</v>
      </c>
      <c r="E3890" s="3">
        <v>49.95</v>
      </c>
      <c r="F3890" t="str">
        <f t="shared" si="304"/>
        <v>net sales</v>
      </c>
      <c r="G3890" s="7" t="str">
        <f t="shared" si="305"/>
        <v>product 1</v>
      </c>
      <c r="H3890">
        <f t="shared" si="306"/>
        <v>2025</v>
      </c>
      <c r="I3890">
        <f t="shared" si="307"/>
        <v>6</v>
      </c>
      <c r="J3890">
        <f t="shared" si="308"/>
        <v>-114.09</v>
      </c>
    </row>
    <row r="3891" spans="1:10" ht="12.5" x14ac:dyDescent="0.25">
      <c r="A3891" s="1">
        <v>45831</v>
      </c>
      <c r="B3891" s="2" t="s">
        <v>12</v>
      </c>
      <c r="C3891" s="3">
        <v>24.99</v>
      </c>
      <c r="D3891" s="3">
        <v>3</v>
      </c>
      <c r="E3891" s="3">
        <v>74.97</v>
      </c>
      <c r="F3891" t="str">
        <f t="shared" si="304"/>
        <v>net sales</v>
      </c>
      <c r="G3891" s="7" t="str">
        <f t="shared" si="305"/>
        <v>product 2</v>
      </c>
      <c r="H3891">
        <f t="shared" si="306"/>
        <v>2025</v>
      </c>
      <c r="I3891">
        <f t="shared" si="307"/>
        <v>6</v>
      </c>
      <c r="J3891">
        <f t="shared" si="308"/>
        <v>789.21</v>
      </c>
    </row>
    <row r="3892" spans="1:10" ht="12.5" x14ac:dyDescent="0.25">
      <c r="A3892" s="1">
        <v>45831</v>
      </c>
      <c r="B3892" s="2" t="s">
        <v>13</v>
      </c>
      <c r="C3892" s="3">
        <v>12.49</v>
      </c>
      <c r="D3892" s="3">
        <v>91</v>
      </c>
      <c r="E3892" s="3">
        <v>1136.5899999999999</v>
      </c>
      <c r="F3892" t="str">
        <f t="shared" si="304"/>
        <v>net sales</v>
      </c>
      <c r="G3892" s="7" t="str">
        <f t="shared" si="305"/>
        <v>product 3</v>
      </c>
      <c r="H3892">
        <f t="shared" si="306"/>
        <v>2025</v>
      </c>
      <c r="I3892">
        <f t="shared" si="307"/>
        <v>6</v>
      </c>
      <c r="J3892">
        <f t="shared" si="308"/>
        <v>149.94</v>
      </c>
    </row>
    <row r="3893" spans="1:10" ht="12.5" x14ac:dyDescent="0.25">
      <c r="A3893" s="1">
        <v>45832</v>
      </c>
      <c r="B3893" s="2" t="s">
        <v>7</v>
      </c>
      <c r="C3893" s="3">
        <v>5.49</v>
      </c>
      <c r="D3893" s="3">
        <v>33</v>
      </c>
      <c r="E3893" s="3">
        <v>181.17000000000002</v>
      </c>
      <c r="F3893" t="str">
        <f t="shared" si="304"/>
        <v>cogs</v>
      </c>
      <c r="G3893" s="7" t="str">
        <f t="shared" si="305"/>
        <v>product 1</v>
      </c>
      <c r="H3893">
        <f t="shared" si="306"/>
        <v>2025</v>
      </c>
      <c r="I3893">
        <f t="shared" si="307"/>
        <v>6</v>
      </c>
      <c r="J3893">
        <f t="shared" si="308"/>
        <v>599.52</v>
      </c>
    </row>
    <row r="3894" spans="1:10" ht="12.5" x14ac:dyDescent="0.25">
      <c r="A3894" s="1">
        <v>45832</v>
      </c>
      <c r="B3894" s="2" t="s">
        <v>8</v>
      </c>
      <c r="C3894" s="3">
        <v>19.989999999999998</v>
      </c>
      <c r="D3894" s="3">
        <v>1</v>
      </c>
      <c r="E3894" s="3">
        <v>19.989999999999998</v>
      </c>
      <c r="F3894" t="str">
        <f t="shared" si="304"/>
        <v>cogs</v>
      </c>
      <c r="G3894" s="7" t="str">
        <f t="shared" si="305"/>
        <v>product 2</v>
      </c>
      <c r="H3894">
        <f t="shared" si="306"/>
        <v>2025</v>
      </c>
      <c r="I3894">
        <f t="shared" si="307"/>
        <v>6</v>
      </c>
      <c r="J3894">
        <f t="shared" si="308"/>
        <v>-115.29</v>
      </c>
    </row>
    <row r="3895" spans="1:10" ht="12.5" x14ac:dyDescent="0.25">
      <c r="A3895" s="1">
        <v>45832</v>
      </c>
      <c r="B3895" s="2" t="s">
        <v>9</v>
      </c>
      <c r="C3895" s="3">
        <v>8.99</v>
      </c>
      <c r="D3895" s="3">
        <v>44</v>
      </c>
      <c r="E3895" s="3">
        <v>395.56</v>
      </c>
      <c r="F3895" t="str">
        <f t="shared" si="304"/>
        <v>cogs</v>
      </c>
      <c r="G3895" s="7" t="str">
        <f t="shared" si="305"/>
        <v>product 3</v>
      </c>
      <c r="H3895">
        <f t="shared" si="306"/>
        <v>2025</v>
      </c>
      <c r="I3895">
        <f t="shared" si="307"/>
        <v>6</v>
      </c>
      <c r="J3895">
        <f t="shared" si="308"/>
        <v>-79.959999999999994</v>
      </c>
    </row>
    <row r="3896" spans="1:10" ht="12.5" x14ac:dyDescent="0.25">
      <c r="A3896" s="1">
        <v>45832</v>
      </c>
      <c r="B3896" s="2" t="s">
        <v>10</v>
      </c>
      <c r="C3896" s="2" t="s">
        <v>6</v>
      </c>
      <c r="D3896" s="2" t="s">
        <v>6</v>
      </c>
      <c r="E3896" s="3">
        <v>116.91</v>
      </c>
      <c r="F3896" t="str">
        <f t="shared" si="304"/>
        <v>marketing</v>
      </c>
      <c r="G3896" s="7" t="s">
        <v>6</v>
      </c>
      <c r="H3896">
        <f t="shared" si="306"/>
        <v>2025</v>
      </c>
      <c r="I3896">
        <f t="shared" si="307"/>
        <v>6</v>
      </c>
      <c r="J3896">
        <f t="shared" si="308"/>
        <v>-2211.54</v>
      </c>
    </row>
    <row r="3897" spans="1:10" ht="12.5" x14ac:dyDescent="0.25">
      <c r="A3897" s="1">
        <v>45832</v>
      </c>
      <c r="B3897" s="2" t="s">
        <v>11</v>
      </c>
      <c r="C3897" s="3">
        <v>9.99</v>
      </c>
      <c r="D3897" s="3">
        <v>33</v>
      </c>
      <c r="E3897" s="3">
        <v>329.67</v>
      </c>
      <c r="F3897" t="str">
        <f t="shared" si="304"/>
        <v>net sales</v>
      </c>
      <c r="G3897" s="7" t="str">
        <f t="shared" si="305"/>
        <v>product 1</v>
      </c>
      <c r="H3897">
        <f t="shared" si="306"/>
        <v>2025</v>
      </c>
      <c r="I3897">
        <f t="shared" si="307"/>
        <v>6</v>
      </c>
      <c r="J3897">
        <f t="shared" si="308"/>
        <v>-118.04</v>
      </c>
    </row>
    <row r="3898" spans="1:10" ht="12.5" x14ac:dyDescent="0.25">
      <c r="A3898" s="1">
        <v>45832</v>
      </c>
      <c r="B3898" s="2" t="s">
        <v>12</v>
      </c>
      <c r="C3898" s="3">
        <v>24.99</v>
      </c>
      <c r="D3898" s="3">
        <v>1</v>
      </c>
      <c r="E3898" s="3">
        <v>24.99</v>
      </c>
      <c r="F3898" t="str">
        <f t="shared" si="304"/>
        <v>net sales</v>
      </c>
      <c r="G3898" s="7" t="str">
        <f t="shared" si="305"/>
        <v>product 2</v>
      </c>
      <c r="H3898">
        <f t="shared" si="306"/>
        <v>2025</v>
      </c>
      <c r="I3898">
        <f t="shared" si="307"/>
        <v>6</v>
      </c>
      <c r="J3898">
        <f t="shared" si="308"/>
        <v>209.79</v>
      </c>
    </row>
    <row r="3899" spans="1:10" ht="12.5" x14ac:dyDescent="0.25">
      <c r="A3899" s="1">
        <v>45832</v>
      </c>
      <c r="B3899" s="2" t="s">
        <v>13</v>
      </c>
      <c r="C3899" s="3">
        <v>12.49</v>
      </c>
      <c r="D3899" s="3">
        <v>44</v>
      </c>
      <c r="E3899" s="3">
        <v>549.56000000000006</v>
      </c>
      <c r="F3899" t="str">
        <f t="shared" si="304"/>
        <v>net sales</v>
      </c>
      <c r="G3899" s="7" t="str">
        <f t="shared" si="305"/>
        <v>product 3</v>
      </c>
      <c r="H3899">
        <f t="shared" si="306"/>
        <v>2025</v>
      </c>
      <c r="I3899">
        <f t="shared" si="307"/>
        <v>6</v>
      </c>
      <c r="J3899">
        <f t="shared" si="308"/>
        <v>99.96</v>
      </c>
    </row>
    <row r="3900" spans="1:10" ht="12.5" x14ac:dyDescent="0.25">
      <c r="A3900" s="1">
        <v>45833</v>
      </c>
      <c r="B3900" s="2" t="s">
        <v>7</v>
      </c>
      <c r="C3900" s="3">
        <v>5.49</v>
      </c>
      <c r="D3900" s="3">
        <v>64</v>
      </c>
      <c r="E3900" s="3">
        <v>351.36</v>
      </c>
      <c r="F3900" t="str">
        <f t="shared" si="304"/>
        <v>cogs</v>
      </c>
      <c r="G3900" s="7" t="str">
        <f t="shared" si="305"/>
        <v>product 1</v>
      </c>
      <c r="H3900">
        <f t="shared" si="306"/>
        <v>2025</v>
      </c>
      <c r="I3900">
        <f t="shared" si="307"/>
        <v>6</v>
      </c>
      <c r="J3900">
        <f t="shared" si="308"/>
        <v>3072.54</v>
      </c>
    </row>
    <row r="3901" spans="1:10" ht="12.5" x14ac:dyDescent="0.25">
      <c r="A3901" s="1">
        <v>45833</v>
      </c>
      <c r="B3901" s="2" t="s">
        <v>8</v>
      </c>
      <c r="C3901" s="3">
        <v>19.989999999999998</v>
      </c>
      <c r="D3901" s="3">
        <v>7</v>
      </c>
      <c r="E3901" s="3">
        <v>139.92999999999998</v>
      </c>
      <c r="F3901" t="str">
        <f t="shared" si="304"/>
        <v>cogs</v>
      </c>
      <c r="G3901" s="7" t="str">
        <f t="shared" si="305"/>
        <v>product 2</v>
      </c>
      <c r="H3901">
        <f t="shared" si="306"/>
        <v>2025</v>
      </c>
      <c r="I3901">
        <f t="shared" si="307"/>
        <v>6</v>
      </c>
      <c r="J3901">
        <f t="shared" si="308"/>
        <v>-49.410000000000004</v>
      </c>
    </row>
    <row r="3902" spans="1:10" ht="12.5" x14ac:dyDescent="0.25">
      <c r="A3902" s="1">
        <v>45833</v>
      </c>
      <c r="B3902" s="2" t="s">
        <v>9</v>
      </c>
      <c r="C3902" s="3">
        <v>8.99</v>
      </c>
      <c r="D3902" s="3">
        <v>153</v>
      </c>
      <c r="E3902" s="3">
        <v>1375.47</v>
      </c>
      <c r="F3902" t="str">
        <f t="shared" si="304"/>
        <v>cogs</v>
      </c>
      <c r="G3902" s="7" t="str">
        <f t="shared" si="305"/>
        <v>product 3</v>
      </c>
      <c r="H3902">
        <f t="shared" si="306"/>
        <v>2025</v>
      </c>
      <c r="I3902">
        <f t="shared" si="307"/>
        <v>6</v>
      </c>
      <c r="J3902">
        <f t="shared" si="308"/>
        <v>-39.979999999999997</v>
      </c>
    </row>
    <row r="3903" spans="1:10" ht="12.5" x14ac:dyDescent="0.25">
      <c r="A3903" s="1">
        <v>45833</v>
      </c>
      <c r="B3903" s="2" t="s">
        <v>10</v>
      </c>
      <c r="C3903" s="2" t="s">
        <v>6</v>
      </c>
      <c r="D3903" s="2" t="s">
        <v>6</v>
      </c>
      <c r="E3903" s="3">
        <v>106.10000000000001</v>
      </c>
      <c r="F3903" t="str">
        <f t="shared" si="304"/>
        <v>marketing</v>
      </c>
      <c r="G3903" s="7" t="s">
        <v>6</v>
      </c>
      <c r="H3903">
        <f t="shared" si="306"/>
        <v>2025</v>
      </c>
      <c r="I3903">
        <f t="shared" si="307"/>
        <v>6</v>
      </c>
      <c r="J3903">
        <f t="shared" si="308"/>
        <v>-1932.8500000000001</v>
      </c>
    </row>
    <row r="3904" spans="1:10" ht="12.5" x14ac:dyDescent="0.25">
      <c r="A3904" s="1">
        <v>45833</v>
      </c>
      <c r="B3904" s="2" t="s">
        <v>11</v>
      </c>
      <c r="C3904" s="3">
        <v>9.99</v>
      </c>
      <c r="D3904" s="3">
        <v>64</v>
      </c>
      <c r="E3904" s="3">
        <v>639.36</v>
      </c>
      <c r="F3904" t="str">
        <f t="shared" si="304"/>
        <v>net sales</v>
      </c>
      <c r="G3904" s="7" t="str">
        <f t="shared" si="305"/>
        <v>product 1</v>
      </c>
      <c r="H3904">
        <f t="shared" si="306"/>
        <v>2025</v>
      </c>
      <c r="I3904">
        <f t="shared" si="307"/>
        <v>6</v>
      </c>
      <c r="J3904">
        <f t="shared" si="308"/>
        <v>-100.96000000000001</v>
      </c>
    </row>
    <row r="3905" spans="1:10" ht="12.5" x14ac:dyDescent="0.25">
      <c r="A3905" s="1">
        <v>45833</v>
      </c>
      <c r="B3905" s="2" t="s">
        <v>12</v>
      </c>
      <c r="C3905" s="3">
        <v>24.99</v>
      </c>
      <c r="D3905" s="3">
        <v>7</v>
      </c>
      <c r="E3905" s="3">
        <v>174.92999999999998</v>
      </c>
      <c r="F3905" t="str">
        <f t="shared" si="304"/>
        <v>net sales</v>
      </c>
      <c r="G3905" s="7" t="str">
        <f t="shared" si="305"/>
        <v>product 2</v>
      </c>
      <c r="H3905">
        <f t="shared" si="306"/>
        <v>2025</v>
      </c>
      <c r="I3905">
        <f t="shared" si="307"/>
        <v>6</v>
      </c>
      <c r="J3905">
        <f t="shared" si="308"/>
        <v>89.91</v>
      </c>
    </row>
    <row r="3906" spans="1:10" ht="12.5" x14ac:dyDescent="0.25">
      <c r="A3906" s="1">
        <v>45833</v>
      </c>
      <c r="B3906" s="2" t="s">
        <v>13</v>
      </c>
      <c r="C3906" s="3">
        <v>12.49</v>
      </c>
      <c r="D3906" s="3">
        <v>153</v>
      </c>
      <c r="E3906" s="3">
        <v>1910.97</v>
      </c>
      <c r="F3906" t="str">
        <f t="shared" si="304"/>
        <v>net sales</v>
      </c>
      <c r="G3906" s="7" t="str">
        <f t="shared" si="305"/>
        <v>product 3</v>
      </c>
      <c r="H3906">
        <f t="shared" si="306"/>
        <v>2025</v>
      </c>
      <c r="I3906">
        <f t="shared" si="307"/>
        <v>6</v>
      </c>
      <c r="J3906">
        <f t="shared" si="308"/>
        <v>49.98</v>
      </c>
    </row>
    <row r="3907" spans="1:10" ht="12.5" x14ac:dyDescent="0.25">
      <c r="A3907" s="1">
        <v>45834</v>
      </c>
      <c r="B3907" s="2" t="s">
        <v>7</v>
      </c>
      <c r="C3907" s="3">
        <v>5.49</v>
      </c>
      <c r="D3907" s="3">
        <v>32</v>
      </c>
      <c r="E3907" s="3">
        <v>175.68</v>
      </c>
      <c r="F3907" t="str">
        <f t="shared" ref="F3907:F3970" si="309">IFERROR(LEFT(B3907,FIND(":",B3907)-1),B3907)</f>
        <v>cogs</v>
      </c>
      <c r="G3907" s="7" t="str">
        <f t="shared" ref="G3907:G3970" si="310">IFERROR(RIGHT(B3907,LEN(B3907)-FIND(":",B3907)),"")</f>
        <v>product 1</v>
      </c>
      <c r="H3907">
        <f t="shared" ref="H3907:H3970" si="311">YEAR(A3907)</f>
        <v>2025</v>
      </c>
      <c r="I3907">
        <f t="shared" ref="I3907:I3970" si="312">MONTH(A3907)</f>
        <v>6</v>
      </c>
      <c r="J3907">
        <f t="shared" si="308"/>
        <v>2685.35</v>
      </c>
    </row>
    <row r="3908" spans="1:10" ht="12.5" x14ac:dyDescent="0.25">
      <c r="A3908" s="1">
        <v>45834</v>
      </c>
      <c r="B3908" s="2" t="s">
        <v>8</v>
      </c>
      <c r="C3908" s="3">
        <v>19.989999999999998</v>
      </c>
      <c r="D3908" s="3">
        <v>8</v>
      </c>
      <c r="E3908" s="3">
        <v>159.91999999999999</v>
      </c>
      <c r="F3908" t="str">
        <f t="shared" si="309"/>
        <v>cogs</v>
      </c>
      <c r="G3908" s="7" t="str">
        <f t="shared" si="310"/>
        <v>product 2</v>
      </c>
      <c r="H3908">
        <f t="shared" si="311"/>
        <v>2025</v>
      </c>
      <c r="I3908">
        <f t="shared" si="312"/>
        <v>6</v>
      </c>
      <c r="J3908">
        <f t="shared" si="308"/>
        <v>-483.12</v>
      </c>
    </row>
    <row r="3909" spans="1:10" ht="12.5" x14ac:dyDescent="0.25">
      <c r="A3909" s="1">
        <v>45834</v>
      </c>
      <c r="B3909" s="2" t="s">
        <v>9</v>
      </c>
      <c r="C3909" s="3">
        <v>8.99</v>
      </c>
      <c r="D3909" s="3">
        <v>169</v>
      </c>
      <c r="E3909" s="3">
        <v>1519.31</v>
      </c>
      <c r="F3909" t="str">
        <f t="shared" si="309"/>
        <v>cogs</v>
      </c>
      <c r="G3909" s="7" t="str">
        <f t="shared" si="310"/>
        <v>product 3</v>
      </c>
      <c r="H3909">
        <f t="shared" si="311"/>
        <v>2025</v>
      </c>
      <c r="I3909">
        <f t="shared" si="312"/>
        <v>6</v>
      </c>
      <c r="J3909">
        <f t="shared" si="308"/>
        <v>-79.959999999999994</v>
      </c>
    </row>
    <row r="3910" spans="1:10" ht="12.5" x14ac:dyDescent="0.25">
      <c r="A3910" s="1">
        <v>45834</v>
      </c>
      <c r="B3910" s="2" t="s">
        <v>10</v>
      </c>
      <c r="C3910" s="2" t="s">
        <v>6</v>
      </c>
      <c r="D3910" s="2" t="s">
        <v>6</v>
      </c>
      <c r="E3910" s="3">
        <v>104.01</v>
      </c>
      <c r="F3910" t="str">
        <f t="shared" si="309"/>
        <v>marketing</v>
      </c>
      <c r="G3910" s="7" t="s">
        <v>6</v>
      </c>
      <c r="H3910">
        <f t="shared" si="311"/>
        <v>2025</v>
      </c>
      <c r="I3910">
        <f t="shared" si="312"/>
        <v>6</v>
      </c>
      <c r="J3910">
        <f t="shared" si="308"/>
        <v>-1375.47</v>
      </c>
    </row>
    <row r="3911" spans="1:10" ht="12.5" x14ac:dyDescent="0.25">
      <c r="A3911" s="1">
        <v>45834</v>
      </c>
      <c r="B3911" s="2" t="s">
        <v>11</v>
      </c>
      <c r="C3911" s="3">
        <v>9.99</v>
      </c>
      <c r="D3911" s="3">
        <v>32</v>
      </c>
      <c r="E3911" s="3">
        <v>319.68</v>
      </c>
      <c r="F3911" t="str">
        <f t="shared" si="309"/>
        <v>net sales</v>
      </c>
      <c r="G3911" s="7" t="str">
        <f t="shared" si="310"/>
        <v>product 1</v>
      </c>
      <c r="H3911">
        <f t="shared" si="311"/>
        <v>2025</v>
      </c>
      <c r="I3911">
        <f t="shared" si="312"/>
        <v>6</v>
      </c>
      <c r="J3911">
        <f t="shared" si="308"/>
        <v>-111.02</v>
      </c>
    </row>
    <row r="3912" spans="1:10" ht="12.5" x14ac:dyDescent="0.25">
      <c r="A3912" s="1">
        <v>45834</v>
      </c>
      <c r="B3912" s="2" t="s">
        <v>12</v>
      </c>
      <c r="C3912" s="3">
        <v>24.99</v>
      </c>
      <c r="D3912" s="3">
        <v>8</v>
      </c>
      <c r="E3912" s="3">
        <v>199.92</v>
      </c>
      <c r="F3912" t="str">
        <f t="shared" si="309"/>
        <v>net sales</v>
      </c>
      <c r="G3912" s="7" t="str">
        <f t="shared" si="310"/>
        <v>product 2</v>
      </c>
      <c r="H3912">
        <f t="shared" si="311"/>
        <v>2025</v>
      </c>
      <c r="I3912">
        <f t="shared" si="312"/>
        <v>6</v>
      </c>
      <c r="J3912">
        <f t="shared" si="308"/>
        <v>879.12</v>
      </c>
    </row>
    <row r="3913" spans="1:10" ht="12.5" x14ac:dyDescent="0.25">
      <c r="A3913" s="1">
        <v>45834</v>
      </c>
      <c r="B3913" s="2" t="s">
        <v>13</v>
      </c>
      <c r="C3913" s="3">
        <v>12.49</v>
      </c>
      <c r="D3913" s="3">
        <v>169</v>
      </c>
      <c r="E3913" s="3">
        <v>2110.81</v>
      </c>
      <c r="F3913" t="str">
        <f t="shared" si="309"/>
        <v>net sales</v>
      </c>
      <c r="G3913" s="7" t="str">
        <f t="shared" si="310"/>
        <v>product 3</v>
      </c>
      <c r="H3913">
        <f t="shared" si="311"/>
        <v>2025</v>
      </c>
      <c r="I3913">
        <f t="shared" si="312"/>
        <v>6</v>
      </c>
      <c r="J3913">
        <f t="shared" si="308"/>
        <v>99.96</v>
      </c>
    </row>
    <row r="3914" spans="1:10" ht="12.5" x14ac:dyDescent="0.25">
      <c r="A3914" s="1">
        <v>45835</v>
      </c>
      <c r="B3914" s="2" t="s">
        <v>7</v>
      </c>
      <c r="C3914" s="3">
        <v>5.49</v>
      </c>
      <c r="D3914" s="3">
        <v>19</v>
      </c>
      <c r="E3914" s="3">
        <v>104.31</v>
      </c>
      <c r="F3914" t="str">
        <f t="shared" si="309"/>
        <v>cogs</v>
      </c>
      <c r="G3914" s="7" t="str">
        <f t="shared" si="310"/>
        <v>product 1</v>
      </c>
      <c r="H3914">
        <f t="shared" si="311"/>
        <v>2025</v>
      </c>
      <c r="I3914">
        <f t="shared" si="312"/>
        <v>6</v>
      </c>
      <c r="J3914">
        <f t="shared" si="308"/>
        <v>1910.97</v>
      </c>
    </row>
    <row r="3915" spans="1:10" ht="12.5" x14ac:dyDescent="0.25">
      <c r="A3915" s="1">
        <v>45835</v>
      </c>
      <c r="B3915" s="2" t="s">
        <v>8</v>
      </c>
      <c r="C3915" s="3">
        <v>19.989999999999998</v>
      </c>
      <c r="D3915" s="3">
        <v>1</v>
      </c>
      <c r="E3915" s="3">
        <v>19.989999999999998</v>
      </c>
      <c r="F3915" t="str">
        <f t="shared" si="309"/>
        <v>cogs</v>
      </c>
      <c r="G3915" s="7" t="str">
        <f t="shared" si="310"/>
        <v>product 2</v>
      </c>
      <c r="H3915">
        <f t="shared" si="311"/>
        <v>2025</v>
      </c>
      <c r="I3915">
        <f t="shared" si="312"/>
        <v>6</v>
      </c>
      <c r="J3915">
        <f t="shared" si="308"/>
        <v>-49.410000000000004</v>
      </c>
    </row>
    <row r="3916" spans="1:10" ht="12.5" x14ac:dyDescent="0.25">
      <c r="A3916" s="1">
        <v>45835</v>
      </c>
      <c r="B3916" s="2" t="s">
        <v>9</v>
      </c>
      <c r="C3916" s="3">
        <v>8.99</v>
      </c>
      <c r="D3916" s="3">
        <v>75</v>
      </c>
      <c r="E3916" s="3">
        <v>674.25</v>
      </c>
      <c r="F3916" t="str">
        <f t="shared" si="309"/>
        <v>cogs</v>
      </c>
      <c r="G3916" s="7" t="str">
        <f t="shared" si="310"/>
        <v>product 3</v>
      </c>
      <c r="H3916">
        <f t="shared" si="311"/>
        <v>2025</v>
      </c>
      <c r="I3916">
        <f t="shared" si="312"/>
        <v>6</v>
      </c>
      <c r="J3916">
        <f t="shared" si="308"/>
        <v>-99.949999999999989</v>
      </c>
    </row>
    <row r="3917" spans="1:10" ht="12.5" x14ac:dyDescent="0.25">
      <c r="A3917" s="1">
        <v>45835</v>
      </c>
      <c r="B3917" s="2" t="s">
        <v>10</v>
      </c>
      <c r="C3917" s="2" t="s">
        <v>6</v>
      </c>
      <c r="D3917" s="2" t="s">
        <v>6</v>
      </c>
      <c r="E3917" s="3">
        <v>116.99000000000001</v>
      </c>
      <c r="F3917" t="str">
        <f t="shared" si="309"/>
        <v>marketing</v>
      </c>
      <c r="G3917" s="7" t="s">
        <v>6</v>
      </c>
      <c r="H3917">
        <f t="shared" si="311"/>
        <v>2025</v>
      </c>
      <c r="I3917">
        <f t="shared" si="312"/>
        <v>6</v>
      </c>
      <c r="J3917">
        <f t="shared" si="308"/>
        <v>-2031.74</v>
      </c>
    </row>
    <row r="3918" spans="1:10" ht="12.5" x14ac:dyDescent="0.25">
      <c r="A3918" s="1">
        <v>45835</v>
      </c>
      <c r="B3918" s="2" t="s">
        <v>11</v>
      </c>
      <c r="C3918" s="3">
        <v>9.99</v>
      </c>
      <c r="D3918" s="3">
        <v>19</v>
      </c>
      <c r="E3918" s="3">
        <v>189.81</v>
      </c>
      <c r="F3918" t="str">
        <f t="shared" si="309"/>
        <v>net sales</v>
      </c>
      <c r="G3918" s="7" t="str">
        <f t="shared" si="310"/>
        <v>product 1</v>
      </c>
      <c r="H3918">
        <f t="shared" si="311"/>
        <v>2025</v>
      </c>
      <c r="I3918">
        <f t="shared" si="312"/>
        <v>6</v>
      </c>
      <c r="J3918">
        <f t="shared" si="308"/>
        <v>-103.91</v>
      </c>
    </row>
    <row r="3919" spans="1:10" ht="12.5" x14ac:dyDescent="0.25">
      <c r="A3919" s="1">
        <v>45835</v>
      </c>
      <c r="B3919" s="2" t="s">
        <v>12</v>
      </c>
      <c r="C3919" s="3">
        <v>24.99</v>
      </c>
      <c r="D3919" s="3">
        <v>1</v>
      </c>
      <c r="E3919" s="3">
        <v>24.99</v>
      </c>
      <c r="F3919" t="str">
        <f t="shared" si="309"/>
        <v>net sales</v>
      </c>
      <c r="G3919" s="7" t="str">
        <f t="shared" si="310"/>
        <v>product 2</v>
      </c>
      <c r="H3919">
        <f t="shared" si="311"/>
        <v>2025</v>
      </c>
      <c r="I3919">
        <f t="shared" si="312"/>
        <v>6</v>
      </c>
      <c r="J3919">
        <f t="shared" si="308"/>
        <v>89.91</v>
      </c>
    </row>
    <row r="3920" spans="1:10" ht="12.5" x14ac:dyDescent="0.25">
      <c r="A3920" s="1">
        <v>45835</v>
      </c>
      <c r="B3920" s="2" t="s">
        <v>13</v>
      </c>
      <c r="C3920" s="3">
        <v>12.49</v>
      </c>
      <c r="D3920" s="3">
        <v>75</v>
      </c>
      <c r="E3920" s="3">
        <v>936.75</v>
      </c>
      <c r="F3920" t="str">
        <f t="shared" si="309"/>
        <v>net sales</v>
      </c>
      <c r="G3920" s="7" t="str">
        <f t="shared" si="310"/>
        <v>product 3</v>
      </c>
      <c r="H3920">
        <f t="shared" si="311"/>
        <v>2025</v>
      </c>
      <c r="I3920">
        <f t="shared" si="312"/>
        <v>6</v>
      </c>
      <c r="J3920">
        <f t="shared" si="308"/>
        <v>124.94999999999999</v>
      </c>
    </row>
    <row r="3921" spans="1:10" ht="12.5" x14ac:dyDescent="0.25">
      <c r="A3921" s="1">
        <v>45836</v>
      </c>
      <c r="B3921" s="2" t="s">
        <v>7</v>
      </c>
      <c r="C3921" s="3">
        <v>5.49</v>
      </c>
      <c r="D3921" s="3">
        <v>63</v>
      </c>
      <c r="E3921" s="3">
        <v>345.87</v>
      </c>
      <c r="F3921" t="str">
        <f t="shared" si="309"/>
        <v>cogs</v>
      </c>
      <c r="G3921" s="7" t="str">
        <f t="shared" si="310"/>
        <v>product 1</v>
      </c>
      <c r="H3921">
        <f t="shared" si="311"/>
        <v>2025</v>
      </c>
      <c r="I3921">
        <f t="shared" si="312"/>
        <v>6</v>
      </c>
      <c r="J3921">
        <f t="shared" si="308"/>
        <v>2822.7400000000002</v>
      </c>
    </row>
    <row r="3922" spans="1:10" ht="12.5" x14ac:dyDescent="0.25">
      <c r="A3922" s="1">
        <v>45836</v>
      </c>
      <c r="B3922" s="2" t="s">
        <v>8</v>
      </c>
      <c r="C3922" s="3">
        <v>19.989999999999998</v>
      </c>
      <c r="D3922" s="3">
        <v>9</v>
      </c>
      <c r="E3922" s="3">
        <v>179.91</v>
      </c>
      <c r="F3922" t="str">
        <f t="shared" si="309"/>
        <v>cogs</v>
      </c>
      <c r="G3922" s="7" t="str">
        <f t="shared" si="310"/>
        <v>product 2</v>
      </c>
      <c r="H3922">
        <f t="shared" si="311"/>
        <v>2025</v>
      </c>
      <c r="I3922">
        <f t="shared" si="312"/>
        <v>6</v>
      </c>
      <c r="J3922">
        <f t="shared" si="308"/>
        <v>-109.80000000000001</v>
      </c>
    </row>
    <row r="3923" spans="1:10" ht="12.5" x14ac:dyDescent="0.25">
      <c r="A3923" s="1">
        <v>45836</v>
      </c>
      <c r="B3923" s="2" t="s">
        <v>9</v>
      </c>
      <c r="C3923" s="3">
        <v>8.99</v>
      </c>
      <c r="D3923" s="3">
        <v>178</v>
      </c>
      <c r="E3923" s="3">
        <v>1600.22</v>
      </c>
      <c r="F3923" t="str">
        <f t="shared" si="309"/>
        <v>cogs</v>
      </c>
      <c r="G3923" s="7" t="str">
        <f t="shared" si="310"/>
        <v>product 3</v>
      </c>
      <c r="H3923">
        <f t="shared" si="311"/>
        <v>2025</v>
      </c>
      <c r="I3923">
        <f t="shared" si="312"/>
        <v>6</v>
      </c>
      <c r="J3923">
        <f t="shared" si="308"/>
        <v>-159.91999999999999</v>
      </c>
    </row>
    <row r="3924" spans="1:10" ht="12.5" x14ac:dyDescent="0.25">
      <c r="A3924" s="1">
        <v>45836</v>
      </c>
      <c r="B3924" s="2" t="s">
        <v>10</v>
      </c>
      <c r="C3924" s="2" t="s">
        <v>6</v>
      </c>
      <c r="D3924" s="2" t="s">
        <v>6</v>
      </c>
      <c r="E3924" s="3">
        <v>114.92</v>
      </c>
      <c r="F3924" t="str">
        <f t="shared" si="309"/>
        <v>marketing</v>
      </c>
      <c r="G3924" s="7" t="s">
        <v>6</v>
      </c>
      <c r="H3924">
        <f t="shared" si="311"/>
        <v>2025</v>
      </c>
      <c r="I3924">
        <f t="shared" si="312"/>
        <v>6</v>
      </c>
      <c r="J3924">
        <f t="shared" si="308"/>
        <v>-503.44</v>
      </c>
    </row>
    <row r="3925" spans="1:10" ht="12.5" x14ac:dyDescent="0.25">
      <c r="A3925" s="1">
        <v>45836</v>
      </c>
      <c r="B3925" s="2" t="s">
        <v>11</v>
      </c>
      <c r="C3925" s="3">
        <v>9.99</v>
      </c>
      <c r="D3925" s="3">
        <v>63</v>
      </c>
      <c r="E3925" s="3">
        <v>629.37</v>
      </c>
      <c r="F3925" t="str">
        <f t="shared" si="309"/>
        <v>net sales</v>
      </c>
      <c r="G3925" s="7" t="str">
        <f t="shared" si="310"/>
        <v>product 1</v>
      </c>
      <c r="H3925">
        <f t="shared" si="311"/>
        <v>2025</v>
      </c>
      <c r="I3925">
        <f t="shared" si="312"/>
        <v>6</v>
      </c>
      <c r="J3925">
        <f t="shared" si="308"/>
        <v>-118.98</v>
      </c>
    </row>
    <row r="3926" spans="1:10" ht="12.5" x14ac:dyDescent="0.25">
      <c r="A3926" s="1">
        <v>45836</v>
      </c>
      <c r="B3926" s="2" t="s">
        <v>12</v>
      </c>
      <c r="C3926" s="3">
        <v>24.99</v>
      </c>
      <c r="D3926" s="3">
        <v>9</v>
      </c>
      <c r="E3926" s="3">
        <v>224.91</v>
      </c>
      <c r="F3926" t="str">
        <f t="shared" si="309"/>
        <v>net sales</v>
      </c>
      <c r="G3926" s="7" t="str">
        <f t="shared" si="310"/>
        <v>product 2</v>
      </c>
      <c r="H3926">
        <f t="shared" si="311"/>
        <v>2025</v>
      </c>
      <c r="I3926">
        <f t="shared" si="312"/>
        <v>6</v>
      </c>
      <c r="J3926">
        <f t="shared" si="308"/>
        <v>199.8</v>
      </c>
    </row>
    <row r="3927" spans="1:10" ht="12.5" x14ac:dyDescent="0.25">
      <c r="A3927" s="1">
        <v>45836</v>
      </c>
      <c r="B3927" s="2" t="s">
        <v>13</v>
      </c>
      <c r="C3927" s="3">
        <v>12.49</v>
      </c>
      <c r="D3927" s="3">
        <v>178</v>
      </c>
      <c r="E3927" s="3">
        <v>2223.2200000000003</v>
      </c>
      <c r="F3927" t="str">
        <f t="shared" si="309"/>
        <v>net sales</v>
      </c>
      <c r="G3927" s="7" t="str">
        <f t="shared" si="310"/>
        <v>product 3</v>
      </c>
      <c r="H3927">
        <f t="shared" si="311"/>
        <v>2025</v>
      </c>
      <c r="I3927">
        <f t="shared" si="312"/>
        <v>6</v>
      </c>
      <c r="J3927">
        <f t="shared" si="308"/>
        <v>199.92</v>
      </c>
    </row>
    <row r="3928" spans="1:10" ht="12.5" x14ac:dyDescent="0.25">
      <c r="A3928" s="1">
        <v>45837</v>
      </c>
      <c r="B3928" s="2" t="s">
        <v>7</v>
      </c>
      <c r="C3928" s="3">
        <v>5.49</v>
      </c>
      <c r="D3928" s="3">
        <v>41</v>
      </c>
      <c r="E3928" s="3">
        <v>225.09</v>
      </c>
      <c r="F3928" t="str">
        <f t="shared" si="309"/>
        <v>cogs</v>
      </c>
      <c r="G3928" s="7" t="str">
        <f t="shared" si="310"/>
        <v>product 1</v>
      </c>
      <c r="H3928">
        <f t="shared" si="311"/>
        <v>2025</v>
      </c>
      <c r="I3928">
        <f t="shared" si="312"/>
        <v>6</v>
      </c>
      <c r="J3928">
        <f t="shared" si="308"/>
        <v>699.44</v>
      </c>
    </row>
    <row r="3929" spans="1:10" ht="12.5" x14ac:dyDescent="0.25">
      <c r="A3929" s="1">
        <v>45837</v>
      </c>
      <c r="B3929" s="2" t="s">
        <v>8</v>
      </c>
      <c r="C3929" s="3">
        <v>19.989999999999998</v>
      </c>
      <c r="D3929" s="3">
        <v>1</v>
      </c>
      <c r="E3929" s="3">
        <v>19.989999999999998</v>
      </c>
      <c r="F3929" t="str">
        <f t="shared" si="309"/>
        <v>cogs</v>
      </c>
      <c r="G3929" s="7" t="str">
        <f t="shared" si="310"/>
        <v>product 2</v>
      </c>
      <c r="H3929">
        <f t="shared" si="311"/>
        <v>2025</v>
      </c>
      <c r="I3929">
        <f t="shared" si="312"/>
        <v>6</v>
      </c>
      <c r="J3929">
        <f t="shared" si="308"/>
        <v>-307.44</v>
      </c>
    </row>
    <row r="3930" spans="1:10" ht="12.5" x14ac:dyDescent="0.25">
      <c r="A3930" s="1">
        <v>45837</v>
      </c>
      <c r="B3930" s="2" t="s">
        <v>9</v>
      </c>
      <c r="C3930" s="3">
        <v>8.99</v>
      </c>
      <c r="D3930" s="3">
        <v>35</v>
      </c>
      <c r="E3930" s="3">
        <v>314.65000000000003</v>
      </c>
      <c r="F3930" t="str">
        <f t="shared" si="309"/>
        <v>cogs</v>
      </c>
      <c r="G3930" s="7" t="str">
        <f t="shared" si="310"/>
        <v>product 3</v>
      </c>
      <c r="H3930">
        <f t="shared" si="311"/>
        <v>2025</v>
      </c>
      <c r="I3930">
        <f t="shared" si="312"/>
        <v>6</v>
      </c>
      <c r="J3930">
        <f t="shared" si="308"/>
        <v>-19.989999999999998</v>
      </c>
    </row>
    <row r="3931" spans="1:10" ht="12.5" x14ac:dyDescent="0.25">
      <c r="A3931" s="1">
        <v>45837</v>
      </c>
      <c r="B3931" s="2" t="s">
        <v>10</v>
      </c>
      <c r="C3931" s="2" t="s">
        <v>6</v>
      </c>
      <c r="D3931" s="2" t="s">
        <v>6</v>
      </c>
      <c r="E3931" s="3">
        <v>112.95</v>
      </c>
      <c r="F3931" t="str">
        <f t="shared" si="309"/>
        <v>marketing</v>
      </c>
      <c r="G3931" s="7" t="s">
        <v>6</v>
      </c>
      <c r="H3931">
        <f t="shared" si="311"/>
        <v>2025</v>
      </c>
      <c r="I3931">
        <f t="shared" si="312"/>
        <v>6</v>
      </c>
      <c r="J3931">
        <f t="shared" si="308"/>
        <v>-413.54</v>
      </c>
    </row>
    <row r="3932" spans="1:10" ht="12.5" x14ac:dyDescent="0.25">
      <c r="A3932" s="1">
        <v>45837</v>
      </c>
      <c r="B3932" s="2" t="s">
        <v>11</v>
      </c>
      <c r="C3932" s="3">
        <v>9.99</v>
      </c>
      <c r="D3932" s="3">
        <v>41</v>
      </c>
      <c r="E3932" s="3">
        <v>409.59000000000003</v>
      </c>
      <c r="F3932" t="str">
        <f t="shared" si="309"/>
        <v>net sales</v>
      </c>
      <c r="G3932" s="7" t="str">
        <f t="shared" si="310"/>
        <v>product 1</v>
      </c>
      <c r="H3932">
        <f t="shared" si="311"/>
        <v>2025</v>
      </c>
      <c r="I3932">
        <f t="shared" si="312"/>
        <v>6</v>
      </c>
      <c r="J3932">
        <f t="shared" ref="J3932:J3995" si="313">IF(F3715="net sales",E3715,
IF(F3715="cogs",-E3715,
IF(OR(F3715="marketing",F3715="overhead",F3715="payroll",F3715="interest","amortization"),-E3715,0)))</f>
        <v>-117.07000000000001</v>
      </c>
    </row>
    <row r="3933" spans="1:10" ht="12.5" x14ac:dyDescent="0.25">
      <c r="A3933" s="1">
        <v>45837</v>
      </c>
      <c r="B3933" s="2" t="s">
        <v>12</v>
      </c>
      <c r="C3933" s="3">
        <v>24.99</v>
      </c>
      <c r="D3933" s="3">
        <v>1</v>
      </c>
      <c r="E3933" s="3">
        <v>24.99</v>
      </c>
      <c r="F3933" t="str">
        <f t="shared" si="309"/>
        <v>net sales</v>
      </c>
      <c r="G3933" s="7" t="str">
        <f t="shared" si="310"/>
        <v>product 2</v>
      </c>
      <c r="H3933">
        <f t="shared" si="311"/>
        <v>2025</v>
      </c>
      <c r="I3933">
        <f t="shared" si="312"/>
        <v>6</v>
      </c>
      <c r="J3933">
        <f t="shared" si="313"/>
        <v>559.44000000000005</v>
      </c>
    </row>
    <row r="3934" spans="1:10" ht="12.5" x14ac:dyDescent="0.25">
      <c r="A3934" s="1">
        <v>45837</v>
      </c>
      <c r="B3934" s="2" t="s">
        <v>13</v>
      </c>
      <c r="C3934" s="3">
        <v>12.49</v>
      </c>
      <c r="D3934" s="3">
        <v>35</v>
      </c>
      <c r="E3934" s="3">
        <v>437.15000000000003</v>
      </c>
      <c r="F3934" t="str">
        <f t="shared" si="309"/>
        <v>net sales</v>
      </c>
      <c r="G3934" s="7" t="str">
        <f t="shared" si="310"/>
        <v>product 3</v>
      </c>
      <c r="H3934">
        <f t="shared" si="311"/>
        <v>2025</v>
      </c>
      <c r="I3934">
        <f t="shared" si="312"/>
        <v>6</v>
      </c>
      <c r="J3934">
        <f t="shared" si="313"/>
        <v>24.99</v>
      </c>
    </row>
    <row r="3935" spans="1:10" ht="12.5" x14ac:dyDescent="0.25">
      <c r="A3935" s="1">
        <v>45838</v>
      </c>
      <c r="B3935" s="2" t="s">
        <v>7</v>
      </c>
      <c r="C3935" s="3">
        <v>5.49</v>
      </c>
      <c r="D3935" s="3">
        <v>23</v>
      </c>
      <c r="E3935" s="3">
        <v>126.27000000000001</v>
      </c>
      <c r="F3935" t="str">
        <f t="shared" si="309"/>
        <v>cogs</v>
      </c>
      <c r="G3935" s="7" t="str">
        <f t="shared" si="310"/>
        <v>product 1</v>
      </c>
      <c r="H3935">
        <f t="shared" si="311"/>
        <v>2025</v>
      </c>
      <c r="I3935">
        <f t="shared" si="312"/>
        <v>6</v>
      </c>
      <c r="J3935">
        <f t="shared" si="313"/>
        <v>574.54</v>
      </c>
    </row>
    <row r="3936" spans="1:10" ht="12.5" x14ac:dyDescent="0.25">
      <c r="A3936" s="1">
        <v>45838</v>
      </c>
      <c r="B3936" s="2" t="s">
        <v>8</v>
      </c>
      <c r="C3936" s="3">
        <v>19.989999999999998</v>
      </c>
      <c r="D3936" s="3">
        <v>0</v>
      </c>
      <c r="E3936" s="2">
        <f>C3936*D3936</f>
        <v>0</v>
      </c>
      <c r="F3936" t="str">
        <f t="shared" si="309"/>
        <v>cogs</v>
      </c>
      <c r="G3936" s="7" t="str">
        <f t="shared" si="310"/>
        <v>product 2</v>
      </c>
      <c r="H3936">
        <f t="shared" si="311"/>
        <v>2025</v>
      </c>
      <c r="I3936">
        <f t="shared" si="312"/>
        <v>6</v>
      </c>
      <c r="J3936">
        <f t="shared" si="313"/>
        <v>-71.37</v>
      </c>
    </row>
    <row r="3937" spans="1:10" ht="12.5" x14ac:dyDescent="0.25">
      <c r="A3937" s="1">
        <v>45838</v>
      </c>
      <c r="B3937" s="2" t="s">
        <v>9</v>
      </c>
      <c r="C3937" s="3">
        <v>8.99</v>
      </c>
      <c r="D3937" s="3">
        <v>193</v>
      </c>
      <c r="E3937" s="3">
        <v>1735.07</v>
      </c>
      <c r="F3937" t="str">
        <f t="shared" si="309"/>
        <v>cogs</v>
      </c>
      <c r="G3937" s="7" t="str">
        <f t="shared" si="310"/>
        <v>product 3</v>
      </c>
      <c r="H3937">
        <f t="shared" si="311"/>
        <v>2025</v>
      </c>
      <c r="I3937">
        <f t="shared" si="312"/>
        <v>6</v>
      </c>
      <c r="J3937">
        <f t="shared" si="313"/>
        <v>0</v>
      </c>
    </row>
    <row r="3938" spans="1:10" ht="12.5" x14ac:dyDescent="0.25">
      <c r="A3938" s="1">
        <v>45838</v>
      </c>
      <c r="B3938" s="2" t="s">
        <v>10</v>
      </c>
      <c r="C3938" s="2" t="s">
        <v>6</v>
      </c>
      <c r="D3938" s="2" t="s">
        <v>6</v>
      </c>
      <c r="E3938" s="3">
        <v>101.93</v>
      </c>
      <c r="F3938" t="str">
        <f t="shared" si="309"/>
        <v>marketing</v>
      </c>
      <c r="G3938" s="7" t="s">
        <v>6</v>
      </c>
      <c r="H3938">
        <f t="shared" si="311"/>
        <v>2025</v>
      </c>
      <c r="I3938">
        <f t="shared" si="312"/>
        <v>6</v>
      </c>
      <c r="J3938">
        <f t="shared" si="313"/>
        <v>-2022.75</v>
      </c>
    </row>
    <row r="3939" spans="1:10" ht="12.5" x14ac:dyDescent="0.25">
      <c r="A3939" s="1">
        <v>45838</v>
      </c>
      <c r="B3939" s="2" t="s">
        <v>11</v>
      </c>
      <c r="C3939" s="3">
        <v>9.99</v>
      </c>
      <c r="D3939" s="3">
        <v>23</v>
      </c>
      <c r="E3939" s="3">
        <v>229.77</v>
      </c>
      <c r="F3939" t="str">
        <f t="shared" si="309"/>
        <v>net sales</v>
      </c>
      <c r="G3939" s="7" t="str">
        <f t="shared" si="310"/>
        <v>product 1</v>
      </c>
      <c r="H3939">
        <f t="shared" si="311"/>
        <v>2025</v>
      </c>
      <c r="I3939">
        <f t="shared" si="312"/>
        <v>6</v>
      </c>
      <c r="J3939">
        <f t="shared" si="313"/>
        <v>-111.96000000000001</v>
      </c>
    </row>
    <row r="3940" spans="1:10" ht="12.5" x14ac:dyDescent="0.25">
      <c r="A3940" s="1">
        <v>45838</v>
      </c>
      <c r="B3940" s="2" t="s">
        <v>12</v>
      </c>
      <c r="C3940" s="3">
        <v>24.99</v>
      </c>
      <c r="D3940" s="3">
        <v>0</v>
      </c>
      <c r="E3940" s="2">
        <f>C3940*D3940</f>
        <v>0</v>
      </c>
      <c r="F3940" t="str">
        <f t="shared" si="309"/>
        <v>net sales</v>
      </c>
      <c r="G3940" s="7" t="str">
        <f t="shared" si="310"/>
        <v>product 2</v>
      </c>
      <c r="H3940">
        <f t="shared" si="311"/>
        <v>2025</v>
      </c>
      <c r="I3940">
        <f t="shared" si="312"/>
        <v>6</v>
      </c>
      <c r="J3940">
        <f t="shared" si="313"/>
        <v>129.87</v>
      </c>
    </row>
    <row r="3941" spans="1:10" ht="12.5" x14ac:dyDescent="0.25">
      <c r="A3941" s="1">
        <v>45838</v>
      </c>
      <c r="B3941" s="2" t="s">
        <v>13</v>
      </c>
      <c r="C3941" s="3">
        <v>12.49</v>
      </c>
      <c r="D3941" s="3">
        <v>193</v>
      </c>
      <c r="E3941" s="3">
        <v>2410.5700000000002</v>
      </c>
      <c r="F3941" t="str">
        <f t="shared" si="309"/>
        <v>net sales</v>
      </c>
      <c r="G3941" s="7" t="str">
        <f t="shared" si="310"/>
        <v>product 3</v>
      </c>
      <c r="H3941">
        <f t="shared" si="311"/>
        <v>2025</v>
      </c>
      <c r="I3941">
        <f t="shared" si="312"/>
        <v>6</v>
      </c>
      <c r="J3941">
        <f t="shared" si="313"/>
        <v>0</v>
      </c>
    </row>
    <row r="3942" spans="1:10" ht="12.5" x14ac:dyDescent="0.25">
      <c r="A3942" s="1">
        <v>45839</v>
      </c>
      <c r="B3942" s="2" t="s">
        <v>5</v>
      </c>
      <c r="C3942" s="2" t="s">
        <v>6</v>
      </c>
      <c r="D3942" s="2" t="s">
        <v>6</v>
      </c>
      <c r="E3942" s="3">
        <v>50</v>
      </c>
      <c r="F3942" t="str">
        <f t="shared" si="309"/>
        <v>amortization</v>
      </c>
      <c r="G3942" s="7" t="s">
        <v>6</v>
      </c>
      <c r="H3942">
        <f t="shared" si="311"/>
        <v>2025</v>
      </c>
      <c r="I3942">
        <f t="shared" si="312"/>
        <v>7</v>
      </c>
      <c r="J3942">
        <f t="shared" si="313"/>
        <v>2810.25</v>
      </c>
    </row>
    <row r="3943" spans="1:10" ht="12.5" x14ac:dyDescent="0.25">
      <c r="A3943" s="1">
        <v>45839</v>
      </c>
      <c r="B3943" s="2" t="s">
        <v>7</v>
      </c>
      <c r="C3943" s="3">
        <v>5.49</v>
      </c>
      <c r="D3943" s="3">
        <v>88</v>
      </c>
      <c r="E3943" s="3">
        <v>483.12</v>
      </c>
      <c r="F3943" t="str">
        <f t="shared" si="309"/>
        <v>cogs</v>
      </c>
      <c r="G3943" s="7" t="str">
        <f t="shared" si="310"/>
        <v>product 1</v>
      </c>
      <c r="H3943">
        <f t="shared" si="311"/>
        <v>2025</v>
      </c>
      <c r="I3943">
        <f t="shared" si="312"/>
        <v>7</v>
      </c>
      <c r="J3943">
        <f t="shared" si="313"/>
        <v>0</v>
      </c>
    </row>
    <row r="3944" spans="1:10" ht="12.5" x14ac:dyDescent="0.25">
      <c r="A3944" s="1">
        <v>45839</v>
      </c>
      <c r="B3944" s="2" t="s">
        <v>8</v>
      </c>
      <c r="C3944" s="3">
        <v>19.989999999999998</v>
      </c>
      <c r="D3944" s="3">
        <v>5</v>
      </c>
      <c r="E3944" s="3">
        <v>99.949999999999989</v>
      </c>
      <c r="F3944" t="str">
        <f t="shared" si="309"/>
        <v>cogs</v>
      </c>
      <c r="G3944" s="7" t="str">
        <f t="shared" si="310"/>
        <v>product 2</v>
      </c>
      <c r="H3944">
        <f t="shared" si="311"/>
        <v>2025</v>
      </c>
      <c r="I3944">
        <f t="shared" si="312"/>
        <v>7</v>
      </c>
      <c r="J3944">
        <f t="shared" si="313"/>
        <v>-219.60000000000002</v>
      </c>
    </row>
    <row r="3945" spans="1:10" ht="12.5" x14ac:dyDescent="0.25">
      <c r="A3945" s="1">
        <v>45839</v>
      </c>
      <c r="B3945" s="2" t="s">
        <v>9</v>
      </c>
      <c r="C3945" s="3">
        <v>8.99</v>
      </c>
      <c r="D3945" s="3">
        <v>233</v>
      </c>
      <c r="E3945" s="3">
        <v>2094.67</v>
      </c>
      <c r="F3945" t="str">
        <f t="shared" si="309"/>
        <v>cogs</v>
      </c>
      <c r="G3945" s="7" t="str">
        <f t="shared" si="310"/>
        <v>product 3</v>
      </c>
      <c r="H3945">
        <f t="shared" si="311"/>
        <v>2025</v>
      </c>
      <c r="I3945">
        <f t="shared" si="312"/>
        <v>7</v>
      </c>
      <c r="J3945">
        <f t="shared" si="313"/>
        <v>0</v>
      </c>
    </row>
    <row r="3946" spans="1:10" ht="12.5" x14ac:dyDescent="0.25">
      <c r="A3946" s="1">
        <v>45839</v>
      </c>
      <c r="B3946" s="2" t="s">
        <v>10</v>
      </c>
      <c r="C3946" s="2" t="s">
        <v>6</v>
      </c>
      <c r="D3946" s="2" t="s">
        <v>6</v>
      </c>
      <c r="E3946" s="3">
        <v>110.91</v>
      </c>
      <c r="F3946" t="str">
        <f t="shared" si="309"/>
        <v>marketing</v>
      </c>
      <c r="G3946" s="7" t="s">
        <v>6</v>
      </c>
      <c r="H3946">
        <f t="shared" si="311"/>
        <v>2025</v>
      </c>
      <c r="I3946">
        <f t="shared" si="312"/>
        <v>7</v>
      </c>
      <c r="J3946">
        <f t="shared" si="313"/>
        <v>-620.31000000000006</v>
      </c>
    </row>
    <row r="3947" spans="1:10" ht="12.5" x14ac:dyDescent="0.25">
      <c r="A3947" s="1">
        <v>45839</v>
      </c>
      <c r="B3947" s="2" t="s">
        <v>11</v>
      </c>
      <c r="C3947" s="3">
        <v>9.99</v>
      </c>
      <c r="D3947" s="3">
        <v>88</v>
      </c>
      <c r="E3947" s="3">
        <v>879.12</v>
      </c>
      <c r="F3947" t="str">
        <f t="shared" si="309"/>
        <v>net sales</v>
      </c>
      <c r="G3947" s="7" t="str">
        <f t="shared" si="310"/>
        <v>product 1</v>
      </c>
      <c r="H3947">
        <f t="shared" si="311"/>
        <v>2025</v>
      </c>
      <c r="I3947">
        <f t="shared" si="312"/>
        <v>7</v>
      </c>
      <c r="J3947">
        <f t="shared" si="313"/>
        <v>-105.08</v>
      </c>
    </row>
    <row r="3948" spans="1:10" ht="12.5" x14ac:dyDescent="0.25">
      <c r="A3948" s="1">
        <v>45839</v>
      </c>
      <c r="B3948" s="2" t="s">
        <v>12</v>
      </c>
      <c r="C3948" s="3">
        <v>24.99</v>
      </c>
      <c r="D3948" s="3">
        <v>5</v>
      </c>
      <c r="E3948" s="3">
        <v>124.94999999999999</v>
      </c>
      <c r="F3948" t="str">
        <f t="shared" si="309"/>
        <v>net sales</v>
      </c>
      <c r="G3948" s="7" t="str">
        <f t="shared" si="310"/>
        <v>product 2</v>
      </c>
      <c r="H3948">
        <f t="shared" si="311"/>
        <v>2025</v>
      </c>
      <c r="I3948">
        <f t="shared" si="312"/>
        <v>7</v>
      </c>
      <c r="J3948">
        <f t="shared" si="313"/>
        <v>399.6</v>
      </c>
    </row>
    <row r="3949" spans="1:10" ht="12.5" x14ac:dyDescent="0.25">
      <c r="A3949" s="1">
        <v>45839</v>
      </c>
      <c r="B3949" s="2" t="s">
        <v>13</v>
      </c>
      <c r="C3949" s="3">
        <v>12.49</v>
      </c>
      <c r="D3949" s="3">
        <v>233</v>
      </c>
      <c r="E3949" s="3">
        <v>2910.17</v>
      </c>
      <c r="F3949" t="str">
        <f t="shared" si="309"/>
        <v>net sales</v>
      </c>
      <c r="G3949" s="7" t="str">
        <f t="shared" si="310"/>
        <v>product 3</v>
      </c>
      <c r="H3949">
        <f t="shared" si="311"/>
        <v>2025</v>
      </c>
      <c r="I3949">
        <f t="shared" si="312"/>
        <v>7</v>
      </c>
      <c r="J3949">
        <f t="shared" si="313"/>
        <v>0</v>
      </c>
    </row>
    <row r="3950" spans="1:10" ht="12.5" x14ac:dyDescent="0.25">
      <c r="A3950" s="1">
        <v>45839</v>
      </c>
      <c r="B3950" s="2" t="s">
        <v>14</v>
      </c>
      <c r="C3950" s="2" t="s">
        <v>6</v>
      </c>
      <c r="D3950" s="2" t="s">
        <v>6</v>
      </c>
      <c r="E3950" s="3">
        <v>2000</v>
      </c>
      <c r="F3950" t="str">
        <f t="shared" si="309"/>
        <v>overhead</v>
      </c>
      <c r="G3950" s="7" t="s">
        <v>6</v>
      </c>
      <c r="H3950">
        <f t="shared" si="311"/>
        <v>2025</v>
      </c>
      <c r="I3950">
        <f t="shared" si="312"/>
        <v>7</v>
      </c>
      <c r="J3950">
        <f t="shared" si="313"/>
        <v>861.81000000000006</v>
      </c>
    </row>
    <row r="3951" spans="1:10" ht="12.5" x14ac:dyDescent="0.25">
      <c r="A3951" s="1">
        <v>45840</v>
      </c>
      <c r="B3951" s="2" t="s">
        <v>7</v>
      </c>
      <c r="C3951" s="3">
        <v>5.49</v>
      </c>
      <c r="D3951" s="3">
        <v>25</v>
      </c>
      <c r="E3951" s="3">
        <v>137.25</v>
      </c>
      <c r="F3951" t="str">
        <f t="shared" si="309"/>
        <v>cogs</v>
      </c>
      <c r="G3951" s="7" t="str">
        <f t="shared" si="310"/>
        <v>product 1</v>
      </c>
      <c r="H3951">
        <f t="shared" si="311"/>
        <v>2025</v>
      </c>
      <c r="I3951">
        <f t="shared" si="312"/>
        <v>7</v>
      </c>
      <c r="J3951">
        <f t="shared" si="313"/>
        <v>-2000</v>
      </c>
    </row>
    <row r="3952" spans="1:10" ht="12.5" x14ac:dyDescent="0.25">
      <c r="A3952" s="1">
        <v>45840</v>
      </c>
      <c r="B3952" s="2" t="s">
        <v>8</v>
      </c>
      <c r="C3952" s="3">
        <v>19.989999999999998</v>
      </c>
      <c r="D3952" s="3">
        <v>4</v>
      </c>
      <c r="E3952" s="3">
        <v>79.959999999999994</v>
      </c>
      <c r="F3952" t="str">
        <f t="shared" si="309"/>
        <v>cogs</v>
      </c>
      <c r="G3952" s="7" t="str">
        <f t="shared" si="310"/>
        <v>product 2</v>
      </c>
      <c r="H3952">
        <f t="shared" si="311"/>
        <v>2025</v>
      </c>
      <c r="I3952">
        <f t="shared" si="312"/>
        <v>7</v>
      </c>
      <c r="J3952">
        <f t="shared" si="313"/>
        <v>-532.53</v>
      </c>
    </row>
    <row r="3953" spans="1:10" ht="12.5" x14ac:dyDescent="0.25">
      <c r="A3953" s="1">
        <v>45840</v>
      </c>
      <c r="B3953" s="2" t="s">
        <v>9</v>
      </c>
      <c r="C3953" s="3">
        <v>8.99</v>
      </c>
      <c r="D3953" s="3">
        <v>209</v>
      </c>
      <c r="E3953" s="3">
        <v>1878.91</v>
      </c>
      <c r="F3953" t="str">
        <f t="shared" si="309"/>
        <v>cogs</v>
      </c>
      <c r="G3953" s="7" t="str">
        <f t="shared" si="310"/>
        <v>product 3</v>
      </c>
      <c r="H3953">
        <f t="shared" si="311"/>
        <v>2025</v>
      </c>
      <c r="I3953">
        <f t="shared" si="312"/>
        <v>7</v>
      </c>
      <c r="J3953">
        <f t="shared" si="313"/>
        <v>-79.959999999999994</v>
      </c>
    </row>
    <row r="3954" spans="1:10" ht="12.5" x14ac:dyDescent="0.25">
      <c r="A3954" s="1">
        <v>45840</v>
      </c>
      <c r="B3954" s="2" t="s">
        <v>10</v>
      </c>
      <c r="C3954" s="2" t="s">
        <v>6</v>
      </c>
      <c r="D3954" s="2" t="s">
        <v>6</v>
      </c>
      <c r="E3954" s="3">
        <v>120.03</v>
      </c>
      <c r="F3954" t="str">
        <f t="shared" si="309"/>
        <v>marketing</v>
      </c>
      <c r="G3954" s="7" t="s">
        <v>6</v>
      </c>
      <c r="H3954">
        <f t="shared" si="311"/>
        <v>2025</v>
      </c>
      <c r="I3954">
        <f t="shared" si="312"/>
        <v>7</v>
      </c>
      <c r="J3954">
        <f t="shared" si="313"/>
        <v>-890.01</v>
      </c>
    </row>
    <row r="3955" spans="1:10" ht="12.5" x14ac:dyDescent="0.25">
      <c r="A3955" s="1">
        <v>45840</v>
      </c>
      <c r="B3955" s="2" t="s">
        <v>11</v>
      </c>
      <c r="C3955" s="3">
        <v>9.99</v>
      </c>
      <c r="D3955" s="3">
        <v>25</v>
      </c>
      <c r="E3955" s="3">
        <v>249.75</v>
      </c>
      <c r="F3955" t="str">
        <f t="shared" si="309"/>
        <v>net sales</v>
      </c>
      <c r="G3955" s="7" t="str">
        <f t="shared" si="310"/>
        <v>product 1</v>
      </c>
      <c r="H3955">
        <f t="shared" si="311"/>
        <v>2025</v>
      </c>
      <c r="I3955">
        <f t="shared" si="312"/>
        <v>7</v>
      </c>
      <c r="J3955">
        <f t="shared" si="313"/>
        <v>-106.04</v>
      </c>
    </row>
    <row r="3956" spans="1:10" ht="12.5" x14ac:dyDescent="0.25">
      <c r="A3956" s="1">
        <v>45840</v>
      </c>
      <c r="B3956" s="2" t="s">
        <v>12</v>
      </c>
      <c r="C3956" s="3">
        <v>24.99</v>
      </c>
      <c r="D3956" s="3">
        <v>4</v>
      </c>
      <c r="E3956" s="3">
        <v>99.96</v>
      </c>
      <c r="F3956" t="str">
        <f t="shared" si="309"/>
        <v>net sales</v>
      </c>
      <c r="G3956" s="7" t="str">
        <f t="shared" si="310"/>
        <v>product 2</v>
      </c>
      <c r="H3956">
        <f t="shared" si="311"/>
        <v>2025</v>
      </c>
      <c r="I3956">
        <f t="shared" si="312"/>
        <v>7</v>
      </c>
      <c r="J3956">
        <f t="shared" si="313"/>
        <v>969.03</v>
      </c>
    </row>
    <row r="3957" spans="1:10" ht="12.5" x14ac:dyDescent="0.25">
      <c r="A3957" s="1">
        <v>45840</v>
      </c>
      <c r="B3957" s="2" t="s">
        <v>13</v>
      </c>
      <c r="C3957" s="3">
        <v>12.49</v>
      </c>
      <c r="D3957" s="3">
        <v>209</v>
      </c>
      <c r="E3957" s="3">
        <v>2610.41</v>
      </c>
      <c r="F3957" t="str">
        <f t="shared" si="309"/>
        <v>net sales</v>
      </c>
      <c r="G3957" s="7" t="str">
        <f t="shared" si="310"/>
        <v>product 3</v>
      </c>
      <c r="H3957">
        <f t="shared" si="311"/>
        <v>2025</v>
      </c>
      <c r="I3957">
        <f t="shared" si="312"/>
        <v>7</v>
      </c>
      <c r="J3957">
        <f t="shared" si="313"/>
        <v>99.96</v>
      </c>
    </row>
    <row r="3958" spans="1:10" ht="12.5" x14ac:dyDescent="0.25">
      <c r="A3958" s="1">
        <v>45841</v>
      </c>
      <c r="B3958" s="2" t="s">
        <v>7</v>
      </c>
      <c r="C3958" s="3">
        <v>5.49</v>
      </c>
      <c r="D3958" s="3">
        <v>29</v>
      </c>
      <c r="E3958" s="3">
        <v>159.21</v>
      </c>
      <c r="F3958" t="str">
        <f t="shared" si="309"/>
        <v>cogs</v>
      </c>
      <c r="G3958" s="7" t="str">
        <f t="shared" si="310"/>
        <v>product 1</v>
      </c>
      <c r="H3958">
        <f t="shared" si="311"/>
        <v>2025</v>
      </c>
      <c r="I3958">
        <f t="shared" si="312"/>
        <v>7</v>
      </c>
      <c r="J3958">
        <f t="shared" si="313"/>
        <v>1236.51</v>
      </c>
    </row>
    <row r="3959" spans="1:10" ht="12.5" x14ac:dyDescent="0.25">
      <c r="A3959" s="1">
        <v>45841</v>
      </c>
      <c r="B3959" s="2" t="s">
        <v>8</v>
      </c>
      <c r="C3959" s="3">
        <v>19.989999999999998</v>
      </c>
      <c r="D3959" s="3">
        <v>3</v>
      </c>
      <c r="E3959" s="3">
        <v>59.97</v>
      </c>
      <c r="F3959" t="str">
        <f t="shared" si="309"/>
        <v>cogs</v>
      </c>
      <c r="G3959" s="7" t="str">
        <f t="shared" si="310"/>
        <v>product 2</v>
      </c>
      <c r="H3959">
        <f t="shared" si="311"/>
        <v>2025</v>
      </c>
      <c r="I3959">
        <f t="shared" si="312"/>
        <v>7</v>
      </c>
      <c r="J3959">
        <f t="shared" si="313"/>
        <v>-71.37</v>
      </c>
    </row>
    <row r="3960" spans="1:10" ht="12.5" x14ac:dyDescent="0.25">
      <c r="A3960" s="1">
        <v>45841</v>
      </c>
      <c r="B3960" s="2" t="s">
        <v>9</v>
      </c>
      <c r="C3960" s="3">
        <v>8.99</v>
      </c>
      <c r="D3960" s="3">
        <v>58</v>
      </c>
      <c r="E3960" s="3">
        <v>521.41999999999996</v>
      </c>
      <c r="F3960" t="str">
        <f t="shared" si="309"/>
        <v>cogs</v>
      </c>
      <c r="G3960" s="7" t="str">
        <f t="shared" si="310"/>
        <v>product 3</v>
      </c>
      <c r="H3960">
        <f t="shared" si="311"/>
        <v>2025</v>
      </c>
      <c r="I3960">
        <f t="shared" si="312"/>
        <v>7</v>
      </c>
      <c r="J3960">
        <f t="shared" si="313"/>
        <v>-39.979999999999997</v>
      </c>
    </row>
    <row r="3961" spans="1:10" ht="12.5" x14ac:dyDescent="0.25">
      <c r="A3961" s="1">
        <v>45841</v>
      </c>
      <c r="B3961" s="2" t="s">
        <v>10</v>
      </c>
      <c r="C3961" s="2" t="s">
        <v>6</v>
      </c>
      <c r="D3961" s="2" t="s">
        <v>6</v>
      </c>
      <c r="E3961" s="3">
        <v>115.04</v>
      </c>
      <c r="F3961" t="str">
        <f t="shared" si="309"/>
        <v>marketing</v>
      </c>
      <c r="G3961" s="7" t="s">
        <v>6</v>
      </c>
      <c r="H3961">
        <f t="shared" si="311"/>
        <v>2025</v>
      </c>
      <c r="I3961">
        <f t="shared" si="312"/>
        <v>7</v>
      </c>
      <c r="J3961">
        <f t="shared" si="313"/>
        <v>-2229.52</v>
      </c>
    </row>
    <row r="3962" spans="1:10" ht="12.5" x14ac:dyDescent="0.25">
      <c r="A3962" s="1">
        <v>45841</v>
      </c>
      <c r="B3962" s="2" t="s">
        <v>11</v>
      </c>
      <c r="C3962" s="3">
        <v>9.99</v>
      </c>
      <c r="D3962" s="3">
        <v>29</v>
      </c>
      <c r="E3962" s="3">
        <v>289.70999999999998</v>
      </c>
      <c r="F3962" t="str">
        <f t="shared" si="309"/>
        <v>net sales</v>
      </c>
      <c r="G3962" s="7" t="str">
        <f t="shared" si="310"/>
        <v>product 1</v>
      </c>
      <c r="H3962">
        <f t="shared" si="311"/>
        <v>2025</v>
      </c>
      <c r="I3962">
        <f t="shared" si="312"/>
        <v>7</v>
      </c>
      <c r="J3962">
        <f t="shared" si="313"/>
        <v>-111.94</v>
      </c>
    </row>
    <row r="3963" spans="1:10" ht="12.5" x14ac:dyDescent="0.25">
      <c r="A3963" s="1">
        <v>45841</v>
      </c>
      <c r="B3963" s="2" t="s">
        <v>12</v>
      </c>
      <c r="C3963" s="3">
        <v>24.99</v>
      </c>
      <c r="D3963" s="3">
        <v>3</v>
      </c>
      <c r="E3963" s="3">
        <v>74.97</v>
      </c>
      <c r="F3963" t="str">
        <f t="shared" si="309"/>
        <v>net sales</v>
      </c>
      <c r="G3963" s="7" t="str">
        <f t="shared" si="310"/>
        <v>product 2</v>
      </c>
      <c r="H3963">
        <f t="shared" si="311"/>
        <v>2025</v>
      </c>
      <c r="I3963">
        <f t="shared" si="312"/>
        <v>7</v>
      </c>
      <c r="J3963">
        <f t="shared" si="313"/>
        <v>129.87</v>
      </c>
    </row>
    <row r="3964" spans="1:10" ht="12.5" x14ac:dyDescent="0.25">
      <c r="A3964" s="1">
        <v>45841</v>
      </c>
      <c r="B3964" s="2" t="s">
        <v>13</v>
      </c>
      <c r="C3964" s="3">
        <v>12.49</v>
      </c>
      <c r="D3964" s="3">
        <v>58</v>
      </c>
      <c r="E3964" s="3">
        <v>724.42</v>
      </c>
      <c r="F3964" t="str">
        <f t="shared" si="309"/>
        <v>net sales</v>
      </c>
      <c r="G3964" s="7" t="str">
        <f t="shared" si="310"/>
        <v>product 3</v>
      </c>
      <c r="H3964">
        <f t="shared" si="311"/>
        <v>2025</v>
      </c>
      <c r="I3964">
        <f t="shared" si="312"/>
        <v>7</v>
      </c>
      <c r="J3964">
        <f t="shared" si="313"/>
        <v>49.98</v>
      </c>
    </row>
    <row r="3965" spans="1:10" ht="12.5" x14ac:dyDescent="0.25">
      <c r="A3965" s="1">
        <v>45842</v>
      </c>
      <c r="B3965" s="2" t="s">
        <v>7</v>
      </c>
      <c r="C3965" s="3">
        <v>5.49</v>
      </c>
      <c r="D3965" s="3">
        <v>5</v>
      </c>
      <c r="E3965" s="3">
        <v>27.450000000000003</v>
      </c>
      <c r="F3965" t="str">
        <f t="shared" si="309"/>
        <v>cogs</v>
      </c>
      <c r="G3965" s="7" t="str">
        <f t="shared" si="310"/>
        <v>product 1</v>
      </c>
      <c r="H3965">
        <f t="shared" si="311"/>
        <v>2025</v>
      </c>
      <c r="I3965">
        <f t="shared" si="312"/>
        <v>7</v>
      </c>
      <c r="J3965">
        <f t="shared" si="313"/>
        <v>3097.52</v>
      </c>
    </row>
    <row r="3966" spans="1:10" ht="12.5" x14ac:dyDescent="0.25">
      <c r="A3966" s="1">
        <v>45842</v>
      </c>
      <c r="B3966" s="2" t="s">
        <v>8</v>
      </c>
      <c r="C3966" s="3">
        <v>19.989999999999998</v>
      </c>
      <c r="D3966" s="3">
        <v>0</v>
      </c>
      <c r="E3966" s="2">
        <f>C3966*D3966</f>
        <v>0</v>
      </c>
      <c r="F3966" t="str">
        <f t="shared" si="309"/>
        <v>cogs</v>
      </c>
      <c r="G3966" s="7" t="str">
        <f t="shared" si="310"/>
        <v>product 2</v>
      </c>
      <c r="H3966">
        <f t="shared" si="311"/>
        <v>2025</v>
      </c>
      <c r="I3966">
        <f t="shared" si="312"/>
        <v>7</v>
      </c>
      <c r="J3966">
        <f t="shared" si="313"/>
        <v>-137.25</v>
      </c>
    </row>
    <row r="3967" spans="1:10" ht="12.5" x14ac:dyDescent="0.25">
      <c r="A3967" s="1">
        <v>45842</v>
      </c>
      <c r="B3967" s="2" t="s">
        <v>9</v>
      </c>
      <c r="C3967" s="3">
        <v>8.99</v>
      </c>
      <c r="D3967" s="3">
        <v>233</v>
      </c>
      <c r="E3967" s="3">
        <v>2094.67</v>
      </c>
      <c r="F3967" t="str">
        <f t="shared" si="309"/>
        <v>cogs</v>
      </c>
      <c r="G3967" s="7" t="str">
        <f t="shared" si="310"/>
        <v>product 3</v>
      </c>
      <c r="H3967">
        <f t="shared" si="311"/>
        <v>2025</v>
      </c>
      <c r="I3967">
        <f t="shared" si="312"/>
        <v>7</v>
      </c>
      <c r="J3967">
        <f t="shared" si="313"/>
        <v>-59.97</v>
      </c>
    </row>
    <row r="3968" spans="1:10" ht="12.5" x14ac:dyDescent="0.25">
      <c r="A3968" s="1">
        <v>45842</v>
      </c>
      <c r="B3968" s="2" t="s">
        <v>10</v>
      </c>
      <c r="C3968" s="2" t="s">
        <v>6</v>
      </c>
      <c r="D3968" s="2" t="s">
        <v>6</v>
      </c>
      <c r="E3968" s="3">
        <v>115.10000000000001</v>
      </c>
      <c r="F3968" t="str">
        <f t="shared" si="309"/>
        <v>marketing</v>
      </c>
      <c r="G3968" s="7" t="s">
        <v>6</v>
      </c>
      <c r="H3968">
        <f t="shared" si="311"/>
        <v>2025</v>
      </c>
      <c r="I3968">
        <f t="shared" si="312"/>
        <v>7</v>
      </c>
      <c r="J3968">
        <f t="shared" si="313"/>
        <v>-215.76</v>
      </c>
    </row>
    <row r="3969" spans="1:10" ht="12.5" x14ac:dyDescent="0.25">
      <c r="A3969" s="1">
        <v>45842</v>
      </c>
      <c r="B3969" s="2" t="s">
        <v>11</v>
      </c>
      <c r="C3969" s="3">
        <v>9.99</v>
      </c>
      <c r="D3969" s="3">
        <v>5</v>
      </c>
      <c r="E3969" s="3">
        <v>49.95</v>
      </c>
      <c r="F3969" t="str">
        <f t="shared" si="309"/>
        <v>net sales</v>
      </c>
      <c r="G3969" s="7" t="str">
        <f t="shared" si="310"/>
        <v>product 1</v>
      </c>
      <c r="H3969">
        <f t="shared" si="311"/>
        <v>2025</v>
      </c>
      <c r="I3969">
        <f t="shared" si="312"/>
        <v>7</v>
      </c>
      <c r="J3969">
        <f t="shared" si="313"/>
        <v>-118.98</v>
      </c>
    </row>
    <row r="3970" spans="1:10" ht="12.5" x14ac:dyDescent="0.25">
      <c r="A3970" s="1">
        <v>45842</v>
      </c>
      <c r="B3970" s="2" t="s">
        <v>12</v>
      </c>
      <c r="C3970" s="3">
        <v>24.99</v>
      </c>
      <c r="D3970" s="3">
        <v>0</v>
      </c>
      <c r="E3970" s="2">
        <f>C3970*D3970</f>
        <v>0</v>
      </c>
      <c r="F3970" t="str">
        <f t="shared" si="309"/>
        <v>net sales</v>
      </c>
      <c r="G3970" s="7" t="str">
        <f t="shared" si="310"/>
        <v>product 2</v>
      </c>
      <c r="H3970">
        <f t="shared" si="311"/>
        <v>2025</v>
      </c>
      <c r="I3970">
        <f t="shared" si="312"/>
        <v>7</v>
      </c>
      <c r="J3970">
        <f t="shared" si="313"/>
        <v>249.75</v>
      </c>
    </row>
    <row r="3971" spans="1:10" ht="12.5" x14ac:dyDescent="0.25">
      <c r="A3971" s="1">
        <v>45842</v>
      </c>
      <c r="B3971" s="2" t="s">
        <v>13</v>
      </c>
      <c r="C3971" s="3">
        <v>12.49</v>
      </c>
      <c r="D3971" s="3">
        <v>233</v>
      </c>
      <c r="E3971" s="3">
        <v>2910.17</v>
      </c>
      <c r="F3971" t="str">
        <f t="shared" ref="F3971:F4034" si="314">IFERROR(LEFT(B3971,FIND(":",B3971)-1),B3971)</f>
        <v>net sales</v>
      </c>
      <c r="G3971" s="7" t="str">
        <f t="shared" ref="G3971:G4034" si="315">IFERROR(RIGHT(B3971,LEN(B3971)-FIND(":",B3971)),"")</f>
        <v>product 3</v>
      </c>
      <c r="H3971">
        <f t="shared" ref="H3971:H4034" si="316">YEAR(A3971)</f>
        <v>2025</v>
      </c>
      <c r="I3971">
        <f t="shared" ref="I3971:I4034" si="317">MONTH(A3971)</f>
        <v>7</v>
      </c>
      <c r="J3971">
        <f t="shared" si="313"/>
        <v>74.97</v>
      </c>
    </row>
    <row r="3972" spans="1:10" ht="12.5" x14ac:dyDescent="0.25">
      <c r="A3972" s="1">
        <v>45842</v>
      </c>
      <c r="B3972" s="2" t="s">
        <v>15</v>
      </c>
      <c r="C3972" s="2" t="s">
        <v>6</v>
      </c>
      <c r="D3972" s="2" t="s">
        <v>6</v>
      </c>
      <c r="E3972" s="3">
        <v>1200</v>
      </c>
      <c r="F3972" t="str">
        <f t="shared" si="314"/>
        <v>payroll</v>
      </c>
      <c r="G3972" s="7" t="s">
        <v>6</v>
      </c>
      <c r="H3972">
        <f t="shared" si="316"/>
        <v>2025</v>
      </c>
      <c r="I3972">
        <f t="shared" si="317"/>
        <v>7</v>
      </c>
      <c r="J3972">
        <f t="shared" si="313"/>
        <v>299.76</v>
      </c>
    </row>
    <row r="3973" spans="1:10" ht="12.5" x14ac:dyDescent="0.25">
      <c r="A3973" s="1">
        <v>45843</v>
      </c>
      <c r="B3973" s="2" t="s">
        <v>7</v>
      </c>
      <c r="C3973" s="3">
        <v>5.49</v>
      </c>
      <c r="D3973" s="3">
        <v>98</v>
      </c>
      <c r="E3973" s="3">
        <v>538.02</v>
      </c>
      <c r="F3973" t="str">
        <f t="shared" si="314"/>
        <v>cogs</v>
      </c>
      <c r="G3973" s="7" t="str">
        <f t="shared" si="315"/>
        <v>product 1</v>
      </c>
      <c r="H3973">
        <f t="shared" si="316"/>
        <v>2025</v>
      </c>
      <c r="I3973">
        <f t="shared" si="317"/>
        <v>7</v>
      </c>
      <c r="J3973">
        <f t="shared" si="313"/>
        <v>-197.64000000000001</v>
      </c>
    </row>
    <row r="3974" spans="1:10" ht="12.5" x14ac:dyDescent="0.25">
      <c r="A3974" s="1">
        <v>45843</v>
      </c>
      <c r="B3974" s="2" t="s">
        <v>8</v>
      </c>
      <c r="C3974" s="3">
        <v>19.989999999999998</v>
      </c>
      <c r="D3974" s="3">
        <v>6</v>
      </c>
      <c r="E3974" s="3">
        <v>119.94</v>
      </c>
      <c r="F3974" t="str">
        <f t="shared" si="314"/>
        <v>cogs</v>
      </c>
      <c r="G3974" s="7" t="str">
        <f t="shared" si="315"/>
        <v>product 2</v>
      </c>
      <c r="H3974">
        <f t="shared" si="316"/>
        <v>2025</v>
      </c>
      <c r="I3974">
        <f t="shared" si="317"/>
        <v>7</v>
      </c>
      <c r="J3974">
        <f t="shared" si="313"/>
        <v>-99.949999999999989</v>
      </c>
    </row>
    <row r="3975" spans="1:10" ht="12.5" x14ac:dyDescent="0.25">
      <c r="A3975" s="1">
        <v>45843</v>
      </c>
      <c r="B3975" s="2" t="s">
        <v>9</v>
      </c>
      <c r="C3975" s="3">
        <v>8.99</v>
      </c>
      <c r="D3975" s="3">
        <v>121</v>
      </c>
      <c r="E3975" s="3">
        <v>1087.79</v>
      </c>
      <c r="F3975" t="str">
        <f t="shared" si="314"/>
        <v>cogs</v>
      </c>
      <c r="G3975" s="7" t="str">
        <f t="shared" si="315"/>
        <v>product 3</v>
      </c>
      <c r="H3975">
        <f t="shared" si="316"/>
        <v>2025</v>
      </c>
      <c r="I3975">
        <f t="shared" si="317"/>
        <v>7</v>
      </c>
      <c r="J3975">
        <f t="shared" si="313"/>
        <v>-1896.89</v>
      </c>
    </row>
    <row r="3976" spans="1:10" ht="12.5" x14ac:dyDescent="0.25">
      <c r="A3976" s="1">
        <v>45843</v>
      </c>
      <c r="B3976" s="2" t="s">
        <v>10</v>
      </c>
      <c r="C3976" s="2" t="s">
        <v>6</v>
      </c>
      <c r="D3976" s="2" t="s">
        <v>6</v>
      </c>
      <c r="E3976" s="3">
        <v>101.05</v>
      </c>
      <c r="F3976" t="str">
        <f t="shared" si="314"/>
        <v>marketing</v>
      </c>
      <c r="G3976" s="7" t="s">
        <v>6</v>
      </c>
      <c r="H3976">
        <f t="shared" si="316"/>
        <v>2025</v>
      </c>
      <c r="I3976">
        <f t="shared" si="317"/>
        <v>7</v>
      </c>
      <c r="J3976">
        <f t="shared" si="313"/>
        <v>-116.99000000000001</v>
      </c>
    </row>
    <row r="3977" spans="1:10" ht="12.5" x14ac:dyDescent="0.25">
      <c r="A3977" s="1">
        <v>45843</v>
      </c>
      <c r="B3977" s="2" t="s">
        <v>11</v>
      </c>
      <c r="C3977" s="3">
        <v>9.99</v>
      </c>
      <c r="D3977" s="3">
        <v>98</v>
      </c>
      <c r="E3977" s="3">
        <v>979.02</v>
      </c>
      <c r="F3977" t="str">
        <f t="shared" si="314"/>
        <v>net sales</v>
      </c>
      <c r="G3977" s="7" t="str">
        <f t="shared" si="315"/>
        <v>product 1</v>
      </c>
      <c r="H3977">
        <f t="shared" si="316"/>
        <v>2025</v>
      </c>
      <c r="I3977">
        <f t="shared" si="317"/>
        <v>7</v>
      </c>
      <c r="J3977">
        <f t="shared" si="313"/>
        <v>359.64</v>
      </c>
    </row>
    <row r="3978" spans="1:10" ht="12.5" x14ac:dyDescent="0.25">
      <c r="A3978" s="1">
        <v>45843</v>
      </c>
      <c r="B3978" s="2" t="s">
        <v>12</v>
      </c>
      <c r="C3978" s="3">
        <v>24.99</v>
      </c>
      <c r="D3978" s="3">
        <v>6</v>
      </c>
      <c r="E3978" s="3">
        <v>149.94</v>
      </c>
      <c r="F3978" t="str">
        <f t="shared" si="314"/>
        <v>net sales</v>
      </c>
      <c r="G3978" s="7" t="str">
        <f t="shared" si="315"/>
        <v>product 2</v>
      </c>
      <c r="H3978">
        <f t="shared" si="316"/>
        <v>2025</v>
      </c>
      <c r="I3978">
        <f t="shared" si="317"/>
        <v>7</v>
      </c>
      <c r="J3978">
        <f t="shared" si="313"/>
        <v>124.94999999999999</v>
      </c>
    </row>
    <row r="3979" spans="1:10" ht="12.5" x14ac:dyDescent="0.25">
      <c r="A3979" s="1">
        <v>45843</v>
      </c>
      <c r="B3979" s="2" t="s">
        <v>13</v>
      </c>
      <c r="C3979" s="3">
        <v>12.49</v>
      </c>
      <c r="D3979" s="3">
        <v>121</v>
      </c>
      <c r="E3979" s="3">
        <v>1511.29</v>
      </c>
      <c r="F3979" t="str">
        <f t="shared" si="314"/>
        <v>net sales</v>
      </c>
      <c r="G3979" s="7" t="str">
        <f t="shared" si="315"/>
        <v>product 3</v>
      </c>
      <c r="H3979">
        <f t="shared" si="316"/>
        <v>2025</v>
      </c>
      <c r="I3979">
        <f t="shared" si="317"/>
        <v>7</v>
      </c>
      <c r="J3979">
        <f t="shared" si="313"/>
        <v>2635.39</v>
      </c>
    </row>
    <row r="3980" spans="1:10" ht="12.5" x14ac:dyDescent="0.25">
      <c r="A3980" s="1">
        <v>45844</v>
      </c>
      <c r="B3980" s="2" t="s">
        <v>7</v>
      </c>
      <c r="C3980" s="3">
        <v>5.49</v>
      </c>
      <c r="D3980" s="3">
        <v>27</v>
      </c>
      <c r="E3980" s="3">
        <v>148.23000000000002</v>
      </c>
      <c r="F3980" t="str">
        <f t="shared" si="314"/>
        <v>cogs</v>
      </c>
      <c r="G3980" s="7" t="str">
        <f t="shared" si="315"/>
        <v>product 1</v>
      </c>
      <c r="H3980">
        <f t="shared" si="316"/>
        <v>2025</v>
      </c>
      <c r="I3980">
        <f t="shared" si="317"/>
        <v>7</v>
      </c>
      <c r="J3980">
        <f t="shared" si="313"/>
        <v>-351.36</v>
      </c>
    </row>
    <row r="3981" spans="1:10" ht="12.5" x14ac:dyDescent="0.25">
      <c r="A3981" s="1">
        <v>45844</v>
      </c>
      <c r="B3981" s="2" t="s">
        <v>8</v>
      </c>
      <c r="C3981" s="3">
        <v>19.989999999999998</v>
      </c>
      <c r="D3981" s="3">
        <v>8</v>
      </c>
      <c r="E3981" s="3">
        <v>159.91999999999999</v>
      </c>
      <c r="F3981" t="str">
        <f t="shared" si="314"/>
        <v>cogs</v>
      </c>
      <c r="G3981" s="7" t="str">
        <f t="shared" si="315"/>
        <v>product 2</v>
      </c>
      <c r="H3981">
        <f t="shared" si="316"/>
        <v>2025</v>
      </c>
      <c r="I3981">
        <f t="shared" si="317"/>
        <v>7</v>
      </c>
      <c r="J3981">
        <f t="shared" si="313"/>
        <v>-79.959999999999994</v>
      </c>
    </row>
    <row r="3982" spans="1:10" ht="12.5" x14ac:dyDescent="0.25">
      <c r="A3982" s="1">
        <v>45844</v>
      </c>
      <c r="B3982" s="2" t="s">
        <v>9</v>
      </c>
      <c r="C3982" s="3">
        <v>8.99</v>
      </c>
      <c r="D3982" s="3">
        <v>217</v>
      </c>
      <c r="E3982" s="3">
        <v>1950.8300000000002</v>
      </c>
      <c r="F3982" t="str">
        <f t="shared" si="314"/>
        <v>cogs</v>
      </c>
      <c r="G3982" s="7" t="str">
        <f t="shared" si="315"/>
        <v>product 3</v>
      </c>
      <c r="H3982">
        <f t="shared" si="316"/>
        <v>2025</v>
      </c>
      <c r="I3982">
        <f t="shared" si="317"/>
        <v>7</v>
      </c>
      <c r="J3982">
        <f t="shared" si="313"/>
        <v>-1024.8600000000001</v>
      </c>
    </row>
    <row r="3983" spans="1:10" ht="12.5" x14ac:dyDescent="0.25">
      <c r="A3983" s="1">
        <v>45844</v>
      </c>
      <c r="B3983" s="2" t="s">
        <v>10</v>
      </c>
      <c r="C3983" s="2" t="s">
        <v>6</v>
      </c>
      <c r="D3983" s="2" t="s">
        <v>6</v>
      </c>
      <c r="E3983" s="3">
        <v>116.06</v>
      </c>
      <c r="F3983" t="str">
        <f t="shared" si="314"/>
        <v>marketing</v>
      </c>
      <c r="G3983" s="7" t="s">
        <v>6</v>
      </c>
      <c r="H3983">
        <f t="shared" si="316"/>
        <v>2025</v>
      </c>
      <c r="I3983">
        <f t="shared" si="317"/>
        <v>7</v>
      </c>
      <c r="J3983">
        <f t="shared" si="313"/>
        <v>-110.92</v>
      </c>
    </row>
    <row r="3984" spans="1:10" ht="12.5" x14ac:dyDescent="0.25">
      <c r="A3984" s="1">
        <v>45844</v>
      </c>
      <c r="B3984" s="2" t="s">
        <v>11</v>
      </c>
      <c r="C3984" s="3">
        <v>9.99</v>
      </c>
      <c r="D3984" s="3">
        <v>27</v>
      </c>
      <c r="E3984" s="3">
        <v>269.73</v>
      </c>
      <c r="F3984" t="str">
        <f t="shared" si="314"/>
        <v>net sales</v>
      </c>
      <c r="G3984" s="7" t="str">
        <f t="shared" si="315"/>
        <v>product 1</v>
      </c>
      <c r="H3984">
        <f t="shared" si="316"/>
        <v>2025</v>
      </c>
      <c r="I3984">
        <f t="shared" si="317"/>
        <v>7</v>
      </c>
      <c r="J3984">
        <f t="shared" si="313"/>
        <v>639.36</v>
      </c>
    </row>
    <row r="3985" spans="1:10" ht="12.5" x14ac:dyDescent="0.25">
      <c r="A3985" s="1">
        <v>45844</v>
      </c>
      <c r="B3985" s="2" t="s">
        <v>12</v>
      </c>
      <c r="C3985" s="3">
        <v>24.99</v>
      </c>
      <c r="D3985" s="3">
        <v>8</v>
      </c>
      <c r="E3985" s="3">
        <v>199.92</v>
      </c>
      <c r="F3985" t="str">
        <f t="shared" si="314"/>
        <v>net sales</v>
      </c>
      <c r="G3985" s="7" t="str">
        <f t="shared" si="315"/>
        <v>product 2</v>
      </c>
      <c r="H3985">
        <f t="shared" si="316"/>
        <v>2025</v>
      </c>
      <c r="I3985">
        <f t="shared" si="317"/>
        <v>7</v>
      </c>
      <c r="J3985">
        <f t="shared" si="313"/>
        <v>99.96</v>
      </c>
    </row>
    <row r="3986" spans="1:10" ht="12.5" x14ac:dyDescent="0.25">
      <c r="A3986" s="1">
        <v>45844</v>
      </c>
      <c r="B3986" s="2" t="s">
        <v>13</v>
      </c>
      <c r="C3986" s="3">
        <v>12.49</v>
      </c>
      <c r="D3986" s="3">
        <v>217</v>
      </c>
      <c r="E3986" s="3">
        <v>2710.33</v>
      </c>
      <c r="F3986" t="str">
        <f t="shared" si="314"/>
        <v>net sales</v>
      </c>
      <c r="G3986" s="7" t="str">
        <f t="shared" si="315"/>
        <v>product 3</v>
      </c>
      <c r="H3986">
        <f t="shared" si="316"/>
        <v>2025</v>
      </c>
      <c r="I3986">
        <f t="shared" si="317"/>
        <v>7</v>
      </c>
      <c r="J3986">
        <f t="shared" si="313"/>
        <v>1423.8600000000001</v>
      </c>
    </row>
    <row r="3987" spans="1:10" ht="12.5" x14ac:dyDescent="0.25">
      <c r="A3987" s="1">
        <v>45845</v>
      </c>
      <c r="B3987" s="2" t="s">
        <v>7</v>
      </c>
      <c r="C3987" s="3">
        <v>5.49</v>
      </c>
      <c r="D3987" s="3">
        <v>78</v>
      </c>
      <c r="E3987" s="3">
        <v>428.22</v>
      </c>
      <c r="F3987" t="str">
        <f t="shared" si="314"/>
        <v>cogs</v>
      </c>
      <c r="G3987" s="7" t="str">
        <f t="shared" si="315"/>
        <v>product 1</v>
      </c>
      <c r="H3987">
        <f t="shared" si="316"/>
        <v>2025</v>
      </c>
      <c r="I3987">
        <f t="shared" si="317"/>
        <v>7</v>
      </c>
      <c r="J3987">
        <f t="shared" si="313"/>
        <v>-1200</v>
      </c>
    </row>
    <row r="3988" spans="1:10" ht="12.5" x14ac:dyDescent="0.25">
      <c r="A3988" s="1">
        <v>45845</v>
      </c>
      <c r="B3988" s="2" t="s">
        <v>8</v>
      </c>
      <c r="C3988" s="3">
        <v>19.989999999999998</v>
      </c>
      <c r="D3988" s="3">
        <v>4</v>
      </c>
      <c r="E3988" s="3">
        <v>79.959999999999994</v>
      </c>
      <c r="F3988" t="str">
        <f t="shared" si="314"/>
        <v>cogs</v>
      </c>
      <c r="G3988" s="7" t="str">
        <f t="shared" si="315"/>
        <v>product 2</v>
      </c>
      <c r="H3988">
        <f t="shared" si="316"/>
        <v>2025</v>
      </c>
      <c r="I3988">
        <f t="shared" si="317"/>
        <v>7</v>
      </c>
      <c r="J3988">
        <f t="shared" si="313"/>
        <v>-43.92</v>
      </c>
    </row>
    <row r="3989" spans="1:10" ht="12.5" x14ac:dyDescent="0.25">
      <c r="A3989" s="1">
        <v>45845</v>
      </c>
      <c r="B3989" s="2" t="s">
        <v>9</v>
      </c>
      <c r="C3989" s="3">
        <v>8.99</v>
      </c>
      <c r="D3989" s="3">
        <v>95</v>
      </c>
      <c r="E3989" s="3">
        <v>854.05000000000007</v>
      </c>
      <c r="F3989" t="str">
        <f t="shared" si="314"/>
        <v>cogs</v>
      </c>
      <c r="G3989" s="7" t="str">
        <f t="shared" si="315"/>
        <v>product 3</v>
      </c>
      <c r="H3989">
        <f t="shared" si="316"/>
        <v>2025</v>
      </c>
      <c r="I3989">
        <f t="shared" si="317"/>
        <v>7</v>
      </c>
      <c r="J3989">
        <f t="shared" si="313"/>
        <v>-99.949999999999989</v>
      </c>
    </row>
    <row r="3990" spans="1:10" ht="12.5" x14ac:dyDescent="0.25">
      <c r="A3990" s="1">
        <v>45845</v>
      </c>
      <c r="B3990" s="2" t="s">
        <v>10</v>
      </c>
      <c r="C3990" s="2" t="s">
        <v>6</v>
      </c>
      <c r="D3990" s="2" t="s">
        <v>6</v>
      </c>
      <c r="E3990" s="3">
        <v>114.91</v>
      </c>
      <c r="F3990" t="str">
        <f t="shared" si="314"/>
        <v>marketing</v>
      </c>
      <c r="G3990" s="7" t="s">
        <v>6</v>
      </c>
      <c r="H3990">
        <f t="shared" si="316"/>
        <v>2025</v>
      </c>
      <c r="I3990">
        <f t="shared" si="317"/>
        <v>7</v>
      </c>
      <c r="J3990">
        <f t="shared" si="313"/>
        <v>-530.41</v>
      </c>
    </row>
    <row r="3991" spans="1:10" ht="12.5" x14ac:dyDescent="0.25">
      <c r="A3991" s="1">
        <v>45845</v>
      </c>
      <c r="B3991" s="2" t="s">
        <v>11</v>
      </c>
      <c r="C3991" s="3">
        <v>9.99</v>
      </c>
      <c r="D3991" s="3">
        <v>78</v>
      </c>
      <c r="E3991" s="3">
        <v>779.22</v>
      </c>
      <c r="F3991" t="str">
        <f t="shared" si="314"/>
        <v>net sales</v>
      </c>
      <c r="G3991" s="7" t="str">
        <f t="shared" si="315"/>
        <v>product 1</v>
      </c>
      <c r="H3991">
        <f t="shared" si="316"/>
        <v>2025</v>
      </c>
      <c r="I3991">
        <f t="shared" si="317"/>
        <v>7</v>
      </c>
      <c r="J3991">
        <f t="shared" si="313"/>
        <v>-111.95</v>
      </c>
    </row>
    <row r="3992" spans="1:10" ht="12.5" x14ac:dyDescent="0.25">
      <c r="A3992" s="1">
        <v>45845</v>
      </c>
      <c r="B3992" s="2" t="s">
        <v>12</v>
      </c>
      <c r="C3992" s="3">
        <v>24.99</v>
      </c>
      <c r="D3992" s="3">
        <v>4</v>
      </c>
      <c r="E3992" s="3">
        <v>99.96</v>
      </c>
      <c r="F3992" t="str">
        <f t="shared" si="314"/>
        <v>net sales</v>
      </c>
      <c r="G3992" s="7" t="str">
        <f t="shared" si="315"/>
        <v>product 2</v>
      </c>
      <c r="H3992">
        <f t="shared" si="316"/>
        <v>2025</v>
      </c>
      <c r="I3992">
        <f t="shared" si="317"/>
        <v>7</v>
      </c>
      <c r="J3992">
        <f t="shared" si="313"/>
        <v>79.92</v>
      </c>
    </row>
    <row r="3993" spans="1:10" ht="12.5" x14ac:dyDescent="0.25">
      <c r="A3993" s="1">
        <v>45845</v>
      </c>
      <c r="B3993" s="2" t="s">
        <v>13</v>
      </c>
      <c r="C3993" s="3">
        <v>12.49</v>
      </c>
      <c r="D3993" s="3">
        <v>95</v>
      </c>
      <c r="E3993" s="3">
        <v>1186.55</v>
      </c>
      <c r="F3993" t="str">
        <f t="shared" si="314"/>
        <v>net sales</v>
      </c>
      <c r="G3993" s="7" t="str">
        <f t="shared" si="315"/>
        <v>product 3</v>
      </c>
      <c r="H3993">
        <f t="shared" si="316"/>
        <v>2025</v>
      </c>
      <c r="I3993">
        <f t="shared" si="317"/>
        <v>7</v>
      </c>
      <c r="J3993">
        <f t="shared" si="313"/>
        <v>124.94999999999999</v>
      </c>
    </row>
    <row r="3994" spans="1:10" ht="12.5" x14ac:dyDescent="0.25">
      <c r="A3994" s="1">
        <v>45846</v>
      </c>
      <c r="B3994" s="2" t="s">
        <v>7</v>
      </c>
      <c r="C3994" s="3">
        <v>5.49</v>
      </c>
      <c r="D3994" s="3">
        <v>62</v>
      </c>
      <c r="E3994" s="3">
        <v>340.38</v>
      </c>
      <c r="F3994" t="str">
        <f t="shared" si="314"/>
        <v>cogs</v>
      </c>
      <c r="G3994" s="7" t="str">
        <f t="shared" si="315"/>
        <v>product 1</v>
      </c>
      <c r="H3994">
        <f t="shared" si="316"/>
        <v>2025</v>
      </c>
      <c r="I3994">
        <f t="shared" si="317"/>
        <v>7</v>
      </c>
      <c r="J3994">
        <f t="shared" si="313"/>
        <v>736.91</v>
      </c>
    </row>
    <row r="3995" spans="1:10" ht="12.5" x14ac:dyDescent="0.25">
      <c r="A3995" s="1">
        <v>45846</v>
      </c>
      <c r="B3995" s="2" t="s">
        <v>8</v>
      </c>
      <c r="C3995" s="3">
        <v>19.989999999999998</v>
      </c>
      <c r="D3995" s="3">
        <v>6</v>
      </c>
      <c r="E3995" s="3">
        <v>119.94</v>
      </c>
      <c r="F3995" t="str">
        <f t="shared" si="314"/>
        <v>cogs</v>
      </c>
      <c r="G3995" s="7" t="str">
        <f t="shared" si="315"/>
        <v>product 2</v>
      </c>
      <c r="H3995">
        <f t="shared" si="316"/>
        <v>2025</v>
      </c>
      <c r="I3995">
        <f t="shared" si="317"/>
        <v>7</v>
      </c>
      <c r="J3995">
        <f t="shared" si="313"/>
        <v>-247.05</v>
      </c>
    </row>
    <row r="3996" spans="1:10" ht="12.5" x14ac:dyDescent="0.25">
      <c r="A3996" s="1">
        <v>45846</v>
      </c>
      <c r="B3996" s="2" t="s">
        <v>9</v>
      </c>
      <c r="C3996" s="3">
        <v>8.99</v>
      </c>
      <c r="D3996" s="3">
        <v>128</v>
      </c>
      <c r="E3996" s="3">
        <v>1150.72</v>
      </c>
      <c r="F3996" t="str">
        <f t="shared" si="314"/>
        <v>cogs</v>
      </c>
      <c r="G3996" s="7" t="str">
        <f t="shared" si="315"/>
        <v>product 3</v>
      </c>
      <c r="H3996">
        <f t="shared" si="316"/>
        <v>2025</v>
      </c>
      <c r="I3996">
        <f t="shared" si="317"/>
        <v>7</v>
      </c>
      <c r="J3996">
        <f t="shared" ref="J3996:J4059" si="318">IF(F3779="net sales",E3779,
IF(F3779="cogs",-E3779,
IF(OR(F3779="marketing",F3779="overhead",F3779="payroll",F3779="interest","amortization"),-E3779,0)))</f>
        <v>-19.989999999999998</v>
      </c>
    </row>
    <row r="3997" spans="1:10" ht="12.5" x14ac:dyDescent="0.25">
      <c r="A3997" s="1">
        <v>45846</v>
      </c>
      <c r="B3997" s="2" t="s">
        <v>10</v>
      </c>
      <c r="C3997" s="2" t="s">
        <v>6</v>
      </c>
      <c r="D3997" s="2" t="s">
        <v>6</v>
      </c>
      <c r="E3997" s="3">
        <v>111.99000000000001</v>
      </c>
      <c r="F3997" t="str">
        <f t="shared" si="314"/>
        <v>marketing</v>
      </c>
      <c r="G3997" s="7" t="s">
        <v>6</v>
      </c>
      <c r="H3997">
        <f t="shared" si="316"/>
        <v>2025</v>
      </c>
      <c r="I3997">
        <f t="shared" si="317"/>
        <v>7</v>
      </c>
      <c r="J3997">
        <f t="shared" si="318"/>
        <v>-152.83000000000001</v>
      </c>
    </row>
    <row r="3998" spans="1:10" ht="12.5" x14ac:dyDescent="0.25">
      <c r="A3998" s="1">
        <v>45846</v>
      </c>
      <c r="B3998" s="2" t="s">
        <v>11</v>
      </c>
      <c r="C3998" s="3">
        <v>9.99</v>
      </c>
      <c r="D3998" s="3">
        <v>62</v>
      </c>
      <c r="E3998" s="3">
        <v>619.38</v>
      </c>
      <c r="F3998" t="str">
        <f t="shared" si="314"/>
        <v>net sales</v>
      </c>
      <c r="G3998" s="7" t="str">
        <f t="shared" si="315"/>
        <v>product 1</v>
      </c>
      <c r="H3998">
        <f t="shared" si="316"/>
        <v>2025</v>
      </c>
      <c r="I3998">
        <f t="shared" si="317"/>
        <v>7</v>
      </c>
      <c r="J3998">
        <f t="shared" si="318"/>
        <v>-120.08</v>
      </c>
    </row>
    <row r="3999" spans="1:10" ht="12.5" x14ac:dyDescent="0.25">
      <c r="A3999" s="1">
        <v>45846</v>
      </c>
      <c r="B3999" s="2" t="s">
        <v>12</v>
      </c>
      <c r="C3999" s="3">
        <v>24.99</v>
      </c>
      <c r="D3999" s="3">
        <v>6</v>
      </c>
      <c r="E3999" s="3">
        <v>149.94</v>
      </c>
      <c r="F3999" t="str">
        <f t="shared" si="314"/>
        <v>net sales</v>
      </c>
      <c r="G3999" s="7" t="str">
        <f t="shared" si="315"/>
        <v>product 2</v>
      </c>
      <c r="H3999">
        <f t="shared" si="316"/>
        <v>2025</v>
      </c>
      <c r="I3999">
        <f t="shared" si="317"/>
        <v>7</v>
      </c>
      <c r="J3999">
        <f t="shared" si="318"/>
        <v>449.55</v>
      </c>
    </row>
    <row r="4000" spans="1:10" ht="12.5" x14ac:dyDescent="0.25">
      <c r="A4000" s="1">
        <v>45846</v>
      </c>
      <c r="B4000" s="2" t="s">
        <v>13</v>
      </c>
      <c r="C4000" s="3">
        <v>12.49</v>
      </c>
      <c r="D4000" s="3">
        <v>128</v>
      </c>
      <c r="E4000" s="3">
        <v>1598.72</v>
      </c>
      <c r="F4000" t="str">
        <f t="shared" si="314"/>
        <v>net sales</v>
      </c>
      <c r="G4000" s="7" t="str">
        <f t="shared" si="315"/>
        <v>product 3</v>
      </c>
      <c r="H4000">
        <f t="shared" si="316"/>
        <v>2025</v>
      </c>
      <c r="I4000">
        <f t="shared" si="317"/>
        <v>7</v>
      </c>
      <c r="J4000">
        <f t="shared" si="318"/>
        <v>24.99</v>
      </c>
    </row>
    <row r="4001" spans="1:10" ht="12.5" x14ac:dyDescent="0.25">
      <c r="A4001" s="1">
        <v>45847</v>
      </c>
      <c r="B4001" s="2" t="s">
        <v>7</v>
      </c>
      <c r="C4001" s="3">
        <v>5.49</v>
      </c>
      <c r="D4001" s="3">
        <v>50</v>
      </c>
      <c r="E4001" s="3">
        <v>274.5</v>
      </c>
      <c r="F4001" t="str">
        <f t="shared" si="314"/>
        <v>cogs</v>
      </c>
      <c r="G4001" s="7" t="str">
        <f t="shared" si="315"/>
        <v>product 1</v>
      </c>
      <c r="H4001">
        <f t="shared" si="316"/>
        <v>2025</v>
      </c>
      <c r="I4001">
        <f t="shared" si="317"/>
        <v>7</v>
      </c>
      <c r="J4001">
        <f t="shared" si="318"/>
        <v>212.33</v>
      </c>
    </row>
    <row r="4002" spans="1:10" ht="12.5" x14ac:dyDescent="0.25">
      <c r="A4002" s="1">
        <v>45847</v>
      </c>
      <c r="B4002" s="2" t="s">
        <v>8</v>
      </c>
      <c r="C4002" s="3">
        <v>19.989999999999998</v>
      </c>
      <c r="D4002" s="3">
        <v>5</v>
      </c>
      <c r="E4002" s="3">
        <v>99.949999999999989</v>
      </c>
      <c r="F4002" t="str">
        <f t="shared" si="314"/>
        <v>cogs</v>
      </c>
      <c r="G4002" s="7" t="str">
        <f t="shared" si="315"/>
        <v>product 2</v>
      </c>
      <c r="H4002">
        <f t="shared" si="316"/>
        <v>2025</v>
      </c>
      <c r="I4002">
        <f t="shared" si="317"/>
        <v>7</v>
      </c>
      <c r="J4002">
        <f t="shared" si="318"/>
        <v>-104.31</v>
      </c>
    </row>
    <row r="4003" spans="1:10" ht="12.5" x14ac:dyDescent="0.25">
      <c r="A4003" s="1">
        <v>45847</v>
      </c>
      <c r="B4003" s="2" t="s">
        <v>9</v>
      </c>
      <c r="C4003" s="3">
        <v>8.99</v>
      </c>
      <c r="D4003" s="3">
        <v>204</v>
      </c>
      <c r="E4003" s="3">
        <v>1833.96</v>
      </c>
      <c r="F4003" t="str">
        <f t="shared" si="314"/>
        <v>cogs</v>
      </c>
      <c r="G4003" s="7" t="str">
        <f t="shared" si="315"/>
        <v>product 3</v>
      </c>
      <c r="H4003">
        <f t="shared" si="316"/>
        <v>2025</v>
      </c>
      <c r="I4003">
        <f t="shared" si="317"/>
        <v>7</v>
      </c>
      <c r="J4003">
        <f t="shared" si="318"/>
        <v>-39.979999999999997</v>
      </c>
    </row>
    <row r="4004" spans="1:10" ht="12.5" x14ac:dyDescent="0.25">
      <c r="A4004" s="1">
        <v>45847</v>
      </c>
      <c r="B4004" s="2" t="s">
        <v>10</v>
      </c>
      <c r="C4004" s="2" t="s">
        <v>6</v>
      </c>
      <c r="D4004" s="2" t="s">
        <v>6</v>
      </c>
      <c r="E4004" s="3">
        <v>107.99000000000001</v>
      </c>
      <c r="F4004" t="str">
        <f t="shared" si="314"/>
        <v>marketing</v>
      </c>
      <c r="G4004" s="7" t="s">
        <v>6</v>
      </c>
      <c r="H4004">
        <f t="shared" si="316"/>
        <v>2025</v>
      </c>
      <c r="I4004">
        <f t="shared" si="317"/>
        <v>7</v>
      </c>
      <c r="J4004">
        <f t="shared" si="318"/>
        <v>-925.97</v>
      </c>
    </row>
    <row r="4005" spans="1:10" ht="12.5" x14ac:dyDescent="0.25">
      <c r="A4005" s="1">
        <v>45847</v>
      </c>
      <c r="B4005" s="2" t="s">
        <v>11</v>
      </c>
      <c r="C4005" s="3">
        <v>9.99</v>
      </c>
      <c r="D4005" s="3">
        <v>50</v>
      </c>
      <c r="E4005" s="3">
        <v>499.5</v>
      </c>
      <c r="F4005" t="str">
        <f t="shared" si="314"/>
        <v>net sales</v>
      </c>
      <c r="G4005" s="7" t="str">
        <f t="shared" si="315"/>
        <v>product 1</v>
      </c>
      <c r="H4005">
        <f t="shared" si="316"/>
        <v>2025</v>
      </c>
      <c r="I4005">
        <f t="shared" si="317"/>
        <v>7</v>
      </c>
      <c r="J4005">
        <f t="shared" si="318"/>
        <v>-107</v>
      </c>
    </row>
    <row r="4006" spans="1:10" ht="12.5" x14ac:dyDescent="0.25">
      <c r="A4006" s="1">
        <v>45847</v>
      </c>
      <c r="B4006" s="2" t="s">
        <v>12</v>
      </c>
      <c r="C4006" s="3">
        <v>24.99</v>
      </c>
      <c r="D4006" s="3">
        <v>5</v>
      </c>
      <c r="E4006" s="3">
        <v>124.94999999999999</v>
      </c>
      <c r="F4006" t="str">
        <f t="shared" si="314"/>
        <v>net sales</v>
      </c>
      <c r="G4006" s="7" t="str">
        <f t="shared" si="315"/>
        <v>product 2</v>
      </c>
      <c r="H4006">
        <f t="shared" si="316"/>
        <v>2025</v>
      </c>
      <c r="I4006">
        <f t="shared" si="317"/>
        <v>7</v>
      </c>
      <c r="J4006">
        <f t="shared" si="318"/>
        <v>189.81</v>
      </c>
    </row>
    <row r="4007" spans="1:10" ht="12.5" x14ac:dyDescent="0.25">
      <c r="A4007" s="1">
        <v>45847</v>
      </c>
      <c r="B4007" s="2" t="s">
        <v>13</v>
      </c>
      <c r="C4007" s="3">
        <v>12.49</v>
      </c>
      <c r="D4007" s="3">
        <v>204</v>
      </c>
      <c r="E4007" s="3">
        <v>2547.96</v>
      </c>
      <c r="F4007" t="str">
        <f t="shared" si="314"/>
        <v>net sales</v>
      </c>
      <c r="G4007" s="7" t="str">
        <f t="shared" si="315"/>
        <v>product 3</v>
      </c>
      <c r="H4007">
        <f t="shared" si="316"/>
        <v>2025</v>
      </c>
      <c r="I4007">
        <f t="shared" si="317"/>
        <v>7</v>
      </c>
      <c r="J4007">
        <f t="shared" si="318"/>
        <v>49.98</v>
      </c>
    </row>
    <row r="4008" spans="1:10" ht="12.5" x14ac:dyDescent="0.25">
      <c r="A4008" s="1">
        <v>45848</v>
      </c>
      <c r="B4008" s="2" t="s">
        <v>7</v>
      </c>
      <c r="C4008" s="3">
        <v>5.49</v>
      </c>
      <c r="D4008" s="3">
        <v>52</v>
      </c>
      <c r="E4008" s="3">
        <v>285.48</v>
      </c>
      <c r="F4008" t="str">
        <f t="shared" si="314"/>
        <v>cogs</v>
      </c>
      <c r="G4008" s="7" t="str">
        <f t="shared" si="315"/>
        <v>product 1</v>
      </c>
      <c r="H4008">
        <f t="shared" si="316"/>
        <v>2025</v>
      </c>
      <c r="I4008">
        <f t="shared" si="317"/>
        <v>7</v>
      </c>
      <c r="J4008">
        <f t="shared" si="318"/>
        <v>1286.47</v>
      </c>
    </row>
    <row r="4009" spans="1:10" ht="12.5" x14ac:dyDescent="0.25">
      <c r="A4009" s="1">
        <v>45848</v>
      </c>
      <c r="B4009" s="2" t="s">
        <v>8</v>
      </c>
      <c r="C4009" s="3">
        <v>19.989999999999998</v>
      </c>
      <c r="D4009" s="3">
        <v>6</v>
      </c>
      <c r="E4009" s="3">
        <v>119.94</v>
      </c>
      <c r="F4009" t="str">
        <f t="shared" si="314"/>
        <v>cogs</v>
      </c>
      <c r="G4009" s="7" t="str">
        <f t="shared" si="315"/>
        <v>product 2</v>
      </c>
      <c r="H4009">
        <f t="shared" si="316"/>
        <v>2025</v>
      </c>
      <c r="I4009">
        <f t="shared" si="317"/>
        <v>7</v>
      </c>
      <c r="J4009">
        <f t="shared" si="318"/>
        <v>-258.03000000000003</v>
      </c>
    </row>
    <row r="4010" spans="1:10" ht="12.5" x14ac:dyDescent="0.25">
      <c r="A4010" s="1">
        <v>45848</v>
      </c>
      <c r="B4010" s="2" t="s">
        <v>9</v>
      </c>
      <c r="C4010" s="3">
        <v>8.99</v>
      </c>
      <c r="D4010" s="3">
        <v>0</v>
      </c>
      <c r="E4010" s="2">
        <f>C4010*D4010</f>
        <v>0</v>
      </c>
      <c r="F4010" t="str">
        <f t="shared" si="314"/>
        <v>cogs</v>
      </c>
      <c r="G4010" s="7" t="str">
        <f t="shared" si="315"/>
        <v>product 3</v>
      </c>
      <c r="H4010">
        <f t="shared" si="316"/>
        <v>2025</v>
      </c>
      <c r="I4010">
        <f t="shared" si="317"/>
        <v>7</v>
      </c>
      <c r="J4010">
        <f t="shared" si="318"/>
        <v>-119.94</v>
      </c>
    </row>
    <row r="4011" spans="1:10" ht="12.5" x14ac:dyDescent="0.25">
      <c r="A4011" s="1">
        <v>45848</v>
      </c>
      <c r="B4011" s="2" t="s">
        <v>10</v>
      </c>
      <c r="C4011" s="2" t="s">
        <v>6</v>
      </c>
      <c r="D4011" s="2" t="s">
        <v>6</v>
      </c>
      <c r="E4011" s="3">
        <v>100.02</v>
      </c>
      <c r="F4011" t="str">
        <f t="shared" si="314"/>
        <v>marketing</v>
      </c>
      <c r="G4011" s="7" t="s">
        <v>6</v>
      </c>
      <c r="H4011">
        <f t="shared" si="316"/>
        <v>2025</v>
      </c>
      <c r="I4011">
        <f t="shared" si="317"/>
        <v>7</v>
      </c>
      <c r="J4011">
        <f t="shared" si="318"/>
        <v>-665.26</v>
      </c>
    </row>
    <row r="4012" spans="1:10" ht="12.5" x14ac:dyDescent="0.25">
      <c r="A4012" s="1">
        <v>45848</v>
      </c>
      <c r="B4012" s="2" t="s">
        <v>11</v>
      </c>
      <c r="C4012" s="3">
        <v>9.99</v>
      </c>
      <c r="D4012" s="3">
        <v>52</v>
      </c>
      <c r="E4012" s="3">
        <v>519.48</v>
      </c>
      <c r="F4012" t="str">
        <f t="shared" si="314"/>
        <v>net sales</v>
      </c>
      <c r="G4012" s="7" t="str">
        <f t="shared" si="315"/>
        <v>product 1</v>
      </c>
      <c r="H4012">
        <f t="shared" si="316"/>
        <v>2025</v>
      </c>
      <c r="I4012">
        <f t="shared" si="317"/>
        <v>7</v>
      </c>
      <c r="J4012">
        <f t="shared" si="318"/>
        <v>-105.09</v>
      </c>
    </row>
    <row r="4013" spans="1:10" ht="12.5" x14ac:dyDescent="0.25">
      <c r="A4013" s="1">
        <v>45848</v>
      </c>
      <c r="B4013" s="2" t="s">
        <v>12</v>
      </c>
      <c r="C4013" s="3">
        <v>24.99</v>
      </c>
      <c r="D4013" s="3">
        <v>6</v>
      </c>
      <c r="E4013" s="3">
        <v>149.94</v>
      </c>
      <c r="F4013" t="str">
        <f t="shared" si="314"/>
        <v>net sales</v>
      </c>
      <c r="G4013" s="7" t="str">
        <f t="shared" si="315"/>
        <v>product 2</v>
      </c>
      <c r="H4013">
        <f t="shared" si="316"/>
        <v>2025</v>
      </c>
      <c r="I4013">
        <f t="shared" si="317"/>
        <v>7</v>
      </c>
      <c r="J4013">
        <f t="shared" si="318"/>
        <v>469.53000000000003</v>
      </c>
    </row>
    <row r="4014" spans="1:10" ht="12.5" x14ac:dyDescent="0.25">
      <c r="A4014" s="1">
        <v>45848</v>
      </c>
      <c r="B4014" s="2" t="s">
        <v>13</v>
      </c>
      <c r="C4014" s="3">
        <v>12.49</v>
      </c>
      <c r="D4014" s="3">
        <v>0</v>
      </c>
      <c r="E4014" s="2">
        <f>C4014*D4014</f>
        <v>0</v>
      </c>
      <c r="F4014" t="str">
        <f t="shared" si="314"/>
        <v>net sales</v>
      </c>
      <c r="G4014" s="7" t="str">
        <f t="shared" si="315"/>
        <v>product 3</v>
      </c>
      <c r="H4014">
        <f t="shared" si="316"/>
        <v>2025</v>
      </c>
      <c r="I4014">
        <f t="shared" si="317"/>
        <v>7</v>
      </c>
      <c r="J4014">
        <f t="shared" si="318"/>
        <v>149.94</v>
      </c>
    </row>
    <row r="4015" spans="1:10" ht="12.5" x14ac:dyDescent="0.25">
      <c r="A4015" s="1">
        <v>45849</v>
      </c>
      <c r="B4015" s="2" t="s">
        <v>7</v>
      </c>
      <c r="C4015" s="3">
        <v>5.49</v>
      </c>
      <c r="D4015" s="3">
        <v>12</v>
      </c>
      <c r="E4015" s="3">
        <v>65.88</v>
      </c>
      <c r="F4015" t="str">
        <f t="shared" si="314"/>
        <v>cogs</v>
      </c>
      <c r="G4015" s="7" t="str">
        <f t="shared" si="315"/>
        <v>product 1</v>
      </c>
      <c r="H4015">
        <f t="shared" si="316"/>
        <v>2025</v>
      </c>
      <c r="I4015">
        <f t="shared" si="317"/>
        <v>7</v>
      </c>
      <c r="J4015">
        <f t="shared" si="318"/>
        <v>924.26</v>
      </c>
    </row>
    <row r="4016" spans="1:10" ht="12.5" x14ac:dyDescent="0.25">
      <c r="A4016" s="1">
        <v>45849</v>
      </c>
      <c r="B4016" s="2" t="s">
        <v>8</v>
      </c>
      <c r="C4016" s="3">
        <v>19.989999999999998</v>
      </c>
      <c r="D4016" s="3">
        <v>6</v>
      </c>
      <c r="E4016" s="3">
        <v>119.94</v>
      </c>
      <c r="F4016" t="str">
        <f t="shared" si="314"/>
        <v>cogs</v>
      </c>
      <c r="G4016" s="7" t="str">
        <f t="shared" si="315"/>
        <v>product 2</v>
      </c>
      <c r="H4016">
        <f t="shared" si="316"/>
        <v>2025</v>
      </c>
      <c r="I4016">
        <f t="shared" si="317"/>
        <v>7</v>
      </c>
      <c r="J4016">
        <f t="shared" si="318"/>
        <v>-417.24</v>
      </c>
    </row>
    <row r="4017" spans="1:10" ht="12.5" x14ac:dyDescent="0.25">
      <c r="A4017" s="1">
        <v>45849</v>
      </c>
      <c r="B4017" s="2" t="s">
        <v>9</v>
      </c>
      <c r="C4017" s="3">
        <v>8.99</v>
      </c>
      <c r="D4017" s="3">
        <v>15</v>
      </c>
      <c r="E4017" s="3">
        <v>134.85</v>
      </c>
      <c r="F4017" t="str">
        <f t="shared" si="314"/>
        <v>cogs</v>
      </c>
      <c r="G4017" s="7" t="str">
        <f t="shared" si="315"/>
        <v>product 3</v>
      </c>
      <c r="H4017">
        <f t="shared" si="316"/>
        <v>2025</v>
      </c>
      <c r="I4017">
        <f t="shared" si="317"/>
        <v>7</v>
      </c>
      <c r="J4017">
        <f t="shared" si="318"/>
        <v>-59.97</v>
      </c>
    </row>
    <row r="4018" spans="1:10" ht="12.5" x14ac:dyDescent="0.25">
      <c r="A4018" s="1">
        <v>45849</v>
      </c>
      <c r="B4018" s="2" t="s">
        <v>10</v>
      </c>
      <c r="C4018" s="2" t="s">
        <v>6</v>
      </c>
      <c r="D4018" s="2" t="s">
        <v>6</v>
      </c>
      <c r="E4018" s="3">
        <v>106.93</v>
      </c>
      <c r="F4018" t="str">
        <f t="shared" si="314"/>
        <v>marketing</v>
      </c>
      <c r="G4018" s="7" t="s">
        <v>6</v>
      </c>
      <c r="H4018">
        <f t="shared" si="316"/>
        <v>2025</v>
      </c>
      <c r="I4018">
        <f t="shared" si="317"/>
        <v>7</v>
      </c>
      <c r="J4018">
        <f t="shared" si="318"/>
        <v>-1006.88</v>
      </c>
    </row>
    <row r="4019" spans="1:10" ht="12.5" x14ac:dyDescent="0.25">
      <c r="A4019" s="1">
        <v>45849</v>
      </c>
      <c r="B4019" s="2" t="s">
        <v>11</v>
      </c>
      <c r="C4019" s="3">
        <v>9.99</v>
      </c>
      <c r="D4019" s="3">
        <v>12</v>
      </c>
      <c r="E4019" s="3">
        <v>119.88</v>
      </c>
      <c r="F4019" t="str">
        <f t="shared" si="314"/>
        <v>net sales</v>
      </c>
      <c r="G4019" s="7" t="str">
        <f t="shared" si="315"/>
        <v>product 1</v>
      </c>
      <c r="H4019">
        <f t="shared" si="316"/>
        <v>2025</v>
      </c>
      <c r="I4019">
        <f t="shared" si="317"/>
        <v>7</v>
      </c>
      <c r="J4019">
        <f t="shared" si="318"/>
        <v>-116.91</v>
      </c>
    </row>
    <row r="4020" spans="1:10" ht="12.5" x14ac:dyDescent="0.25">
      <c r="A4020" s="1">
        <v>45849</v>
      </c>
      <c r="B4020" s="2" t="s">
        <v>12</v>
      </c>
      <c r="C4020" s="3">
        <v>24.99</v>
      </c>
      <c r="D4020" s="3">
        <v>6</v>
      </c>
      <c r="E4020" s="3">
        <v>149.94</v>
      </c>
      <c r="F4020" t="str">
        <f t="shared" si="314"/>
        <v>net sales</v>
      </c>
      <c r="G4020" s="7" t="str">
        <f t="shared" si="315"/>
        <v>product 2</v>
      </c>
      <c r="H4020">
        <f t="shared" si="316"/>
        <v>2025</v>
      </c>
      <c r="I4020">
        <f t="shared" si="317"/>
        <v>7</v>
      </c>
      <c r="J4020">
        <f t="shared" si="318"/>
        <v>759.24</v>
      </c>
    </row>
    <row r="4021" spans="1:10" ht="12.5" x14ac:dyDescent="0.25">
      <c r="A4021" s="1">
        <v>45849</v>
      </c>
      <c r="B4021" s="2" t="s">
        <v>13</v>
      </c>
      <c r="C4021" s="3">
        <v>12.49</v>
      </c>
      <c r="D4021" s="3">
        <v>15</v>
      </c>
      <c r="E4021" s="3">
        <v>187.35</v>
      </c>
      <c r="F4021" t="str">
        <f t="shared" si="314"/>
        <v>net sales</v>
      </c>
      <c r="G4021" s="7" t="str">
        <f t="shared" si="315"/>
        <v>product 3</v>
      </c>
      <c r="H4021">
        <f t="shared" si="316"/>
        <v>2025</v>
      </c>
      <c r="I4021">
        <f t="shared" si="317"/>
        <v>7</v>
      </c>
      <c r="J4021">
        <f t="shared" si="318"/>
        <v>74.97</v>
      </c>
    </row>
    <row r="4022" spans="1:10" ht="12.5" x14ac:dyDescent="0.25">
      <c r="A4022" s="1">
        <v>45850</v>
      </c>
      <c r="B4022" s="2" t="s">
        <v>7</v>
      </c>
      <c r="C4022" s="3">
        <v>5.49</v>
      </c>
      <c r="D4022" s="3">
        <v>76</v>
      </c>
      <c r="E4022" s="3">
        <v>417.24</v>
      </c>
      <c r="F4022" t="str">
        <f t="shared" si="314"/>
        <v>cogs</v>
      </c>
      <c r="G4022" s="7" t="str">
        <f t="shared" si="315"/>
        <v>product 1</v>
      </c>
      <c r="H4022">
        <f t="shared" si="316"/>
        <v>2025</v>
      </c>
      <c r="I4022">
        <f t="shared" si="317"/>
        <v>7</v>
      </c>
      <c r="J4022">
        <f t="shared" si="318"/>
        <v>1398.88</v>
      </c>
    </row>
    <row r="4023" spans="1:10" ht="12.5" x14ac:dyDescent="0.25">
      <c r="A4023" s="1">
        <v>45850</v>
      </c>
      <c r="B4023" s="2" t="s">
        <v>8</v>
      </c>
      <c r="C4023" s="3">
        <v>19.989999999999998</v>
      </c>
      <c r="D4023" s="3">
        <v>1</v>
      </c>
      <c r="E4023" s="3">
        <v>19.989999999999998</v>
      </c>
      <c r="F4023" t="str">
        <f t="shared" si="314"/>
        <v>cogs</v>
      </c>
      <c r="G4023" s="7" t="str">
        <f t="shared" si="315"/>
        <v>product 2</v>
      </c>
      <c r="H4023">
        <f t="shared" si="316"/>
        <v>2025</v>
      </c>
      <c r="I4023">
        <f t="shared" si="317"/>
        <v>7</v>
      </c>
      <c r="J4023">
        <f t="shared" si="318"/>
        <v>-236.07000000000002</v>
      </c>
    </row>
    <row r="4024" spans="1:10" ht="12.5" x14ac:dyDescent="0.25">
      <c r="A4024" s="1">
        <v>45850</v>
      </c>
      <c r="B4024" s="2" t="s">
        <v>9</v>
      </c>
      <c r="C4024" s="3">
        <v>8.99</v>
      </c>
      <c r="D4024" s="3">
        <v>217</v>
      </c>
      <c r="E4024" s="3">
        <v>1950.8300000000002</v>
      </c>
      <c r="F4024" t="str">
        <f t="shared" si="314"/>
        <v>cogs</v>
      </c>
      <c r="G4024" s="7" t="str">
        <f t="shared" si="315"/>
        <v>product 3</v>
      </c>
      <c r="H4024">
        <f t="shared" si="316"/>
        <v>2025</v>
      </c>
      <c r="I4024">
        <f t="shared" si="317"/>
        <v>7</v>
      </c>
      <c r="J4024">
        <f t="shared" si="318"/>
        <v>-159.91999999999999</v>
      </c>
    </row>
    <row r="4025" spans="1:10" ht="12.5" x14ac:dyDescent="0.25">
      <c r="A4025" s="1">
        <v>45850</v>
      </c>
      <c r="B4025" s="2" t="s">
        <v>10</v>
      </c>
      <c r="C4025" s="2" t="s">
        <v>6</v>
      </c>
      <c r="D4025" s="2" t="s">
        <v>6</v>
      </c>
      <c r="E4025" s="3">
        <v>117.92</v>
      </c>
      <c r="F4025" t="str">
        <f t="shared" si="314"/>
        <v>marketing</v>
      </c>
      <c r="G4025" s="7" t="s">
        <v>6</v>
      </c>
      <c r="H4025">
        <f t="shared" si="316"/>
        <v>2025</v>
      </c>
      <c r="I4025">
        <f t="shared" si="317"/>
        <v>7</v>
      </c>
      <c r="J4025">
        <f t="shared" si="318"/>
        <v>-1708.1000000000001</v>
      </c>
    </row>
    <row r="4026" spans="1:10" ht="12.5" x14ac:dyDescent="0.25">
      <c r="A4026" s="1">
        <v>45850</v>
      </c>
      <c r="B4026" s="2" t="s">
        <v>11</v>
      </c>
      <c r="C4026" s="3">
        <v>9.99</v>
      </c>
      <c r="D4026" s="3">
        <v>76</v>
      </c>
      <c r="E4026" s="3">
        <v>759.24</v>
      </c>
      <c r="F4026" t="str">
        <f t="shared" si="314"/>
        <v>net sales</v>
      </c>
      <c r="G4026" s="7" t="str">
        <f t="shared" si="315"/>
        <v>product 1</v>
      </c>
      <c r="H4026">
        <f t="shared" si="316"/>
        <v>2025</v>
      </c>
      <c r="I4026">
        <f t="shared" si="317"/>
        <v>7</v>
      </c>
      <c r="J4026">
        <f t="shared" si="318"/>
        <v>-106.08</v>
      </c>
    </row>
    <row r="4027" spans="1:10" ht="12.5" x14ac:dyDescent="0.25">
      <c r="A4027" s="1">
        <v>45850</v>
      </c>
      <c r="B4027" s="2" t="s">
        <v>12</v>
      </c>
      <c r="C4027" s="3">
        <v>24.99</v>
      </c>
      <c r="D4027" s="3">
        <v>1</v>
      </c>
      <c r="E4027" s="3">
        <v>24.99</v>
      </c>
      <c r="F4027" t="str">
        <f t="shared" si="314"/>
        <v>net sales</v>
      </c>
      <c r="G4027" s="7" t="str">
        <f t="shared" si="315"/>
        <v>product 2</v>
      </c>
      <c r="H4027">
        <f t="shared" si="316"/>
        <v>2025</v>
      </c>
      <c r="I4027">
        <f t="shared" si="317"/>
        <v>7</v>
      </c>
      <c r="J4027">
        <f t="shared" si="318"/>
        <v>429.57</v>
      </c>
    </row>
    <row r="4028" spans="1:10" ht="12.5" x14ac:dyDescent="0.25">
      <c r="A4028" s="1">
        <v>45850</v>
      </c>
      <c r="B4028" s="2" t="s">
        <v>13</v>
      </c>
      <c r="C4028" s="3">
        <v>12.49</v>
      </c>
      <c r="D4028" s="3">
        <v>217</v>
      </c>
      <c r="E4028" s="3">
        <v>2710.33</v>
      </c>
      <c r="F4028" t="str">
        <f t="shared" si="314"/>
        <v>net sales</v>
      </c>
      <c r="G4028" s="7" t="str">
        <f t="shared" si="315"/>
        <v>product 3</v>
      </c>
      <c r="H4028">
        <f t="shared" si="316"/>
        <v>2025</v>
      </c>
      <c r="I4028">
        <f t="shared" si="317"/>
        <v>7</v>
      </c>
      <c r="J4028">
        <f t="shared" si="318"/>
        <v>199.92</v>
      </c>
    </row>
    <row r="4029" spans="1:10" ht="12.5" x14ac:dyDescent="0.25">
      <c r="A4029" s="1">
        <v>45851</v>
      </c>
      <c r="B4029" s="2" t="s">
        <v>7</v>
      </c>
      <c r="C4029" s="3">
        <v>5.49</v>
      </c>
      <c r="D4029" s="3">
        <v>68</v>
      </c>
      <c r="E4029" s="3">
        <v>373.32</v>
      </c>
      <c r="F4029" t="str">
        <f t="shared" si="314"/>
        <v>cogs</v>
      </c>
      <c r="G4029" s="7" t="str">
        <f t="shared" si="315"/>
        <v>product 1</v>
      </c>
      <c r="H4029">
        <f t="shared" si="316"/>
        <v>2025</v>
      </c>
      <c r="I4029">
        <f t="shared" si="317"/>
        <v>7</v>
      </c>
      <c r="J4029">
        <f t="shared" si="318"/>
        <v>2373.1</v>
      </c>
    </row>
    <row r="4030" spans="1:10" ht="12.5" x14ac:dyDescent="0.25">
      <c r="A4030" s="1">
        <v>45851</v>
      </c>
      <c r="B4030" s="2" t="s">
        <v>8</v>
      </c>
      <c r="C4030" s="3">
        <v>19.989999999999998</v>
      </c>
      <c r="D4030" s="3">
        <v>7</v>
      </c>
      <c r="E4030" s="3">
        <v>139.92999999999998</v>
      </c>
      <c r="F4030" t="str">
        <f t="shared" si="314"/>
        <v>cogs</v>
      </c>
      <c r="G4030" s="7" t="str">
        <f t="shared" si="315"/>
        <v>product 2</v>
      </c>
      <c r="H4030">
        <f t="shared" si="316"/>
        <v>2025</v>
      </c>
      <c r="I4030">
        <f t="shared" si="317"/>
        <v>7</v>
      </c>
      <c r="J4030">
        <f t="shared" si="318"/>
        <v>-406.26</v>
      </c>
    </row>
    <row r="4031" spans="1:10" ht="12.5" x14ac:dyDescent="0.25">
      <c r="A4031" s="1">
        <v>45851</v>
      </c>
      <c r="B4031" s="2" t="s">
        <v>9</v>
      </c>
      <c r="C4031" s="3">
        <v>8.99</v>
      </c>
      <c r="D4031" s="3">
        <v>14</v>
      </c>
      <c r="E4031" s="3">
        <v>125.86</v>
      </c>
      <c r="F4031" t="str">
        <f t="shared" si="314"/>
        <v>cogs</v>
      </c>
      <c r="G4031" s="7" t="str">
        <f t="shared" si="315"/>
        <v>product 3</v>
      </c>
      <c r="H4031">
        <f t="shared" si="316"/>
        <v>2025</v>
      </c>
      <c r="I4031">
        <f t="shared" si="317"/>
        <v>7</v>
      </c>
      <c r="J4031">
        <f t="shared" si="318"/>
        <v>-59.97</v>
      </c>
    </row>
    <row r="4032" spans="1:10" ht="12.5" x14ac:dyDescent="0.25">
      <c r="A4032" s="1">
        <v>45851</v>
      </c>
      <c r="B4032" s="2" t="s">
        <v>10</v>
      </c>
      <c r="C4032" s="2" t="s">
        <v>6</v>
      </c>
      <c r="D4032" s="2" t="s">
        <v>6</v>
      </c>
      <c r="E4032" s="3">
        <v>106.09</v>
      </c>
      <c r="F4032" t="str">
        <f t="shared" si="314"/>
        <v>marketing</v>
      </c>
      <c r="G4032" s="7" t="s">
        <v>6</v>
      </c>
      <c r="H4032">
        <f t="shared" si="316"/>
        <v>2025</v>
      </c>
      <c r="I4032">
        <f t="shared" si="317"/>
        <v>7</v>
      </c>
      <c r="J4032">
        <f t="shared" si="318"/>
        <v>0</v>
      </c>
    </row>
    <row r="4033" spans="1:10" ht="12.5" x14ac:dyDescent="0.25">
      <c r="A4033" s="1">
        <v>45851</v>
      </c>
      <c r="B4033" s="2" t="s">
        <v>11</v>
      </c>
      <c r="C4033" s="3">
        <v>9.99</v>
      </c>
      <c r="D4033" s="3">
        <v>68</v>
      </c>
      <c r="E4033" s="3">
        <v>679.32</v>
      </c>
      <c r="F4033" t="str">
        <f t="shared" si="314"/>
        <v>net sales</v>
      </c>
      <c r="G4033" s="7" t="str">
        <f t="shared" si="315"/>
        <v>product 1</v>
      </c>
      <c r="H4033">
        <f t="shared" si="316"/>
        <v>2025</v>
      </c>
      <c r="I4033">
        <f t="shared" si="317"/>
        <v>7</v>
      </c>
      <c r="J4033">
        <f t="shared" si="318"/>
        <v>-110.08</v>
      </c>
    </row>
    <row r="4034" spans="1:10" ht="12.5" x14ac:dyDescent="0.25">
      <c r="A4034" s="1">
        <v>45851</v>
      </c>
      <c r="B4034" s="2" t="s">
        <v>12</v>
      </c>
      <c r="C4034" s="3">
        <v>24.99</v>
      </c>
      <c r="D4034" s="3">
        <v>7</v>
      </c>
      <c r="E4034" s="3">
        <v>174.92999999999998</v>
      </c>
      <c r="F4034" t="str">
        <f t="shared" si="314"/>
        <v>net sales</v>
      </c>
      <c r="G4034" s="7" t="str">
        <f t="shared" si="315"/>
        <v>product 2</v>
      </c>
      <c r="H4034">
        <f t="shared" si="316"/>
        <v>2025</v>
      </c>
      <c r="I4034">
        <f t="shared" si="317"/>
        <v>7</v>
      </c>
      <c r="J4034">
        <f t="shared" si="318"/>
        <v>739.26</v>
      </c>
    </row>
    <row r="4035" spans="1:10" ht="12.5" x14ac:dyDescent="0.25">
      <c r="A4035" s="1">
        <v>45851</v>
      </c>
      <c r="B4035" s="2" t="s">
        <v>13</v>
      </c>
      <c r="C4035" s="3">
        <v>12.49</v>
      </c>
      <c r="D4035" s="3">
        <v>14</v>
      </c>
      <c r="E4035" s="3">
        <v>174.86</v>
      </c>
      <c r="F4035" t="str">
        <f t="shared" ref="F4035:F4098" si="319">IFERROR(LEFT(B4035,FIND(":",B4035)-1),B4035)</f>
        <v>net sales</v>
      </c>
      <c r="G4035" s="7" t="str">
        <f t="shared" ref="G4035:G4097" si="320">IFERROR(RIGHT(B4035,LEN(B4035)-FIND(":",B4035)),"")</f>
        <v>product 3</v>
      </c>
      <c r="H4035">
        <f t="shared" ref="H4035:H4098" si="321">YEAR(A4035)</f>
        <v>2025</v>
      </c>
      <c r="I4035">
        <f t="shared" ref="I4035:I4098" si="322">MONTH(A4035)</f>
        <v>7</v>
      </c>
      <c r="J4035">
        <f t="shared" si="318"/>
        <v>74.97</v>
      </c>
    </row>
    <row r="4036" spans="1:10" ht="12.5" x14ac:dyDescent="0.25">
      <c r="A4036" s="1">
        <v>45852</v>
      </c>
      <c r="B4036" s="2" t="s">
        <v>7</v>
      </c>
      <c r="C4036" s="3">
        <v>5.49</v>
      </c>
      <c r="D4036" s="3">
        <v>86</v>
      </c>
      <c r="E4036" s="3">
        <v>472.14000000000004</v>
      </c>
      <c r="F4036" t="str">
        <f t="shared" si="319"/>
        <v>cogs</v>
      </c>
      <c r="G4036" s="7" t="str">
        <f t="shared" si="320"/>
        <v>product 1</v>
      </c>
      <c r="H4036">
        <f t="shared" si="321"/>
        <v>2025</v>
      </c>
      <c r="I4036">
        <f t="shared" si="322"/>
        <v>7</v>
      </c>
      <c r="J4036">
        <f t="shared" si="318"/>
        <v>0</v>
      </c>
    </row>
    <row r="4037" spans="1:10" ht="12.5" x14ac:dyDescent="0.25">
      <c r="A4037" s="1">
        <v>45852</v>
      </c>
      <c r="B4037" s="2" t="s">
        <v>8</v>
      </c>
      <c r="C4037" s="3">
        <v>19.989999999999998</v>
      </c>
      <c r="D4037" s="3">
        <v>5</v>
      </c>
      <c r="E4037" s="3">
        <v>99.949999999999989</v>
      </c>
      <c r="F4037" t="str">
        <f t="shared" si="319"/>
        <v>cogs</v>
      </c>
      <c r="G4037" s="7" t="str">
        <f t="shared" si="320"/>
        <v>product 2</v>
      </c>
      <c r="H4037">
        <f t="shared" si="321"/>
        <v>2025</v>
      </c>
      <c r="I4037">
        <f t="shared" si="322"/>
        <v>7</v>
      </c>
      <c r="J4037">
        <f t="shared" si="318"/>
        <v>-181.17000000000002</v>
      </c>
    </row>
    <row r="4038" spans="1:10" ht="12.5" x14ac:dyDescent="0.25">
      <c r="A4038" s="1">
        <v>45852</v>
      </c>
      <c r="B4038" s="2" t="s">
        <v>9</v>
      </c>
      <c r="C4038" s="3">
        <v>8.99</v>
      </c>
      <c r="D4038" s="3">
        <v>100</v>
      </c>
      <c r="E4038" s="3">
        <v>899</v>
      </c>
      <c r="F4038" t="str">
        <f t="shared" si="319"/>
        <v>cogs</v>
      </c>
      <c r="G4038" s="7" t="str">
        <f t="shared" si="320"/>
        <v>product 3</v>
      </c>
      <c r="H4038">
        <f t="shared" si="321"/>
        <v>2025</v>
      </c>
      <c r="I4038">
        <f t="shared" si="322"/>
        <v>7</v>
      </c>
      <c r="J4038">
        <f t="shared" si="318"/>
        <v>-19.989999999999998</v>
      </c>
    </row>
    <row r="4039" spans="1:10" ht="12.5" x14ac:dyDescent="0.25">
      <c r="A4039" s="1">
        <v>45852</v>
      </c>
      <c r="B4039" s="2" t="s">
        <v>10</v>
      </c>
      <c r="C4039" s="2" t="s">
        <v>6</v>
      </c>
      <c r="D4039" s="2" t="s">
        <v>6</v>
      </c>
      <c r="E4039" s="3">
        <v>103.10000000000001</v>
      </c>
      <c r="F4039" t="str">
        <f t="shared" si="319"/>
        <v>marketing</v>
      </c>
      <c r="G4039" s="7" t="s">
        <v>6</v>
      </c>
      <c r="H4039">
        <f t="shared" si="321"/>
        <v>2025</v>
      </c>
      <c r="I4039">
        <f t="shared" si="322"/>
        <v>7</v>
      </c>
      <c r="J4039">
        <f t="shared" si="318"/>
        <v>-692.23</v>
      </c>
    </row>
    <row r="4040" spans="1:10" ht="12.5" x14ac:dyDescent="0.25">
      <c r="A4040" s="1">
        <v>45852</v>
      </c>
      <c r="B4040" s="2" t="s">
        <v>11</v>
      </c>
      <c r="C4040" s="3">
        <v>9.99</v>
      </c>
      <c r="D4040" s="3">
        <v>86</v>
      </c>
      <c r="E4040" s="3">
        <v>859.14</v>
      </c>
      <c r="F4040" t="str">
        <f t="shared" si="319"/>
        <v>net sales</v>
      </c>
      <c r="G4040" s="7" t="str">
        <f t="shared" si="320"/>
        <v>product 1</v>
      </c>
      <c r="H4040">
        <f t="shared" si="321"/>
        <v>2025</v>
      </c>
      <c r="I4040">
        <f t="shared" si="322"/>
        <v>7</v>
      </c>
      <c r="J4040">
        <f t="shared" si="318"/>
        <v>-114.07000000000001</v>
      </c>
    </row>
    <row r="4041" spans="1:10" ht="12.5" x14ac:dyDescent="0.25">
      <c r="A4041" s="1">
        <v>45852</v>
      </c>
      <c r="B4041" s="2" t="s">
        <v>12</v>
      </c>
      <c r="C4041" s="3">
        <v>24.99</v>
      </c>
      <c r="D4041" s="3">
        <v>5</v>
      </c>
      <c r="E4041" s="3">
        <v>124.94999999999999</v>
      </c>
      <c r="F4041" t="str">
        <f t="shared" si="319"/>
        <v>net sales</v>
      </c>
      <c r="G4041" s="7" t="str">
        <f t="shared" si="320"/>
        <v>product 2</v>
      </c>
      <c r="H4041">
        <f t="shared" si="321"/>
        <v>2025</v>
      </c>
      <c r="I4041">
        <f t="shared" si="322"/>
        <v>7</v>
      </c>
      <c r="J4041">
        <f t="shared" si="318"/>
        <v>329.67</v>
      </c>
    </row>
    <row r="4042" spans="1:10" ht="12.5" x14ac:dyDescent="0.25">
      <c r="A4042" s="1">
        <v>45852</v>
      </c>
      <c r="B4042" s="2" t="s">
        <v>13</v>
      </c>
      <c r="C4042" s="3">
        <v>12.49</v>
      </c>
      <c r="D4042" s="3">
        <v>100</v>
      </c>
      <c r="E4042" s="3">
        <v>1249</v>
      </c>
      <c r="F4042" t="str">
        <f t="shared" si="319"/>
        <v>net sales</v>
      </c>
      <c r="G4042" s="7" t="str">
        <f t="shared" si="320"/>
        <v>product 3</v>
      </c>
      <c r="H4042">
        <f t="shared" si="321"/>
        <v>2025</v>
      </c>
      <c r="I4042">
        <f t="shared" si="322"/>
        <v>7</v>
      </c>
      <c r="J4042">
        <f t="shared" si="318"/>
        <v>24.99</v>
      </c>
    </row>
    <row r="4043" spans="1:10" ht="12.5" x14ac:dyDescent="0.25">
      <c r="A4043" s="1">
        <v>45853</v>
      </c>
      <c r="B4043" s="2" t="s">
        <v>7</v>
      </c>
      <c r="C4043" s="3">
        <v>5.49</v>
      </c>
      <c r="D4043" s="3">
        <v>18</v>
      </c>
      <c r="E4043" s="3">
        <v>98.820000000000007</v>
      </c>
      <c r="F4043" t="str">
        <f t="shared" si="319"/>
        <v>cogs</v>
      </c>
      <c r="G4043" s="7" t="str">
        <f t="shared" si="320"/>
        <v>product 1</v>
      </c>
      <c r="H4043">
        <f t="shared" si="321"/>
        <v>2025</v>
      </c>
      <c r="I4043">
        <f t="shared" si="322"/>
        <v>7</v>
      </c>
      <c r="J4043">
        <f t="shared" si="318"/>
        <v>961.73</v>
      </c>
    </row>
    <row r="4044" spans="1:10" ht="12.5" x14ac:dyDescent="0.25">
      <c r="A4044" s="1">
        <v>45853</v>
      </c>
      <c r="B4044" s="2" t="s">
        <v>8</v>
      </c>
      <c r="C4044" s="3">
        <v>19.989999999999998</v>
      </c>
      <c r="D4044" s="3">
        <v>4</v>
      </c>
      <c r="E4044" s="3">
        <v>79.959999999999994</v>
      </c>
      <c r="F4044" t="str">
        <f t="shared" si="319"/>
        <v>cogs</v>
      </c>
      <c r="G4044" s="7" t="str">
        <f t="shared" si="320"/>
        <v>product 2</v>
      </c>
      <c r="H4044">
        <f t="shared" si="321"/>
        <v>2025</v>
      </c>
      <c r="I4044">
        <f t="shared" si="322"/>
        <v>7</v>
      </c>
      <c r="J4044">
        <f t="shared" si="318"/>
        <v>-203.13</v>
      </c>
    </row>
    <row r="4045" spans="1:10" ht="12.5" x14ac:dyDescent="0.25">
      <c r="A4045" s="1">
        <v>45853</v>
      </c>
      <c r="B4045" s="2" t="s">
        <v>9</v>
      </c>
      <c r="C4045" s="3">
        <v>8.99</v>
      </c>
      <c r="D4045" s="3">
        <v>23</v>
      </c>
      <c r="E4045" s="3">
        <v>206.77</v>
      </c>
      <c r="F4045" t="str">
        <f t="shared" si="319"/>
        <v>cogs</v>
      </c>
      <c r="G4045" s="7" t="str">
        <f t="shared" si="320"/>
        <v>product 3</v>
      </c>
      <c r="H4045">
        <f t="shared" si="321"/>
        <v>2025</v>
      </c>
      <c r="I4045">
        <f t="shared" si="322"/>
        <v>7</v>
      </c>
      <c r="J4045">
        <f t="shared" si="318"/>
        <v>-19.989999999999998</v>
      </c>
    </row>
    <row r="4046" spans="1:10" ht="12.5" x14ac:dyDescent="0.25">
      <c r="A4046" s="1">
        <v>45853</v>
      </c>
      <c r="B4046" s="2" t="s">
        <v>16</v>
      </c>
      <c r="C4046" s="2" t="s">
        <v>6</v>
      </c>
      <c r="D4046" s="2" t="s">
        <v>6</v>
      </c>
      <c r="E4046" s="3">
        <v>1233</v>
      </c>
      <c r="F4046" t="str">
        <f t="shared" si="319"/>
        <v>interest</v>
      </c>
      <c r="G4046" s="7" t="s">
        <v>6</v>
      </c>
      <c r="H4046">
        <f t="shared" si="321"/>
        <v>2025</v>
      </c>
      <c r="I4046">
        <f t="shared" si="322"/>
        <v>7</v>
      </c>
      <c r="J4046">
        <f t="shared" si="318"/>
        <v>-107.88</v>
      </c>
    </row>
    <row r="4047" spans="1:10" ht="12.5" x14ac:dyDescent="0.25">
      <c r="A4047" s="1">
        <v>45853</v>
      </c>
      <c r="B4047" s="2" t="s">
        <v>10</v>
      </c>
      <c r="C4047" s="2" t="s">
        <v>6</v>
      </c>
      <c r="D4047" s="2" t="s">
        <v>6</v>
      </c>
      <c r="E4047" s="3">
        <v>108.02</v>
      </c>
      <c r="F4047" t="str">
        <f t="shared" si="319"/>
        <v>marketing</v>
      </c>
      <c r="G4047" s="7" t="s">
        <v>6</v>
      </c>
      <c r="H4047">
        <f t="shared" si="321"/>
        <v>2025</v>
      </c>
      <c r="I4047">
        <f t="shared" si="322"/>
        <v>7</v>
      </c>
      <c r="J4047">
        <f t="shared" si="318"/>
        <v>-1260.8</v>
      </c>
    </row>
    <row r="4048" spans="1:10" ht="12.5" x14ac:dyDescent="0.25">
      <c r="A4048" s="1">
        <v>45853</v>
      </c>
      <c r="B4048" s="2" t="s">
        <v>11</v>
      </c>
      <c r="C4048" s="3">
        <v>9.99</v>
      </c>
      <c r="D4048" s="3">
        <v>18</v>
      </c>
      <c r="E4048" s="3">
        <v>179.82</v>
      </c>
      <c r="F4048" t="str">
        <f t="shared" si="319"/>
        <v>net sales</v>
      </c>
      <c r="G4048" s="7" t="str">
        <f t="shared" si="320"/>
        <v>product 1</v>
      </c>
      <c r="H4048">
        <f t="shared" si="321"/>
        <v>2025</v>
      </c>
      <c r="I4048">
        <f t="shared" si="322"/>
        <v>7</v>
      </c>
      <c r="J4048">
        <f t="shared" si="318"/>
        <v>-105.93</v>
      </c>
    </row>
    <row r="4049" spans="1:10" ht="12.5" x14ac:dyDescent="0.25">
      <c r="A4049" s="1">
        <v>45853</v>
      </c>
      <c r="B4049" s="2" t="s">
        <v>12</v>
      </c>
      <c r="C4049" s="3">
        <v>24.99</v>
      </c>
      <c r="D4049" s="3">
        <v>4</v>
      </c>
      <c r="E4049" s="3">
        <v>99.96</v>
      </c>
      <c r="F4049" t="str">
        <f t="shared" si="319"/>
        <v>net sales</v>
      </c>
      <c r="G4049" s="7" t="str">
        <f t="shared" si="320"/>
        <v>product 2</v>
      </c>
      <c r="H4049">
        <f t="shared" si="321"/>
        <v>2025</v>
      </c>
      <c r="I4049">
        <f t="shared" si="322"/>
        <v>7</v>
      </c>
      <c r="J4049">
        <f t="shared" si="318"/>
        <v>369.63</v>
      </c>
    </row>
    <row r="4050" spans="1:10" ht="12.5" x14ac:dyDescent="0.25">
      <c r="A4050" s="1">
        <v>45853</v>
      </c>
      <c r="B4050" s="2" t="s">
        <v>13</v>
      </c>
      <c r="C4050" s="3">
        <v>12.49</v>
      </c>
      <c r="D4050" s="3">
        <v>23</v>
      </c>
      <c r="E4050" s="3">
        <v>287.27</v>
      </c>
      <c r="F4050" t="str">
        <f t="shared" si="319"/>
        <v>net sales</v>
      </c>
      <c r="G4050" s="7" t="str">
        <f t="shared" si="320"/>
        <v>product 3</v>
      </c>
      <c r="H4050">
        <f t="shared" si="321"/>
        <v>2025</v>
      </c>
      <c r="I4050">
        <f t="shared" si="322"/>
        <v>7</v>
      </c>
      <c r="J4050">
        <f t="shared" si="318"/>
        <v>24.99</v>
      </c>
    </row>
    <row r="4051" spans="1:10" ht="12.5" x14ac:dyDescent="0.25">
      <c r="A4051" s="1">
        <v>45853</v>
      </c>
      <c r="B4051" s="2" t="s">
        <v>14</v>
      </c>
      <c r="C4051" s="2" t="s">
        <v>6</v>
      </c>
      <c r="D4051" s="2" t="s">
        <v>6</v>
      </c>
      <c r="E4051" s="3">
        <v>308.25</v>
      </c>
      <c r="F4051" t="str">
        <f t="shared" si="319"/>
        <v>overhead</v>
      </c>
      <c r="G4051" s="7" t="s">
        <v>6</v>
      </c>
      <c r="H4051">
        <f t="shared" si="321"/>
        <v>2025</v>
      </c>
      <c r="I4051">
        <f t="shared" si="322"/>
        <v>7</v>
      </c>
      <c r="J4051">
        <f t="shared" si="318"/>
        <v>149.88</v>
      </c>
    </row>
    <row r="4052" spans="1:10" ht="12.5" x14ac:dyDescent="0.25">
      <c r="A4052" s="1">
        <v>45854</v>
      </c>
      <c r="B4052" s="2" t="s">
        <v>7</v>
      </c>
      <c r="C4052" s="3">
        <v>5.49</v>
      </c>
      <c r="D4052" s="3">
        <v>49</v>
      </c>
      <c r="E4052" s="3">
        <v>269.01</v>
      </c>
      <c r="F4052" t="str">
        <f t="shared" si="319"/>
        <v>cogs</v>
      </c>
      <c r="G4052" s="7" t="str">
        <f t="shared" si="320"/>
        <v>product 1</v>
      </c>
      <c r="H4052">
        <f t="shared" si="321"/>
        <v>2025</v>
      </c>
      <c r="I4052">
        <f t="shared" si="322"/>
        <v>7</v>
      </c>
      <c r="J4052">
        <f t="shared" si="318"/>
        <v>-320.56</v>
      </c>
    </row>
    <row r="4053" spans="1:10" ht="12.5" x14ac:dyDescent="0.25">
      <c r="A4053" s="1">
        <v>45854</v>
      </c>
      <c r="B4053" s="2" t="s">
        <v>8</v>
      </c>
      <c r="C4053" s="3">
        <v>19.989999999999998</v>
      </c>
      <c r="D4053" s="3">
        <v>0</v>
      </c>
      <c r="E4053" s="2">
        <f>C4053*D4053</f>
        <v>0</v>
      </c>
      <c r="F4053" t="str">
        <f t="shared" si="319"/>
        <v>cogs</v>
      </c>
      <c r="G4053" s="7" t="str">
        <f t="shared" si="320"/>
        <v>product 2</v>
      </c>
      <c r="H4053">
        <f t="shared" si="321"/>
        <v>2025</v>
      </c>
      <c r="I4053">
        <f t="shared" si="322"/>
        <v>7</v>
      </c>
      <c r="J4053">
        <f t="shared" si="318"/>
        <v>-433.71000000000004</v>
      </c>
    </row>
    <row r="4054" spans="1:10" ht="12.5" x14ac:dyDescent="0.25">
      <c r="A4054" s="1">
        <v>45854</v>
      </c>
      <c r="B4054" s="2" t="s">
        <v>9</v>
      </c>
      <c r="C4054" s="3">
        <v>8.99</v>
      </c>
      <c r="D4054" s="3">
        <v>132</v>
      </c>
      <c r="E4054" s="3">
        <v>1186.68</v>
      </c>
      <c r="F4054" t="str">
        <f t="shared" si="319"/>
        <v>cogs</v>
      </c>
      <c r="G4054" s="7" t="str">
        <f t="shared" si="320"/>
        <v>product 3</v>
      </c>
      <c r="H4054">
        <f t="shared" si="321"/>
        <v>2025</v>
      </c>
      <c r="I4054">
        <f t="shared" si="322"/>
        <v>7</v>
      </c>
      <c r="J4054">
        <f t="shared" si="318"/>
        <v>-99.949999999999989</v>
      </c>
    </row>
    <row r="4055" spans="1:10" ht="12.5" x14ac:dyDescent="0.25">
      <c r="A4055" s="1">
        <v>45854</v>
      </c>
      <c r="B4055" s="2" t="s">
        <v>10</v>
      </c>
      <c r="C4055" s="2" t="s">
        <v>6</v>
      </c>
      <c r="D4055" s="2" t="s">
        <v>6</v>
      </c>
      <c r="E4055" s="3">
        <v>116.94</v>
      </c>
      <c r="F4055" t="str">
        <f t="shared" si="319"/>
        <v>marketing</v>
      </c>
      <c r="G4055" s="7" t="s">
        <v>6</v>
      </c>
      <c r="H4055">
        <f t="shared" si="321"/>
        <v>2025</v>
      </c>
      <c r="I4055">
        <f t="shared" si="322"/>
        <v>7</v>
      </c>
      <c r="J4055">
        <f t="shared" si="318"/>
        <v>-2139.62</v>
      </c>
    </row>
    <row r="4056" spans="1:10" ht="12.5" x14ac:dyDescent="0.25">
      <c r="A4056" s="1">
        <v>45854</v>
      </c>
      <c r="B4056" s="2" t="s">
        <v>11</v>
      </c>
      <c r="C4056" s="3">
        <v>9.99</v>
      </c>
      <c r="D4056" s="3">
        <v>49</v>
      </c>
      <c r="E4056" s="3">
        <v>489.51</v>
      </c>
      <c r="F4056" t="str">
        <f t="shared" si="319"/>
        <v>net sales</v>
      </c>
      <c r="G4056" s="7" t="str">
        <f t="shared" si="320"/>
        <v>product 1</v>
      </c>
      <c r="H4056">
        <f t="shared" si="321"/>
        <v>2025</v>
      </c>
      <c r="I4056">
        <f t="shared" si="322"/>
        <v>7</v>
      </c>
      <c r="J4056">
        <f t="shared" si="318"/>
        <v>-104.91</v>
      </c>
    </row>
    <row r="4057" spans="1:10" ht="12.5" x14ac:dyDescent="0.25">
      <c r="A4057" s="1">
        <v>45854</v>
      </c>
      <c r="B4057" s="2" t="s">
        <v>12</v>
      </c>
      <c r="C4057" s="3">
        <v>24.99</v>
      </c>
      <c r="D4057" s="3">
        <v>0</v>
      </c>
      <c r="E4057" s="2">
        <f>C4057*D4057</f>
        <v>0</v>
      </c>
      <c r="F4057" t="str">
        <f t="shared" si="319"/>
        <v>net sales</v>
      </c>
      <c r="G4057" s="7" t="str">
        <f t="shared" si="320"/>
        <v>product 2</v>
      </c>
      <c r="H4057">
        <f t="shared" si="321"/>
        <v>2025</v>
      </c>
      <c r="I4057">
        <f t="shared" si="322"/>
        <v>7</v>
      </c>
      <c r="J4057">
        <f t="shared" si="318"/>
        <v>789.21</v>
      </c>
    </row>
    <row r="4058" spans="1:10" ht="12.5" x14ac:dyDescent="0.25">
      <c r="A4058" s="1">
        <v>45854</v>
      </c>
      <c r="B4058" s="2" t="s">
        <v>13</v>
      </c>
      <c r="C4058" s="3">
        <v>12.49</v>
      </c>
      <c r="D4058" s="3">
        <v>132</v>
      </c>
      <c r="E4058" s="3">
        <v>1648.68</v>
      </c>
      <c r="F4058" t="str">
        <f t="shared" si="319"/>
        <v>net sales</v>
      </c>
      <c r="G4058" s="7" t="str">
        <f t="shared" si="320"/>
        <v>product 3</v>
      </c>
      <c r="H4058">
        <f t="shared" si="321"/>
        <v>2025</v>
      </c>
      <c r="I4058">
        <f t="shared" si="322"/>
        <v>7</v>
      </c>
      <c r="J4058">
        <f t="shared" si="318"/>
        <v>124.94999999999999</v>
      </c>
    </row>
    <row r="4059" spans="1:10" ht="12.5" x14ac:dyDescent="0.25">
      <c r="A4059" s="1">
        <v>45855</v>
      </c>
      <c r="B4059" s="2" t="s">
        <v>7</v>
      </c>
      <c r="C4059" s="3">
        <v>5.49</v>
      </c>
      <c r="D4059" s="3">
        <v>27</v>
      </c>
      <c r="E4059" s="3">
        <v>148.23000000000002</v>
      </c>
      <c r="F4059" t="str">
        <f t="shared" si="319"/>
        <v>cogs</v>
      </c>
      <c r="G4059" s="7" t="str">
        <f t="shared" si="320"/>
        <v>product 1</v>
      </c>
      <c r="H4059">
        <f t="shared" si="321"/>
        <v>2025</v>
      </c>
      <c r="I4059">
        <f t="shared" si="322"/>
        <v>7</v>
      </c>
      <c r="J4059">
        <f t="shared" si="318"/>
        <v>2972.62</v>
      </c>
    </row>
    <row r="4060" spans="1:10" ht="12.5" x14ac:dyDescent="0.25">
      <c r="A4060" s="1">
        <v>45855</v>
      </c>
      <c r="B4060" s="2" t="s">
        <v>8</v>
      </c>
      <c r="C4060" s="3">
        <v>19.989999999999998</v>
      </c>
      <c r="D4060" s="3">
        <v>2</v>
      </c>
      <c r="E4060" s="3">
        <v>39.979999999999997</v>
      </c>
      <c r="F4060" t="str">
        <f t="shared" si="319"/>
        <v>cogs</v>
      </c>
      <c r="G4060" s="7" t="str">
        <f t="shared" si="320"/>
        <v>product 2</v>
      </c>
      <c r="H4060">
        <f t="shared" si="321"/>
        <v>2025</v>
      </c>
      <c r="I4060">
        <f t="shared" si="322"/>
        <v>7</v>
      </c>
      <c r="J4060">
        <f t="shared" ref="J4060:J4123" si="323">IF(F3843="net sales",E3843,
IF(F3843="cogs",-E3843,
IF(OR(F3843="marketing",F3843="overhead",F3843="payroll",F3843="interest","amortization"),-E3843,0)))</f>
        <v>0</v>
      </c>
    </row>
    <row r="4061" spans="1:10" ht="12.5" x14ac:dyDescent="0.25">
      <c r="A4061" s="1">
        <v>45855</v>
      </c>
      <c r="B4061" s="2" t="s">
        <v>9</v>
      </c>
      <c r="C4061" s="3">
        <v>8.99</v>
      </c>
      <c r="D4061" s="3">
        <v>165</v>
      </c>
      <c r="E4061" s="3">
        <v>1483.3500000000001</v>
      </c>
      <c r="F4061" t="str">
        <f t="shared" si="319"/>
        <v>cogs</v>
      </c>
      <c r="G4061" s="7" t="str">
        <f t="shared" si="320"/>
        <v>product 3</v>
      </c>
      <c r="H4061">
        <f t="shared" si="321"/>
        <v>2025</v>
      </c>
      <c r="I4061">
        <f t="shared" si="322"/>
        <v>7</v>
      </c>
      <c r="J4061">
        <f t="shared" si="323"/>
        <v>-119.94</v>
      </c>
    </row>
    <row r="4062" spans="1:10" ht="12.5" x14ac:dyDescent="0.25">
      <c r="A4062" s="1">
        <v>45855</v>
      </c>
      <c r="B4062" s="2" t="s">
        <v>10</v>
      </c>
      <c r="C4062" s="2" t="s">
        <v>6</v>
      </c>
      <c r="D4062" s="2" t="s">
        <v>6</v>
      </c>
      <c r="E4062" s="3">
        <v>118.06</v>
      </c>
      <c r="F4062" t="str">
        <f t="shared" si="319"/>
        <v>marketing</v>
      </c>
      <c r="G4062" s="7" t="s">
        <v>6</v>
      </c>
      <c r="H4062">
        <f t="shared" si="321"/>
        <v>2025</v>
      </c>
      <c r="I4062">
        <f t="shared" si="322"/>
        <v>7</v>
      </c>
      <c r="J4062">
        <f t="shared" si="323"/>
        <v>-1510.32</v>
      </c>
    </row>
    <row r="4063" spans="1:10" ht="12.5" x14ac:dyDescent="0.25">
      <c r="A4063" s="1">
        <v>45855</v>
      </c>
      <c r="B4063" s="2" t="s">
        <v>11</v>
      </c>
      <c r="C4063" s="3">
        <v>9.99</v>
      </c>
      <c r="D4063" s="3">
        <v>27</v>
      </c>
      <c r="E4063" s="3">
        <v>269.73</v>
      </c>
      <c r="F4063" t="str">
        <f t="shared" si="319"/>
        <v>net sales</v>
      </c>
      <c r="G4063" s="7" t="str">
        <f t="shared" si="320"/>
        <v>product 1</v>
      </c>
      <c r="H4063">
        <f t="shared" si="321"/>
        <v>2025</v>
      </c>
      <c r="I4063">
        <f t="shared" si="322"/>
        <v>7</v>
      </c>
      <c r="J4063">
        <f t="shared" si="323"/>
        <v>-114.91</v>
      </c>
    </row>
    <row r="4064" spans="1:10" ht="12.5" x14ac:dyDescent="0.25">
      <c r="A4064" s="1">
        <v>45855</v>
      </c>
      <c r="B4064" s="2" t="s">
        <v>12</v>
      </c>
      <c r="C4064" s="3">
        <v>24.99</v>
      </c>
      <c r="D4064" s="3">
        <v>2</v>
      </c>
      <c r="E4064" s="3">
        <v>49.98</v>
      </c>
      <c r="F4064" t="str">
        <f t="shared" si="319"/>
        <v>net sales</v>
      </c>
      <c r="G4064" s="7" t="str">
        <f t="shared" si="320"/>
        <v>product 2</v>
      </c>
      <c r="H4064">
        <f t="shared" si="321"/>
        <v>2025</v>
      </c>
      <c r="I4064">
        <f t="shared" si="322"/>
        <v>7</v>
      </c>
      <c r="J4064">
        <f t="shared" si="323"/>
        <v>0</v>
      </c>
    </row>
    <row r="4065" spans="1:10" ht="12.5" x14ac:dyDescent="0.25">
      <c r="A4065" s="1">
        <v>45855</v>
      </c>
      <c r="B4065" s="2" t="s">
        <v>13</v>
      </c>
      <c r="C4065" s="3">
        <v>12.49</v>
      </c>
      <c r="D4065" s="3">
        <v>165</v>
      </c>
      <c r="E4065" s="3">
        <v>2060.85</v>
      </c>
      <c r="F4065" t="str">
        <f t="shared" si="319"/>
        <v>net sales</v>
      </c>
      <c r="G4065" s="7" t="str">
        <f t="shared" si="320"/>
        <v>product 3</v>
      </c>
      <c r="H4065">
        <f t="shared" si="321"/>
        <v>2025</v>
      </c>
      <c r="I4065">
        <f t="shared" si="322"/>
        <v>7</v>
      </c>
      <c r="J4065">
        <f t="shared" si="323"/>
        <v>149.94</v>
      </c>
    </row>
    <row r="4066" spans="1:10" ht="12.5" x14ac:dyDescent="0.25">
      <c r="A4066" s="1">
        <v>45856</v>
      </c>
      <c r="B4066" s="2" t="s">
        <v>7</v>
      </c>
      <c r="C4066" s="3">
        <v>5.49</v>
      </c>
      <c r="D4066" s="3">
        <v>99</v>
      </c>
      <c r="E4066" s="3">
        <v>543.51</v>
      </c>
      <c r="F4066" t="str">
        <f t="shared" si="319"/>
        <v>cogs</v>
      </c>
      <c r="G4066" s="7" t="str">
        <f t="shared" si="320"/>
        <v>product 1</v>
      </c>
      <c r="H4066">
        <f t="shared" si="321"/>
        <v>2025</v>
      </c>
      <c r="I4066">
        <f t="shared" si="322"/>
        <v>7</v>
      </c>
      <c r="J4066">
        <f t="shared" si="323"/>
        <v>2098.3200000000002</v>
      </c>
    </row>
    <row r="4067" spans="1:10" ht="12.5" x14ac:dyDescent="0.25">
      <c r="A4067" s="1">
        <v>45856</v>
      </c>
      <c r="B4067" s="2" t="s">
        <v>8</v>
      </c>
      <c r="C4067" s="3">
        <v>19.989999999999998</v>
      </c>
      <c r="D4067" s="3">
        <v>0</v>
      </c>
      <c r="E4067" s="2">
        <f>C4067*D4067</f>
        <v>0</v>
      </c>
      <c r="F4067" t="str">
        <f t="shared" si="319"/>
        <v>cogs</v>
      </c>
      <c r="G4067" s="7" t="str">
        <f t="shared" si="320"/>
        <v>product 2</v>
      </c>
      <c r="H4067">
        <f t="shared" si="321"/>
        <v>2025</v>
      </c>
      <c r="I4067">
        <f t="shared" si="322"/>
        <v>7</v>
      </c>
      <c r="J4067">
        <f t="shared" si="323"/>
        <v>-153.72</v>
      </c>
    </row>
    <row r="4068" spans="1:10" ht="12.5" x14ac:dyDescent="0.25">
      <c r="A4068" s="1">
        <v>45856</v>
      </c>
      <c r="B4068" s="2" t="s">
        <v>9</v>
      </c>
      <c r="C4068" s="3">
        <v>8.99</v>
      </c>
      <c r="D4068" s="3">
        <v>208</v>
      </c>
      <c r="E4068" s="3">
        <v>1869.92</v>
      </c>
      <c r="F4068" t="str">
        <f t="shared" si="319"/>
        <v>cogs</v>
      </c>
      <c r="G4068" s="7" t="str">
        <f t="shared" si="320"/>
        <v>product 3</v>
      </c>
      <c r="H4068">
        <f t="shared" si="321"/>
        <v>2025</v>
      </c>
      <c r="I4068">
        <f t="shared" si="322"/>
        <v>7</v>
      </c>
      <c r="J4068">
        <f t="shared" si="323"/>
        <v>-59.97</v>
      </c>
    </row>
    <row r="4069" spans="1:10" ht="12.5" x14ac:dyDescent="0.25">
      <c r="A4069" s="1">
        <v>45856</v>
      </c>
      <c r="B4069" s="2" t="s">
        <v>10</v>
      </c>
      <c r="C4069" s="2" t="s">
        <v>6</v>
      </c>
      <c r="D4069" s="2" t="s">
        <v>6</v>
      </c>
      <c r="E4069" s="3">
        <v>109.09</v>
      </c>
      <c r="F4069" t="str">
        <f t="shared" si="319"/>
        <v>marketing</v>
      </c>
      <c r="G4069" s="7" t="s">
        <v>6</v>
      </c>
      <c r="H4069">
        <f t="shared" si="321"/>
        <v>2025</v>
      </c>
      <c r="I4069">
        <f t="shared" si="322"/>
        <v>7</v>
      </c>
      <c r="J4069">
        <f t="shared" si="323"/>
        <v>-2085.6799999999998</v>
      </c>
    </row>
    <row r="4070" spans="1:10" ht="12.5" x14ac:dyDescent="0.25">
      <c r="A4070" s="1">
        <v>45856</v>
      </c>
      <c r="B4070" s="2" t="s">
        <v>11</v>
      </c>
      <c r="C4070" s="3">
        <v>9.99</v>
      </c>
      <c r="D4070" s="3">
        <v>99</v>
      </c>
      <c r="E4070" s="3">
        <v>989.01</v>
      </c>
      <c r="F4070" t="str">
        <f t="shared" si="319"/>
        <v>net sales</v>
      </c>
      <c r="G4070" s="7" t="str">
        <f t="shared" si="320"/>
        <v>product 1</v>
      </c>
      <c r="H4070">
        <f t="shared" si="321"/>
        <v>2025</v>
      </c>
      <c r="I4070">
        <f t="shared" si="322"/>
        <v>7</v>
      </c>
      <c r="J4070">
        <f t="shared" si="323"/>
        <v>-109.03</v>
      </c>
    </row>
    <row r="4071" spans="1:10" ht="12.5" x14ac:dyDescent="0.25">
      <c r="A4071" s="1">
        <v>45856</v>
      </c>
      <c r="B4071" s="2" t="s">
        <v>12</v>
      </c>
      <c r="C4071" s="3">
        <v>24.99</v>
      </c>
      <c r="D4071" s="3">
        <v>0</v>
      </c>
      <c r="E4071" s="2">
        <f>C4071*D4071</f>
        <v>0</v>
      </c>
      <c r="F4071" t="str">
        <f t="shared" si="319"/>
        <v>net sales</v>
      </c>
      <c r="G4071" s="7" t="str">
        <f t="shared" si="320"/>
        <v>product 2</v>
      </c>
      <c r="H4071">
        <f t="shared" si="321"/>
        <v>2025</v>
      </c>
      <c r="I4071">
        <f t="shared" si="322"/>
        <v>7</v>
      </c>
      <c r="J4071">
        <f t="shared" si="323"/>
        <v>279.72000000000003</v>
      </c>
    </row>
    <row r="4072" spans="1:10" ht="12.5" x14ac:dyDescent="0.25">
      <c r="A4072" s="1">
        <v>45856</v>
      </c>
      <c r="B4072" s="2" t="s">
        <v>13</v>
      </c>
      <c r="C4072" s="3">
        <v>12.49</v>
      </c>
      <c r="D4072" s="3">
        <v>208</v>
      </c>
      <c r="E4072" s="3">
        <v>2597.92</v>
      </c>
      <c r="F4072" t="str">
        <f t="shared" si="319"/>
        <v>net sales</v>
      </c>
      <c r="G4072" s="7" t="str">
        <f t="shared" si="320"/>
        <v>product 3</v>
      </c>
      <c r="H4072">
        <f t="shared" si="321"/>
        <v>2025</v>
      </c>
      <c r="I4072">
        <f t="shared" si="322"/>
        <v>7</v>
      </c>
      <c r="J4072">
        <f t="shared" si="323"/>
        <v>74.97</v>
      </c>
    </row>
    <row r="4073" spans="1:10" ht="12.5" x14ac:dyDescent="0.25">
      <c r="A4073" s="1">
        <v>45856</v>
      </c>
      <c r="B4073" s="2" t="s">
        <v>15</v>
      </c>
      <c r="C4073" s="2" t="s">
        <v>6</v>
      </c>
      <c r="D4073" s="2" t="s">
        <v>6</v>
      </c>
      <c r="E4073" s="3">
        <v>1200</v>
      </c>
      <c r="F4073" t="str">
        <f t="shared" si="319"/>
        <v>payroll</v>
      </c>
      <c r="G4073" s="7" t="s">
        <v>6</v>
      </c>
      <c r="H4073">
        <f t="shared" si="321"/>
        <v>2025</v>
      </c>
      <c r="I4073">
        <f t="shared" si="322"/>
        <v>7</v>
      </c>
      <c r="J4073">
        <f t="shared" si="323"/>
        <v>2897.68</v>
      </c>
    </row>
    <row r="4074" spans="1:10" ht="12.5" x14ac:dyDescent="0.25">
      <c r="A4074" s="1">
        <v>45857</v>
      </c>
      <c r="B4074" s="2" t="s">
        <v>7</v>
      </c>
      <c r="C4074" s="3">
        <v>5.49</v>
      </c>
      <c r="D4074" s="3">
        <v>52</v>
      </c>
      <c r="E4074" s="3">
        <v>285.48</v>
      </c>
      <c r="F4074" t="str">
        <f t="shared" si="319"/>
        <v>cogs</v>
      </c>
      <c r="G4074" s="7" t="str">
        <f t="shared" si="320"/>
        <v>product 1</v>
      </c>
      <c r="H4074">
        <f t="shared" si="321"/>
        <v>2025</v>
      </c>
      <c r="I4074">
        <f t="shared" si="322"/>
        <v>7</v>
      </c>
      <c r="J4074">
        <f t="shared" si="323"/>
        <v>-516.06000000000006</v>
      </c>
    </row>
    <row r="4075" spans="1:10" ht="12.5" x14ac:dyDescent="0.25">
      <c r="A4075" s="1">
        <v>45857</v>
      </c>
      <c r="B4075" s="2" t="s">
        <v>8</v>
      </c>
      <c r="C4075" s="3">
        <v>19.989999999999998</v>
      </c>
      <c r="D4075" s="3">
        <v>5</v>
      </c>
      <c r="E4075" s="3">
        <v>99.949999999999989</v>
      </c>
      <c r="F4075" t="str">
        <f t="shared" si="319"/>
        <v>cogs</v>
      </c>
      <c r="G4075" s="7" t="str">
        <f t="shared" si="320"/>
        <v>product 2</v>
      </c>
      <c r="H4075">
        <f t="shared" si="321"/>
        <v>2025</v>
      </c>
      <c r="I4075">
        <f t="shared" si="322"/>
        <v>7</v>
      </c>
      <c r="J4075">
        <f t="shared" si="323"/>
        <v>-19.989999999999998</v>
      </c>
    </row>
    <row r="4076" spans="1:10" ht="12.5" x14ac:dyDescent="0.25">
      <c r="A4076" s="1">
        <v>45857</v>
      </c>
      <c r="B4076" s="2" t="s">
        <v>9</v>
      </c>
      <c r="C4076" s="3">
        <v>8.99</v>
      </c>
      <c r="D4076" s="3">
        <v>151</v>
      </c>
      <c r="E4076" s="3">
        <v>1357.49</v>
      </c>
      <c r="F4076" t="str">
        <f t="shared" si="319"/>
        <v>cogs</v>
      </c>
      <c r="G4076" s="7" t="str">
        <f t="shared" si="320"/>
        <v>product 3</v>
      </c>
      <c r="H4076">
        <f t="shared" si="321"/>
        <v>2025</v>
      </c>
      <c r="I4076">
        <f t="shared" si="322"/>
        <v>7</v>
      </c>
      <c r="J4076">
        <f t="shared" si="323"/>
        <v>-413.54</v>
      </c>
    </row>
    <row r="4077" spans="1:10" ht="12.5" x14ac:dyDescent="0.25">
      <c r="A4077" s="1">
        <v>45857</v>
      </c>
      <c r="B4077" s="2" t="s">
        <v>10</v>
      </c>
      <c r="C4077" s="2" t="s">
        <v>6</v>
      </c>
      <c r="D4077" s="2" t="s">
        <v>6</v>
      </c>
      <c r="E4077" s="3">
        <v>118.06</v>
      </c>
      <c r="F4077" t="str">
        <f t="shared" si="319"/>
        <v>marketing</v>
      </c>
      <c r="G4077" s="7" t="s">
        <v>6</v>
      </c>
      <c r="H4077">
        <f t="shared" si="321"/>
        <v>2025</v>
      </c>
      <c r="I4077">
        <f t="shared" si="322"/>
        <v>7</v>
      </c>
      <c r="J4077">
        <f t="shared" si="323"/>
        <v>-116.03</v>
      </c>
    </row>
    <row r="4078" spans="1:10" ht="12.5" x14ac:dyDescent="0.25">
      <c r="A4078" s="1">
        <v>45857</v>
      </c>
      <c r="B4078" s="2" t="s">
        <v>11</v>
      </c>
      <c r="C4078" s="3">
        <v>9.99</v>
      </c>
      <c r="D4078" s="3">
        <v>52</v>
      </c>
      <c r="E4078" s="3">
        <v>519.48</v>
      </c>
      <c r="F4078" t="str">
        <f t="shared" si="319"/>
        <v>net sales</v>
      </c>
      <c r="G4078" s="7" t="str">
        <f t="shared" si="320"/>
        <v>product 1</v>
      </c>
      <c r="H4078">
        <f t="shared" si="321"/>
        <v>2025</v>
      </c>
      <c r="I4078">
        <f t="shared" si="322"/>
        <v>7</v>
      </c>
      <c r="J4078">
        <f t="shared" si="323"/>
        <v>939.06000000000006</v>
      </c>
    </row>
    <row r="4079" spans="1:10" ht="12.5" x14ac:dyDescent="0.25">
      <c r="A4079" s="1">
        <v>45857</v>
      </c>
      <c r="B4079" s="2" t="s">
        <v>12</v>
      </c>
      <c r="C4079" s="3">
        <v>24.99</v>
      </c>
      <c r="D4079" s="3">
        <v>5</v>
      </c>
      <c r="E4079" s="3">
        <v>124.94999999999999</v>
      </c>
      <c r="F4079" t="str">
        <f t="shared" si="319"/>
        <v>net sales</v>
      </c>
      <c r="G4079" s="7" t="str">
        <f t="shared" si="320"/>
        <v>product 2</v>
      </c>
      <c r="H4079">
        <f t="shared" si="321"/>
        <v>2025</v>
      </c>
      <c r="I4079">
        <f t="shared" si="322"/>
        <v>7</v>
      </c>
      <c r="J4079">
        <f t="shared" si="323"/>
        <v>24.99</v>
      </c>
    </row>
    <row r="4080" spans="1:10" ht="12.5" x14ac:dyDescent="0.25">
      <c r="A4080" s="1">
        <v>45857</v>
      </c>
      <c r="B4080" s="2" t="s">
        <v>13</v>
      </c>
      <c r="C4080" s="3">
        <v>12.49</v>
      </c>
      <c r="D4080" s="3">
        <v>151</v>
      </c>
      <c r="E4080" s="3">
        <v>1885.99</v>
      </c>
      <c r="F4080" t="str">
        <f t="shared" si="319"/>
        <v>net sales</v>
      </c>
      <c r="G4080" s="7" t="str">
        <f t="shared" si="320"/>
        <v>product 3</v>
      </c>
      <c r="H4080">
        <f t="shared" si="321"/>
        <v>2025</v>
      </c>
      <c r="I4080">
        <f t="shared" si="322"/>
        <v>7</v>
      </c>
      <c r="J4080">
        <f t="shared" si="323"/>
        <v>574.54</v>
      </c>
    </row>
    <row r="4081" spans="1:10" ht="12.5" x14ac:dyDescent="0.25">
      <c r="A4081" s="1">
        <v>45858</v>
      </c>
      <c r="B4081" s="2" t="s">
        <v>7</v>
      </c>
      <c r="C4081" s="3">
        <v>5.49</v>
      </c>
      <c r="D4081" s="3">
        <v>10</v>
      </c>
      <c r="E4081" s="3">
        <v>54.900000000000006</v>
      </c>
      <c r="F4081" t="str">
        <f t="shared" si="319"/>
        <v>cogs</v>
      </c>
      <c r="G4081" s="7" t="str">
        <f t="shared" si="320"/>
        <v>product 1</v>
      </c>
      <c r="H4081">
        <f t="shared" si="321"/>
        <v>2025</v>
      </c>
      <c r="I4081">
        <f t="shared" si="322"/>
        <v>7</v>
      </c>
      <c r="J4081">
        <f t="shared" si="323"/>
        <v>-192.15</v>
      </c>
    </row>
    <row r="4082" spans="1:10" ht="12.5" x14ac:dyDescent="0.25">
      <c r="A4082" s="1">
        <v>45858</v>
      </c>
      <c r="B4082" s="2" t="s">
        <v>8</v>
      </c>
      <c r="C4082" s="3">
        <v>19.989999999999998</v>
      </c>
      <c r="D4082" s="3">
        <v>7</v>
      </c>
      <c r="E4082" s="3">
        <v>139.92999999999998</v>
      </c>
      <c r="F4082" t="str">
        <f t="shared" si="319"/>
        <v>cogs</v>
      </c>
      <c r="G4082" s="7" t="str">
        <f t="shared" si="320"/>
        <v>product 2</v>
      </c>
      <c r="H4082">
        <f t="shared" si="321"/>
        <v>2025</v>
      </c>
      <c r="I4082">
        <f t="shared" si="322"/>
        <v>7</v>
      </c>
      <c r="J4082">
        <f t="shared" si="323"/>
        <v>-139.92999999999998</v>
      </c>
    </row>
    <row r="4083" spans="1:10" ht="12.5" x14ac:dyDescent="0.25">
      <c r="A4083" s="1">
        <v>45858</v>
      </c>
      <c r="B4083" s="2" t="s">
        <v>9</v>
      </c>
      <c r="C4083" s="3">
        <v>8.99</v>
      </c>
      <c r="D4083" s="3">
        <v>151</v>
      </c>
      <c r="E4083" s="3">
        <v>1357.49</v>
      </c>
      <c r="F4083" t="str">
        <f t="shared" si="319"/>
        <v>cogs</v>
      </c>
      <c r="G4083" s="7" t="str">
        <f t="shared" si="320"/>
        <v>product 3</v>
      </c>
      <c r="H4083">
        <f t="shared" si="321"/>
        <v>2025</v>
      </c>
      <c r="I4083">
        <f t="shared" si="322"/>
        <v>7</v>
      </c>
      <c r="J4083">
        <f t="shared" si="323"/>
        <v>-548.39</v>
      </c>
    </row>
    <row r="4084" spans="1:10" ht="12.5" x14ac:dyDescent="0.25">
      <c r="A4084" s="1">
        <v>45858</v>
      </c>
      <c r="B4084" s="2" t="s">
        <v>10</v>
      </c>
      <c r="C4084" s="2" t="s">
        <v>6</v>
      </c>
      <c r="D4084" s="2" t="s">
        <v>6</v>
      </c>
      <c r="E4084" s="3">
        <v>111.93</v>
      </c>
      <c r="F4084" t="str">
        <f t="shared" si="319"/>
        <v>marketing</v>
      </c>
      <c r="G4084" s="7" t="s">
        <v>6</v>
      </c>
      <c r="H4084">
        <f t="shared" si="321"/>
        <v>2025</v>
      </c>
      <c r="I4084">
        <f t="shared" si="322"/>
        <v>7</v>
      </c>
      <c r="J4084">
        <f t="shared" si="323"/>
        <v>-100.91</v>
      </c>
    </row>
    <row r="4085" spans="1:10" ht="12.5" x14ac:dyDescent="0.25">
      <c r="A4085" s="1">
        <v>45858</v>
      </c>
      <c r="B4085" s="2" t="s">
        <v>11</v>
      </c>
      <c r="C4085" s="3">
        <v>9.99</v>
      </c>
      <c r="D4085" s="3">
        <v>10</v>
      </c>
      <c r="E4085" s="3">
        <v>99.9</v>
      </c>
      <c r="F4085" t="str">
        <f t="shared" si="319"/>
        <v>net sales</v>
      </c>
      <c r="G4085" s="7" t="str">
        <f t="shared" si="320"/>
        <v>product 1</v>
      </c>
      <c r="H4085">
        <f t="shared" si="321"/>
        <v>2025</v>
      </c>
      <c r="I4085">
        <f t="shared" si="322"/>
        <v>7</v>
      </c>
      <c r="J4085">
        <f t="shared" si="323"/>
        <v>349.65000000000003</v>
      </c>
    </row>
    <row r="4086" spans="1:10" ht="12.5" x14ac:dyDescent="0.25">
      <c r="A4086" s="1">
        <v>45858</v>
      </c>
      <c r="B4086" s="2" t="s">
        <v>12</v>
      </c>
      <c r="C4086" s="3">
        <v>24.99</v>
      </c>
      <c r="D4086" s="3">
        <v>7</v>
      </c>
      <c r="E4086" s="3">
        <v>174.92999999999998</v>
      </c>
      <c r="F4086" t="str">
        <f t="shared" si="319"/>
        <v>net sales</v>
      </c>
      <c r="G4086" s="7" t="str">
        <f t="shared" si="320"/>
        <v>product 2</v>
      </c>
      <c r="H4086">
        <f t="shared" si="321"/>
        <v>2025</v>
      </c>
      <c r="I4086">
        <f t="shared" si="322"/>
        <v>7</v>
      </c>
      <c r="J4086">
        <f t="shared" si="323"/>
        <v>174.92999999999998</v>
      </c>
    </row>
    <row r="4087" spans="1:10" ht="12.5" x14ac:dyDescent="0.25">
      <c r="A4087" s="1">
        <v>45858</v>
      </c>
      <c r="B4087" s="2" t="s">
        <v>13</v>
      </c>
      <c r="C4087" s="3">
        <v>12.49</v>
      </c>
      <c r="D4087" s="3">
        <v>151</v>
      </c>
      <c r="E4087" s="3">
        <v>1885.99</v>
      </c>
      <c r="F4087" t="str">
        <f t="shared" si="319"/>
        <v>net sales</v>
      </c>
      <c r="G4087" s="7" t="str">
        <f t="shared" si="320"/>
        <v>product 3</v>
      </c>
      <c r="H4087">
        <f t="shared" si="321"/>
        <v>2025</v>
      </c>
      <c r="I4087">
        <f t="shared" si="322"/>
        <v>7</v>
      </c>
      <c r="J4087">
        <f t="shared" si="323"/>
        <v>761.89</v>
      </c>
    </row>
    <row r="4088" spans="1:10" ht="12.5" x14ac:dyDescent="0.25">
      <c r="A4088" s="1">
        <v>45859</v>
      </c>
      <c r="B4088" s="2" t="s">
        <v>7</v>
      </c>
      <c r="C4088" s="3">
        <v>5.49</v>
      </c>
      <c r="D4088" s="3">
        <v>86</v>
      </c>
      <c r="E4088" s="3">
        <v>472.14000000000004</v>
      </c>
      <c r="F4088" t="str">
        <f t="shared" si="319"/>
        <v>cogs</v>
      </c>
      <c r="G4088" s="7" t="str">
        <f t="shared" si="320"/>
        <v>product 1</v>
      </c>
      <c r="H4088">
        <f t="shared" si="321"/>
        <v>2025</v>
      </c>
      <c r="I4088">
        <f t="shared" si="322"/>
        <v>7</v>
      </c>
      <c r="J4088">
        <f t="shared" si="323"/>
        <v>-1200</v>
      </c>
    </row>
    <row r="4089" spans="1:10" ht="12.5" x14ac:dyDescent="0.25">
      <c r="A4089" s="1">
        <v>45859</v>
      </c>
      <c r="B4089" s="2" t="s">
        <v>8</v>
      </c>
      <c r="C4089" s="3">
        <v>19.989999999999998</v>
      </c>
      <c r="D4089" s="3">
        <v>4</v>
      </c>
      <c r="E4089" s="3">
        <v>79.959999999999994</v>
      </c>
      <c r="F4089" t="str">
        <f t="shared" si="319"/>
        <v>cogs</v>
      </c>
      <c r="G4089" s="7" t="str">
        <f t="shared" si="320"/>
        <v>product 2</v>
      </c>
      <c r="H4089">
        <f t="shared" si="321"/>
        <v>2025</v>
      </c>
      <c r="I4089">
        <f t="shared" si="322"/>
        <v>7</v>
      </c>
      <c r="J4089">
        <f t="shared" si="323"/>
        <v>-153.72</v>
      </c>
    </row>
    <row r="4090" spans="1:10" ht="12.5" x14ac:dyDescent="0.25">
      <c r="A4090" s="1">
        <v>45859</v>
      </c>
      <c r="B4090" s="2" t="s">
        <v>9</v>
      </c>
      <c r="C4090" s="3">
        <v>8.99</v>
      </c>
      <c r="D4090" s="3">
        <v>161</v>
      </c>
      <c r="E4090" s="3">
        <v>1447.39</v>
      </c>
      <c r="F4090" t="str">
        <f t="shared" si="319"/>
        <v>cogs</v>
      </c>
      <c r="G4090" s="7" t="str">
        <f t="shared" si="320"/>
        <v>product 3</v>
      </c>
      <c r="H4090">
        <f t="shared" si="321"/>
        <v>2025</v>
      </c>
      <c r="I4090">
        <f t="shared" si="322"/>
        <v>7</v>
      </c>
      <c r="J4090">
        <f t="shared" si="323"/>
        <v>0</v>
      </c>
    </row>
    <row r="4091" spans="1:10" ht="12.5" x14ac:dyDescent="0.25">
      <c r="A4091" s="1">
        <v>45859</v>
      </c>
      <c r="B4091" s="2" t="s">
        <v>10</v>
      </c>
      <c r="C4091" s="2" t="s">
        <v>6</v>
      </c>
      <c r="D4091" s="2" t="s">
        <v>6</v>
      </c>
      <c r="E4091" s="3">
        <v>111.97</v>
      </c>
      <c r="F4091" t="str">
        <f t="shared" si="319"/>
        <v>marketing</v>
      </c>
      <c r="G4091" s="7" t="s">
        <v>6</v>
      </c>
      <c r="H4091">
        <f t="shared" si="321"/>
        <v>2025</v>
      </c>
      <c r="I4091">
        <f t="shared" si="322"/>
        <v>7</v>
      </c>
      <c r="J4091">
        <f t="shared" si="323"/>
        <v>-1204.6600000000001</v>
      </c>
    </row>
    <row r="4092" spans="1:10" ht="12.5" x14ac:dyDescent="0.25">
      <c r="A4092" s="1">
        <v>45859</v>
      </c>
      <c r="B4092" s="2" t="s">
        <v>11</v>
      </c>
      <c r="C4092" s="3">
        <v>9.99</v>
      </c>
      <c r="D4092" s="3">
        <v>86</v>
      </c>
      <c r="E4092" s="3">
        <v>859.14</v>
      </c>
      <c r="F4092" t="str">
        <f t="shared" si="319"/>
        <v>net sales</v>
      </c>
      <c r="G4092" s="7" t="str">
        <f t="shared" si="320"/>
        <v>product 1</v>
      </c>
      <c r="H4092">
        <f t="shared" si="321"/>
        <v>2025</v>
      </c>
      <c r="I4092">
        <f t="shared" si="322"/>
        <v>7</v>
      </c>
      <c r="J4092">
        <f t="shared" si="323"/>
        <v>-110.93</v>
      </c>
    </row>
    <row r="4093" spans="1:10" ht="12.5" x14ac:dyDescent="0.25">
      <c r="A4093" s="1">
        <v>45859</v>
      </c>
      <c r="B4093" s="2" t="s">
        <v>12</v>
      </c>
      <c r="C4093" s="3">
        <v>24.99</v>
      </c>
      <c r="D4093" s="3">
        <v>4</v>
      </c>
      <c r="E4093" s="3">
        <v>99.96</v>
      </c>
      <c r="F4093" t="str">
        <f t="shared" si="319"/>
        <v>net sales</v>
      </c>
      <c r="G4093" s="7" t="str">
        <f t="shared" si="320"/>
        <v>product 2</v>
      </c>
      <c r="H4093">
        <f t="shared" si="321"/>
        <v>2025</v>
      </c>
      <c r="I4093">
        <f t="shared" si="322"/>
        <v>7</v>
      </c>
      <c r="J4093">
        <f t="shared" si="323"/>
        <v>279.72000000000003</v>
      </c>
    </row>
    <row r="4094" spans="1:10" ht="12.5" x14ac:dyDescent="0.25">
      <c r="A4094" s="1">
        <v>45859</v>
      </c>
      <c r="B4094" s="2" t="s">
        <v>13</v>
      </c>
      <c r="C4094" s="3">
        <v>12.49</v>
      </c>
      <c r="D4094" s="3">
        <v>161</v>
      </c>
      <c r="E4094" s="3">
        <v>2010.89</v>
      </c>
      <c r="F4094" t="str">
        <f t="shared" si="319"/>
        <v>net sales</v>
      </c>
      <c r="G4094" s="7" t="str">
        <f t="shared" si="320"/>
        <v>product 3</v>
      </c>
      <c r="H4094">
        <f t="shared" si="321"/>
        <v>2025</v>
      </c>
      <c r="I4094">
        <f t="shared" si="322"/>
        <v>7</v>
      </c>
      <c r="J4094">
        <f t="shared" si="323"/>
        <v>0</v>
      </c>
    </row>
    <row r="4095" spans="1:10" ht="12.5" x14ac:dyDescent="0.25">
      <c r="A4095" s="1">
        <v>45860</v>
      </c>
      <c r="B4095" s="2" t="s">
        <v>7</v>
      </c>
      <c r="C4095" s="3">
        <v>5.49</v>
      </c>
      <c r="D4095" s="3">
        <v>7</v>
      </c>
      <c r="E4095" s="3">
        <v>38.43</v>
      </c>
      <c r="F4095" t="str">
        <f t="shared" si="319"/>
        <v>cogs</v>
      </c>
      <c r="G4095" s="7" t="str">
        <f t="shared" si="320"/>
        <v>product 1</v>
      </c>
      <c r="H4095">
        <f t="shared" si="321"/>
        <v>2025</v>
      </c>
      <c r="I4095">
        <f t="shared" si="322"/>
        <v>7</v>
      </c>
      <c r="J4095">
        <f t="shared" si="323"/>
        <v>1673.66</v>
      </c>
    </row>
    <row r="4096" spans="1:10" ht="12.5" x14ac:dyDescent="0.25">
      <c r="A4096" s="1">
        <v>45860</v>
      </c>
      <c r="B4096" s="2" t="s">
        <v>8</v>
      </c>
      <c r="C4096" s="3">
        <v>19.989999999999998</v>
      </c>
      <c r="D4096" s="3">
        <v>9</v>
      </c>
      <c r="E4096" s="3">
        <v>179.91</v>
      </c>
      <c r="F4096" t="str">
        <f t="shared" si="319"/>
        <v>cogs</v>
      </c>
      <c r="G4096" s="7" t="str">
        <f t="shared" si="320"/>
        <v>product 2</v>
      </c>
      <c r="H4096">
        <f t="shared" si="321"/>
        <v>2025</v>
      </c>
      <c r="I4096">
        <f t="shared" si="322"/>
        <v>7</v>
      </c>
      <c r="J4096">
        <f t="shared" si="323"/>
        <v>-120.78</v>
      </c>
    </row>
    <row r="4097" spans="1:10" ht="12.5" x14ac:dyDescent="0.25">
      <c r="A4097" s="1">
        <v>45860</v>
      </c>
      <c r="B4097" s="2" t="s">
        <v>9</v>
      </c>
      <c r="C4097" s="3">
        <v>8.99</v>
      </c>
      <c r="D4097" s="3">
        <v>197</v>
      </c>
      <c r="E4097" s="3">
        <v>1771.03</v>
      </c>
      <c r="F4097" t="str">
        <f t="shared" si="319"/>
        <v>cogs</v>
      </c>
      <c r="G4097" s="7" t="str">
        <f t="shared" si="320"/>
        <v>product 3</v>
      </c>
      <c r="H4097">
        <f t="shared" si="321"/>
        <v>2025</v>
      </c>
      <c r="I4097">
        <f t="shared" si="322"/>
        <v>7</v>
      </c>
      <c r="J4097">
        <f t="shared" si="323"/>
        <v>-159.91999999999999</v>
      </c>
    </row>
    <row r="4098" spans="1:10" ht="12.5" x14ac:dyDescent="0.25">
      <c r="A4098" s="1">
        <v>45860</v>
      </c>
      <c r="B4098" s="2" t="s">
        <v>10</v>
      </c>
      <c r="C4098" s="2" t="s">
        <v>6</v>
      </c>
      <c r="D4098" s="2" t="s">
        <v>6</v>
      </c>
      <c r="E4098" s="3">
        <v>119</v>
      </c>
      <c r="F4098" t="str">
        <f t="shared" si="319"/>
        <v>marketing</v>
      </c>
      <c r="G4098" s="7" t="s">
        <v>6</v>
      </c>
      <c r="H4098">
        <f t="shared" si="321"/>
        <v>2025</v>
      </c>
      <c r="I4098">
        <f t="shared" si="322"/>
        <v>7</v>
      </c>
      <c r="J4098">
        <f t="shared" si="323"/>
        <v>-1231.6300000000001</v>
      </c>
    </row>
    <row r="4099" spans="1:10" ht="12.5" x14ac:dyDescent="0.25">
      <c r="A4099" s="1">
        <v>45860</v>
      </c>
      <c r="B4099" s="2" t="s">
        <v>11</v>
      </c>
      <c r="C4099" s="3">
        <v>9.99</v>
      </c>
      <c r="D4099" s="3">
        <v>7</v>
      </c>
      <c r="E4099" s="3">
        <v>69.930000000000007</v>
      </c>
      <c r="F4099" t="str">
        <f t="shared" ref="F4099:F4162" si="324">IFERROR(LEFT(B4099,FIND(":",B4099)-1),B4099)</f>
        <v>net sales</v>
      </c>
      <c r="G4099" s="7" t="str">
        <f t="shared" ref="G4099:G4162" si="325">IFERROR(RIGHT(B4099,LEN(B4099)-FIND(":",B4099)),"")</f>
        <v>product 1</v>
      </c>
      <c r="H4099">
        <f t="shared" ref="H4099:H4162" si="326">YEAR(A4099)</f>
        <v>2025</v>
      </c>
      <c r="I4099">
        <f t="shared" ref="I4099:I4162" si="327">MONTH(A4099)</f>
        <v>7</v>
      </c>
      <c r="J4099">
        <f t="shared" si="323"/>
        <v>-118.05</v>
      </c>
    </row>
    <row r="4100" spans="1:10" ht="12.5" x14ac:dyDescent="0.25">
      <c r="A4100" s="1">
        <v>45860</v>
      </c>
      <c r="B4100" s="2" t="s">
        <v>12</v>
      </c>
      <c r="C4100" s="3">
        <v>24.99</v>
      </c>
      <c r="D4100" s="3">
        <v>9</v>
      </c>
      <c r="E4100" s="3">
        <v>224.91</v>
      </c>
      <c r="F4100" t="str">
        <f t="shared" si="324"/>
        <v>net sales</v>
      </c>
      <c r="G4100" s="7" t="str">
        <f t="shared" si="325"/>
        <v>product 2</v>
      </c>
      <c r="H4100">
        <f t="shared" si="326"/>
        <v>2025</v>
      </c>
      <c r="I4100">
        <f t="shared" si="327"/>
        <v>7</v>
      </c>
      <c r="J4100">
        <f t="shared" si="323"/>
        <v>219.78</v>
      </c>
    </row>
    <row r="4101" spans="1:10" ht="12.5" x14ac:dyDescent="0.25">
      <c r="A4101" s="1">
        <v>45860</v>
      </c>
      <c r="B4101" s="2" t="s">
        <v>13</v>
      </c>
      <c r="C4101" s="3">
        <v>12.49</v>
      </c>
      <c r="D4101" s="3">
        <v>197</v>
      </c>
      <c r="E4101" s="3">
        <v>2460.5300000000002</v>
      </c>
      <c r="F4101" t="str">
        <f t="shared" si="324"/>
        <v>net sales</v>
      </c>
      <c r="G4101" s="7" t="str">
        <f t="shared" si="325"/>
        <v>product 3</v>
      </c>
      <c r="H4101">
        <f t="shared" si="326"/>
        <v>2025</v>
      </c>
      <c r="I4101">
        <f t="shared" si="327"/>
        <v>7</v>
      </c>
      <c r="J4101">
        <f t="shared" si="323"/>
        <v>199.92</v>
      </c>
    </row>
    <row r="4102" spans="1:10" ht="12.5" x14ac:dyDescent="0.25">
      <c r="A4102" s="1">
        <v>45861</v>
      </c>
      <c r="B4102" s="2" t="s">
        <v>7</v>
      </c>
      <c r="C4102" s="3">
        <v>5.49</v>
      </c>
      <c r="D4102" s="3">
        <v>60</v>
      </c>
      <c r="E4102" s="3">
        <v>329.40000000000003</v>
      </c>
      <c r="F4102" t="str">
        <f t="shared" si="324"/>
        <v>cogs</v>
      </c>
      <c r="G4102" s="7" t="str">
        <f t="shared" si="325"/>
        <v>product 1</v>
      </c>
      <c r="H4102">
        <f t="shared" si="326"/>
        <v>2025</v>
      </c>
      <c r="I4102">
        <f t="shared" si="327"/>
        <v>7</v>
      </c>
      <c r="J4102">
        <f t="shared" si="323"/>
        <v>1711.13</v>
      </c>
    </row>
    <row r="4103" spans="1:10" ht="12.5" x14ac:dyDescent="0.25">
      <c r="A4103" s="1">
        <v>45861</v>
      </c>
      <c r="B4103" s="2" t="s">
        <v>8</v>
      </c>
      <c r="C4103" s="3">
        <v>19.989999999999998</v>
      </c>
      <c r="D4103" s="3">
        <v>5</v>
      </c>
      <c r="E4103" s="3">
        <v>99.949999999999989</v>
      </c>
      <c r="F4103" t="str">
        <f t="shared" si="324"/>
        <v>cogs</v>
      </c>
      <c r="G4103" s="7" t="str">
        <f t="shared" si="325"/>
        <v>product 2</v>
      </c>
      <c r="H4103">
        <f t="shared" si="326"/>
        <v>2025</v>
      </c>
      <c r="I4103">
        <f t="shared" si="327"/>
        <v>7</v>
      </c>
      <c r="J4103">
        <f t="shared" si="323"/>
        <v>-27.450000000000003</v>
      </c>
    </row>
    <row r="4104" spans="1:10" ht="12.5" x14ac:dyDescent="0.25">
      <c r="A4104" s="1">
        <v>45861</v>
      </c>
      <c r="B4104" s="2" t="s">
        <v>9</v>
      </c>
      <c r="C4104" s="3">
        <v>8.99</v>
      </c>
      <c r="D4104" s="3">
        <v>47</v>
      </c>
      <c r="E4104" s="3">
        <v>422.53000000000003</v>
      </c>
      <c r="F4104" t="str">
        <f t="shared" si="324"/>
        <v>cogs</v>
      </c>
      <c r="G4104" s="7" t="str">
        <f t="shared" si="325"/>
        <v>product 3</v>
      </c>
      <c r="H4104">
        <f t="shared" si="326"/>
        <v>2025</v>
      </c>
      <c r="I4104">
        <f t="shared" si="327"/>
        <v>7</v>
      </c>
      <c r="J4104">
        <f t="shared" si="323"/>
        <v>-59.97</v>
      </c>
    </row>
    <row r="4105" spans="1:10" ht="12.5" x14ac:dyDescent="0.25">
      <c r="A4105" s="1">
        <v>45861</v>
      </c>
      <c r="B4105" s="2" t="s">
        <v>10</v>
      </c>
      <c r="C4105" s="2" t="s">
        <v>6</v>
      </c>
      <c r="D4105" s="2" t="s">
        <v>6</v>
      </c>
      <c r="E4105" s="3">
        <v>112.06</v>
      </c>
      <c r="F4105" t="str">
        <f t="shared" si="324"/>
        <v>marketing</v>
      </c>
      <c r="G4105" s="7" t="s">
        <v>6</v>
      </c>
      <c r="H4105">
        <f t="shared" si="326"/>
        <v>2025</v>
      </c>
      <c r="I4105">
        <f t="shared" si="327"/>
        <v>7</v>
      </c>
      <c r="J4105">
        <f t="shared" si="323"/>
        <v>-818.09</v>
      </c>
    </row>
    <row r="4106" spans="1:10" ht="12.5" x14ac:dyDescent="0.25">
      <c r="A4106" s="1">
        <v>45861</v>
      </c>
      <c r="B4106" s="2" t="s">
        <v>11</v>
      </c>
      <c r="C4106" s="3">
        <v>9.99</v>
      </c>
      <c r="D4106" s="3">
        <v>60</v>
      </c>
      <c r="E4106" s="3">
        <v>599.4</v>
      </c>
      <c r="F4106" t="str">
        <f t="shared" si="324"/>
        <v>net sales</v>
      </c>
      <c r="G4106" s="7" t="str">
        <f t="shared" si="325"/>
        <v>product 1</v>
      </c>
      <c r="H4106">
        <f t="shared" si="326"/>
        <v>2025</v>
      </c>
      <c r="I4106">
        <f t="shared" si="327"/>
        <v>7</v>
      </c>
      <c r="J4106">
        <f t="shared" si="323"/>
        <v>-117.02</v>
      </c>
    </row>
    <row r="4107" spans="1:10" ht="12.5" x14ac:dyDescent="0.25">
      <c r="A4107" s="1">
        <v>45861</v>
      </c>
      <c r="B4107" s="2" t="s">
        <v>12</v>
      </c>
      <c r="C4107" s="3">
        <v>24.99</v>
      </c>
      <c r="D4107" s="3">
        <v>5</v>
      </c>
      <c r="E4107" s="3">
        <v>124.94999999999999</v>
      </c>
      <c r="F4107" t="str">
        <f t="shared" si="324"/>
        <v>net sales</v>
      </c>
      <c r="G4107" s="7" t="str">
        <f t="shared" si="325"/>
        <v>product 2</v>
      </c>
      <c r="H4107">
        <f t="shared" si="326"/>
        <v>2025</v>
      </c>
      <c r="I4107">
        <f t="shared" si="327"/>
        <v>7</v>
      </c>
      <c r="J4107">
        <f t="shared" si="323"/>
        <v>49.95</v>
      </c>
    </row>
    <row r="4108" spans="1:10" ht="12.5" x14ac:dyDescent="0.25">
      <c r="A4108" s="1">
        <v>45861</v>
      </c>
      <c r="B4108" s="2" t="s">
        <v>13</v>
      </c>
      <c r="C4108" s="3">
        <v>12.49</v>
      </c>
      <c r="D4108" s="3">
        <v>47</v>
      </c>
      <c r="E4108" s="3">
        <v>587.03</v>
      </c>
      <c r="F4108" t="str">
        <f t="shared" si="324"/>
        <v>net sales</v>
      </c>
      <c r="G4108" s="7" t="str">
        <f t="shared" si="325"/>
        <v>product 3</v>
      </c>
      <c r="H4108">
        <f t="shared" si="326"/>
        <v>2025</v>
      </c>
      <c r="I4108">
        <f t="shared" si="327"/>
        <v>7</v>
      </c>
      <c r="J4108">
        <f t="shared" si="323"/>
        <v>74.97</v>
      </c>
    </row>
    <row r="4109" spans="1:10" ht="12.5" x14ac:dyDescent="0.25">
      <c r="A4109" s="1">
        <v>45862</v>
      </c>
      <c r="B4109" s="2" t="s">
        <v>7</v>
      </c>
      <c r="C4109" s="3">
        <v>5.49</v>
      </c>
      <c r="D4109" s="3">
        <v>4</v>
      </c>
      <c r="E4109" s="3">
        <v>21.96</v>
      </c>
      <c r="F4109" t="str">
        <f t="shared" si="324"/>
        <v>cogs</v>
      </c>
      <c r="G4109" s="7" t="str">
        <f t="shared" si="325"/>
        <v>product 1</v>
      </c>
      <c r="H4109">
        <f t="shared" si="326"/>
        <v>2025</v>
      </c>
      <c r="I4109">
        <f t="shared" si="327"/>
        <v>7</v>
      </c>
      <c r="J4109">
        <f t="shared" si="323"/>
        <v>1136.5899999999999</v>
      </c>
    </row>
    <row r="4110" spans="1:10" ht="12.5" x14ac:dyDescent="0.25">
      <c r="A4110" s="1">
        <v>45862</v>
      </c>
      <c r="B4110" s="2" t="s">
        <v>8</v>
      </c>
      <c r="C4110" s="3">
        <v>19.989999999999998</v>
      </c>
      <c r="D4110" s="3">
        <v>4</v>
      </c>
      <c r="E4110" s="3">
        <v>79.959999999999994</v>
      </c>
      <c r="F4110" t="str">
        <f t="shared" si="324"/>
        <v>cogs</v>
      </c>
      <c r="G4110" s="7" t="str">
        <f t="shared" si="325"/>
        <v>product 2</v>
      </c>
      <c r="H4110">
        <f t="shared" si="326"/>
        <v>2025</v>
      </c>
      <c r="I4110">
        <f t="shared" si="327"/>
        <v>7</v>
      </c>
      <c r="J4110">
        <f t="shared" si="323"/>
        <v>-181.17000000000002</v>
      </c>
    </row>
    <row r="4111" spans="1:10" ht="12.5" x14ac:dyDescent="0.25">
      <c r="A4111" s="1">
        <v>45862</v>
      </c>
      <c r="B4111" s="2" t="s">
        <v>9</v>
      </c>
      <c r="C4111" s="3">
        <v>8.99</v>
      </c>
      <c r="D4111" s="3">
        <v>150</v>
      </c>
      <c r="E4111" s="3">
        <v>1348.5</v>
      </c>
      <c r="F4111" t="str">
        <f t="shared" si="324"/>
        <v>cogs</v>
      </c>
      <c r="G4111" s="7" t="str">
        <f t="shared" si="325"/>
        <v>product 3</v>
      </c>
      <c r="H4111">
        <f t="shared" si="326"/>
        <v>2025</v>
      </c>
      <c r="I4111">
        <f t="shared" si="327"/>
        <v>7</v>
      </c>
      <c r="J4111">
        <f t="shared" si="323"/>
        <v>-19.989999999999998</v>
      </c>
    </row>
    <row r="4112" spans="1:10" ht="12.5" x14ac:dyDescent="0.25">
      <c r="A4112" s="1">
        <v>45862</v>
      </c>
      <c r="B4112" s="2" t="s">
        <v>10</v>
      </c>
      <c r="C4112" s="2" t="s">
        <v>6</v>
      </c>
      <c r="D4112" s="2" t="s">
        <v>6</v>
      </c>
      <c r="E4112" s="3">
        <v>104.95</v>
      </c>
      <c r="F4112" t="str">
        <f t="shared" si="324"/>
        <v>marketing</v>
      </c>
      <c r="G4112" s="7" t="s">
        <v>6</v>
      </c>
      <c r="H4112">
        <f t="shared" si="326"/>
        <v>2025</v>
      </c>
      <c r="I4112">
        <f t="shared" si="327"/>
        <v>7</v>
      </c>
      <c r="J4112">
        <f t="shared" si="323"/>
        <v>-395.56</v>
      </c>
    </row>
    <row r="4113" spans="1:10" ht="12.5" x14ac:dyDescent="0.25">
      <c r="A4113" s="1">
        <v>45862</v>
      </c>
      <c r="B4113" s="2" t="s">
        <v>11</v>
      </c>
      <c r="C4113" s="3">
        <v>9.99</v>
      </c>
      <c r="D4113" s="3">
        <v>4</v>
      </c>
      <c r="E4113" s="3">
        <v>39.96</v>
      </c>
      <c r="F4113" t="str">
        <f t="shared" si="324"/>
        <v>net sales</v>
      </c>
      <c r="G4113" s="7" t="str">
        <f t="shared" si="325"/>
        <v>product 1</v>
      </c>
      <c r="H4113">
        <f t="shared" si="326"/>
        <v>2025</v>
      </c>
      <c r="I4113">
        <f t="shared" si="327"/>
        <v>7</v>
      </c>
      <c r="J4113">
        <f t="shared" si="323"/>
        <v>-116.91</v>
      </c>
    </row>
    <row r="4114" spans="1:10" ht="12.5" x14ac:dyDescent="0.25">
      <c r="A4114" s="1">
        <v>45862</v>
      </c>
      <c r="B4114" s="2" t="s">
        <v>12</v>
      </c>
      <c r="C4114" s="3">
        <v>24.99</v>
      </c>
      <c r="D4114" s="3">
        <v>4</v>
      </c>
      <c r="E4114" s="3">
        <v>99.96</v>
      </c>
      <c r="F4114" t="str">
        <f t="shared" si="324"/>
        <v>net sales</v>
      </c>
      <c r="G4114" s="7" t="str">
        <f t="shared" si="325"/>
        <v>product 2</v>
      </c>
      <c r="H4114">
        <f t="shared" si="326"/>
        <v>2025</v>
      </c>
      <c r="I4114">
        <f t="shared" si="327"/>
        <v>7</v>
      </c>
      <c r="J4114">
        <f t="shared" si="323"/>
        <v>329.67</v>
      </c>
    </row>
    <row r="4115" spans="1:10" ht="12.5" x14ac:dyDescent="0.25">
      <c r="A4115" s="1">
        <v>45862</v>
      </c>
      <c r="B4115" s="2" t="s">
        <v>13</v>
      </c>
      <c r="C4115" s="3">
        <v>12.49</v>
      </c>
      <c r="D4115" s="3">
        <v>150</v>
      </c>
      <c r="E4115" s="3">
        <v>1873.5</v>
      </c>
      <c r="F4115" t="str">
        <f t="shared" si="324"/>
        <v>net sales</v>
      </c>
      <c r="G4115" s="7" t="str">
        <f t="shared" si="325"/>
        <v>product 3</v>
      </c>
      <c r="H4115">
        <f t="shared" si="326"/>
        <v>2025</v>
      </c>
      <c r="I4115">
        <f t="shared" si="327"/>
        <v>7</v>
      </c>
      <c r="J4115">
        <f t="shared" si="323"/>
        <v>24.99</v>
      </c>
    </row>
    <row r="4116" spans="1:10" ht="12.5" x14ac:dyDescent="0.25">
      <c r="A4116" s="1">
        <v>45863</v>
      </c>
      <c r="B4116" s="2" t="s">
        <v>7</v>
      </c>
      <c r="C4116" s="3">
        <v>5.49</v>
      </c>
      <c r="D4116" s="3">
        <v>48</v>
      </c>
      <c r="E4116" s="3">
        <v>263.52</v>
      </c>
      <c r="F4116" t="str">
        <f t="shared" si="324"/>
        <v>cogs</v>
      </c>
      <c r="G4116" s="7" t="str">
        <f t="shared" si="325"/>
        <v>product 1</v>
      </c>
      <c r="H4116">
        <f t="shared" si="326"/>
        <v>2025</v>
      </c>
      <c r="I4116">
        <f t="shared" si="327"/>
        <v>7</v>
      </c>
      <c r="J4116">
        <f t="shared" si="323"/>
        <v>549.56000000000006</v>
      </c>
    </row>
    <row r="4117" spans="1:10" ht="12.5" x14ac:dyDescent="0.25">
      <c r="A4117" s="1">
        <v>45863</v>
      </c>
      <c r="B4117" s="2" t="s">
        <v>8</v>
      </c>
      <c r="C4117" s="3">
        <v>19.989999999999998</v>
      </c>
      <c r="D4117" s="3">
        <v>7</v>
      </c>
      <c r="E4117" s="3">
        <v>139.92999999999998</v>
      </c>
      <c r="F4117" t="str">
        <f t="shared" si="324"/>
        <v>cogs</v>
      </c>
      <c r="G4117" s="7" t="str">
        <f t="shared" si="325"/>
        <v>product 2</v>
      </c>
      <c r="H4117">
        <f t="shared" si="326"/>
        <v>2025</v>
      </c>
      <c r="I4117">
        <f t="shared" si="327"/>
        <v>7</v>
      </c>
      <c r="J4117">
        <f t="shared" si="323"/>
        <v>-351.36</v>
      </c>
    </row>
    <row r="4118" spans="1:10" ht="12.5" x14ac:dyDescent="0.25">
      <c r="A4118" s="1">
        <v>45863</v>
      </c>
      <c r="B4118" s="2" t="s">
        <v>9</v>
      </c>
      <c r="C4118" s="3">
        <v>8.99</v>
      </c>
      <c r="D4118" s="3">
        <v>159</v>
      </c>
      <c r="E4118" s="3">
        <v>1429.41</v>
      </c>
      <c r="F4118" t="str">
        <f t="shared" si="324"/>
        <v>cogs</v>
      </c>
      <c r="G4118" s="7" t="str">
        <f t="shared" si="325"/>
        <v>product 3</v>
      </c>
      <c r="H4118">
        <f t="shared" si="326"/>
        <v>2025</v>
      </c>
      <c r="I4118">
        <f t="shared" si="327"/>
        <v>7</v>
      </c>
      <c r="J4118">
        <f t="shared" si="323"/>
        <v>-139.92999999999998</v>
      </c>
    </row>
    <row r="4119" spans="1:10" ht="12.5" x14ac:dyDescent="0.25">
      <c r="A4119" s="1">
        <v>45863</v>
      </c>
      <c r="B4119" s="2" t="s">
        <v>10</v>
      </c>
      <c r="C4119" s="2" t="s">
        <v>6</v>
      </c>
      <c r="D4119" s="2" t="s">
        <v>6</v>
      </c>
      <c r="E4119" s="3">
        <v>117.95</v>
      </c>
      <c r="F4119" t="str">
        <f t="shared" si="324"/>
        <v>marketing</v>
      </c>
      <c r="G4119" s="7" t="s">
        <v>6</v>
      </c>
      <c r="H4119">
        <f t="shared" si="326"/>
        <v>2025</v>
      </c>
      <c r="I4119">
        <f t="shared" si="327"/>
        <v>7</v>
      </c>
      <c r="J4119">
        <f t="shared" si="323"/>
        <v>-1375.47</v>
      </c>
    </row>
    <row r="4120" spans="1:10" ht="12.5" x14ac:dyDescent="0.25">
      <c r="A4120" s="1">
        <v>45863</v>
      </c>
      <c r="B4120" s="2" t="s">
        <v>11</v>
      </c>
      <c r="C4120" s="3">
        <v>9.99</v>
      </c>
      <c r="D4120" s="3">
        <v>48</v>
      </c>
      <c r="E4120" s="3">
        <v>479.52</v>
      </c>
      <c r="F4120" t="str">
        <f t="shared" si="324"/>
        <v>net sales</v>
      </c>
      <c r="G4120" s="7" t="str">
        <f t="shared" si="325"/>
        <v>product 1</v>
      </c>
      <c r="H4120">
        <f t="shared" si="326"/>
        <v>2025</v>
      </c>
      <c r="I4120">
        <f t="shared" si="327"/>
        <v>7</v>
      </c>
      <c r="J4120">
        <f t="shared" si="323"/>
        <v>-106.10000000000001</v>
      </c>
    </row>
    <row r="4121" spans="1:10" ht="12.5" x14ac:dyDescent="0.25">
      <c r="A4121" s="1">
        <v>45863</v>
      </c>
      <c r="B4121" s="2" t="s">
        <v>12</v>
      </c>
      <c r="C4121" s="3">
        <v>24.99</v>
      </c>
      <c r="D4121" s="3">
        <v>7</v>
      </c>
      <c r="E4121" s="3">
        <v>174.92999999999998</v>
      </c>
      <c r="F4121" t="str">
        <f t="shared" si="324"/>
        <v>net sales</v>
      </c>
      <c r="G4121" s="7" t="str">
        <f t="shared" si="325"/>
        <v>product 2</v>
      </c>
      <c r="H4121">
        <f t="shared" si="326"/>
        <v>2025</v>
      </c>
      <c r="I4121">
        <f t="shared" si="327"/>
        <v>7</v>
      </c>
      <c r="J4121">
        <f t="shared" si="323"/>
        <v>639.36</v>
      </c>
    </row>
    <row r="4122" spans="1:10" ht="12.5" x14ac:dyDescent="0.25">
      <c r="A4122" s="1">
        <v>45863</v>
      </c>
      <c r="B4122" s="2" t="s">
        <v>13</v>
      </c>
      <c r="C4122" s="3">
        <v>12.49</v>
      </c>
      <c r="D4122" s="3">
        <v>159</v>
      </c>
      <c r="E4122" s="3">
        <v>1985.91</v>
      </c>
      <c r="F4122" t="str">
        <f t="shared" si="324"/>
        <v>net sales</v>
      </c>
      <c r="G4122" s="7" t="str">
        <f t="shared" si="325"/>
        <v>product 3</v>
      </c>
      <c r="H4122">
        <f t="shared" si="326"/>
        <v>2025</v>
      </c>
      <c r="I4122">
        <f t="shared" si="327"/>
        <v>7</v>
      </c>
      <c r="J4122">
        <f t="shared" si="323"/>
        <v>174.92999999999998</v>
      </c>
    </row>
    <row r="4123" spans="1:10" ht="12.5" x14ac:dyDescent="0.25">
      <c r="A4123" s="1">
        <v>45864</v>
      </c>
      <c r="B4123" s="2" t="s">
        <v>7</v>
      </c>
      <c r="C4123" s="3">
        <v>5.49</v>
      </c>
      <c r="D4123" s="3">
        <v>16</v>
      </c>
      <c r="E4123" s="3">
        <v>87.84</v>
      </c>
      <c r="F4123" t="str">
        <f t="shared" si="324"/>
        <v>cogs</v>
      </c>
      <c r="G4123" s="7" t="str">
        <f t="shared" si="325"/>
        <v>product 1</v>
      </c>
      <c r="H4123">
        <f t="shared" si="326"/>
        <v>2025</v>
      </c>
      <c r="I4123">
        <f t="shared" si="327"/>
        <v>7</v>
      </c>
      <c r="J4123">
        <f t="shared" si="323"/>
        <v>1910.97</v>
      </c>
    </row>
    <row r="4124" spans="1:10" ht="12.5" x14ac:dyDescent="0.25">
      <c r="A4124" s="1">
        <v>45864</v>
      </c>
      <c r="B4124" s="2" t="s">
        <v>8</v>
      </c>
      <c r="C4124" s="3">
        <v>19.989999999999998</v>
      </c>
      <c r="D4124" s="3">
        <v>5</v>
      </c>
      <c r="E4124" s="3">
        <v>99.949999999999989</v>
      </c>
      <c r="F4124" t="str">
        <f t="shared" si="324"/>
        <v>cogs</v>
      </c>
      <c r="G4124" s="7" t="str">
        <f t="shared" si="325"/>
        <v>product 2</v>
      </c>
      <c r="H4124">
        <f t="shared" si="326"/>
        <v>2025</v>
      </c>
      <c r="I4124">
        <f t="shared" si="327"/>
        <v>7</v>
      </c>
      <c r="J4124">
        <f t="shared" ref="J4124:J4187" si="328">IF(F3907="net sales",E3907,
IF(F3907="cogs",-E3907,
IF(OR(F3907="marketing",F3907="overhead",F3907="payroll",F3907="interest","amortization"),-E3907,0)))</f>
        <v>-175.68</v>
      </c>
    </row>
    <row r="4125" spans="1:10" ht="12.5" x14ac:dyDescent="0.25">
      <c r="A4125" s="1">
        <v>45864</v>
      </c>
      <c r="B4125" s="2" t="s">
        <v>9</v>
      </c>
      <c r="C4125" s="3">
        <v>8.99</v>
      </c>
      <c r="D4125" s="3">
        <v>102</v>
      </c>
      <c r="E4125" s="3">
        <v>916.98</v>
      </c>
      <c r="F4125" t="str">
        <f t="shared" si="324"/>
        <v>cogs</v>
      </c>
      <c r="G4125" s="7" t="str">
        <f t="shared" si="325"/>
        <v>product 3</v>
      </c>
      <c r="H4125">
        <f t="shared" si="326"/>
        <v>2025</v>
      </c>
      <c r="I4125">
        <f t="shared" si="327"/>
        <v>7</v>
      </c>
      <c r="J4125">
        <f t="shared" si="328"/>
        <v>-159.91999999999999</v>
      </c>
    </row>
    <row r="4126" spans="1:10" ht="12.5" x14ac:dyDescent="0.25">
      <c r="A4126" s="1">
        <v>45864</v>
      </c>
      <c r="B4126" s="2" t="s">
        <v>10</v>
      </c>
      <c r="C4126" s="2" t="s">
        <v>6</v>
      </c>
      <c r="D4126" s="2" t="s">
        <v>6</v>
      </c>
      <c r="E4126" s="3">
        <v>120.08</v>
      </c>
      <c r="F4126" t="str">
        <f t="shared" si="324"/>
        <v>marketing</v>
      </c>
      <c r="G4126" s="7" t="s">
        <v>6</v>
      </c>
      <c r="H4126">
        <f t="shared" si="326"/>
        <v>2025</v>
      </c>
      <c r="I4126">
        <f t="shared" si="327"/>
        <v>7</v>
      </c>
      <c r="J4126">
        <f t="shared" si="328"/>
        <v>-1519.31</v>
      </c>
    </row>
    <row r="4127" spans="1:10" ht="12.5" x14ac:dyDescent="0.25">
      <c r="A4127" s="1">
        <v>45864</v>
      </c>
      <c r="B4127" s="2" t="s">
        <v>11</v>
      </c>
      <c r="C4127" s="3">
        <v>9.99</v>
      </c>
      <c r="D4127" s="3">
        <v>16</v>
      </c>
      <c r="E4127" s="3">
        <v>159.84</v>
      </c>
      <c r="F4127" t="str">
        <f t="shared" si="324"/>
        <v>net sales</v>
      </c>
      <c r="G4127" s="7" t="str">
        <f t="shared" si="325"/>
        <v>product 1</v>
      </c>
      <c r="H4127">
        <f t="shared" si="326"/>
        <v>2025</v>
      </c>
      <c r="I4127">
        <f t="shared" si="327"/>
        <v>7</v>
      </c>
      <c r="J4127">
        <f t="shared" si="328"/>
        <v>-104.01</v>
      </c>
    </row>
    <row r="4128" spans="1:10" ht="12.5" x14ac:dyDescent="0.25">
      <c r="A4128" s="1">
        <v>45864</v>
      </c>
      <c r="B4128" s="2" t="s">
        <v>12</v>
      </c>
      <c r="C4128" s="3">
        <v>24.99</v>
      </c>
      <c r="D4128" s="3">
        <v>5</v>
      </c>
      <c r="E4128" s="3">
        <v>124.94999999999999</v>
      </c>
      <c r="F4128" t="str">
        <f t="shared" si="324"/>
        <v>net sales</v>
      </c>
      <c r="G4128" s="7" t="str">
        <f t="shared" si="325"/>
        <v>product 2</v>
      </c>
      <c r="H4128">
        <f t="shared" si="326"/>
        <v>2025</v>
      </c>
      <c r="I4128">
        <f t="shared" si="327"/>
        <v>7</v>
      </c>
      <c r="J4128">
        <f t="shared" si="328"/>
        <v>319.68</v>
      </c>
    </row>
    <row r="4129" spans="1:10" ht="12.5" x14ac:dyDescent="0.25">
      <c r="A4129" s="1">
        <v>45864</v>
      </c>
      <c r="B4129" s="2" t="s">
        <v>13</v>
      </c>
      <c r="C4129" s="3">
        <v>12.49</v>
      </c>
      <c r="D4129" s="3">
        <v>102</v>
      </c>
      <c r="E4129" s="3">
        <v>1273.98</v>
      </c>
      <c r="F4129" t="str">
        <f t="shared" si="324"/>
        <v>net sales</v>
      </c>
      <c r="G4129" s="7" t="str">
        <f t="shared" si="325"/>
        <v>product 3</v>
      </c>
      <c r="H4129">
        <f t="shared" si="326"/>
        <v>2025</v>
      </c>
      <c r="I4129">
        <f t="shared" si="327"/>
        <v>7</v>
      </c>
      <c r="J4129">
        <f t="shared" si="328"/>
        <v>199.92</v>
      </c>
    </row>
    <row r="4130" spans="1:10" ht="12.5" x14ac:dyDescent="0.25">
      <c r="A4130" s="1">
        <v>45865</v>
      </c>
      <c r="B4130" s="2" t="s">
        <v>7</v>
      </c>
      <c r="C4130" s="3">
        <v>5.49</v>
      </c>
      <c r="D4130" s="3">
        <v>86</v>
      </c>
      <c r="E4130" s="3">
        <v>472.14000000000004</v>
      </c>
      <c r="F4130" t="str">
        <f t="shared" si="324"/>
        <v>cogs</v>
      </c>
      <c r="G4130" s="7" t="str">
        <f t="shared" si="325"/>
        <v>product 1</v>
      </c>
      <c r="H4130">
        <f t="shared" si="326"/>
        <v>2025</v>
      </c>
      <c r="I4130">
        <f t="shared" si="327"/>
        <v>7</v>
      </c>
      <c r="J4130">
        <f t="shared" si="328"/>
        <v>2110.81</v>
      </c>
    </row>
    <row r="4131" spans="1:10" ht="12.5" x14ac:dyDescent="0.25">
      <c r="A4131" s="1">
        <v>45865</v>
      </c>
      <c r="B4131" s="2" t="s">
        <v>8</v>
      </c>
      <c r="C4131" s="3">
        <v>19.989999999999998</v>
      </c>
      <c r="D4131" s="3">
        <v>4</v>
      </c>
      <c r="E4131" s="3">
        <v>79.959999999999994</v>
      </c>
      <c r="F4131" t="str">
        <f t="shared" si="324"/>
        <v>cogs</v>
      </c>
      <c r="G4131" s="7" t="str">
        <f t="shared" si="325"/>
        <v>product 2</v>
      </c>
      <c r="H4131">
        <f t="shared" si="326"/>
        <v>2025</v>
      </c>
      <c r="I4131">
        <f t="shared" si="327"/>
        <v>7</v>
      </c>
      <c r="J4131">
        <f t="shared" si="328"/>
        <v>-104.31</v>
      </c>
    </row>
    <row r="4132" spans="1:10" ht="12.5" x14ac:dyDescent="0.25">
      <c r="A4132" s="1">
        <v>45865</v>
      </c>
      <c r="B4132" s="2" t="s">
        <v>9</v>
      </c>
      <c r="C4132" s="3">
        <v>8.99</v>
      </c>
      <c r="D4132" s="3">
        <v>192</v>
      </c>
      <c r="E4132" s="3">
        <v>1726.08</v>
      </c>
      <c r="F4132" t="str">
        <f t="shared" si="324"/>
        <v>cogs</v>
      </c>
      <c r="G4132" s="7" t="str">
        <f t="shared" si="325"/>
        <v>product 3</v>
      </c>
      <c r="H4132">
        <f t="shared" si="326"/>
        <v>2025</v>
      </c>
      <c r="I4132">
        <f t="shared" si="327"/>
        <v>7</v>
      </c>
      <c r="J4132">
        <f t="shared" si="328"/>
        <v>-19.989999999999998</v>
      </c>
    </row>
    <row r="4133" spans="1:10" ht="12.5" x14ac:dyDescent="0.25">
      <c r="A4133" s="1">
        <v>45865</v>
      </c>
      <c r="B4133" s="2" t="s">
        <v>10</v>
      </c>
      <c r="C4133" s="2" t="s">
        <v>6</v>
      </c>
      <c r="D4133" s="2" t="s">
        <v>6</v>
      </c>
      <c r="E4133" s="3">
        <v>118.09</v>
      </c>
      <c r="F4133" t="str">
        <f t="shared" si="324"/>
        <v>marketing</v>
      </c>
      <c r="G4133" s="7" t="s">
        <v>6</v>
      </c>
      <c r="H4133">
        <f t="shared" si="326"/>
        <v>2025</v>
      </c>
      <c r="I4133">
        <f t="shared" si="327"/>
        <v>7</v>
      </c>
      <c r="J4133">
        <f t="shared" si="328"/>
        <v>-674.25</v>
      </c>
    </row>
    <row r="4134" spans="1:10" ht="12.5" x14ac:dyDescent="0.25">
      <c r="A4134" s="1">
        <v>45865</v>
      </c>
      <c r="B4134" s="2" t="s">
        <v>11</v>
      </c>
      <c r="C4134" s="3">
        <v>9.99</v>
      </c>
      <c r="D4134" s="3">
        <v>86</v>
      </c>
      <c r="E4134" s="3">
        <v>859.14</v>
      </c>
      <c r="F4134" t="str">
        <f t="shared" si="324"/>
        <v>net sales</v>
      </c>
      <c r="G4134" s="7" t="str">
        <f t="shared" si="325"/>
        <v>product 1</v>
      </c>
      <c r="H4134">
        <f t="shared" si="326"/>
        <v>2025</v>
      </c>
      <c r="I4134">
        <f t="shared" si="327"/>
        <v>7</v>
      </c>
      <c r="J4134">
        <f t="shared" si="328"/>
        <v>-116.99000000000001</v>
      </c>
    </row>
    <row r="4135" spans="1:10" ht="12.5" x14ac:dyDescent="0.25">
      <c r="A4135" s="1">
        <v>45865</v>
      </c>
      <c r="B4135" s="2" t="s">
        <v>12</v>
      </c>
      <c r="C4135" s="3">
        <v>24.99</v>
      </c>
      <c r="D4135" s="3">
        <v>4</v>
      </c>
      <c r="E4135" s="3">
        <v>99.96</v>
      </c>
      <c r="F4135" t="str">
        <f t="shared" si="324"/>
        <v>net sales</v>
      </c>
      <c r="G4135" s="7" t="str">
        <f t="shared" si="325"/>
        <v>product 2</v>
      </c>
      <c r="H4135">
        <f t="shared" si="326"/>
        <v>2025</v>
      </c>
      <c r="I4135">
        <f t="shared" si="327"/>
        <v>7</v>
      </c>
      <c r="J4135">
        <f t="shared" si="328"/>
        <v>189.81</v>
      </c>
    </row>
    <row r="4136" spans="1:10" ht="12.5" x14ac:dyDescent="0.25">
      <c r="A4136" s="1">
        <v>45865</v>
      </c>
      <c r="B4136" s="2" t="s">
        <v>13</v>
      </c>
      <c r="C4136" s="3">
        <v>12.49</v>
      </c>
      <c r="D4136" s="3">
        <v>192</v>
      </c>
      <c r="E4136" s="3">
        <v>2398.08</v>
      </c>
      <c r="F4136" t="str">
        <f t="shared" si="324"/>
        <v>net sales</v>
      </c>
      <c r="G4136" s="7" t="str">
        <f t="shared" si="325"/>
        <v>product 3</v>
      </c>
      <c r="H4136">
        <f t="shared" si="326"/>
        <v>2025</v>
      </c>
      <c r="I4136">
        <f t="shared" si="327"/>
        <v>7</v>
      </c>
      <c r="J4136">
        <f t="shared" si="328"/>
        <v>24.99</v>
      </c>
    </row>
    <row r="4137" spans="1:10" ht="12.5" x14ac:dyDescent="0.25">
      <c r="A4137" s="1">
        <v>45866</v>
      </c>
      <c r="B4137" s="2" t="s">
        <v>7</v>
      </c>
      <c r="C4137" s="3">
        <v>5.49</v>
      </c>
      <c r="D4137" s="3">
        <v>37</v>
      </c>
      <c r="E4137" s="3">
        <v>203.13</v>
      </c>
      <c r="F4137" t="str">
        <f t="shared" si="324"/>
        <v>cogs</v>
      </c>
      <c r="G4137" s="7" t="str">
        <f t="shared" si="325"/>
        <v>product 1</v>
      </c>
      <c r="H4137">
        <f t="shared" si="326"/>
        <v>2025</v>
      </c>
      <c r="I4137">
        <f t="shared" si="327"/>
        <v>7</v>
      </c>
      <c r="J4137">
        <f t="shared" si="328"/>
        <v>936.75</v>
      </c>
    </row>
    <row r="4138" spans="1:10" ht="12.5" x14ac:dyDescent="0.25">
      <c r="A4138" s="1">
        <v>45866</v>
      </c>
      <c r="B4138" s="2" t="s">
        <v>8</v>
      </c>
      <c r="C4138" s="3">
        <v>19.989999999999998</v>
      </c>
      <c r="D4138" s="3">
        <v>4</v>
      </c>
      <c r="E4138" s="3">
        <v>79.959999999999994</v>
      </c>
      <c r="F4138" t="str">
        <f t="shared" si="324"/>
        <v>cogs</v>
      </c>
      <c r="G4138" s="7" t="str">
        <f t="shared" si="325"/>
        <v>product 2</v>
      </c>
      <c r="H4138">
        <f t="shared" si="326"/>
        <v>2025</v>
      </c>
      <c r="I4138">
        <f t="shared" si="327"/>
        <v>7</v>
      </c>
      <c r="J4138">
        <f t="shared" si="328"/>
        <v>-345.87</v>
      </c>
    </row>
    <row r="4139" spans="1:10" ht="12.5" x14ac:dyDescent="0.25">
      <c r="A4139" s="1">
        <v>45866</v>
      </c>
      <c r="B4139" s="2" t="s">
        <v>9</v>
      </c>
      <c r="C4139" s="3">
        <v>8.99</v>
      </c>
      <c r="D4139" s="3">
        <v>176</v>
      </c>
      <c r="E4139" s="3">
        <v>1582.24</v>
      </c>
      <c r="F4139" t="str">
        <f t="shared" si="324"/>
        <v>cogs</v>
      </c>
      <c r="G4139" s="7" t="str">
        <f t="shared" si="325"/>
        <v>product 3</v>
      </c>
      <c r="H4139">
        <f t="shared" si="326"/>
        <v>2025</v>
      </c>
      <c r="I4139">
        <f t="shared" si="327"/>
        <v>7</v>
      </c>
      <c r="J4139">
        <f t="shared" si="328"/>
        <v>-179.91</v>
      </c>
    </row>
    <row r="4140" spans="1:10" ht="12.5" x14ac:dyDescent="0.25">
      <c r="A4140" s="1">
        <v>45866</v>
      </c>
      <c r="B4140" s="2" t="s">
        <v>10</v>
      </c>
      <c r="C4140" s="2" t="s">
        <v>6</v>
      </c>
      <c r="D4140" s="2" t="s">
        <v>6</v>
      </c>
      <c r="E4140" s="3">
        <v>106.02</v>
      </c>
      <c r="F4140" t="str">
        <f t="shared" si="324"/>
        <v>marketing</v>
      </c>
      <c r="G4140" s="7" t="s">
        <v>6</v>
      </c>
      <c r="H4140">
        <f t="shared" si="326"/>
        <v>2025</v>
      </c>
      <c r="I4140">
        <f t="shared" si="327"/>
        <v>7</v>
      </c>
      <c r="J4140">
        <f t="shared" si="328"/>
        <v>-1600.22</v>
      </c>
    </row>
    <row r="4141" spans="1:10" ht="12.5" x14ac:dyDescent="0.25">
      <c r="A4141" s="1">
        <v>45866</v>
      </c>
      <c r="B4141" s="2" t="s">
        <v>11</v>
      </c>
      <c r="C4141" s="3">
        <v>9.99</v>
      </c>
      <c r="D4141" s="3">
        <v>37</v>
      </c>
      <c r="E4141" s="3">
        <v>369.63</v>
      </c>
      <c r="F4141" t="str">
        <f t="shared" si="324"/>
        <v>net sales</v>
      </c>
      <c r="G4141" s="7" t="str">
        <f t="shared" si="325"/>
        <v>product 1</v>
      </c>
      <c r="H4141">
        <f t="shared" si="326"/>
        <v>2025</v>
      </c>
      <c r="I4141">
        <f t="shared" si="327"/>
        <v>7</v>
      </c>
      <c r="J4141">
        <f t="shared" si="328"/>
        <v>-114.92</v>
      </c>
    </row>
    <row r="4142" spans="1:10" ht="12.5" x14ac:dyDescent="0.25">
      <c r="A4142" s="1">
        <v>45866</v>
      </c>
      <c r="B4142" s="2" t="s">
        <v>12</v>
      </c>
      <c r="C4142" s="3">
        <v>24.99</v>
      </c>
      <c r="D4142" s="3">
        <v>4</v>
      </c>
      <c r="E4142" s="3">
        <v>99.96</v>
      </c>
      <c r="F4142" t="str">
        <f t="shared" si="324"/>
        <v>net sales</v>
      </c>
      <c r="G4142" s="7" t="str">
        <f t="shared" si="325"/>
        <v>product 2</v>
      </c>
      <c r="H4142">
        <f t="shared" si="326"/>
        <v>2025</v>
      </c>
      <c r="I4142">
        <f t="shared" si="327"/>
        <v>7</v>
      </c>
      <c r="J4142">
        <f t="shared" si="328"/>
        <v>629.37</v>
      </c>
    </row>
    <row r="4143" spans="1:10" ht="12.5" x14ac:dyDescent="0.25">
      <c r="A4143" s="1">
        <v>45866</v>
      </c>
      <c r="B4143" s="2" t="s">
        <v>13</v>
      </c>
      <c r="C4143" s="3">
        <v>12.49</v>
      </c>
      <c r="D4143" s="3">
        <v>176</v>
      </c>
      <c r="E4143" s="3">
        <v>2198.2400000000002</v>
      </c>
      <c r="F4143" t="str">
        <f t="shared" si="324"/>
        <v>net sales</v>
      </c>
      <c r="G4143" s="7" t="str">
        <f t="shared" si="325"/>
        <v>product 3</v>
      </c>
      <c r="H4143">
        <f t="shared" si="326"/>
        <v>2025</v>
      </c>
      <c r="I4143">
        <f t="shared" si="327"/>
        <v>7</v>
      </c>
      <c r="J4143">
        <f t="shared" si="328"/>
        <v>224.91</v>
      </c>
    </row>
    <row r="4144" spans="1:10" ht="12.5" x14ac:dyDescent="0.25">
      <c r="A4144" s="1">
        <v>45867</v>
      </c>
      <c r="B4144" s="2" t="s">
        <v>7</v>
      </c>
      <c r="C4144" s="3">
        <v>5.49</v>
      </c>
      <c r="D4144" s="3">
        <v>93</v>
      </c>
      <c r="E4144" s="3">
        <v>510.57</v>
      </c>
      <c r="F4144" t="str">
        <f t="shared" si="324"/>
        <v>cogs</v>
      </c>
      <c r="G4144" s="7" t="str">
        <f t="shared" si="325"/>
        <v>product 1</v>
      </c>
      <c r="H4144">
        <f t="shared" si="326"/>
        <v>2025</v>
      </c>
      <c r="I4144">
        <f t="shared" si="327"/>
        <v>7</v>
      </c>
      <c r="J4144">
        <f t="shared" si="328"/>
        <v>2223.2200000000003</v>
      </c>
    </row>
    <row r="4145" spans="1:10" ht="12.5" x14ac:dyDescent="0.25">
      <c r="A4145" s="1">
        <v>45867</v>
      </c>
      <c r="B4145" s="2" t="s">
        <v>8</v>
      </c>
      <c r="C4145" s="3">
        <v>19.989999999999998</v>
      </c>
      <c r="D4145" s="3">
        <v>4</v>
      </c>
      <c r="E4145" s="3">
        <v>79.959999999999994</v>
      </c>
      <c r="F4145" t="str">
        <f t="shared" si="324"/>
        <v>cogs</v>
      </c>
      <c r="G4145" s="7" t="str">
        <f t="shared" si="325"/>
        <v>product 2</v>
      </c>
      <c r="H4145">
        <f t="shared" si="326"/>
        <v>2025</v>
      </c>
      <c r="I4145">
        <f t="shared" si="327"/>
        <v>7</v>
      </c>
      <c r="J4145">
        <f t="shared" si="328"/>
        <v>-225.09</v>
      </c>
    </row>
    <row r="4146" spans="1:10" ht="12.5" x14ac:dyDescent="0.25">
      <c r="A4146" s="1">
        <v>45867</v>
      </c>
      <c r="B4146" s="2" t="s">
        <v>9</v>
      </c>
      <c r="C4146" s="3">
        <v>8.99</v>
      </c>
      <c r="D4146" s="3">
        <v>225</v>
      </c>
      <c r="E4146" s="3">
        <v>2022.75</v>
      </c>
      <c r="F4146" t="str">
        <f t="shared" si="324"/>
        <v>cogs</v>
      </c>
      <c r="G4146" s="7" t="str">
        <f t="shared" si="325"/>
        <v>product 3</v>
      </c>
      <c r="H4146">
        <f t="shared" si="326"/>
        <v>2025</v>
      </c>
      <c r="I4146">
        <f t="shared" si="327"/>
        <v>7</v>
      </c>
      <c r="J4146">
        <f t="shared" si="328"/>
        <v>-19.989999999999998</v>
      </c>
    </row>
    <row r="4147" spans="1:10" ht="12.5" x14ac:dyDescent="0.25">
      <c r="A4147" s="1">
        <v>45867</v>
      </c>
      <c r="B4147" s="2" t="s">
        <v>10</v>
      </c>
      <c r="C4147" s="2" t="s">
        <v>6</v>
      </c>
      <c r="D4147" s="2" t="s">
        <v>6</v>
      </c>
      <c r="E4147" s="3">
        <v>114.02</v>
      </c>
      <c r="F4147" t="str">
        <f t="shared" si="324"/>
        <v>marketing</v>
      </c>
      <c r="G4147" s="7" t="s">
        <v>6</v>
      </c>
      <c r="H4147">
        <f t="shared" si="326"/>
        <v>2025</v>
      </c>
      <c r="I4147">
        <f t="shared" si="327"/>
        <v>7</v>
      </c>
      <c r="J4147">
        <f t="shared" si="328"/>
        <v>-314.65000000000003</v>
      </c>
    </row>
    <row r="4148" spans="1:10" ht="12.5" x14ac:dyDescent="0.25">
      <c r="A4148" s="1">
        <v>45867</v>
      </c>
      <c r="B4148" s="2" t="s">
        <v>11</v>
      </c>
      <c r="C4148" s="3">
        <v>9.99</v>
      </c>
      <c r="D4148" s="3">
        <v>93</v>
      </c>
      <c r="E4148" s="3">
        <v>929.07</v>
      </c>
      <c r="F4148" t="str">
        <f t="shared" si="324"/>
        <v>net sales</v>
      </c>
      <c r="G4148" s="7" t="str">
        <f t="shared" si="325"/>
        <v>product 1</v>
      </c>
      <c r="H4148">
        <f t="shared" si="326"/>
        <v>2025</v>
      </c>
      <c r="I4148">
        <f t="shared" si="327"/>
        <v>7</v>
      </c>
      <c r="J4148">
        <f t="shared" si="328"/>
        <v>-112.95</v>
      </c>
    </row>
    <row r="4149" spans="1:10" ht="12.5" x14ac:dyDescent="0.25">
      <c r="A4149" s="1">
        <v>45867</v>
      </c>
      <c r="B4149" s="2" t="s">
        <v>12</v>
      </c>
      <c r="C4149" s="3">
        <v>24.99</v>
      </c>
      <c r="D4149" s="3">
        <v>4</v>
      </c>
      <c r="E4149" s="3">
        <v>99.96</v>
      </c>
      <c r="F4149" t="str">
        <f t="shared" si="324"/>
        <v>net sales</v>
      </c>
      <c r="G4149" s="7" t="str">
        <f t="shared" si="325"/>
        <v>product 2</v>
      </c>
      <c r="H4149">
        <f t="shared" si="326"/>
        <v>2025</v>
      </c>
      <c r="I4149">
        <f t="shared" si="327"/>
        <v>7</v>
      </c>
      <c r="J4149">
        <f t="shared" si="328"/>
        <v>409.59000000000003</v>
      </c>
    </row>
    <row r="4150" spans="1:10" ht="12.5" x14ac:dyDescent="0.25">
      <c r="A4150" s="1">
        <v>45867</v>
      </c>
      <c r="B4150" s="2" t="s">
        <v>13</v>
      </c>
      <c r="C4150" s="3">
        <v>12.49</v>
      </c>
      <c r="D4150" s="3">
        <v>225</v>
      </c>
      <c r="E4150" s="3">
        <v>2810.25</v>
      </c>
      <c r="F4150" t="str">
        <f t="shared" si="324"/>
        <v>net sales</v>
      </c>
      <c r="G4150" s="7" t="str">
        <f t="shared" si="325"/>
        <v>product 3</v>
      </c>
      <c r="H4150">
        <f t="shared" si="326"/>
        <v>2025</v>
      </c>
      <c r="I4150">
        <f t="shared" si="327"/>
        <v>7</v>
      </c>
      <c r="J4150">
        <f t="shared" si="328"/>
        <v>24.99</v>
      </c>
    </row>
    <row r="4151" spans="1:10" ht="12.5" x14ac:dyDescent="0.25">
      <c r="A4151" s="1">
        <v>45868</v>
      </c>
      <c r="B4151" s="2" t="s">
        <v>7</v>
      </c>
      <c r="C4151" s="3">
        <v>5.49</v>
      </c>
      <c r="D4151" s="3">
        <v>82</v>
      </c>
      <c r="E4151" s="3">
        <v>450.18</v>
      </c>
      <c r="F4151" t="str">
        <f t="shared" si="324"/>
        <v>cogs</v>
      </c>
      <c r="G4151" s="7" t="str">
        <f t="shared" si="325"/>
        <v>product 1</v>
      </c>
      <c r="H4151">
        <f t="shared" si="326"/>
        <v>2025</v>
      </c>
      <c r="I4151">
        <f t="shared" si="327"/>
        <v>7</v>
      </c>
      <c r="J4151">
        <f t="shared" si="328"/>
        <v>437.15000000000003</v>
      </c>
    </row>
    <row r="4152" spans="1:10" ht="12.5" x14ac:dyDescent="0.25">
      <c r="A4152" s="1">
        <v>45868</v>
      </c>
      <c r="B4152" s="2" t="s">
        <v>8</v>
      </c>
      <c r="C4152" s="3">
        <v>19.989999999999998</v>
      </c>
      <c r="D4152" s="3">
        <v>5</v>
      </c>
      <c r="E4152" s="3">
        <v>99.949999999999989</v>
      </c>
      <c r="F4152" t="str">
        <f t="shared" si="324"/>
        <v>cogs</v>
      </c>
      <c r="G4152" s="7" t="str">
        <f t="shared" si="325"/>
        <v>product 2</v>
      </c>
      <c r="H4152">
        <f t="shared" si="326"/>
        <v>2025</v>
      </c>
      <c r="I4152">
        <f t="shared" si="327"/>
        <v>7</v>
      </c>
      <c r="J4152">
        <f t="shared" si="328"/>
        <v>-126.27000000000001</v>
      </c>
    </row>
    <row r="4153" spans="1:10" ht="12.5" x14ac:dyDescent="0.25">
      <c r="A4153" s="1">
        <v>45868</v>
      </c>
      <c r="B4153" s="2" t="s">
        <v>9</v>
      </c>
      <c r="C4153" s="3">
        <v>8.99</v>
      </c>
      <c r="D4153" s="3">
        <v>143</v>
      </c>
      <c r="E4153" s="3">
        <v>1285.57</v>
      </c>
      <c r="F4153" t="str">
        <f t="shared" si="324"/>
        <v>cogs</v>
      </c>
      <c r="G4153" s="7" t="str">
        <f t="shared" si="325"/>
        <v>product 3</v>
      </c>
      <c r="H4153">
        <f t="shared" si="326"/>
        <v>2025</v>
      </c>
      <c r="I4153">
        <f t="shared" si="327"/>
        <v>7</v>
      </c>
      <c r="J4153">
        <f t="shared" si="328"/>
        <v>0</v>
      </c>
    </row>
    <row r="4154" spans="1:10" ht="12.5" x14ac:dyDescent="0.25">
      <c r="A4154" s="1">
        <v>45868</v>
      </c>
      <c r="B4154" s="2" t="s">
        <v>10</v>
      </c>
      <c r="C4154" s="2" t="s">
        <v>6</v>
      </c>
      <c r="D4154" s="2" t="s">
        <v>6</v>
      </c>
      <c r="E4154" s="3">
        <v>116.07000000000001</v>
      </c>
      <c r="F4154" t="str">
        <f t="shared" si="324"/>
        <v>marketing</v>
      </c>
      <c r="G4154" s="7" t="s">
        <v>6</v>
      </c>
      <c r="H4154">
        <f t="shared" si="326"/>
        <v>2025</v>
      </c>
      <c r="I4154">
        <f t="shared" si="327"/>
        <v>7</v>
      </c>
      <c r="J4154">
        <f t="shared" si="328"/>
        <v>-1735.07</v>
      </c>
    </row>
    <row r="4155" spans="1:10" ht="12.5" x14ac:dyDescent="0.25">
      <c r="A4155" s="1">
        <v>45868</v>
      </c>
      <c r="B4155" s="2" t="s">
        <v>11</v>
      </c>
      <c r="C4155" s="3">
        <v>9.99</v>
      </c>
      <c r="D4155" s="3">
        <v>82</v>
      </c>
      <c r="E4155" s="3">
        <v>819.18000000000006</v>
      </c>
      <c r="F4155" t="str">
        <f t="shared" si="324"/>
        <v>net sales</v>
      </c>
      <c r="G4155" s="7" t="str">
        <f t="shared" si="325"/>
        <v>product 1</v>
      </c>
      <c r="H4155">
        <f t="shared" si="326"/>
        <v>2025</v>
      </c>
      <c r="I4155">
        <f t="shared" si="327"/>
        <v>7</v>
      </c>
      <c r="J4155">
        <f t="shared" si="328"/>
        <v>-101.93</v>
      </c>
    </row>
    <row r="4156" spans="1:10" ht="12.5" x14ac:dyDescent="0.25">
      <c r="A4156" s="1">
        <v>45868</v>
      </c>
      <c r="B4156" s="2" t="s">
        <v>12</v>
      </c>
      <c r="C4156" s="3">
        <v>24.99</v>
      </c>
      <c r="D4156" s="3">
        <v>5</v>
      </c>
      <c r="E4156" s="3">
        <v>124.94999999999999</v>
      </c>
      <c r="F4156" t="str">
        <f t="shared" si="324"/>
        <v>net sales</v>
      </c>
      <c r="G4156" s="7" t="str">
        <f t="shared" si="325"/>
        <v>product 2</v>
      </c>
      <c r="H4156">
        <f t="shared" si="326"/>
        <v>2025</v>
      </c>
      <c r="I4156">
        <f t="shared" si="327"/>
        <v>7</v>
      </c>
      <c r="J4156">
        <f t="shared" si="328"/>
        <v>229.77</v>
      </c>
    </row>
    <row r="4157" spans="1:10" ht="12.5" x14ac:dyDescent="0.25">
      <c r="A4157" s="1">
        <v>45868</v>
      </c>
      <c r="B4157" s="2" t="s">
        <v>13</v>
      </c>
      <c r="C4157" s="3">
        <v>12.49</v>
      </c>
      <c r="D4157" s="3">
        <v>143</v>
      </c>
      <c r="E4157" s="3">
        <v>1786.07</v>
      </c>
      <c r="F4157" t="str">
        <f t="shared" si="324"/>
        <v>net sales</v>
      </c>
      <c r="G4157" s="7" t="str">
        <f t="shared" si="325"/>
        <v>product 3</v>
      </c>
      <c r="H4157">
        <f t="shared" si="326"/>
        <v>2025</v>
      </c>
      <c r="I4157">
        <f t="shared" si="327"/>
        <v>7</v>
      </c>
      <c r="J4157">
        <f t="shared" si="328"/>
        <v>0</v>
      </c>
    </row>
    <row r="4158" spans="1:10" ht="12.5" x14ac:dyDescent="0.25">
      <c r="A4158" s="1">
        <v>45869</v>
      </c>
      <c r="B4158" s="2" t="s">
        <v>7</v>
      </c>
      <c r="C4158" s="3">
        <v>5.49</v>
      </c>
      <c r="D4158" s="3">
        <v>93</v>
      </c>
      <c r="E4158" s="3">
        <v>510.57</v>
      </c>
      <c r="F4158" t="str">
        <f t="shared" si="324"/>
        <v>cogs</v>
      </c>
      <c r="G4158" s="7" t="str">
        <f t="shared" si="325"/>
        <v>product 1</v>
      </c>
      <c r="H4158">
        <f t="shared" si="326"/>
        <v>2025</v>
      </c>
      <c r="I4158">
        <f t="shared" si="327"/>
        <v>7</v>
      </c>
      <c r="J4158">
        <f t="shared" si="328"/>
        <v>2410.5700000000002</v>
      </c>
    </row>
    <row r="4159" spans="1:10" ht="12.5" x14ac:dyDescent="0.25">
      <c r="A4159" s="1">
        <v>45869</v>
      </c>
      <c r="B4159" s="2" t="s">
        <v>8</v>
      </c>
      <c r="C4159" s="3">
        <v>19.989999999999998</v>
      </c>
      <c r="D4159" s="3">
        <v>8</v>
      </c>
      <c r="E4159" s="3">
        <v>159.91999999999999</v>
      </c>
      <c r="F4159" t="str">
        <f t="shared" si="324"/>
        <v>cogs</v>
      </c>
      <c r="G4159" s="7" t="str">
        <f t="shared" si="325"/>
        <v>product 2</v>
      </c>
      <c r="H4159">
        <f t="shared" si="326"/>
        <v>2025</v>
      </c>
      <c r="I4159">
        <f t="shared" si="327"/>
        <v>7</v>
      </c>
      <c r="J4159">
        <f t="shared" si="328"/>
        <v>0</v>
      </c>
    </row>
    <row r="4160" spans="1:10" ht="12.5" x14ac:dyDescent="0.25">
      <c r="A4160" s="1">
        <v>45869</v>
      </c>
      <c r="B4160" s="2" t="s">
        <v>9</v>
      </c>
      <c r="C4160" s="3">
        <v>8.99</v>
      </c>
      <c r="D4160" s="3">
        <v>70</v>
      </c>
      <c r="E4160" s="3">
        <v>629.30000000000007</v>
      </c>
      <c r="F4160" t="str">
        <f t="shared" si="324"/>
        <v>cogs</v>
      </c>
      <c r="G4160" s="7" t="str">
        <f t="shared" si="325"/>
        <v>product 3</v>
      </c>
      <c r="H4160">
        <f t="shared" si="326"/>
        <v>2025</v>
      </c>
      <c r="I4160">
        <f t="shared" si="327"/>
        <v>7</v>
      </c>
      <c r="J4160">
        <f t="shared" si="328"/>
        <v>-483.12</v>
      </c>
    </row>
    <row r="4161" spans="1:10" ht="12.5" x14ac:dyDescent="0.25">
      <c r="A4161" s="1">
        <v>45869</v>
      </c>
      <c r="B4161" s="2" t="s">
        <v>10</v>
      </c>
      <c r="C4161" s="2" t="s">
        <v>6</v>
      </c>
      <c r="D4161" s="2" t="s">
        <v>6</v>
      </c>
      <c r="E4161" s="3">
        <v>104.9</v>
      </c>
      <c r="F4161" t="str">
        <f t="shared" si="324"/>
        <v>marketing</v>
      </c>
      <c r="G4161" s="7" t="s">
        <v>6</v>
      </c>
      <c r="H4161">
        <f t="shared" si="326"/>
        <v>2025</v>
      </c>
      <c r="I4161">
        <f t="shared" si="327"/>
        <v>7</v>
      </c>
      <c r="J4161">
        <f t="shared" si="328"/>
        <v>-99.949999999999989</v>
      </c>
    </row>
    <row r="4162" spans="1:10" ht="12.5" x14ac:dyDescent="0.25">
      <c r="A4162" s="1">
        <v>45869</v>
      </c>
      <c r="B4162" s="2" t="s">
        <v>11</v>
      </c>
      <c r="C4162" s="3">
        <v>9.99</v>
      </c>
      <c r="D4162" s="3">
        <v>93</v>
      </c>
      <c r="E4162" s="3">
        <v>929.07</v>
      </c>
      <c r="F4162" t="str">
        <f t="shared" si="324"/>
        <v>net sales</v>
      </c>
      <c r="G4162" s="7" t="str">
        <f t="shared" si="325"/>
        <v>product 1</v>
      </c>
      <c r="H4162">
        <f t="shared" si="326"/>
        <v>2025</v>
      </c>
      <c r="I4162">
        <f t="shared" si="327"/>
        <v>7</v>
      </c>
      <c r="J4162">
        <f t="shared" si="328"/>
        <v>-2094.67</v>
      </c>
    </row>
    <row r="4163" spans="1:10" ht="12.5" x14ac:dyDescent="0.25">
      <c r="A4163" s="1">
        <v>45869</v>
      </c>
      <c r="B4163" s="2" t="s">
        <v>12</v>
      </c>
      <c r="C4163" s="3">
        <v>24.99</v>
      </c>
      <c r="D4163" s="3">
        <v>8</v>
      </c>
      <c r="E4163" s="3">
        <v>199.92</v>
      </c>
      <c r="F4163" t="str">
        <f t="shared" ref="F4163:F4226" si="329">IFERROR(LEFT(B4163,FIND(":",B4163)-1),B4163)</f>
        <v>net sales</v>
      </c>
      <c r="G4163" s="7" t="str">
        <f t="shared" ref="G4163:G4226" si="330">IFERROR(RIGHT(B4163,LEN(B4163)-FIND(":",B4163)),"")</f>
        <v>product 2</v>
      </c>
      <c r="H4163">
        <f t="shared" ref="H4163:H4226" si="331">YEAR(A4163)</f>
        <v>2025</v>
      </c>
      <c r="I4163">
        <f t="shared" ref="I4163:I4226" si="332">MONTH(A4163)</f>
        <v>7</v>
      </c>
      <c r="J4163">
        <f t="shared" si="328"/>
        <v>-110.91</v>
      </c>
    </row>
    <row r="4164" spans="1:10" ht="12.5" x14ac:dyDescent="0.25">
      <c r="A4164" s="1">
        <v>45869</v>
      </c>
      <c r="B4164" s="2" t="s">
        <v>13</v>
      </c>
      <c r="C4164" s="3">
        <v>12.49</v>
      </c>
      <c r="D4164" s="3">
        <v>70</v>
      </c>
      <c r="E4164" s="3">
        <v>874.30000000000007</v>
      </c>
      <c r="F4164" t="str">
        <f t="shared" si="329"/>
        <v>net sales</v>
      </c>
      <c r="G4164" s="7" t="str">
        <f t="shared" si="330"/>
        <v>product 3</v>
      </c>
      <c r="H4164">
        <f t="shared" si="331"/>
        <v>2025</v>
      </c>
      <c r="I4164">
        <f t="shared" si="332"/>
        <v>7</v>
      </c>
      <c r="J4164">
        <f t="shared" si="328"/>
        <v>879.12</v>
      </c>
    </row>
    <row r="4165" spans="1:10" ht="12.5" x14ac:dyDescent="0.25">
      <c r="A4165" s="1">
        <v>45870</v>
      </c>
      <c r="B4165" s="2" t="s">
        <v>5</v>
      </c>
      <c r="C4165" s="2" t="s">
        <v>6</v>
      </c>
      <c r="D4165" s="2" t="s">
        <v>6</v>
      </c>
      <c r="E4165" s="3">
        <v>50</v>
      </c>
      <c r="F4165" t="str">
        <f t="shared" si="329"/>
        <v>amortization</v>
      </c>
      <c r="G4165" s="7" t="s">
        <v>6</v>
      </c>
      <c r="H4165">
        <f t="shared" si="331"/>
        <v>2025</v>
      </c>
      <c r="I4165">
        <f t="shared" si="332"/>
        <v>8</v>
      </c>
      <c r="J4165">
        <f t="shared" si="328"/>
        <v>124.94999999999999</v>
      </c>
    </row>
    <row r="4166" spans="1:10" ht="12.5" x14ac:dyDescent="0.25">
      <c r="A4166" s="1">
        <v>45870</v>
      </c>
      <c r="B4166" s="2" t="s">
        <v>7</v>
      </c>
      <c r="C4166" s="3">
        <v>5.49</v>
      </c>
      <c r="D4166" s="3">
        <v>62</v>
      </c>
      <c r="E4166" s="3">
        <v>340.38</v>
      </c>
      <c r="F4166" t="str">
        <f t="shared" si="329"/>
        <v>cogs</v>
      </c>
      <c r="G4166" s="7" t="str">
        <f t="shared" si="330"/>
        <v>product 1</v>
      </c>
      <c r="H4166">
        <f t="shared" si="331"/>
        <v>2025</v>
      </c>
      <c r="I4166">
        <f t="shared" si="332"/>
        <v>8</v>
      </c>
      <c r="J4166">
        <f t="shared" si="328"/>
        <v>2910.17</v>
      </c>
    </row>
    <row r="4167" spans="1:10" ht="12.5" x14ac:dyDescent="0.25">
      <c r="A4167" s="1">
        <v>45870</v>
      </c>
      <c r="B4167" s="2" t="s">
        <v>8</v>
      </c>
      <c r="C4167" s="3">
        <v>19.989999999999998</v>
      </c>
      <c r="D4167" s="3">
        <v>4</v>
      </c>
      <c r="E4167" s="3">
        <v>79.959999999999994</v>
      </c>
      <c r="F4167" t="str">
        <f t="shared" si="329"/>
        <v>cogs</v>
      </c>
      <c r="G4167" s="7" t="str">
        <f t="shared" si="330"/>
        <v>product 2</v>
      </c>
      <c r="H4167">
        <f t="shared" si="331"/>
        <v>2025</v>
      </c>
      <c r="I4167">
        <f t="shared" si="332"/>
        <v>8</v>
      </c>
      <c r="J4167">
        <f t="shared" si="328"/>
        <v>-2000</v>
      </c>
    </row>
    <row r="4168" spans="1:10" ht="12.5" x14ac:dyDescent="0.25">
      <c r="A4168" s="1">
        <v>45870</v>
      </c>
      <c r="B4168" s="2" t="s">
        <v>9</v>
      </c>
      <c r="C4168" s="3">
        <v>8.99</v>
      </c>
      <c r="D4168" s="3">
        <v>51</v>
      </c>
      <c r="E4168" s="3">
        <v>458.49</v>
      </c>
      <c r="F4168" t="str">
        <f t="shared" si="329"/>
        <v>cogs</v>
      </c>
      <c r="G4168" s="7" t="str">
        <f t="shared" si="330"/>
        <v>product 3</v>
      </c>
      <c r="H4168">
        <f t="shared" si="331"/>
        <v>2025</v>
      </c>
      <c r="I4168">
        <f t="shared" si="332"/>
        <v>8</v>
      </c>
      <c r="J4168">
        <f t="shared" si="328"/>
        <v>-137.25</v>
      </c>
    </row>
    <row r="4169" spans="1:10" ht="12.5" x14ac:dyDescent="0.25">
      <c r="A4169" s="1">
        <v>45870</v>
      </c>
      <c r="B4169" s="2" t="s">
        <v>10</v>
      </c>
      <c r="C4169" s="2" t="s">
        <v>6</v>
      </c>
      <c r="D4169" s="2" t="s">
        <v>6</v>
      </c>
      <c r="E4169" s="3">
        <v>118.97</v>
      </c>
      <c r="F4169" t="str">
        <f t="shared" si="329"/>
        <v>marketing</v>
      </c>
      <c r="G4169" s="7" t="s">
        <v>6</v>
      </c>
      <c r="H4169">
        <f t="shared" si="331"/>
        <v>2025</v>
      </c>
      <c r="I4169">
        <f t="shared" si="332"/>
        <v>8</v>
      </c>
      <c r="J4169">
        <f t="shared" si="328"/>
        <v>-79.959999999999994</v>
      </c>
    </row>
    <row r="4170" spans="1:10" ht="12.5" x14ac:dyDescent="0.25">
      <c r="A4170" s="1">
        <v>45870</v>
      </c>
      <c r="B4170" s="2" t="s">
        <v>11</v>
      </c>
      <c r="C4170" s="3">
        <v>9.99</v>
      </c>
      <c r="D4170" s="3">
        <v>62</v>
      </c>
      <c r="E4170" s="3">
        <v>619.38</v>
      </c>
      <c r="F4170" t="str">
        <f t="shared" si="329"/>
        <v>net sales</v>
      </c>
      <c r="G4170" s="7" t="str">
        <f t="shared" si="330"/>
        <v>product 1</v>
      </c>
      <c r="H4170">
        <f t="shared" si="331"/>
        <v>2025</v>
      </c>
      <c r="I4170">
        <f t="shared" si="332"/>
        <v>8</v>
      </c>
      <c r="J4170">
        <f t="shared" si="328"/>
        <v>-1878.91</v>
      </c>
    </row>
    <row r="4171" spans="1:10" ht="12.5" x14ac:dyDescent="0.25">
      <c r="A4171" s="1">
        <v>45870</v>
      </c>
      <c r="B4171" s="2" t="s">
        <v>12</v>
      </c>
      <c r="C4171" s="3">
        <v>24.99</v>
      </c>
      <c r="D4171" s="3">
        <v>4</v>
      </c>
      <c r="E4171" s="3">
        <v>99.96</v>
      </c>
      <c r="F4171" t="str">
        <f t="shared" si="329"/>
        <v>net sales</v>
      </c>
      <c r="G4171" s="7" t="str">
        <f t="shared" si="330"/>
        <v>product 2</v>
      </c>
      <c r="H4171">
        <f t="shared" si="331"/>
        <v>2025</v>
      </c>
      <c r="I4171">
        <f t="shared" si="332"/>
        <v>8</v>
      </c>
      <c r="J4171">
        <f t="shared" si="328"/>
        <v>-120.03</v>
      </c>
    </row>
    <row r="4172" spans="1:10" ht="12.5" x14ac:dyDescent="0.25">
      <c r="A4172" s="1">
        <v>45870</v>
      </c>
      <c r="B4172" s="2" t="s">
        <v>13</v>
      </c>
      <c r="C4172" s="3">
        <v>12.49</v>
      </c>
      <c r="D4172" s="3">
        <v>51</v>
      </c>
      <c r="E4172" s="3">
        <v>636.99</v>
      </c>
      <c r="F4172" t="str">
        <f t="shared" si="329"/>
        <v>net sales</v>
      </c>
      <c r="G4172" s="7" t="str">
        <f t="shared" si="330"/>
        <v>product 3</v>
      </c>
      <c r="H4172">
        <f t="shared" si="331"/>
        <v>2025</v>
      </c>
      <c r="I4172">
        <f t="shared" si="332"/>
        <v>8</v>
      </c>
      <c r="J4172">
        <f t="shared" si="328"/>
        <v>249.75</v>
      </c>
    </row>
    <row r="4173" spans="1:10" ht="12.5" x14ac:dyDescent="0.25">
      <c r="A4173" s="1">
        <v>45870</v>
      </c>
      <c r="B4173" s="2" t="s">
        <v>14</v>
      </c>
      <c r="C4173" s="2" t="s">
        <v>6</v>
      </c>
      <c r="D4173" s="2" t="s">
        <v>6</v>
      </c>
      <c r="E4173" s="3">
        <v>2000</v>
      </c>
      <c r="F4173" t="str">
        <f t="shared" si="329"/>
        <v>overhead</v>
      </c>
      <c r="G4173" s="7" t="s">
        <v>6</v>
      </c>
      <c r="H4173">
        <f t="shared" si="331"/>
        <v>2025</v>
      </c>
      <c r="I4173">
        <f t="shared" si="332"/>
        <v>8</v>
      </c>
      <c r="J4173">
        <f t="shared" si="328"/>
        <v>99.96</v>
      </c>
    </row>
    <row r="4174" spans="1:10" ht="12.5" x14ac:dyDescent="0.25">
      <c r="A4174" s="1">
        <v>45870</v>
      </c>
      <c r="B4174" s="2" t="s">
        <v>15</v>
      </c>
      <c r="C4174" s="2" t="s">
        <v>6</v>
      </c>
      <c r="D4174" s="2" t="s">
        <v>6</v>
      </c>
      <c r="E4174" s="3">
        <v>1200</v>
      </c>
      <c r="F4174" t="str">
        <f t="shared" si="329"/>
        <v>payroll</v>
      </c>
      <c r="G4174" s="7" t="s">
        <v>6</v>
      </c>
      <c r="H4174">
        <f t="shared" si="331"/>
        <v>2025</v>
      </c>
      <c r="I4174">
        <f t="shared" si="332"/>
        <v>8</v>
      </c>
      <c r="J4174">
        <f t="shared" si="328"/>
        <v>2610.41</v>
      </c>
    </row>
    <row r="4175" spans="1:10" ht="12.5" x14ac:dyDescent="0.25">
      <c r="A4175" s="1">
        <v>45871</v>
      </c>
      <c r="B4175" s="2" t="s">
        <v>7</v>
      </c>
      <c r="C4175" s="3">
        <v>5.49</v>
      </c>
      <c r="D4175" s="3">
        <v>93</v>
      </c>
      <c r="E4175" s="3">
        <v>510.57</v>
      </c>
      <c r="F4175" t="str">
        <f t="shared" si="329"/>
        <v>cogs</v>
      </c>
      <c r="G4175" s="7" t="str">
        <f t="shared" si="330"/>
        <v>product 1</v>
      </c>
      <c r="H4175">
        <f t="shared" si="331"/>
        <v>2025</v>
      </c>
      <c r="I4175">
        <f t="shared" si="332"/>
        <v>8</v>
      </c>
      <c r="J4175">
        <f t="shared" si="328"/>
        <v>-159.21</v>
      </c>
    </row>
    <row r="4176" spans="1:10" ht="12.5" x14ac:dyDescent="0.25">
      <c r="A4176" s="1">
        <v>45871</v>
      </c>
      <c r="B4176" s="2" t="s">
        <v>8</v>
      </c>
      <c r="C4176" s="3">
        <v>19.989999999999998</v>
      </c>
      <c r="D4176" s="3">
        <v>1</v>
      </c>
      <c r="E4176" s="3">
        <v>19.989999999999998</v>
      </c>
      <c r="F4176" t="str">
        <f t="shared" si="329"/>
        <v>cogs</v>
      </c>
      <c r="G4176" s="7" t="str">
        <f t="shared" si="330"/>
        <v>product 2</v>
      </c>
      <c r="H4176">
        <f t="shared" si="331"/>
        <v>2025</v>
      </c>
      <c r="I4176">
        <f t="shared" si="332"/>
        <v>8</v>
      </c>
      <c r="J4176">
        <f t="shared" si="328"/>
        <v>-59.97</v>
      </c>
    </row>
    <row r="4177" spans="1:10" ht="12.5" x14ac:dyDescent="0.25">
      <c r="A4177" s="1">
        <v>45871</v>
      </c>
      <c r="B4177" s="2" t="s">
        <v>9</v>
      </c>
      <c r="C4177" s="3">
        <v>8.99</v>
      </c>
      <c r="D4177" s="3">
        <v>22</v>
      </c>
      <c r="E4177" s="3">
        <v>197.78</v>
      </c>
      <c r="F4177" t="str">
        <f t="shared" si="329"/>
        <v>cogs</v>
      </c>
      <c r="G4177" s="7" t="str">
        <f t="shared" si="330"/>
        <v>product 3</v>
      </c>
      <c r="H4177">
        <f t="shared" si="331"/>
        <v>2025</v>
      </c>
      <c r="I4177">
        <f t="shared" si="332"/>
        <v>8</v>
      </c>
      <c r="J4177">
        <f t="shared" si="328"/>
        <v>-521.41999999999996</v>
      </c>
    </row>
    <row r="4178" spans="1:10" ht="12.5" x14ac:dyDescent="0.25">
      <c r="A4178" s="1">
        <v>45871</v>
      </c>
      <c r="B4178" s="2" t="s">
        <v>10</v>
      </c>
      <c r="C4178" s="2" t="s">
        <v>6</v>
      </c>
      <c r="D4178" s="2" t="s">
        <v>6</v>
      </c>
      <c r="E4178" s="3">
        <v>109.09</v>
      </c>
      <c r="F4178" t="str">
        <f t="shared" si="329"/>
        <v>marketing</v>
      </c>
      <c r="G4178" s="7" t="s">
        <v>6</v>
      </c>
      <c r="H4178">
        <f t="shared" si="331"/>
        <v>2025</v>
      </c>
      <c r="I4178">
        <f t="shared" si="332"/>
        <v>8</v>
      </c>
      <c r="J4178">
        <f t="shared" si="328"/>
        <v>-115.04</v>
      </c>
    </row>
    <row r="4179" spans="1:10" ht="12.5" x14ac:dyDescent="0.25">
      <c r="A4179" s="1">
        <v>45871</v>
      </c>
      <c r="B4179" s="2" t="s">
        <v>11</v>
      </c>
      <c r="C4179" s="3">
        <v>9.99</v>
      </c>
      <c r="D4179" s="3">
        <v>93</v>
      </c>
      <c r="E4179" s="3">
        <v>929.07</v>
      </c>
      <c r="F4179" t="str">
        <f t="shared" si="329"/>
        <v>net sales</v>
      </c>
      <c r="G4179" s="7" t="str">
        <f t="shared" si="330"/>
        <v>product 1</v>
      </c>
      <c r="H4179">
        <f t="shared" si="331"/>
        <v>2025</v>
      </c>
      <c r="I4179">
        <f t="shared" si="332"/>
        <v>8</v>
      </c>
      <c r="J4179">
        <f t="shared" si="328"/>
        <v>289.70999999999998</v>
      </c>
    </row>
    <row r="4180" spans="1:10" ht="12.5" x14ac:dyDescent="0.25">
      <c r="A4180" s="1">
        <v>45871</v>
      </c>
      <c r="B4180" s="2" t="s">
        <v>12</v>
      </c>
      <c r="C4180" s="3">
        <v>24.99</v>
      </c>
      <c r="D4180" s="3">
        <v>1</v>
      </c>
      <c r="E4180" s="3">
        <v>24.99</v>
      </c>
      <c r="F4180" t="str">
        <f t="shared" si="329"/>
        <v>net sales</v>
      </c>
      <c r="G4180" s="7" t="str">
        <f t="shared" si="330"/>
        <v>product 2</v>
      </c>
      <c r="H4180">
        <f t="shared" si="331"/>
        <v>2025</v>
      </c>
      <c r="I4180">
        <f t="shared" si="332"/>
        <v>8</v>
      </c>
      <c r="J4180">
        <f t="shared" si="328"/>
        <v>74.97</v>
      </c>
    </row>
    <row r="4181" spans="1:10" ht="12.5" x14ac:dyDescent="0.25">
      <c r="A4181" s="1">
        <v>45871</v>
      </c>
      <c r="B4181" s="2" t="s">
        <v>13</v>
      </c>
      <c r="C4181" s="3">
        <v>12.49</v>
      </c>
      <c r="D4181" s="3">
        <v>22</v>
      </c>
      <c r="E4181" s="3">
        <v>274.78000000000003</v>
      </c>
      <c r="F4181" t="str">
        <f t="shared" si="329"/>
        <v>net sales</v>
      </c>
      <c r="G4181" s="7" t="str">
        <f t="shared" si="330"/>
        <v>product 3</v>
      </c>
      <c r="H4181">
        <f t="shared" si="331"/>
        <v>2025</v>
      </c>
      <c r="I4181">
        <f t="shared" si="332"/>
        <v>8</v>
      </c>
      <c r="J4181">
        <f t="shared" si="328"/>
        <v>724.42</v>
      </c>
    </row>
    <row r="4182" spans="1:10" ht="12.5" x14ac:dyDescent="0.25">
      <c r="A4182" s="1">
        <v>45872</v>
      </c>
      <c r="B4182" s="2" t="s">
        <v>7</v>
      </c>
      <c r="C4182" s="3">
        <v>5.49</v>
      </c>
      <c r="D4182" s="3">
        <v>73</v>
      </c>
      <c r="E4182" s="3">
        <v>400.77000000000004</v>
      </c>
      <c r="F4182" t="str">
        <f t="shared" si="329"/>
        <v>cogs</v>
      </c>
      <c r="G4182" s="7" t="str">
        <f t="shared" si="330"/>
        <v>product 1</v>
      </c>
      <c r="H4182">
        <f t="shared" si="331"/>
        <v>2025</v>
      </c>
      <c r="I4182">
        <f t="shared" si="332"/>
        <v>8</v>
      </c>
      <c r="J4182">
        <f t="shared" si="328"/>
        <v>-27.450000000000003</v>
      </c>
    </row>
    <row r="4183" spans="1:10" ht="12.5" x14ac:dyDescent="0.25">
      <c r="A4183" s="1">
        <v>45872</v>
      </c>
      <c r="B4183" s="2" t="s">
        <v>8</v>
      </c>
      <c r="C4183" s="3">
        <v>19.989999999999998</v>
      </c>
      <c r="D4183" s="3">
        <v>1</v>
      </c>
      <c r="E4183" s="3">
        <v>19.989999999999998</v>
      </c>
      <c r="F4183" t="str">
        <f t="shared" si="329"/>
        <v>cogs</v>
      </c>
      <c r="G4183" s="7" t="str">
        <f t="shared" si="330"/>
        <v>product 2</v>
      </c>
      <c r="H4183">
        <f t="shared" si="331"/>
        <v>2025</v>
      </c>
      <c r="I4183">
        <f t="shared" si="332"/>
        <v>8</v>
      </c>
      <c r="J4183">
        <f t="shared" si="328"/>
        <v>0</v>
      </c>
    </row>
    <row r="4184" spans="1:10" ht="12.5" x14ac:dyDescent="0.25">
      <c r="A4184" s="1">
        <v>45872</v>
      </c>
      <c r="B4184" s="2" t="s">
        <v>9</v>
      </c>
      <c r="C4184" s="3">
        <v>8.99</v>
      </c>
      <c r="D4184" s="3">
        <v>24</v>
      </c>
      <c r="E4184" s="3">
        <v>215.76</v>
      </c>
      <c r="F4184" t="str">
        <f t="shared" si="329"/>
        <v>cogs</v>
      </c>
      <c r="G4184" s="7" t="str">
        <f t="shared" si="330"/>
        <v>product 3</v>
      </c>
      <c r="H4184">
        <f t="shared" si="331"/>
        <v>2025</v>
      </c>
      <c r="I4184">
        <f t="shared" si="332"/>
        <v>8</v>
      </c>
      <c r="J4184">
        <f t="shared" si="328"/>
        <v>-2094.67</v>
      </c>
    </row>
    <row r="4185" spans="1:10" ht="12.5" x14ac:dyDescent="0.25">
      <c r="A4185" s="1">
        <v>45872</v>
      </c>
      <c r="B4185" s="2" t="s">
        <v>10</v>
      </c>
      <c r="C4185" s="2" t="s">
        <v>6</v>
      </c>
      <c r="D4185" s="2" t="s">
        <v>6</v>
      </c>
      <c r="E4185" s="3">
        <v>107.94</v>
      </c>
      <c r="F4185" t="str">
        <f t="shared" si="329"/>
        <v>marketing</v>
      </c>
      <c r="G4185" s="7" t="s">
        <v>6</v>
      </c>
      <c r="H4185">
        <f t="shared" si="331"/>
        <v>2025</v>
      </c>
      <c r="I4185">
        <f t="shared" si="332"/>
        <v>8</v>
      </c>
      <c r="J4185">
        <f t="shared" si="328"/>
        <v>-115.10000000000001</v>
      </c>
    </row>
    <row r="4186" spans="1:10" ht="12.5" x14ac:dyDescent="0.25">
      <c r="A4186" s="1">
        <v>45872</v>
      </c>
      <c r="B4186" s="2" t="s">
        <v>11</v>
      </c>
      <c r="C4186" s="3">
        <v>9.99</v>
      </c>
      <c r="D4186" s="3">
        <v>73</v>
      </c>
      <c r="E4186" s="3">
        <v>729.27</v>
      </c>
      <c r="F4186" t="str">
        <f t="shared" si="329"/>
        <v>net sales</v>
      </c>
      <c r="G4186" s="7" t="str">
        <f t="shared" si="330"/>
        <v>product 1</v>
      </c>
      <c r="H4186">
        <f t="shared" si="331"/>
        <v>2025</v>
      </c>
      <c r="I4186">
        <f t="shared" si="332"/>
        <v>8</v>
      </c>
      <c r="J4186">
        <f t="shared" si="328"/>
        <v>49.95</v>
      </c>
    </row>
    <row r="4187" spans="1:10" ht="12.5" x14ac:dyDescent="0.25">
      <c r="A4187" s="1">
        <v>45872</v>
      </c>
      <c r="B4187" s="2" t="s">
        <v>12</v>
      </c>
      <c r="C4187" s="3">
        <v>24.99</v>
      </c>
      <c r="D4187" s="3">
        <v>1</v>
      </c>
      <c r="E4187" s="3">
        <v>24.99</v>
      </c>
      <c r="F4187" t="str">
        <f t="shared" si="329"/>
        <v>net sales</v>
      </c>
      <c r="G4187" s="7" t="str">
        <f t="shared" si="330"/>
        <v>product 2</v>
      </c>
      <c r="H4187">
        <f t="shared" si="331"/>
        <v>2025</v>
      </c>
      <c r="I4187">
        <f t="shared" si="332"/>
        <v>8</v>
      </c>
      <c r="J4187">
        <f t="shared" si="328"/>
        <v>0</v>
      </c>
    </row>
    <row r="4188" spans="1:10" ht="12.5" x14ac:dyDescent="0.25">
      <c r="A4188" s="1">
        <v>45872</v>
      </c>
      <c r="B4188" s="2" t="s">
        <v>13</v>
      </c>
      <c r="C4188" s="3">
        <v>12.49</v>
      </c>
      <c r="D4188" s="3">
        <v>24</v>
      </c>
      <c r="E4188" s="3">
        <v>299.76</v>
      </c>
      <c r="F4188" t="str">
        <f t="shared" si="329"/>
        <v>net sales</v>
      </c>
      <c r="G4188" s="7" t="str">
        <f t="shared" si="330"/>
        <v>product 3</v>
      </c>
      <c r="H4188">
        <f t="shared" si="331"/>
        <v>2025</v>
      </c>
      <c r="I4188">
        <f t="shared" si="332"/>
        <v>8</v>
      </c>
      <c r="J4188">
        <f t="shared" ref="J4188:J4251" si="333">IF(F3971="net sales",E3971,
IF(F3971="cogs",-E3971,
IF(OR(F3971="marketing",F3971="overhead",F3971="payroll",F3971="interest","amortization"),-E3971,0)))</f>
        <v>2910.17</v>
      </c>
    </row>
    <row r="4189" spans="1:10" ht="12.5" x14ac:dyDescent="0.25">
      <c r="A4189" s="1">
        <v>45873</v>
      </c>
      <c r="B4189" s="2" t="s">
        <v>7</v>
      </c>
      <c r="C4189" s="3">
        <v>5.49</v>
      </c>
      <c r="D4189" s="3">
        <v>81</v>
      </c>
      <c r="E4189" s="3">
        <v>444.69</v>
      </c>
      <c r="F4189" t="str">
        <f t="shared" si="329"/>
        <v>cogs</v>
      </c>
      <c r="G4189" s="7" t="str">
        <f t="shared" si="330"/>
        <v>product 1</v>
      </c>
      <c r="H4189">
        <f t="shared" si="331"/>
        <v>2025</v>
      </c>
      <c r="I4189">
        <f t="shared" si="332"/>
        <v>8</v>
      </c>
      <c r="J4189">
        <f t="shared" si="333"/>
        <v>-1200</v>
      </c>
    </row>
    <row r="4190" spans="1:10" ht="12.5" x14ac:dyDescent="0.25">
      <c r="A4190" s="1">
        <v>45873</v>
      </c>
      <c r="B4190" s="2" t="s">
        <v>8</v>
      </c>
      <c r="C4190" s="3">
        <v>19.989999999999998</v>
      </c>
      <c r="D4190" s="3">
        <v>7</v>
      </c>
      <c r="E4190" s="3">
        <v>139.92999999999998</v>
      </c>
      <c r="F4190" t="str">
        <f t="shared" si="329"/>
        <v>cogs</v>
      </c>
      <c r="G4190" s="7" t="str">
        <f t="shared" si="330"/>
        <v>product 2</v>
      </c>
      <c r="H4190">
        <f t="shared" si="331"/>
        <v>2025</v>
      </c>
      <c r="I4190">
        <f t="shared" si="332"/>
        <v>8</v>
      </c>
      <c r="J4190">
        <f t="shared" si="333"/>
        <v>-538.02</v>
      </c>
    </row>
    <row r="4191" spans="1:10" ht="12.5" x14ac:dyDescent="0.25">
      <c r="A4191" s="1">
        <v>45873</v>
      </c>
      <c r="B4191" s="2" t="s">
        <v>9</v>
      </c>
      <c r="C4191" s="3">
        <v>8.99</v>
      </c>
      <c r="D4191" s="3">
        <v>6</v>
      </c>
      <c r="E4191" s="3">
        <v>53.94</v>
      </c>
      <c r="F4191" t="str">
        <f t="shared" si="329"/>
        <v>cogs</v>
      </c>
      <c r="G4191" s="7" t="str">
        <f t="shared" si="330"/>
        <v>product 3</v>
      </c>
      <c r="H4191">
        <f t="shared" si="331"/>
        <v>2025</v>
      </c>
      <c r="I4191">
        <f t="shared" si="332"/>
        <v>8</v>
      </c>
      <c r="J4191">
        <f t="shared" si="333"/>
        <v>-119.94</v>
      </c>
    </row>
    <row r="4192" spans="1:10" ht="12.5" x14ac:dyDescent="0.25">
      <c r="A4192" s="1">
        <v>45873</v>
      </c>
      <c r="B4192" s="2" t="s">
        <v>10</v>
      </c>
      <c r="C4192" s="2" t="s">
        <v>6</v>
      </c>
      <c r="D4192" s="2" t="s">
        <v>6</v>
      </c>
      <c r="E4192" s="3">
        <v>116.94</v>
      </c>
      <c r="F4192" t="str">
        <f t="shared" si="329"/>
        <v>marketing</v>
      </c>
      <c r="G4192" s="7" t="s">
        <v>6</v>
      </c>
      <c r="H4192">
        <f t="shared" si="331"/>
        <v>2025</v>
      </c>
      <c r="I4192">
        <f t="shared" si="332"/>
        <v>8</v>
      </c>
      <c r="J4192">
        <f t="shared" si="333"/>
        <v>-1087.79</v>
      </c>
    </row>
    <row r="4193" spans="1:10" ht="12.5" x14ac:dyDescent="0.25">
      <c r="A4193" s="1">
        <v>45873</v>
      </c>
      <c r="B4193" s="2" t="s">
        <v>11</v>
      </c>
      <c r="C4193" s="3">
        <v>9.99</v>
      </c>
      <c r="D4193" s="3">
        <v>81</v>
      </c>
      <c r="E4193" s="3">
        <v>809.19</v>
      </c>
      <c r="F4193" t="str">
        <f t="shared" si="329"/>
        <v>net sales</v>
      </c>
      <c r="G4193" s="7" t="str">
        <f t="shared" si="330"/>
        <v>product 1</v>
      </c>
      <c r="H4193">
        <f t="shared" si="331"/>
        <v>2025</v>
      </c>
      <c r="I4193">
        <f t="shared" si="332"/>
        <v>8</v>
      </c>
      <c r="J4193">
        <f t="shared" si="333"/>
        <v>-101.05</v>
      </c>
    </row>
    <row r="4194" spans="1:10" ht="12.5" x14ac:dyDescent="0.25">
      <c r="A4194" s="1">
        <v>45873</v>
      </c>
      <c r="B4194" s="2" t="s">
        <v>12</v>
      </c>
      <c r="C4194" s="3">
        <v>24.99</v>
      </c>
      <c r="D4194" s="3">
        <v>7</v>
      </c>
      <c r="E4194" s="3">
        <v>174.92999999999998</v>
      </c>
      <c r="F4194" t="str">
        <f t="shared" si="329"/>
        <v>net sales</v>
      </c>
      <c r="G4194" s="7" t="str">
        <f t="shared" si="330"/>
        <v>product 2</v>
      </c>
      <c r="H4194">
        <f t="shared" si="331"/>
        <v>2025</v>
      </c>
      <c r="I4194">
        <f t="shared" si="332"/>
        <v>8</v>
      </c>
      <c r="J4194">
        <f t="shared" si="333"/>
        <v>979.02</v>
      </c>
    </row>
    <row r="4195" spans="1:10" ht="12.5" x14ac:dyDescent="0.25">
      <c r="A4195" s="1">
        <v>45873</v>
      </c>
      <c r="B4195" s="2" t="s">
        <v>13</v>
      </c>
      <c r="C4195" s="3">
        <v>12.49</v>
      </c>
      <c r="D4195" s="3">
        <v>6</v>
      </c>
      <c r="E4195" s="3">
        <v>74.94</v>
      </c>
      <c r="F4195" t="str">
        <f t="shared" si="329"/>
        <v>net sales</v>
      </c>
      <c r="G4195" s="7" t="str">
        <f t="shared" si="330"/>
        <v>product 3</v>
      </c>
      <c r="H4195">
        <f t="shared" si="331"/>
        <v>2025</v>
      </c>
      <c r="I4195">
        <f t="shared" si="332"/>
        <v>8</v>
      </c>
      <c r="J4195">
        <f t="shared" si="333"/>
        <v>149.94</v>
      </c>
    </row>
    <row r="4196" spans="1:10" ht="12.5" x14ac:dyDescent="0.25">
      <c r="A4196" s="1">
        <v>45874</v>
      </c>
      <c r="B4196" s="2" t="s">
        <v>7</v>
      </c>
      <c r="C4196" s="3">
        <v>5.49</v>
      </c>
      <c r="D4196" s="3">
        <v>93</v>
      </c>
      <c r="E4196" s="3">
        <v>510.57</v>
      </c>
      <c r="F4196" t="str">
        <f t="shared" si="329"/>
        <v>cogs</v>
      </c>
      <c r="G4196" s="7" t="str">
        <f t="shared" si="330"/>
        <v>product 1</v>
      </c>
      <c r="H4196">
        <f t="shared" si="331"/>
        <v>2025</v>
      </c>
      <c r="I4196">
        <f t="shared" si="332"/>
        <v>8</v>
      </c>
      <c r="J4196">
        <f t="shared" si="333"/>
        <v>1511.29</v>
      </c>
    </row>
    <row r="4197" spans="1:10" ht="12.5" x14ac:dyDescent="0.25">
      <c r="A4197" s="1">
        <v>45874</v>
      </c>
      <c r="B4197" s="2" t="s">
        <v>8</v>
      </c>
      <c r="C4197" s="3">
        <v>19.989999999999998</v>
      </c>
      <c r="D4197" s="3">
        <v>9</v>
      </c>
      <c r="E4197" s="3">
        <v>179.91</v>
      </c>
      <c r="F4197" t="str">
        <f t="shared" si="329"/>
        <v>cogs</v>
      </c>
      <c r="G4197" s="7" t="str">
        <f t="shared" si="330"/>
        <v>product 2</v>
      </c>
      <c r="H4197">
        <f t="shared" si="331"/>
        <v>2025</v>
      </c>
      <c r="I4197">
        <f t="shared" si="332"/>
        <v>8</v>
      </c>
      <c r="J4197">
        <f t="shared" si="333"/>
        <v>-148.23000000000002</v>
      </c>
    </row>
    <row r="4198" spans="1:10" ht="12.5" x14ac:dyDescent="0.25">
      <c r="A4198" s="1">
        <v>45874</v>
      </c>
      <c r="B4198" s="2" t="s">
        <v>9</v>
      </c>
      <c r="C4198" s="3">
        <v>8.99</v>
      </c>
      <c r="D4198" s="3">
        <v>0</v>
      </c>
      <c r="E4198" s="2">
        <f>C4198*D4198</f>
        <v>0</v>
      </c>
      <c r="F4198" t="str">
        <f t="shared" si="329"/>
        <v>cogs</v>
      </c>
      <c r="G4198" s="7" t="str">
        <f t="shared" si="330"/>
        <v>product 3</v>
      </c>
      <c r="H4198">
        <f t="shared" si="331"/>
        <v>2025</v>
      </c>
      <c r="I4198">
        <f t="shared" si="332"/>
        <v>8</v>
      </c>
      <c r="J4198">
        <f t="shared" si="333"/>
        <v>-159.91999999999999</v>
      </c>
    </row>
    <row r="4199" spans="1:10" ht="12.5" x14ac:dyDescent="0.25">
      <c r="A4199" s="1">
        <v>45874</v>
      </c>
      <c r="B4199" s="2" t="s">
        <v>10</v>
      </c>
      <c r="C4199" s="2" t="s">
        <v>6</v>
      </c>
      <c r="D4199" s="2" t="s">
        <v>6</v>
      </c>
      <c r="E4199" s="3">
        <v>108.93</v>
      </c>
      <c r="F4199" t="str">
        <f t="shared" si="329"/>
        <v>marketing</v>
      </c>
      <c r="G4199" s="7" t="s">
        <v>6</v>
      </c>
      <c r="H4199">
        <f t="shared" si="331"/>
        <v>2025</v>
      </c>
      <c r="I4199">
        <f t="shared" si="332"/>
        <v>8</v>
      </c>
      <c r="J4199">
        <f t="shared" si="333"/>
        <v>-1950.8300000000002</v>
      </c>
    </row>
    <row r="4200" spans="1:10" ht="12.5" x14ac:dyDescent="0.25">
      <c r="A4200" s="1">
        <v>45874</v>
      </c>
      <c r="B4200" s="2" t="s">
        <v>11</v>
      </c>
      <c r="C4200" s="3">
        <v>9.99</v>
      </c>
      <c r="D4200" s="3">
        <v>93</v>
      </c>
      <c r="E4200" s="3">
        <v>929.07</v>
      </c>
      <c r="F4200" t="str">
        <f t="shared" si="329"/>
        <v>net sales</v>
      </c>
      <c r="G4200" s="7" t="str">
        <f t="shared" si="330"/>
        <v>product 1</v>
      </c>
      <c r="H4200">
        <f t="shared" si="331"/>
        <v>2025</v>
      </c>
      <c r="I4200">
        <f t="shared" si="332"/>
        <v>8</v>
      </c>
      <c r="J4200">
        <f t="shared" si="333"/>
        <v>-116.06</v>
      </c>
    </row>
    <row r="4201" spans="1:10" ht="12.5" x14ac:dyDescent="0.25">
      <c r="A4201" s="1">
        <v>45874</v>
      </c>
      <c r="B4201" s="2" t="s">
        <v>12</v>
      </c>
      <c r="C4201" s="3">
        <v>24.99</v>
      </c>
      <c r="D4201" s="3">
        <v>9</v>
      </c>
      <c r="E4201" s="3">
        <v>224.91</v>
      </c>
      <c r="F4201" t="str">
        <f t="shared" si="329"/>
        <v>net sales</v>
      </c>
      <c r="G4201" s="7" t="str">
        <f t="shared" si="330"/>
        <v>product 2</v>
      </c>
      <c r="H4201">
        <f t="shared" si="331"/>
        <v>2025</v>
      </c>
      <c r="I4201">
        <f t="shared" si="332"/>
        <v>8</v>
      </c>
      <c r="J4201">
        <f t="shared" si="333"/>
        <v>269.73</v>
      </c>
    </row>
    <row r="4202" spans="1:10" ht="12.5" x14ac:dyDescent="0.25">
      <c r="A4202" s="1">
        <v>45874</v>
      </c>
      <c r="B4202" s="2" t="s">
        <v>13</v>
      </c>
      <c r="C4202" s="3">
        <v>12.49</v>
      </c>
      <c r="D4202" s="3">
        <v>0</v>
      </c>
      <c r="E4202" s="2">
        <f>C4202*D4202</f>
        <v>0</v>
      </c>
      <c r="F4202" t="str">
        <f t="shared" si="329"/>
        <v>net sales</v>
      </c>
      <c r="G4202" s="7" t="str">
        <f t="shared" si="330"/>
        <v>product 3</v>
      </c>
      <c r="H4202">
        <f t="shared" si="331"/>
        <v>2025</v>
      </c>
      <c r="I4202">
        <f t="shared" si="332"/>
        <v>8</v>
      </c>
      <c r="J4202">
        <f t="shared" si="333"/>
        <v>199.92</v>
      </c>
    </row>
    <row r="4203" spans="1:10" ht="12.5" x14ac:dyDescent="0.25">
      <c r="A4203" s="1">
        <v>45875</v>
      </c>
      <c r="B4203" s="2" t="s">
        <v>7</v>
      </c>
      <c r="C4203" s="3">
        <v>5.49</v>
      </c>
      <c r="D4203" s="3">
        <v>85</v>
      </c>
      <c r="E4203" s="3">
        <v>466.65000000000003</v>
      </c>
      <c r="F4203" t="str">
        <f t="shared" si="329"/>
        <v>cogs</v>
      </c>
      <c r="G4203" s="7" t="str">
        <f t="shared" si="330"/>
        <v>product 1</v>
      </c>
      <c r="H4203">
        <f t="shared" si="331"/>
        <v>2025</v>
      </c>
      <c r="I4203">
        <f t="shared" si="332"/>
        <v>8</v>
      </c>
      <c r="J4203">
        <f t="shared" si="333"/>
        <v>2710.33</v>
      </c>
    </row>
    <row r="4204" spans="1:10" ht="12.5" x14ac:dyDescent="0.25">
      <c r="A4204" s="1">
        <v>45875</v>
      </c>
      <c r="B4204" s="2" t="s">
        <v>8</v>
      </c>
      <c r="C4204" s="3">
        <v>19.989999999999998</v>
      </c>
      <c r="D4204" s="3">
        <v>0</v>
      </c>
      <c r="E4204" s="2">
        <f>C4204*D4204</f>
        <v>0</v>
      </c>
      <c r="F4204" t="str">
        <f t="shared" si="329"/>
        <v>cogs</v>
      </c>
      <c r="G4204" s="7" t="str">
        <f t="shared" si="330"/>
        <v>product 2</v>
      </c>
      <c r="H4204">
        <f t="shared" si="331"/>
        <v>2025</v>
      </c>
      <c r="I4204">
        <f t="shared" si="332"/>
        <v>8</v>
      </c>
      <c r="J4204">
        <f t="shared" si="333"/>
        <v>-428.22</v>
      </c>
    </row>
    <row r="4205" spans="1:10" ht="12.5" x14ac:dyDescent="0.25">
      <c r="A4205" s="1">
        <v>45875</v>
      </c>
      <c r="B4205" s="2" t="s">
        <v>9</v>
      </c>
      <c r="C4205" s="3">
        <v>8.99</v>
      </c>
      <c r="D4205" s="3">
        <v>221</v>
      </c>
      <c r="E4205" s="3">
        <v>1986.79</v>
      </c>
      <c r="F4205" t="str">
        <f t="shared" si="329"/>
        <v>cogs</v>
      </c>
      <c r="G4205" s="7" t="str">
        <f t="shared" si="330"/>
        <v>product 3</v>
      </c>
      <c r="H4205">
        <f t="shared" si="331"/>
        <v>2025</v>
      </c>
      <c r="I4205">
        <f t="shared" si="332"/>
        <v>8</v>
      </c>
      <c r="J4205">
        <f t="shared" si="333"/>
        <v>-79.959999999999994</v>
      </c>
    </row>
    <row r="4206" spans="1:10" ht="12.5" x14ac:dyDescent="0.25">
      <c r="A4206" s="1">
        <v>45875</v>
      </c>
      <c r="B4206" s="2" t="s">
        <v>10</v>
      </c>
      <c r="C4206" s="2" t="s">
        <v>6</v>
      </c>
      <c r="D4206" s="2" t="s">
        <v>6</v>
      </c>
      <c r="E4206" s="3">
        <v>113.91</v>
      </c>
      <c r="F4206" t="str">
        <f t="shared" si="329"/>
        <v>marketing</v>
      </c>
      <c r="G4206" s="7" t="s">
        <v>6</v>
      </c>
      <c r="H4206">
        <f t="shared" si="331"/>
        <v>2025</v>
      </c>
      <c r="I4206">
        <f t="shared" si="332"/>
        <v>8</v>
      </c>
      <c r="J4206">
        <f t="shared" si="333"/>
        <v>-854.05000000000007</v>
      </c>
    </row>
    <row r="4207" spans="1:10" ht="12.5" x14ac:dyDescent="0.25">
      <c r="A4207" s="1">
        <v>45875</v>
      </c>
      <c r="B4207" s="2" t="s">
        <v>11</v>
      </c>
      <c r="C4207" s="3">
        <v>9.99</v>
      </c>
      <c r="D4207" s="3">
        <v>85</v>
      </c>
      <c r="E4207" s="3">
        <v>849.15</v>
      </c>
      <c r="F4207" t="str">
        <f t="shared" si="329"/>
        <v>net sales</v>
      </c>
      <c r="G4207" s="7" t="str">
        <f t="shared" si="330"/>
        <v>product 1</v>
      </c>
      <c r="H4207">
        <f t="shared" si="331"/>
        <v>2025</v>
      </c>
      <c r="I4207">
        <f t="shared" si="332"/>
        <v>8</v>
      </c>
      <c r="J4207">
        <f t="shared" si="333"/>
        <v>-114.91</v>
      </c>
    </row>
    <row r="4208" spans="1:10" ht="12.5" x14ac:dyDescent="0.25">
      <c r="A4208" s="1">
        <v>45875</v>
      </c>
      <c r="B4208" s="2" t="s">
        <v>12</v>
      </c>
      <c r="C4208" s="3">
        <v>24.99</v>
      </c>
      <c r="D4208" s="3">
        <v>0</v>
      </c>
      <c r="E4208" s="2">
        <f>C4208*D4208</f>
        <v>0</v>
      </c>
      <c r="F4208" t="str">
        <f t="shared" si="329"/>
        <v>net sales</v>
      </c>
      <c r="G4208" s="7" t="str">
        <f t="shared" si="330"/>
        <v>product 2</v>
      </c>
      <c r="H4208">
        <f t="shared" si="331"/>
        <v>2025</v>
      </c>
      <c r="I4208">
        <f t="shared" si="332"/>
        <v>8</v>
      </c>
      <c r="J4208">
        <f t="shared" si="333"/>
        <v>779.22</v>
      </c>
    </row>
    <row r="4209" spans="1:10" ht="12.5" x14ac:dyDescent="0.25">
      <c r="A4209" s="1">
        <v>45875</v>
      </c>
      <c r="B4209" s="2" t="s">
        <v>13</v>
      </c>
      <c r="C4209" s="3">
        <v>12.49</v>
      </c>
      <c r="D4209" s="3">
        <v>221</v>
      </c>
      <c r="E4209" s="3">
        <v>2760.29</v>
      </c>
      <c r="F4209" t="str">
        <f t="shared" si="329"/>
        <v>net sales</v>
      </c>
      <c r="G4209" s="7" t="str">
        <f t="shared" si="330"/>
        <v>product 3</v>
      </c>
      <c r="H4209">
        <f t="shared" si="331"/>
        <v>2025</v>
      </c>
      <c r="I4209">
        <f t="shared" si="332"/>
        <v>8</v>
      </c>
      <c r="J4209">
        <f t="shared" si="333"/>
        <v>99.96</v>
      </c>
    </row>
    <row r="4210" spans="1:10" ht="12.5" x14ac:dyDescent="0.25">
      <c r="A4210" s="1">
        <v>45876</v>
      </c>
      <c r="B4210" s="2" t="s">
        <v>7</v>
      </c>
      <c r="C4210" s="3">
        <v>5.49</v>
      </c>
      <c r="D4210" s="3">
        <v>32</v>
      </c>
      <c r="E4210" s="3">
        <v>175.68</v>
      </c>
      <c r="F4210" t="str">
        <f t="shared" si="329"/>
        <v>cogs</v>
      </c>
      <c r="G4210" s="7" t="str">
        <f t="shared" si="330"/>
        <v>product 1</v>
      </c>
      <c r="H4210">
        <f t="shared" si="331"/>
        <v>2025</v>
      </c>
      <c r="I4210">
        <f t="shared" si="332"/>
        <v>8</v>
      </c>
      <c r="J4210">
        <f t="shared" si="333"/>
        <v>1186.55</v>
      </c>
    </row>
    <row r="4211" spans="1:10" ht="12.5" x14ac:dyDescent="0.25">
      <c r="A4211" s="1">
        <v>45876</v>
      </c>
      <c r="B4211" s="2" t="s">
        <v>8</v>
      </c>
      <c r="C4211" s="3">
        <v>19.989999999999998</v>
      </c>
      <c r="D4211" s="3">
        <v>4</v>
      </c>
      <c r="E4211" s="3">
        <v>79.959999999999994</v>
      </c>
      <c r="F4211" t="str">
        <f t="shared" si="329"/>
        <v>cogs</v>
      </c>
      <c r="G4211" s="7" t="str">
        <f t="shared" si="330"/>
        <v>product 2</v>
      </c>
      <c r="H4211">
        <f t="shared" si="331"/>
        <v>2025</v>
      </c>
      <c r="I4211">
        <f t="shared" si="332"/>
        <v>8</v>
      </c>
      <c r="J4211">
        <f t="shared" si="333"/>
        <v>-340.38</v>
      </c>
    </row>
    <row r="4212" spans="1:10" ht="12.5" x14ac:dyDescent="0.25">
      <c r="A4212" s="1">
        <v>45876</v>
      </c>
      <c r="B4212" s="2" t="s">
        <v>9</v>
      </c>
      <c r="C4212" s="3">
        <v>8.99</v>
      </c>
      <c r="D4212" s="3">
        <v>138</v>
      </c>
      <c r="E4212" s="3">
        <v>1240.6200000000001</v>
      </c>
      <c r="F4212" t="str">
        <f t="shared" si="329"/>
        <v>cogs</v>
      </c>
      <c r="G4212" s="7" t="str">
        <f t="shared" si="330"/>
        <v>product 3</v>
      </c>
      <c r="H4212">
        <f t="shared" si="331"/>
        <v>2025</v>
      </c>
      <c r="I4212">
        <f t="shared" si="332"/>
        <v>8</v>
      </c>
      <c r="J4212">
        <f t="shared" si="333"/>
        <v>-119.94</v>
      </c>
    </row>
    <row r="4213" spans="1:10" ht="12.5" x14ac:dyDescent="0.25">
      <c r="A4213" s="1">
        <v>45876</v>
      </c>
      <c r="B4213" s="2" t="s">
        <v>10</v>
      </c>
      <c r="C4213" s="2" t="s">
        <v>6</v>
      </c>
      <c r="D4213" s="2" t="s">
        <v>6</v>
      </c>
      <c r="E4213" s="3">
        <v>112.94</v>
      </c>
      <c r="F4213" t="str">
        <f t="shared" si="329"/>
        <v>marketing</v>
      </c>
      <c r="G4213" s="7" t="s">
        <v>6</v>
      </c>
      <c r="H4213">
        <f t="shared" si="331"/>
        <v>2025</v>
      </c>
      <c r="I4213">
        <f t="shared" si="332"/>
        <v>8</v>
      </c>
      <c r="J4213">
        <f t="shared" si="333"/>
        <v>-1150.72</v>
      </c>
    </row>
    <row r="4214" spans="1:10" ht="12.5" x14ac:dyDescent="0.25">
      <c r="A4214" s="1">
        <v>45876</v>
      </c>
      <c r="B4214" s="2" t="s">
        <v>11</v>
      </c>
      <c r="C4214" s="3">
        <v>9.99</v>
      </c>
      <c r="D4214" s="3">
        <v>32</v>
      </c>
      <c r="E4214" s="3">
        <v>319.68</v>
      </c>
      <c r="F4214" t="str">
        <f t="shared" si="329"/>
        <v>net sales</v>
      </c>
      <c r="G4214" s="7" t="str">
        <f t="shared" si="330"/>
        <v>product 1</v>
      </c>
      <c r="H4214">
        <f t="shared" si="331"/>
        <v>2025</v>
      </c>
      <c r="I4214">
        <f t="shared" si="332"/>
        <v>8</v>
      </c>
      <c r="J4214">
        <f t="shared" si="333"/>
        <v>-111.99000000000001</v>
      </c>
    </row>
    <row r="4215" spans="1:10" ht="12.5" x14ac:dyDescent="0.25">
      <c r="A4215" s="1">
        <v>45876</v>
      </c>
      <c r="B4215" s="2" t="s">
        <v>12</v>
      </c>
      <c r="C4215" s="3">
        <v>24.99</v>
      </c>
      <c r="D4215" s="3">
        <v>4</v>
      </c>
      <c r="E4215" s="3">
        <v>99.96</v>
      </c>
      <c r="F4215" t="str">
        <f t="shared" si="329"/>
        <v>net sales</v>
      </c>
      <c r="G4215" s="7" t="str">
        <f t="shared" si="330"/>
        <v>product 2</v>
      </c>
      <c r="H4215">
        <f t="shared" si="331"/>
        <v>2025</v>
      </c>
      <c r="I4215">
        <f t="shared" si="332"/>
        <v>8</v>
      </c>
      <c r="J4215">
        <f t="shared" si="333"/>
        <v>619.38</v>
      </c>
    </row>
    <row r="4216" spans="1:10" ht="12.5" x14ac:dyDescent="0.25">
      <c r="A4216" s="1">
        <v>45876</v>
      </c>
      <c r="B4216" s="2" t="s">
        <v>13</v>
      </c>
      <c r="C4216" s="3">
        <v>12.49</v>
      </c>
      <c r="D4216" s="3">
        <v>138</v>
      </c>
      <c r="E4216" s="3">
        <v>1723.6200000000001</v>
      </c>
      <c r="F4216" t="str">
        <f t="shared" si="329"/>
        <v>net sales</v>
      </c>
      <c r="G4216" s="7" t="str">
        <f t="shared" si="330"/>
        <v>product 3</v>
      </c>
      <c r="H4216">
        <f t="shared" si="331"/>
        <v>2025</v>
      </c>
      <c r="I4216">
        <f t="shared" si="332"/>
        <v>8</v>
      </c>
      <c r="J4216">
        <f t="shared" si="333"/>
        <v>149.94</v>
      </c>
    </row>
    <row r="4217" spans="1:10" ht="12.5" x14ac:dyDescent="0.25">
      <c r="A4217" s="1">
        <v>45877</v>
      </c>
      <c r="B4217" s="2" t="s">
        <v>7</v>
      </c>
      <c r="C4217" s="3">
        <v>5.49</v>
      </c>
      <c r="D4217" s="3">
        <v>4</v>
      </c>
      <c r="E4217" s="3">
        <v>21.96</v>
      </c>
      <c r="F4217" t="str">
        <f t="shared" si="329"/>
        <v>cogs</v>
      </c>
      <c r="G4217" s="7" t="str">
        <f t="shared" si="330"/>
        <v>product 1</v>
      </c>
      <c r="H4217">
        <f t="shared" si="331"/>
        <v>2025</v>
      </c>
      <c r="I4217">
        <f t="shared" si="332"/>
        <v>8</v>
      </c>
      <c r="J4217">
        <f t="shared" si="333"/>
        <v>1598.72</v>
      </c>
    </row>
    <row r="4218" spans="1:10" ht="12.5" x14ac:dyDescent="0.25">
      <c r="A4218" s="1">
        <v>45877</v>
      </c>
      <c r="B4218" s="2" t="s">
        <v>8</v>
      </c>
      <c r="C4218" s="3">
        <v>19.989999999999998</v>
      </c>
      <c r="D4218" s="3">
        <v>6</v>
      </c>
      <c r="E4218" s="3">
        <v>119.94</v>
      </c>
      <c r="F4218" t="str">
        <f t="shared" si="329"/>
        <v>cogs</v>
      </c>
      <c r="G4218" s="7" t="str">
        <f t="shared" si="330"/>
        <v>product 2</v>
      </c>
      <c r="H4218">
        <f t="shared" si="331"/>
        <v>2025</v>
      </c>
      <c r="I4218">
        <f t="shared" si="332"/>
        <v>8</v>
      </c>
      <c r="J4218">
        <f t="shared" si="333"/>
        <v>-274.5</v>
      </c>
    </row>
    <row r="4219" spans="1:10" ht="12.5" x14ac:dyDescent="0.25">
      <c r="A4219" s="1">
        <v>45877</v>
      </c>
      <c r="B4219" s="2" t="s">
        <v>9</v>
      </c>
      <c r="C4219" s="3">
        <v>8.99</v>
      </c>
      <c r="D4219" s="3">
        <v>226</v>
      </c>
      <c r="E4219" s="3">
        <v>2031.74</v>
      </c>
      <c r="F4219" t="str">
        <f t="shared" si="329"/>
        <v>cogs</v>
      </c>
      <c r="G4219" s="7" t="str">
        <f t="shared" si="330"/>
        <v>product 3</v>
      </c>
      <c r="H4219">
        <f t="shared" si="331"/>
        <v>2025</v>
      </c>
      <c r="I4219">
        <f t="shared" si="332"/>
        <v>8</v>
      </c>
      <c r="J4219">
        <f t="shared" si="333"/>
        <v>-99.949999999999989</v>
      </c>
    </row>
    <row r="4220" spans="1:10" ht="12.5" x14ac:dyDescent="0.25">
      <c r="A4220" s="1">
        <v>45877</v>
      </c>
      <c r="B4220" s="2" t="s">
        <v>10</v>
      </c>
      <c r="C4220" s="2" t="s">
        <v>6</v>
      </c>
      <c r="D4220" s="2" t="s">
        <v>6</v>
      </c>
      <c r="E4220" s="3">
        <v>103.02</v>
      </c>
      <c r="F4220" t="str">
        <f t="shared" si="329"/>
        <v>marketing</v>
      </c>
      <c r="G4220" s="7" t="s">
        <v>6</v>
      </c>
      <c r="H4220">
        <f t="shared" si="331"/>
        <v>2025</v>
      </c>
      <c r="I4220">
        <f t="shared" si="332"/>
        <v>8</v>
      </c>
      <c r="J4220">
        <f t="shared" si="333"/>
        <v>-1833.96</v>
      </c>
    </row>
    <row r="4221" spans="1:10" ht="12.5" x14ac:dyDescent="0.25">
      <c r="A4221" s="1">
        <v>45877</v>
      </c>
      <c r="B4221" s="2" t="s">
        <v>11</v>
      </c>
      <c r="C4221" s="3">
        <v>9.99</v>
      </c>
      <c r="D4221" s="3">
        <v>4</v>
      </c>
      <c r="E4221" s="3">
        <v>39.96</v>
      </c>
      <c r="F4221" t="str">
        <f t="shared" si="329"/>
        <v>net sales</v>
      </c>
      <c r="G4221" s="7" t="str">
        <f t="shared" si="330"/>
        <v>product 1</v>
      </c>
      <c r="H4221">
        <f t="shared" si="331"/>
        <v>2025</v>
      </c>
      <c r="I4221">
        <f t="shared" si="332"/>
        <v>8</v>
      </c>
      <c r="J4221">
        <f t="shared" si="333"/>
        <v>-107.99000000000001</v>
      </c>
    </row>
    <row r="4222" spans="1:10" ht="12.5" x14ac:dyDescent="0.25">
      <c r="A4222" s="1">
        <v>45877</v>
      </c>
      <c r="B4222" s="2" t="s">
        <v>12</v>
      </c>
      <c r="C4222" s="3">
        <v>24.99</v>
      </c>
      <c r="D4222" s="3">
        <v>6</v>
      </c>
      <c r="E4222" s="3">
        <v>149.94</v>
      </c>
      <c r="F4222" t="str">
        <f t="shared" si="329"/>
        <v>net sales</v>
      </c>
      <c r="G4222" s="7" t="str">
        <f t="shared" si="330"/>
        <v>product 2</v>
      </c>
      <c r="H4222">
        <f t="shared" si="331"/>
        <v>2025</v>
      </c>
      <c r="I4222">
        <f t="shared" si="332"/>
        <v>8</v>
      </c>
      <c r="J4222">
        <f t="shared" si="333"/>
        <v>499.5</v>
      </c>
    </row>
    <row r="4223" spans="1:10" ht="12.5" x14ac:dyDescent="0.25">
      <c r="A4223" s="1">
        <v>45877</v>
      </c>
      <c r="B4223" s="2" t="s">
        <v>13</v>
      </c>
      <c r="C4223" s="3">
        <v>12.49</v>
      </c>
      <c r="D4223" s="3">
        <v>226</v>
      </c>
      <c r="E4223" s="3">
        <v>2822.7400000000002</v>
      </c>
      <c r="F4223" t="str">
        <f t="shared" si="329"/>
        <v>net sales</v>
      </c>
      <c r="G4223" s="7" t="str">
        <f t="shared" si="330"/>
        <v>product 3</v>
      </c>
      <c r="H4223">
        <f t="shared" si="331"/>
        <v>2025</v>
      </c>
      <c r="I4223">
        <f t="shared" si="332"/>
        <v>8</v>
      </c>
      <c r="J4223">
        <f t="shared" si="333"/>
        <v>124.94999999999999</v>
      </c>
    </row>
    <row r="4224" spans="1:10" ht="12.5" x14ac:dyDescent="0.25">
      <c r="A4224" s="1">
        <v>45878</v>
      </c>
      <c r="B4224" s="2" t="s">
        <v>7</v>
      </c>
      <c r="C4224" s="3">
        <v>5.49</v>
      </c>
      <c r="D4224" s="3">
        <v>86</v>
      </c>
      <c r="E4224" s="3">
        <v>472.14000000000004</v>
      </c>
      <c r="F4224" t="str">
        <f t="shared" si="329"/>
        <v>cogs</v>
      </c>
      <c r="G4224" s="7" t="str">
        <f t="shared" si="330"/>
        <v>product 1</v>
      </c>
      <c r="H4224">
        <f t="shared" si="331"/>
        <v>2025</v>
      </c>
      <c r="I4224">
        <f t="shared" si="332"/>
        <v>8</v>
      </c>
      <c r="J4224">
        <f t="shared" si="333"/>
        <v>2547.96</v>
      </c>
    </row>
    <row r="4225" spans="1:10" ht="12.5" x14ac:dyDescent="0.25">
      <c r="A4225" s="1">
        <v>45878</v>
      </c>
      <c r="B4225" s="2" t="s">
        <v>8</v>
      </c>
      <c r="C4225" s="3">
        <v>19.989999999999998</v>
      </c>
      <c r="D4225" s="3">
        <v>1</v>
      </c>
      <c r="E4225" s="3">
        <v>19.989999999999998</v>
      </c>
      <c r="F4225" t="str">
        <f t="shared" si="329"/>
        <v>cogs</v>
      </c>
      <c r="G4225" s="7" t="str">
        <f t="shared" si="330"/>
        <v>product 2</v>
      </c>
      <c r="H4225">
        <f t="shared" si="331"/>
        <v>2025</v>
      </c>
      <c r="I4225">
        <f t="shared" si="332"/>
        <v>8</v>
      </c>
      <c r="J4225">
        <f t="shared" si="333"/>
        <v>-285.48</v>
      </c>
    </row>
    <row r="4226" spans="1:10" ht="12.5" x14ac:dyDescent="0.25">
      <c r="A4226" s="1">
        <v>45878</v>
      </c>
      <c r="B4226" s="2" t="s">
        <v>9</v>
      </c>
      <c r="C4226" s="3">
        <v>8.99</v>
      </c>
      <c r="D4226" s="3">
        <v>204</v>
      </c>
      <c r="E4226" s="3">
        <v>1833.96</v>
      </c>
      <c r="F4226" t="str">
        <f t="shared" si="329"/>
        <v>cogs</v>
      </c>
      <c r="G4226" s="7" t="str">
        <f t="shared" si="330"/>
        <v>product 3</v>
      </c>
      <c r="H4226">
        <f t="shared" si="331"/>
        <v>2025</v>
      </c>
      <c r="I4226">
        <f t="shared" si="332"/>
        <v>8</v>
      </c>
      <c r="J4226">
        <f t="shared" si="333"/>
        <v>-119.94</v>
      </c>
    </row>
    <row r="4227" spans="1:10" ht="12.5" x14ac:dyDescent="0.25">
      <c r="A4227" s="1">
        <v>45878</v>
      </c>
      <c r="B4227" s="2" t="s">
        <v>10</v>
      </c>
      <c r="C4227" s="2" t="s">
        <v>6</v>
      </c>
      <c r="D4227" s="2" t="s">
        <v>6</v>
      </c>
      <c r="E4227" s="3">
        <v>105.06</v>
      </c>
      <c r="F4227" t="str">
        <f t="shared" ref="F4227:F4290" si="334">IFERROR(LEFT(B4227,FIND(":",B4227)-1),B4227)</f>
        <v>marketing</v>
      </c>
      <c r="G4227" s="7" t="s">
        <v>6</v>
      </c>
      <c r="H4227">
        <f t="shared" ref="H4227:H4290" si="335">YEAR(A4227)</f>
        <v>2025</v>
      </c>
      <c r="I4227">
        <f t="shared" ref="I4227:I4290" si="336">MONTH(A4227)</f>
        <v>8</v>
      </c>
      <c r="J4227">
        <f t="shared" si="333"/>
        <v>0</v>
      </c>
    </row>
    <row r="4228" spans="1:10" ht="12.5" x14ac:dyDescent="0.25">
      <c r="A4228" s="1">
        <v>45878</v>
      </c>
      <c r="B4228" s="2" t="s">
        <v>11</v>
      </c>
      <c r="C4228" s="3">
        <v>9.99</v>
      </c>
      <c r="D4228" s="3">
        <v>86</v>
      </c>
      <c r="E4228" s="3">
        <v>859.14</v>
      </c>
      <c r="F4228" t="str">
        <f t="shared" si="334"/>
        <v>net sales</v>
      </c>
      <c r="G4228" s="7" t="str">
        <f t="shared" ref="G4228:G4290" si="337">IFERROR(RIGHT(B4228,LEN(B4228)-FIND(":",B4228)),"")</f>
        <v>product 1</v>
      </c>
      <c r="H4228">
        <f t="shared" si="335"/>
        <v>2025</v>
      </c>
      <c r="I4228">
        <f t="shared" si="336"/>
        <v>8</v>
      </c>
      <c r="J4228">
        <f t="shared" si="333"/>
        <v>-100.02</v>
      </c>
    </row>
    <row r="4229" spans="1:10" ht="12.5" x14ac:dyDescent="0.25">
      <c r="A4229" s="1">
        <v>45878</v>
      </c>
      <c r="B4229" s="2" t="s">
        <v>12</v>
      </c>
      <c r="C4229" s="3">
        <v>24.99</v>
      </c>
      <c r="D4229" s="3">
        <v>1</v>
      </c>
      <c r="E4229" s="3">
        <v>24.99</v>
      </c>
      <c r="F4229" t="str">
        <f t="shared" si="334"/>
        <v>net sales</v>
      </c>
      <c r="G4229" s="7" t="str">
        <f t="shared" si="337"/>
        <v>product 2</v>
      </c>
      <c r="H4229">
        <f t="shared" si="335"/>
        <v>2025</v>
      </c>
      <c r="I4229">
        <f t="shared" si="336"/>
        <v>8</v>
      </c>
      <c r="J4229">
        <f t="shared" si="333"/>
        <v>519.48</v>
      </c>
    </row>
    <row r="4230" spans="1:10" ht="12.5" x14ac:dyDescent="0.25">
      <c r="A4230" s="1">
        <v>45878</v>
      </c>
      <c r="B4230" s="2" t="s">
        <v>13</v>
      </c>
      <c r="C4230" s="3">
        <v>12.49</v>
      </c>
      <c r="D4230" s="3">
        <v>204</v>
      </c>
      <c r="E4230" s="3">
        <v>2547.96</v>
      </c>
      <c r="F4230" t="str">
        <f t="shared" si="334"/>
        <v>net sales</v>
      </c>
      <c r="G4230" s="7" t="str">
        <f t="shared" si="337"/>
        <v>product 3</v>
      </c>
      <c r="H4230">
        <f t="shared" si="335"/>
        <v>2025</v>
      </c>
      <c r="I4230">
        <f t="shared" si="336"/>
        <v>8</v>
      </c>
      <c r="J4230">
        <f t="shared" si="333"/>
        <v>149.94</v>
      </c>
    </row>
    <row r="4231" spans="1:10" ht="12.5" x14ac:dyDescent="0.25">
      <c r="A4231" s="1">
        <v>45879</v>
      </c>
      <c r="B4231" s="2" t="s">
        <v>7</v>
      </c>
      <c r="C4231" s="3">
        <v>5.49</v>
      </c>
      <c r="D4231" s="3">
        <v>73</v>
      </c>
      <c r="E4231" s="3">
        <v>400.77000000000004</v>
      </c>
      <c r="F4231" t="str">
        <f t="shared" si="334"/>
        <v>cogs</v>
      </c>
      <c r="G4231" s="7" t="str">
        <f t="shared" si="337"/>
        <v>product 1</v>
      </c>
      <c r="H4231">
        <f t="shared" si="335"/>
        <v>2025</v>
      </c>
      <c r="I4231">
        <f t="shared" si="336"/>
        <v>8</v>
      </c>
      <c r="J4231">
        <f t="shared" si="333"/>
        <v>0</v>
      </c>
    </row>
    <row r="4232" spans="1:10" ht="12.5" x14ac:dyDescent="0.25">
      <c r="A4232" s="1">
        <v>45879</v>
      </c>
      <c r="B4232" s="2" t="s">
        <v>8</v>
      </c>
      <c r="C4232" s="3">
        <v>19.989999999999998</v>
      </c>
      <c r="D4232" s="3">
        <v>7</v>
      </c>
      <c r="E4232" s="3">
        <v>139.92999999999998</v>
      </c>
      <c r="F4232" t="str">
        <f t="shared" si="334"/>
        <v>cogs</v>
      </c>
      <c r="G4232" s="7" t="str">
        <f t="shared" si="337"/>
        <v>product 2</v>
      </c>
      <c r="H4232">
        <f t="shared" si="335"/>
        <v>2025</v>
      </c>
      <c r="I4232">
        <f t="shared" si="336"/>
        <v>8</v>
      </c>
      <c r="J4232">
        <f t="shared" si="333"/>
        <v>-65.88</v>
      </c>
    </row>
    <row r="4233" spans="1:10" ht="12.5" x14ac:dyDescent="0.25">
      <c r="A4233" s="1">
        <v>45879</v>
      </c>
      <c r="B4233" s="2" t="s">
        <v>9</v>
      </c>
      <c r="C4233" s="3">
        <v>8.99</v>
      </c>
      <c r="D4233" s="3">
        <v>21</v>
      </c>
      <c r="E4233" s="3">
        <v>188.79</v>
      </c>
      <c r="F4233" t="str">
        <f t="shared" si="334"/>
        <v>cogs</v>
      </c>
      <c r="G4233" s="7" t="str">
        <f t="shared" si="337"/>
        <v>product 3</v>
      </c>
      <c r="H4233">
        <f t="shared" si="335"/>
        <v>2025</v>
      </c>
      <c r="I4233">
        <f t="shared" si="336"/>
        <v>8</v>
      </c>
      <c r="J4233">
        <f t="shared" si="333"/>
        <v>-119.94</v>
      </c>
    </row>
    <row r="4234" spans="1:10" ht="12.5" x14ac:dyDescent="0.25">
      <c r="A4234" s="1">
        <v>45879</v>
      </c>
      <c r="B4234" s="2" t="s">
        <v>10</v>
      </c>
      <c r="C4234" s="2" t="s">
        <v>6</v>
      </c>
      <c r="D4234" s="2" t="s">
        <v>6</v>
      </c>
      <c r="E4234" s="3">
        <v>102.91</v>
      </c>
      <c r="F4234" t="str">
        <f t="shared" si="334"/>
        <v>marketing</v>
      </c>
      <c r="G4234" s="7" t="s">
        <v>6</v>
      </c>
      <c r="H4234">
        <f t="shared" si="335"/>
        <v>2025</v>
      </c>
      <c r="I4234">
        <f t="shared" si="336"/>
        <v>8</v>
      </c>
      <c r="J4234">
        <f t="shared" si="333"/>
        <v>-134.85</v>
      </c>
    </row>
    <row r="4235" spans="1:10" ht="12.5" x14ac:dyDescent="0.25">
      <c r="A4235" s="1">
        <v>45879</v>
      </c>
      <c r="B4235" s="2" t="s">
        <v>11</v>
      </c>
      <c r="C4235" s="3">
        <v>9.99</v>
      </c>
      <c r="D4235" s="3">
        <v>73</v>
      </c>
      <c r="E4235" s="3">
        <v>729.27</v>
      </c>
      <c r="F4235" t="str">
        <f t="shared" si="334"/>
        <v>net sales</v>
      </c>
      <c r="G4235" s="7" t="str">
        <f t="shared" si="337"/>
        <v>product 1</v>
      </c>
      <c r="H4235">
        <f t="shared" si="335"/>
        <v>2025</v>
      </c>
      <c r="I4235">
        <f t="shared" si="336"/>
        <v>8</v>
      </c>
      <c r="J4235">
        <f t="shared" si="333"/>
        <v>-106.93</v>
      </c>
    </row>
    <row r="4236" spans="1:10" ht="12.5" x14ac:dyDescent="0.25">
      <c r="A4236" s="1">
        <v>45879</v>
      </c>
      <c r="B4236" s="2" t="s">
        <v>12</v>
      </c>
      <c r="C4236" s="3">
        <v>24.99</v>
      </c>
      <c r="D4236" s="3">
        <v>7</v>
      </c>
      <c r="E4236" s="3">
        <v>174.92999999999998</v>
      </c>
      <c r="F4236" t="str">
        <f t="shared" si="334"/>
        <v>net sales</v>
      </c>
      <c r="G4236" s="7" t="str">
        <f t="shared" si="337"/>
        <v>product 2</v>
      </c>
      <c r="H4236">
        <f t="shared" si="335"/>
        <v>2025</v>
      </c>
      <c r="I4236">
        <f t="shared" si="336"/>
        <v>8</v>
      </c>
      <c r="J4236">
        <f t="shared" si="333"/>
        <v>119.88</v>
      </c>
    </row>
    <row r="4237" spans="1:10" ht="12.5" x14ac:dyDescent="0.25">
      <c r="A4237" s="1">
        <v>45879</v>
      </c>
      <c r="B4237" s="2" t="s">
        <v>13</v>
      </c>
      <c r="C4237" s="3">
        <v>12.49</v>
      </c>
      <c r="D4237" s="3">
        <v>21</v>
      </c>
      <c r="E4237" s="3">
        <v>262.29000000000002</v>
      </c>
      <c r="F4237" t="str">
        <f t="shared" si="334"/>
        <v>net sales</v>
      </c>
      <c r="G4237" s="7" t="str">
        <f t="shared" si="337"/>
        <v>product 3</v>
      </c>
      <c r="H4237">
        <f t="shared" si="335"/>
        <v>2025</v>
      </c>
      <c r="I4237">
        <f t="shared" si="336"/>
        <v>8</v>
      </c>
      <c r="J4237">
        <f t="shared" si="333"/>
        <v>149.94</v>
      </c>
    </row>
    <row r="4238" spans="1:10" ht="12.5" x14ac:dyDescent="0.25">
      <c r="A4238" s="1">
        <v>45880</v>
      </c>
      <c r="B4238" s="2" t="s">
        <v>7</v>
      </c>
      <c r="C4238" s="3">
        <v>5.49</v>
      </c>
      <c r="D4238" s="3">
        <v>65</v>
      </c>
      <c r="E4238" s="3">
        <v>356.85</v>
      </c>
      <c r="F4238" t="str">
        <f t="shared" si="334"/>
        <v>cogs</v>
      </c>
      <c r="G4238" s="7" t="str">
        <f t="shared" si="337"/>
        <v>product 1</v>
      </c>
      <c r="H4238">
        <f t="shared" si="335"/>
        <v>2025</v>
      </c>
      <c r="I4238">
        <f t="shared" si="336"/>
        <v>8</v>
      </c>
      <c r="J4238">
        <f t="shared" si="333"/>
        <v>187.35</v>
      </c>
    </row>
    <row r="4239" spans="1:10" ht="12.5" x14ac:dyDescent="0.25">
      <c r="A4239" s="1">
        <v>45880</v>
      </c>
      <c r="B4239" s="2" t="s">
        <v>8</v>
      </c>
      <c r="C4239" s="3">
        <v>19.989999999999998</v>
      </c>
      <c r="D4239" s="3">
        <v>1</v>
      </c>
      <c r="E4239" s="3">
        <v>19.989999999999998</v>
      </c>
      <c r="F4239" t="str">
        <f t="shared" si="334"/>
        <v>cogs</v>
      </c>
      <c r="G4239" s="7" t="str">
        <f t="shared" si="337"/>
        <v>product 2</v>
      </c>
      <c r="H4239">
        <f t="shared" si="335"/>
        <v>2025</v>
      </c>
      <c r="I4239">
        <f t="shared" si="336"/>
        <v>8</v>
      </c>
      <c r="J4239">
        <f t="shared" si="333"/>
        <v>-417.24</v>
      </c>
    </row>
    <row r="4240" spans="1:10" ht="12.5" x14ac:dyDescent="0.25">
      <c r="A4240" s="1">
        <v>45880</v>
      </c>
      <c r="B4240" s="2" t="s">
        <v>9</v>
      </c>
      <c r="C4240" s="3">
        <v>8.99</v>
      </c>
      <c r="D4240" s="3">
        <v>94</v>
      </c>
      <c r="E4240" s="3">
        <v>845.06000000000006</v>
      </c>
      <c r="F4240" t="str">
        <f t="shared" si="334"/>
        <v>cogs</v>
      </c>
      <c r="G4240" s="7" t="str">
        <f t="shared" si="337"/>
        <v>product 3</v>
      </c>
      <c r="H4240">
        <f t="shared" si="335"/>
        <v>2025</v>
      </c>
      <c r="I4240">
        <f t="shared" si="336"/>
        <v>8</v>
      </c>
      <c r="J4240">
        <f t="shared" si="333"/>
        <v>-19.989999999999998</v>
      </c>
    </row>
    <row r="4241" spans="1:10" ht="12.5" x14ac:dyDescent="0.25">
      <c r="A4241" s="1">
        <v>45880</v>
      </c>
      <c r="B4241" s="2" t="s">
        <v>10</v>
      </c>
      <c r="C4241" s="2" t="s">
        <v>6</v>
      </c>
      <c r="D4241" s="2" t="s">
        <v>6</v>
      </c>
      <c r="E4241" s="3">
        <v>113</v>
      </c>
      <c r="F4241" t="str">
        <f t="shared" si="334"/>
        <v>marketing</v>
      </c>
      <c r="G4241" s="7" t="s">
        <v>6</v>
      </c>
      <c r="H4241">
        <f t="shared" si="335"/>
        <v>2025</v>
      </c>
      <c r="I4241">
        <f t="shared" si="336"/>
        <v>8</v>
      </c>
      <c r="J4241">
        <f t="shared" si="333"/>
        <v>-1950.8300000000002</v>
      </c>
    </row>
    <row r="4242" spans="1:10" ht="12.5" x14ac:dyDescent="0.25">
      <c r="A4242" s="1">
        <v>45880</v>
      </c>
      <c r="B4242" s="2" t="s">
        <v>11</v>
      </c>
      <c r="C4242" s="3">
        <v>9.99</v>
      </c>
      <c r="D4242" s="3">
        <v>65</v>
      </c>
      <c r="E4242" s="3">
        <v>649.35</v>
      </c>
      <c r="F4242" t="str">
        <f t="shared" si="334"/>
        <v>net sales</v>
      </c>
      <c r="G4242" s="7" t="str">
        <f t="shared" si="337"/>
        <v>product 1</v>
      </c>
      <c r="H4242">
        <f t="shared" si="335"/>
        <v>2025</v>
      </c>
      <c r="I4242">
        <f t="shared" si="336"/>
        <v>8</v>
      </c>
      <c r="J4242">
        <f t="shared" si="333"/>
        <v>-117.92</v>
      </c>
    </row>
    <row r="4243" spans="1:10" ht="12.5" x14ac:dyDescent="0.25">
      <c r="A4243" s="1">
        <v>45880</v>
      </c>
      <c r="B4243" s="2" t="s">
        <v>12</v>
      </c>
      <c r="C4243" s="3">
        <v>24.99</v>
      </c>
      <c r="D4243" s="3">
        <v>1</v>
      </c>
      <c r="E4243" s="3">
        <v>24.99</v>
      </c>
      <c r="F4243" t="str">
        <f t="shared" si="334"/>
        <v>net sales</v>
      </c>
      <c r="G4243" s="7" t="str">
        <f t="shared" si="337"/>
        <v>product 2</v>
      </c>
      <c r="H4243">
        <f t="shared" si="335"/>
        <v>2025</v>
      </c>
      <c r="I4243">
        <f t="shared" si="336"/>
        <v>8</v>
      </c>
      <c r="J4243">
        <f t="shared" si="333"/>
        <v>759.24</v>
      </c>
    </row>
    <row r="4244" spans="1:10" ht="12.5" x14ac:dyDescent="0.25">
      <c r="A4244" s="1">
        <v>45880</v>
      </c>
      <c r="B4244" s="2" t="s">
        <v>13</v>
      </c>
      <c r="C4244" s="3">
        <v>12.49</v>
      </c>
      <c r="D4244" s="3">
        <v>94</v>
      </c>
      <c r="E4244" s="3">
        <v>1174.06</v>
      </c>
      <c r="F4244" t="str">
        <f t="shared" si="334"/>
        <v>net sales</v>
      </c>
      <c r="G4244" s="7" t="str">
        <f t="shared" si="337"/>
        <v>product 3</v>
      </c>
      <c r="H4244">
        <f t="shared" si="335"/>
        <v>2025</v>
      </c>
      <c r="I4244">
        <f t="shared" si="336"/>
        <v>8</v>
      </c>
      <c r="J4244">
        <f t="shared" si="333"/>
        <v>24.99</v>
      </c>
    </row>
    <row r="4245" spans="1:10" ht="12.5" x14ac:dyDescent="0.25">
      <c r="A4245" s="1">
        <v>45881</v>
      </c>
      <c r="B4245" s="2" t="s">
        <v>7</v>
      </c>
      <c r="C4245" s="3">
        <v>5.49</v>
      </c>
      <c r="D4245" s="3">
        <v>66</v>
      </c>
      <c r="E4245" s="3">
        <v>362.34000000000003</v>
      </c>
      <c r="F4245" t="str">
        <f t="shared" si="334"/>
        <v>cogs</v>
      </c>
      <c r="G4245" s="7" t="str">
        <f t="shared" si="337"/>
        <v>product 1</v>
      </c>
      <c r="H4245">
        <f t="shared" si="335"/>
        <v>2025</v>
      </c>
      <c r="I4245">
        <f t="shared" si="336"/>
        <v>8</v>
      </c>
      <c r="J4245">
        <f t="shared" si="333"/>
        <v>2710.33</v>
      </c>
    </row>
    <row r="4246" spans="1:10" ht="12.5" x14ac:dyDescent="0.25">
      <c r="A4246" s="1">
        <v>45881</v>
      </c>
      <c r="B4246" s="2" t="s">
        <v>8</v>
      </c>
      <c r="C4246" s="3">
        <v>19.989999999999998</v>
      </c>
      <c r="D4246" s="3">
        <v>0</v>
      </c>
      <c r="E4246" s="2">
        <f>C4246*D4246</f>
        <v>0</v>
      </c>
      <c r="F4246" t="str">
        <f t="shared" si="334"/>
        <v>cogs</v>
      </c>
      <c r="G4246" s="7" t="str">
        <f t="shared" si="337"/>
        <v>product 2</v>
      </c>
      <c r="H4246">
        <f t="shared" si="335"/>
        <v>2025</v>
      </c>
      <c r="I4246">
        <f t="shared" si="336"/>
        <v>8</v>
      </c>
      <c r="J4246">
        <f t="shared" si="333"/>
        <v>-373.32</v>
      </c>
    </row>
    <row r="4247" spans="1:10" ht="12.5" x14ac:dyDescent="0.25">
      <c r="A4247" s="1">
        <v>45881</v>
      </c>
      <c r="B4247" s="2" t="s">
        <v>9</v>
      </c>
      <c r="C4247" s="3">
        <v>8.99</v>
      </c>
      <c r="D4247" s="3">
        <v>92</v>
      </c>
      <c r="E4247" s="3">
        <v>827.08</v>
      </c>
      <c r="F4247" t="str">
        <f t="shared" si="334"/>
        <v>cogs</v>
      </c>
      <c r="G4247" s="7" t="str">
        <f t="shared" si="337"/>
        <v>product 3</v>
      </c>
      <c r="H4247">
        <f t="shared" si="335"/>
        <v>2025</v>
      </c>
      <c r="I4247">
        <f t="shared" si="336"/>
        <v>8</v>
      </c>
      <c r="J4247">
        <f t="shared" si="333"/>
        <v>-139.92999999999998</v>
      </c>
    </row>
    <row r="4248" spans="1:10" ht="12.5" x14ac:dyDescent="0.25">
      <c r="A4248" s="1">
        <v>45881</v>
      </c>
      <c r="B4248" s="2" t="s">
        <v>10</v>
      </c>
      <c r="C4248" s="2" t="s">
        <v>6</v>
      </c>
      <c r="D4248" s="2" t="s">
        <v>6</v>
      </c>
      <c r="E4248" s="3">
        <v>114.91</v>
      </c>
      <c r="F4248" t="str">
        <f t="shared" si="334"/>
        <v>marketing</v>
      </c>
      <c r="G4248" s="7" t="s">
        <v>6</v>
      </c>
      <c r="H4248">
        <f t="shared" si="335"/>
        <v>2025</v>
      </c>
      <c r="I4248">
        <f t="shared" si="336"/>
        <v>8</v>
      </c>
      <c r="J4248">
        <f t="shared" si="333"/>
        <v>-125.86</v>
      </c>
    </row>
    <row r="4249" spans="1:10" ht="12.5" x14ac:dyDescent="0.25">
      <c r="A4249" s="1">
        <v>45881</v>
      </c>
      <c r="B4249" s="2" t="s">
        <v>11</v>
      </c>
      <c r="C4249" s="3">
        <v>9.99</v>
      </c>
      <c r="D4249" s="3">
        <v>66</v>
      </c>
      <c r="E4249" s="3">
        <v>659.34</v>
      </c>
      <c r="F4249" t="str">
        <f t="shared" si="334"/>
        <v>net sales</v>
      </c>
      <c r="G4249" s="7" t="str">
        <f t="shared" si="337"/>
        <v>product 1</v>
      </c>
      <c r="H4249">
        <f t="shared" si="335"/>
        <v>2025</v>
      </c>
      <c r="I4249">
        <f t="shared" si="336"/>
        <v>8</v>
      </c>
      <c r="J4249">
        <f t="shared" si="333"/>
        <v>-106.09</v>
      </c>
    </row>
    <row r="4250" spans="1:10" ht="12.5" x14ac:dyDescent="0.25">
      <c r="A4250" s="1">
        <v>45881</v>
      </c>
      <c r="B4250" s="2" t="s">
        <v>12</v>
      </c>
      <c r="C4250" s="3">
        <v>24.99</v>
      </c>
      <c r="D4250" s="3">
        <v>0</v>
      </c>
      <c r="E4250" s="2">
        <f>C4250*D4250</f>
        <v>0</v>
      </c>
      <c r="F4250" t="str">
        <f t="shared" si="334"/>
        <v>net sales</v>
      </c>
      <c r="G4250" s="7" t="str">
        <f t="shared" si="337"/>
        <v>product 2</v>
      </c>
      <c r="H4250">
        <f t="shared" si="335"/>
        <v>2025</v>
      </c>
      <c r="I4250">
        <f t="shared" si="336"/>
        <v>8</v>
      </c>
      <c r="J4250">
        <f t="shared" si="333"/>
        <v>679.32</v>
      </c>
    </row>
    <row r="4251" spans="1:10" ht="12.5" x14ac:dyDescent="0.25">
      <c r="A4251" s="1">
        <v>45881</v>
      </c>
      <c r="B4251" s="2" t="s">
        <v>13</v>
      </c>
      <c r="C4251" s="3">
        <v>12.49</v>
      </c>
      <c r="D4251" s="3">
        <v>92</v>
      </c>
      <c r="E4251" s="3">
        <v>1149.08</v>
      </c>
      <c r="F4251" t="str">
        <f t="shared" si="334"/>
        <v>net sales</v>
      </c>
      <c r="G4251" s="7" t="str">
        <f t="shared" si="337"/>
        <v>product 3</v>
      </c>
      <c r="H4251">
        <f t="shared" si="335"/>
        <v>2025</v>
      </c>
      <c r="I4251">
        <f t="shared" si="336"/>
        <v>8</v>
      </c>
      <c r="J4251">
        <f t="shared" si="333"/>
        <v>174.92999999999998</v>
      </c>
    </row>
    <row r="4252" spans="1:10" ht="12.5" x14ac:dyDescent="0.25">
      <c r="A4252" s="1">
        <v>45882</v>
      </c>
      <c r="B4252" s="2" t="s">
        <v>7</v>
      </c>
      <c r="C4252" s="3">
        <v>5.49</v>
      </c>
      <c r="D4252" s="3">
        <v>80</v>
      </c>
      <c r="E4252" s="3">
        <v>439.20000000000005</v>
      </c>
      <c r="F4252" t="str">
        <f t="shared" si="334"/>
        <v>cogs</v>
      </c>
      <c r="G4252" s="7" t="str">
        <f t="shared" si="337"/>
        <v>product 1</v>
      </c>
      <c r="H4252">
        <f t="shared" si="335"/>
        <v>2025</v>
      </c>
      <c r="I4252">
        <f t="shared" si="336"/>
        <v>8</v>
      </c>
      <c r="J4252">
        <f t="shared" ref="J4252:J4315" si="338">IF(F4035="net sales",E4035,
IF(F4035="cogs",-E4035,
IF(OR(F4035="marketing",F4035="overhead",F4035="payroll",F4035="interest","amortization"),-E4035,0)))</f>
        <v>174.86</v>
      </c>
    </row>
    <row r="4253" spans="1:10" ht="12.5" x14ac:dyDescent="0.25">
      <c r="A4253" s="1">
        <v>45882</v>
      </c>
      <c r="B4253" s="2" t="s">
        <v>8</v>
      </c>
      <c r="C4253" s="3">
        <v>19.989999999999998</v>
      </c>
      <c r="D4253" s="3">
        <v>3</v>
      </c>
      <c r="E4253" s="3">
        <v>59.97</v>
      </c>
      <c r="F4253" t="str">
        <f t="shared" si="334"/>
        <v>cogs</v>
      </c>
      <c r="G4253" s="7" t="str">
        <f t="shared" si="337"/>
        <v>product 2</v>
      </c>
      <c r="H4253">
        <f t="shared" si="335"/>
        <v>2025</v>
      </c>
      <c r="I4253">
        <f t="shared" si="336"/>
        <v>8</v>
      </c>
      <c r="J4253">
        <f t="shared" si="338"/>
        <v>-472.14000000000004</v>
      </c>
    </row>
    <row r="4254" spans="1:10" ht="12.5" x14ac:dyDescent="0.25">
      <c r="A4254" s="1">
        <v>45882</v>
      </c>
      <c r="B4254" s="2" t="s">
        <v>9</v>
      </c>
      <c r="C4254" s="3">
        <v>8.99</v>
      </c>
      <c r="D4254" s="3">
        <v>4</v>
      </c>
      <c r="E4254" s="3">
        <v>35.96</v>
      </c>
      <c r="F4254" t="str">
        <f t="shared" si="334"/>
        <v>cogs</v>
      </c>
      <c r="G4254" s="7" t="str">
        <f t="shared" si="337"/>
        <v>product 3</v>
      </c>
      <c r="H4254">
        <f t="shared" si="335"/>
        <v>2025</v>
      </c>
      <c r="I4254">
        <f t="shared" si="336"/>
        <v>8</v>
      </c>
      <c r="J4254">
        <f t="shared" si="338"/>
        <v>-99.949999999999989</v>
      </c>
    </row>
    <row r="4255" spans="1:10" ht="12.5" x14ac:dyDescent="0.25">
      <c r="A4255" s="1">
        <v>45882</v>
      </c>
      <c r="B4255" s="2" t="s">
        <v>10</v>
      </c>
      <c r="C4255" s="2" t="s">
        <v>6</v>
      </c>
      <c r="D4255" s="2" t="s">
        <v>6</v>
      </c>
      <c r="E4255" s="3">
        <v>102.06</v>
      </c>
      <c r="F4255" t="str">
        <f t="shared" si="334"/>
        <v>marketing</v>
      </c>
      <c r="G4255" s="7" t="s">
        <v>6</v>
      </c>
      <c r="H4255">
        <f t="shared" si="335"/>
        <v>2025</v>
      </c>
      <c r="I4255">
        <f t="shared" si="336"/>
        <v>8</v>
      </c>
      <c r="J4255">
        <f t="shared" si="338"/>
        <v>-899</v>
      </c>
    </row>
    <row r="4256" spans="1:10" ht="12.5" x14ac:dyDescent="0.25">
      <c r="A4256" s="1">
        <v>45882</v>
      </c>
      <c r="B4256" s="2" t="s">
        <v>11</v>
      </c>
      <c r="C4256" s="3">
        <v>9.99</v>
      </c>
      <c r="D4256" s="3">
        <v>80</v>
      </c>
      <c r="E4256" s="3">
        <v>799.2</v>
      </c>
      <c r="F4256" t="str">
        <f t="shared" si="334"/>
        <v>net sales</v>
      </c>
      <c r="G4256" s="7" t="str">
        <f t="shared" si="337"/>
        <v>product 1</v>
      </c>
      <c r="H4256">
        <f t="shared" si="335"/>
        <v>2025</v>
      </c>
      <c r="I4256">
        <f t="shared" si="336"/>
        <v>8</v>
      </c>
      <c r="J4256">
        <f t="shared" si="338"/>
        <v>-103.10000000000001</v>
      </c>
    </row>
    <row r="4257" spans="1:10" ht="12.5" x14ac:dyDescent="0.25">
      <c r="A4257" s="1">
        <v>45882</v>
      </c>
      <c r="B4257" s="2" t="s">
        <v>12</v>
      </c>
      <c r="C4257" s="3">
        <v>24.99</v>
      </c>
      <c r="D4257" s="3">
        <v>3</v>
      </c>
      <c r="E4257" s="3">
        <v>74.97</v>
      </c>
      <c r="F4257" t="str">
        <f t="shared" si="334"/>
        <v>net sales</v>
      </c>
      <c r="G4257" s="7" t="str">
        <f t="shared" si="337"/>
        <v>product 2</v>
      </c>
      <c r="H4257">
        <f t="shared" si="335"/>
        <v>2025</v>
      </c>
      <c r="I4257">
        <f t="shared" si="336"/>
        <v>8</v>
      </c>
      <c r="J4257">
        <f t="shared" si="338"/>
        <v>859.14</v>
      </c>
    </row>
    <row r="4258" spans="1:10" ht="12.5" x14ac:dyDescent="0.25">
      <c r="A4258" s="1">
        <v>45882</v>
      </c>
      <c r="B4258" s="2" t="s">
        <v>13</v>
      </c>
      <c r="C4258" s="3">
        <v>12.49</v>
      </c>
      <c r="D4258" s="3">
        <v>4</v>
      </c>
      <c r="E4258" s="3">
        <v>49.96</v>
      </c>
      <c r="F4258" t="str">
        <f t="shared" si="334"/>
        <v>net sales</v>
      </c>
      <c r="G4258" s="7" t="str">
        <f t="shared" si="337"/>
        <v>product 3</v>
      </c>
      <c r="H4258">
        <f t="shared" si="335"/>
        <v>2025</v>
      </c>
      <c r="I4258">
        <f t="shared" si="336"/>
        <v>8</v>
      </c>
      <c r="J4258">
        <f t="shared" si="338"/>
        <v>124.94999999999999</v>
      </c>
    </row>
    <row r="4259" spans="1:10" ht="12.5" x14ac:dyDescent="0.25">
      <c r="A4259" s="1">
        <v>45883</v>
      </c>
      <c r="B4259" s="2" t="s">
        <v>7</v>
      </c>
      <c r="C4259" s="3">
        <v>5.49</v>
      </c>
      <c r="D4259" s="3">
        <v>14</v>
      </c>
      <c r="E4259" s="3">
        <v>76.86</v>
      </c>
      <c r="F4259" t="str">
        <f t="shared" si="334"/>
        <v>cogs</v>
      </c>
      <c r="G4259" s="7" t="str">
        <f t="shared" si="337"/>
        <v>product 1</v>
      </c>
      <c r="H4259">
        <f t="shared" si="335"/>
        <v>2025</v>
      </c>
      <c r="I4259">
        <f t="shared" si="336"/>
        <v>8</v>
      </c>
      <c r="J4259">
        <f t="shared" si="338"/>
        <v>1249</v>
      </c>
    </row>
    <row r="4260" spans="1:10" ht="12.5" x14ac:dyDescent="0.25">
      <c r="A4260" s="1">
        <v>45883</v>
      </c>
      <c r="B4260" s="2" t="s">
        <v>8</v>
      </c>
      <c r="C4260" s="3">
        <v>19.989999999999998</v>
      </c>
      <c r="D4260" s="3">
        <v>6</v>
      </c>
      <c r="E4260" s="3">
        <v>119.94</v>
      </c>
      <c r="F4260" t="str">
        <f t="shared" si="334"/>
        <v>cogs</v>
      </c>
      <c r="G4260" s="7" t="str">
        <f t="shared" si="337"/>
        <v>product 2</v>
      </c>
      <c r="H4260">
        <f t="shared" si="335"/>
        <v>2025</v>
      </c>
      <c r="I4260">
        <f t="shared" si="336"/>
        <v>8</v>
      </c>
      <c r="J4260">
        <f t="shared" si="338"/>
        <v>-98.820000000000007</v>
      </c>
    </row>
    <row r="4261" spans="1:10" ht="12.5" x14ac:dyDescent="0.25">
      <c r="A4261" s="1">
        <v>45883</v>
      </c>
      <c r="B4261" s="2" t="s">
        <v>9</v>
      </c>
      <c r="C4261" s="3">
        <v>8.99</v>
      </c>
      <c r="D4261" s="3">
        <v>225</v>
      </c>
      <c r="E4261" s="3">
        <v>2022.75</v>
      </c>
      <c r="F4261" t="str">
        <f t="shared" si="334"/>
        <v>cogs</v>
      </c>
      <c r="G4261" s="7" t="str">
        <f t="shared" si="337"/>
        <v>product 3</v>
      </c>
      <c r="H4261">
        <f t="shared" si="335"/>
        <v>2025</v>
      </c>
      <c r="I4261">
        <f t="shared" si="336"/>
        <v>8</v>
      </c>
      <c r="J4261">
        <f t="shared" si="338"/>
        <v>-79.959999999999994</v>
      </c>
    </row>
    <row r="4262" spans="1:10" ht="12.5" x14ac:dyDescent="0.25">
      <c r="A4262" s="1">
        <v>45883</v>
      </c>
      <c r="B4262" s="2" t="s">
        <v>10</v>
      </c>
      <c r="C4262" s="2" t="s">
        <v>6</v>
      </c>
      <c r="D4262" s="2" t="s">
        <v>6</v>
      </c>
      <c r="E4262" s="3">
        <v>103.07000000000001</v>
      </c>
      <c r="F4262" t="str">
        <f t="shared" si="334"/>
        <v>marketing</v>
      </c>
      <c r="G4262" s="7" t="s">
        <v>6</v>
      </c>
      <c r="H4262">
        <f t="shared" si="335"/>
        <v>2025</v>
      </c>
      <c r="I4262">
        <f t="shared" si="336"/>
        <v>8</v>
      </c>
      <c r="J4262">
        <f t="shared" si="338"/>
        <v>-206.77</v>
      </c>
    </row>
    <row r="4263" spans="1:10" ht="12.5" x14ac:dyDescent="0.25">
      <c r="A4263" s="1">
        <v>45883</v>
      </c>
      <c r="B4263" s="2" t="s">
        <v>11</v>
      </c>
      <c r="C4263" s="3">
        <v>9.99</v>
      </c>
      <c r="D4263" s="3">
        <v>14</v>
      </c>
      <c r="E4263" s="3">
        <v>139.86000000000001</v>
      </c>
      <c r="F4263" t="str">
        <f t="shared" si="334"/>
        <v>net sales</v>
      </c>
      <c r="G4263" s="7" t="str">
        <f t="shared" si="337"/>
        <v>product 1</v>
      </c>
      <c r="H4263">
        <f t="shared" si="335"/>
        <v>2025</v>
      </c>
      <c r="I4263">
        <f t="shared" si="336"/>
        <v>8</v>
      </c>
      <c r="J4263">
        <f t="shared" si="338"/>
        <v>-1233</v>
      </c>
    </row>
    <row r="4264" spans="1:10" ht="12.5" x14ac:dyDescent="0.25">
      <c r="A4264" s="1">
        <v>45883</v>
      </c>
      <c r="B4264" s="2" t="s">
        <v>12</v>
      </c>
      <c r="C4264" s="3">
        <v>24.99</v>
      </c>
      <c r="D4264" s="3">
        <v>6</v>
      </c>
      <c r="E4264" s="3">
        <v>149.94</v>
      </c>
      <c r="F4264" t="str">
        <f t="shared" si="334"/>
        <v>net sales</v>
      </c>
      <c r="G4264" s="7" t="str">
        <f t="shared" si="337"/>
        <v>product 2</v>
      </c>
      <c r="H4264">
        <f t="shared" si="335"/>
        <v>2025</v>
      </c>
      <c r="I4264">
        <f t="shared" si="336"/>
        <v>8</v>
      </c>
      <c r="J4264">
        <f t="shared" si="338"/>
        <v>-108.02</v>
      </c>
    </row>
    <row r="4265" spans="1:10" ht="12.5" x14ac:dyDescent="0.25">
      <c r="A4265" s="1">
        <v>45883</v>
      </c>
      <c r="B4265" s="2" t="s">
        <v>13</v>
      </c>
      <c r="C4265" s="3">
        <v>12.49</v>
      </c>
      <c r="D4265" s="3">
        <v>225</v>
      </c>
      <c r="E4265" s="3">
        <v>2810.25</v>
      </c>
      <c r="F4265" t="str">
        <f t="shared" si="334"/>
        <v>net sales</v>
      </c>
      <c r="G4265" s="7" t="str">
        <f t="shared" si="337"/>
        <v>product 3</v>
      </c>
      <c r="H4265">
        <f t="shared" si="335"/>
        <v>2025</v>
      </c>
      <c r="I4265">
        <f t="shared" si="336"/>
        <v>8</v>
      </c>
      <c r="J4265">
        <f t="shared" si="338"/>
        <v>179.82</v>
      </c>
    </row>
    <row r="4266" spans="1:10" ht="12.5" x14ac:dyDescent="0.25">
      <c r="A4266" s="1">
        <v>45884</v>
      </c>
      <c r="B4266" s="2" t="s">
        <v>7</v>
      </c>
      <c r="C4266" s="3">
        <v>5.49</v>
      </c>
      <c r="D4266" s="3">
        <v>81</v>
      </c>
      <c r="E4266" s="3">
        <v>444.69</v>
      </c>
      <c r="F4266" t="str">
        <f t="shared" si="334"/>
        <v>cogs</v>
      </c>
      <c r="G4266" s="7" t="str">
        <f t="shared" si="337"/>
        <v>product 1</v>
      </c>
      <c r="H4266">
        <f t="shared" si="335"/>
        <v>2025</v>
      </c>
      <c r="I4266">
        <f t="shared" si="336"/>
        <v>8</v>
      </c>
      <c r="J4266">
        <f t="shared" si="338"/>
        <v>99.96</v>
      </c>
    </row>
    <row r="4267" spans="1:10" ht="12.5" x14ac:dyDescent="0.25">
      <c r="A4267" s="1">
        <v>45884</v>
      </c>
      <c r="B4267" s="2" t="s">
        <v>8</v>
      </c>
      <c r="C4267" s="3">
        <v>19.989999999999998</v>
      </c>
      <c r="D4267" s="3">
        <v>1</v>
      </c>
      <c r="E4267" s="3">
        <v>19.989999999999998</v>
      </c>
      <c r="F4267" t="str">
        <f t="shared" si="334"/>
        <v>cogs</v>
      </c>
      <c r="G4267" s="7" t="str">
        <f t="shared" si="337"/>
        <v>product 2</v>
      </c>
      <c r="H4267">
        <f t="shared" si="335"/>
        <v>2025</v>
      </c>
      <c r="I4267">
        <f t="shared" si="336"/>
        <v>8</v>
      </c>
      <c r="J4267">
        <f t="shared" si="338"/>
        <v>287.27</v>
      </c>
    </row>
    <row r="4268" spans="1:10" ht="12.5" x14ac:dyDescent="0.25">
      <c r="A4268" s="1">
        <v>45884</v>
      </c>
      <c r="B4268" s="2" t="s">
        <v>9</v>
      </c>
      <c r="C4268" s="3">
        <v>8.99</v>
      </c>
      <c r="D4268" s="3">
        <v>124</v>
      </c>
      <c r="E4268" s="3">
        <v>1114.76</v>
      </c>
      <c r="F4268" t="str">
        <f t="shared" si="334"/>
        <v>cogs</v>
      </c>
      <c r="G4268" s="7" t="str">
        <f t="shared" si="337"/>
        <v>product 3</v>
      </c>
      <c r="H4268">
        <f t="shared" si="335"/>
        <v>2025</v>
      </c>
      <c r="I4268">
        <f t="shared" si="336"/>
        <v>8</v>
      </c>
      <c r="J4268">
        <f t="shared" si="338"/>
        <v>-308.25</v>
      </c>
    </row>
    <row r="4269" spans="1:10" ht="12.5" x14ac:dyDescent="0.25">
      <c r="A4269" s="1">
        <v>45884</v>
      </c>
      <c r="B4269" s="2" t="s">
        <v>16</v>
      </c>
      <c r="C4269" s="2" t="s">
        <v>6</v>
      </c>
      <c r="D4269" s="2" t="s">
        <v>6</v>
      </c>
      <c r="E4269" s="3">
        <v>1256.4000000000001</v>
      </c>
      <c r="F4269" t="str">
        <f t="shared" si="334"/>
        <v>interest</v>
      </c>
      <c r="G4269" s="7" t="s">
        <v>6</v>
      </c>
      <c r="H4269">
        <f t="shared" si="335"/>
        <v>2025</v>
      </c>
      <c r="I4269">
        <f t="shared" si="336"/>
        <v>8</v>
      </c>
      <c r="J4269">
        <f t="shared" si="338"/>
        <v>-269.01</v>
      </c>
    </row>
    <row r="4270" spans="1:10" ht="12.5" x14ac:dyDescent="0.25">
      <c r="A4270" s="1">
        <v>45884</v>
      </c>
      <c r="B4270" s="2" t="s">
        <v>10</v>
      </c>
      <c r="C4270" s="2" t="s">
        <v>6</v>
      </c>
      <c r="D4270" s="2" t="s">
        <v>6</v>
      </c>
      <c r="E4270" s="3">
        <v>117.92</v>
      </c>
      <c r="F4270" t="str">
        <f t="shared" si="334"/>
        <v>marketing</v>
      </c>
      <c r="G4270" s="7" t="s">
        <v>6</v>
      </c>
      <c r="H4270">
        <f t="shared" si="335"/>
        <v>2025</v>
      </c>
      <c r="I4270">
        <f t="shared" si="336"/>
        <v>8</v>
      </c>
      <c r="J4270">
        <f t="shared" si="338"/>
        <v>0</v>
      </c>
    </row>
    <row r="4271" spans="1:10" ht="12.5" x14ac:dyDescent="0.25">
      <c r="A4271" s="1">
        <v>45884</v>
      </c>
      <c r="B4271" s="2" t="s">
        <v>11</v>
      </c>
      <c r="C4271" s="3">
        <v>9.99</v>
      </c>
      <c r="D4271" s="3">
        <v>81</v>
      </c>
      <c r="E4271" s="3">
        <v>809.19</v>
      </c>
      <c r="F4271" t="str">
        <f t="shared" si="334"/>
        <v>net sales</v>
      </c>
      <c r="G4271" s="7" t="str">
        <f t="shared" si="337"/>
        <v>product 1</v>
      </c>
      <c r="H4271">
        <f t="shared" si="335"/>
        <v>2025</v>
      </c>
      <c r="I4271">
        <f t="shared" si="336"/>
        <v>8</v>
      </c>
      <c r="J4271">
        <f t="shared" si="338"/>
        <v>-1186.68</v>
      </c>
    </row>
    <row r="4272" spans="1:10" ht="12.5" x14ac:dyDescent="0.25">
      <c r="A4272" s="1">
        <v>45884</v>
      </c>
      <c r="B4272" s="2" t="s">
        <v>12</v>
      </c>
      <c r="C4272" s="3">
        <v>24.99</v>
      </c>
      <c r="D4272" s="3">
        <v>1</v>
      </c>
      <c r="E4272" s="3">
        <v>24.99</v>
      </c>
      <c r="F4272" t="str">
        <f t="shared" si="334"/>
        <v>net sales</v>
      </c>
      <c r="G4272" s="7" t="str">
        <f t="shared" si="337"/>
        <v>product 2</v>
      </c>
      <c r="H4272">
        <f t="shared" si="335"/>
        <v>2025</v>
      </c>
      <c r="I4272">
        <f t="shared" si="336"/>
        <v>8</v>
      </c>
      <c r="J4272">
        <f t="shared" si="338"/>
        <v>-116.94</v>
      </c>
    </row>
    <row r="4273" spans="1:10" ht="12.5" x14ac:dyDescent="0.25">
      <c r="A4273" s="1">
        <v>45884</v>
      </c>
      <c r="B4273" s="2" t="s">
        <v>13</v>
      </c>
      <c r="C4273" s="3">
        <v>12.49</v>
      </c>
      <c r="D4273" s="3">
        <v>124</v>
      </c>
      <c r="E4273" s="3">
        <v>1548.76</v>
      </c>
      <c r="F4273" t="str">
        <f t="shared" si="334"/>
        <v>net sales</v>
      </c>
      <c r="G4273" s="7" t="str">
        <f t="shared" si="337"/>
        <v>product 3</v>
      </c>
      <c r="H4273">
        <f t="shared" si="335"/>
        <v>2025</v>
      </c>
      <c r="I4273">
        <f t="shared" si="336"/>
        <v>8</v>
      </c>
      <c r="J4273">
        <f t="shared" si="338"/>
        <v>489.51</v>
      </c>
    </row>
    <row r="4274" spans="1:10" ht="12.5" x14ac:dyDescent="0.25">
      <c r="A4274" s="1">
        <v>45884</v>
      </c>
      <c r="B4274" s="2" t="s">
        <v>14</v>
      </c>
      <c r="C4274" s="2" t="s">
        <v>6</v>
      </c>
      <c r="D4274" s="2" t="s">
        <v>6</v>
      </c>
      <c r="E4274" s="3">
        <v>321.61</v>
      </c>
      <c r="F4274" t="str">
        <f t="shared" si="334"/>
        <v>overhead</v>
      </c>
      <c r="G4274" s="7" t="s">
        <v>6</v>
      </c>
      <c r="H4274">
        <f t="shared" si="335"/>
        <v>2025</v>
      </c>
      <c r="I4274">
        <f t="shared" si="336"/>
        <v>8</v>
      </c>
      <c r="J4274">
        <f t="shared" si="338"/>
        <v>0</v>
      </c>
    </row>
    <row r="4275" spans="1:10" ht="12.5" x14ac:dyDescent="0.25">
      <c r="A4275" s="1">
        <v>45884</v>
      </c>
      <c r="B4275" s="2" t="s">
        <v>15</v>
      </c>
      <c r="C4275" s="2" t="s">
        <v>6</v>
      </c>
      <c r="D4275" s="2" t="s">
        <v>6</v>
      </c>
      <c r="E4275" s="3">
        <v>1200</v>
      </c>
      <c r="F4275" t="str">
        <f t="shared" si="334"/>
        <v>payroll</v>
      </c>
      <c r="G4275" s="7" t="s">
        <v>6</v>
      </c>
      <c r="H4275">
        <f t="shared" si="335"/>
        <v>2025</v>
      </c>
      <c r="I4275">
        <f t="shared" si="336"/>
        <v>8</v>
      </c>
      <c r="J4275">
        <f t="shared" si="338"/>
        <v>1648.68</v>
      </c>
    </row>
    <row r="4276" spans="1:10" ht="12.5" x14ac:dyDescent="0.25">
      <c r="A4276" s="1">
        <v>45885</v>
      </c>
      <c r="B4276" s="2" t="s">
        <v>7</v>
      </c>
      <c r="C4276" s="3">
        <v>5.49</v>
      </c>
      <c r="D4276" s="3">
        <v>17</v>
      </c>
      <c r="E4276" s="3">
        <v>93.33</v>
      </c>
      <c r="F4276" t="str">
        <f t="shared" si="334"/>
        <v>cogs</v>
      </c>
      <c r="G4276" s="7" t="str">
        <f t="shared" si="337"/>
        <v>product 1</v>
      </c>
      <c r="H4276">
        <f t="shared" si="335"/>
        <v>2025</v>
      </c>
      <c r="I4276">
        <f t="shared" si="336"/>
        <v>8</v>
      </c>
      <c r="J4276">
        <f t="shared" si="338"/>
        <v>-148.23000000000002</v>
      </c>
    </row>
    <row r="4277" spans="1:10" ht="12.5" x14ac:dyDescent="0.25">
      <c r="A4277" s="1">
        <v>45885</v>
      </c>
      <c r="B4277" s="2" t="s">
        <v>8</v>
      </c>
      <c r="C4277" s="3">
        <v>19.989999999999998</v>
      </c>
      <c r="D4277" s="3">
        <v>7</v>
      </c>
      <c r="E4277" s="3">
        <v>139.92999999999998</v>
      </c>
      <c r="F4277" t="str">
        <f t="shared" si="334"/>
        <v>cogs</v>
      </c>
      <c r="G4277" s="7" t="str">
        <f t="shared" si="337"/>
        <v>product 2</v>
      </c>
      <c r="H4277">
        <f t="shared" si="335"/>
        <v>2025</v>
      </c>
      <c r="I4277">
        <f t="shared" si="336"/>
        <v>8</v>
      </c>
      <c r="J4277">
        <f t="shared" si="338"/>
        <v>-39.979999999999997</v>
      </c>
    </row>
    <row r="4278" spans="1:10" ht="12.5" x14ac:dyDescent="0.25">
      <c r="A4278" s="1">
        <v>45885</v>
      </c>
      <c r="B4278" s="2" t="s">
        <v>9</v>
      </c>
      <c r="C4278" s="3">
        <v>8.99</v>
      </c>
      <c r="D4278" s="3">
        <v>8</v>
      </c>
      <c r="E4278" s="3">
        <v>71.92</v>
      </c>
      <c r="F4278" t="str">
        <f t="shared" si="334"/>
        <v>cogs</v>
      </c>
      <c r="G4278" s="7" t="str">
        <f t="shared" si="337"/>
        <v>product 3</v>
      </c>
      <c r="H4278">
        <f t="shared" si="335"/>
        <v>2025</v>
      </c>
      <c r="I4278">
        <f t="shared" si="336"/>
        <v>8</v>
      </c>
      <c r="J4278">
        <f t="shared" si="338"/>
        <v>-1483.3500000000001</v>
      </c>
    </row>
    <row r="4279" spans="1:10" ht="12.5" x14ac:dyDescent="0.25">
      <c r="A4279" s="1">
        <v>45885</v>
      </c>
      <c r="B4279" s="2" t="s">
        <v>10</v>
      </c>
      <c r="C4279" s="2" t="s">
        <v>6</v>
      </c>
      <c r="D4279" s="2" t="s">
        <v>6</v>
      </c>
      <c r="E4279" s="3">
        <v>117.94</v>
      </c>
      <c r="F4279" t="str">
        <f t="shared" si="334"/>
        <v>marketing</v>
      </c>
      <c r="G4279" s="7" t="s">
        <v>6</v>
      </c>
      <c r="H4279">
        <f t="shared" si="335"/>
        <v>2025</v>
      </c>
      <c r="I4279">
        <f t="shared" si="336"/>
        <v>8</v>
      </c>
      <c r="J4279">
        <f t="shared" si="338"/>
        <v>-118.06</v>
      </c>
    </row>
    <row r="4280" spans="1:10" ht="12.5" x14ac:dyDescent="0.25">
      <c r="A4280" s="1">
        <v>45885</v>
      </c>
      <c r="B4280" s="2" t="s">
        <v>11</v>
      </c>
      <c r="C4280" s="3">
        <v>9.99</v>
      </c>
      <c r="D4280" s="3">
        <v>17</v>
      </c>
      <c r="E4280" s="3">
        <v>169.83</v>
      </c>
      <c r="F4280" t="str">
        <f t="shared" si="334"/>
        <v>net sales</v>
      </c>
      <c r="G4280" s="7" t="str">
        <f t="shared" si="337"/>
        <v>product 1</v>
      </c>
      <c r="H4280">
        <f t="shared" si="335"/>
        <v>2025</v>
      </c>
      <c r="I4280">
        <f t="shared" si="336"/>
        <v>8</v>
      </c>
      <c r="J4280">
        <f t="shared" si="338"/>
        <v>269.73</v>
      </c>
    </row>
    <row r="4281" spans="1:10" ht="12.5" x14ac:dyDescent="0.25">
      <c r="A4281" s="1">
        <v>45885</v>
      </c>
      <c r="B4281" s="2" t="s">
        <v>12</v>
      </c>
      <c r="C4281" s="3">
        <v>24.99</v>
      </c>
      <c r="D4281" s="3">
        <v>7</v>
      </c>
      <c r="E4281" s="3">
        <v>174.92999999999998</v>
      </c>
      <c r="F4281" t="str">
        <f t="shared" si="334"/>
        <v>net sales</v>
      </c>
      <c r="G4281" s="7" t="str">
        <f t="shared" si="337"/>
        <v>product 2</v>
      </c>
      <c r="H4281">
        <f t="shared" si="335"/>
        <v>2025</v>
      </c>
      <c r="I4281">
        <f t="shared" si="336"/>
        <v>8</v>
      </c>
      <c r="J4281">
        <f t="shared" si="338"/>
        <v>49.98</v>
      </c>
    </row>
    <row r="4282" spans="1:10" ht="12.5" x14ac:dyDescent="0.25">
      <c r="A4282" s="1">
        <v>45885</v>
      </c>
      <c r="B4282" s="2" t="s">
        <v>13</v>
      </c>
      <c r="C4282" s="3">
        <v>12.49</v>
      </c>
      <c r="D4282" s="3">
        <v>8</v>
      </c>
      <c r="E4282" s="3">
        <v>99.92</v>
      </c>
      <c r="F4282" t="str">
        <f t="shared" si="334"/>
        <v>net sales</v>
      </c>
      <c r="G4282" s="7" t="str">
        <f t="shared" si="337"/>
        <v>product 3</v>
      </c>
      <c r="H4282">
        <f t="shared" si="335"/>
        <v>2025</v>
      </c>
      <c r="I4282">
        <f t="shared" si="336"/>
        <v>8</v>
      </c>
      <c r="J4282">
        <f t="shared" si="338"/>
        <v>2060.85</v>
      </c>
    </row>
    <row r="4283" spans="1:10" ht="12.5" x14ac:dyDescent="0.25">
      <c r="A4283" s="1">
        <v>45886</v>
      </c>
      <c r="B4283" s="2" t="s">
        <v>7</v>
      </c>
      <c r="C4283" s="3">
        <v>5.49</v>
      </c>
      <c r="D4283" s="3">
        <v>22</v>
      </c>
      <c r="E4283" s="3">
        <v>120.78</v>
      </c>
      <c r="F4283" t="str">
        <f t="shared" si="334"/>
        <v>cogs</v>
      </c>
      <c r="G4283" s="7" t="str">
        <f t="shared" si="337"/>
        <v>product 1</v>
      </c>
      <c r="H4283">
        <f t="shared" si="335"/>
        <v>2025</v>
      </c>
      <c r="I4283">
        <f t="shared" si="336"/>
        <v>8</v>
      </c>
      <c r="J4283">
        <f t="shared" si="338"/>
        <v>-543.51</v>
      </c>
    </row>
    <row r="4284" spans="1:10" ht="12.5" x14ac:dyDescent="0.25">
      <c r="A4284" s="1">
        <v>45886</v>
      </c>
      <c r="B4284" s="2" t="s">
        <v>8</v>
      </c>
      <c r="C4284" s="3">
        <v>19.989999999999998</v>
      </c>
      <c r="D4284" s="3">
        <v>2</v>
      </c>
      <c r="E4284" s="3">
        <v>39.979999999999997</v>
      </c>
      <c r="F4284" t="str">
        <f t="shared" si="334"/>
        <v>cogs</v>
      </c>
      <c r="G4284" s="7" t="str">
        <f t="shared" si="337"/>
        <v>product 2</v>
      </c>
      <c r="H4284">
        <f t="shared" si="335"/>
        <v>2025</v>
      </c>
      <c r="I4284">
        <f t="shared" si="336"/>
        <v>8</v>
      </c>
      <c r="J4284">
        <f t="shared" si="338"/>
        <v>0</v>
      </c>
    </row>
    <row r="4285" spans="1:10" ht="12.5" x14ac:dyDescent="0.25">
      <c r="A4285" s="1">
        <v>45886</v>
      </c>
      <c r="B4285" s="2" t="s">
        <v>9</v>
      </c>
      <c r="C4285" s="3">
        <v>8.99</v>
      </c>
      <c r="D4285" s="3">
        <v>196</v>
      </c>
      <c r="E4285" s="3">
        <v>1762.04</v>
      </c>
      <c r="F4285" t="str">
        <f t="shared" si="334"/>
        <v>cogs</v>
      </c>
      <c r="G4285" s="7" t="str">
        <f t="shared" si="337"/>
        <v>product 3</v>
      </c>
      <c r="H4285">
        <f t="shared" si="335"/>
        <v>2025</v>
      </c>
      <c r="I4285">
        <f t="shared" si="336"/>
        <v>8</v>
      </c>
      <c r="J4285">
        <f t="shared" si="338"/>
        <v>-1869.92</v>
      </c>
    </row>
    <row r="4286" spans="1:10" ht="12.5" x14ac:dyDescent="0.25">
      <c r="A4286" s="1">
        <v>45886</v>
      </c>
      <c r="B4286" s="2" t="s">
        <v>10</v>
      </c>
      <c r="C4286" s="2" t="s">
        <v>6</v>
      </c>
      <c r="D4286" s="2" t="s">
        <v>6</v>
      </c>
      <c r="E4286" s="3">
        <v>105.06</v>
      </c>
      <c r="F4286" t="str">
        <f t="shared" si="334"/>
        <v>marketing</v>
      </c>
      <c r="G4286" s="7" t="s">
        <v>6</v>
      </c>
      <c r="H4286">
        <f t="shared" si="335"/>
        <v>2025</v>
      </c>
      <c r="I4286">
        <f t="shared" si="336"/>
        <v>8</v>
      </c>
      <c r="J4286">
        <f t="shared" si="338"/>
        <v>-109.09</v>
      </c>
    </row>
    <row r="4287" spans="1:10" ht="12.5" x14ac:dyDescent="0.25">
      <c r="A4287" s="1">
        <v>45886</v>
      </c>
      <c r="B4287" s="2" t="s">
        <v>11</v>
      </c>
      <c r="C4287" s="3">
        <v>9.99</v>
      </c>
      <c r="D4287" s="3">
        <v>22</v>
      </c>
      <c r="E4287" s="3">
        <v>219.78</v>
      </c>
      <c r="F4287" t="str">
        <f t="shared" si="334"/>
        <v>net sales</v>
      </c>
      <c r="G4287" s="7" t="str">
        <f t="shared" si="337"/>
        <v>product 1</v>
      </c>
      <c r="H4287">
        <f t="shared" si="335"/>
        <v>2025</v>
      </c>
      <c r="I4287">
        <f t="shared" si="336"/>
        <v>8</v>
      </c>
      <c r="J4287">
        <f t="shared" si="338"/>
        <v>989.01</v>
      </c>
    </row>
    <row r="4288" spans="1:10" ht="12.5" x14ac:dyDescent="0.25">
      <c r="A4288" s="1">
        <v>45886</v>
      </c>
      <c r="B4288" s="2" t="s">
        <v>12</v>
      </c>
      <c r="C4288" s="3">
        <v>24.99</v>
      </c>
      <c r="D4288" s="3">
        <v>2</v>
      </c>
      <c r="E4288" s="3">
        <v>49.98</v>
      </c>
      <c r="F4288" t="str">
        <f t="shared" si="334"/>
        <v>net sales</v>
      </c>
      <c r="G4288" s="7" t="str">
        <f t="shared" si="337"/>
        <v>product 2</v>
      </c>
      <c r="H4288">
        <f t="shared" si="335"/>
        <v>2025</v>
      </c>
      <c r="I4288">
        <f t="shared" si="336"/>
        <v>8</v>
      </c>
      <c r="J4288">
        <f t="shared" si="338"/>
        <v>0</v>
      </c>
    </row>
    <row r="4289" spans="1:10" ht="12.5" x14ac:dyDescent="0.25">
      <c r="A4289" s="1">
        <v>45886</v>
      </c>
      <c r="B4289" s="2" t="s">
        <v>13</v>
      </c>
      <c r="C4289" s="3">
        <v>12.49</v>
      </c>
      <c r="D4289" s="3">
        <v>196</v>
      </c>
      <c r="E4289" s="3">
        <v>2448.04</v>
      </c>
      <c r="F4289" t="str">
        <f t="shared" si="334"/>
        <v>net sales</v>
      </c>
      <c r="G4289" s="7" t="str">
        <f t="shared" si="337"/>
        <v>product 3</v>
      </c>
      <c r="H4289">
        <f t="shared" si="335"/>
        <v>2025</v>
      </c>
      <c r="I4289">
        <f t="shared" si="336"/>
        <v>8</v>
      </c>
      <c r="J4289">
        <f t="shared" si="338"/>
        <v>2597.92</v>
      </c>
    </row>
    <row r="4290" spans="1:10" ht="12.5" x14ac:dyDescent="0.25">
      <c r="A4290" s="1">
        <v>45887</v>
      </c>
      <c r="B4290" s="2" t="s">
        <v>7</v>
      </c>
      <c r="C4290" s="3">
        <v>5.49</v>
      </c>
      <c r="D4290" s="3">
        <v>70</v>
      </c>
      <c r="E4290" s="3">
        <v>384.3</v>
      </c>
      <c r="F4290" t="str">
        <f t="shared" si="334"/>
        <v>cogs</v>
      </c>
      <c r="G4290" s="7" t="str">
        <f t="shared" si="337"/>
        <v>product 1</v>
      </c>
      <c r="H4290">
        <f t="shared" si="335"/>
        <v>2025</v>
      </c>
      <c r="I4290">
        <f t="shared" si="336"/>
        <v>8</v>
      </c>
      <c r="J4290">
        <f t="shared" si="338"/>
        <v>-1200</v>
      </c>
    </row>
    <row r="4291" spans="1:10" ht="12.5" x14ac:dyDescent="0.25">
      <c r="A4291" s="1">
        <v>45887</v>
      </c>
      <c r="B4291" s="2" t="s">
        <v>8</v>
      </c>
      <c r="C4291" s="3">
        <v>19.989999999999998</v>
      </c>
      <c r="D4291" s="3">
        <v>7</v>
      </c>
      <c r="E4291" s="3">
        <v>139.92999999999998</v>
      </c>
      <c r="F4291" t="str">
        <f t="shared" ref="F4291:F4354" si="339">IFERROR(LEFT(B4291,FIND(":",B4291)-1),B4291)</f>
        <v>cogs</v>
      </c>
      <c r="G4291" s="7" t="str">
        <f t="shared" ref="G4291:G4354" si="340">IFERROR(RIGHT(B4291,LEN(B4291)-FIND(":",B4291)),"")</f>
        <v>product 2</v>
      </c>
      <c r="H4291">
        <f t="shared" ref="H4291:H4354" si="341">YEAR(A4291)</f>
        <v>2025</v>
      </c>
      <c r="I4291">
        <f t="shared" ref="I4291:I4354" si="342">MONTH(A4291)</f>
        <v>8</v>
      </c>
      <c r="J4291">
        <f t="shared" si="338"/>
        <v>-285.48</v>
      </c>
    </row>
    <row r="4292" spans="1:10" ht="12.5" x14ac:dyDescent="0.25">
      <c r="A4292" s="1">
        <v>45887</v>
      </c>
      <c r="B4292" s="2" t="s">
        <v>9</v>
      </c>
      <c r="C4292" s="3">
        <v>8.99</v>
      </c>
      <c r="D4292" s="3">
        <v>95</v>
      </c>
      <c r="E4292" s="3">
        <v>854.05000000000007</v>
      </c>
      <c r="F4292" t="str">
        <f t="shared" si="339"/>
        <v>cogs</v>
      </c>
      <c r="G4292" s="7" t="str">
        <f t="shared" si="340"/>
        <v>product 3</v>
      </c>
      <c r="H4292">
        <f t="shared" si="341"/>
        <v>2025</v>
      </c>
      <c r="I4292">
        <f t="shared" si="342"/>
        <v>8</v>
      </c>
      <c r="J4292">
        <f t="shared" si="338"/>
        <v>-99.949999999999989</v>
      </c>
    </row>
    <row r="4293" spans="1:10" ht="12.5" x14ac:dyDescent="0.25">
      <c r="A4293" s="1">
        <v>45887</v>
      </c>
      <c r="B4293" s="2" t="s">
        <v>10</v>
      </c>
      <c r="C4293" s="2" t="s">
        <v>6</v>
      </c>
      <c r="D4293" s="2" t="s">
        <v>6</v>
      </c>
      <c r="E4293" s="3">
        <v>108.05</v>
      </c>
      <c r="F4293" t="str">
        <f t="shared" si="339"/>
        <v>marketing</v>
      </c>
      <c r="G4293" s="7" t="s">
        <v>6</v>
      </c>
      <c r="H4293">
        <f t="shared" si="341"/>
        <v>2025</v>
      </c>
      <c r="I4293">
        <f t="shared" si="342"/>
        <v>8</v>
      </c>
      <c r="J4293">
        <f t="shared" si="338"/>
        <v>-1357.49</v>
      </c>
    </row>
    <row r="4294" spans="1:10" ht="12.5" x14ac:dyDescent="0.25">
      <c r="A4294" s="1">
        <v>45887</v>
      </c>
      <c r="B4294" s="2" t="s">
        <v>11</v>
      </c>
      <c r="C4294" s="3">
        <v>9.99</v>
      </c>
      <c r="D4294" s="3">
        <v>70</v>
      </c>
      <c r="E4294" s="3">
        <v>699.30000000000007</v>
      </c>
      <c r="F4294" t="str">
        <f t="shared" si="339"/>
        <v>net sales</v>
      </c>
      <c r="G4294" s="7" t="str">
        <f t="shared" si="340"/>
        <v>product 1</v>
      </c>
      <c r="H4294">
        <f t="shared" si="341"/>
        <v>2025</v>
      </c>
      <c r="I4294">
        <f t="shared" si="342"/>
        <v>8</v>
      </c>
      <c r="J4294">
        <f t="shared" si="338"/>
        <v>-118.06</v>
      </c>
    </row>
    <row r="4295" spans="1:10" ht="12.5" x14ac:dyDescent="0.25">
      <c r="A4295" s="1">
        <v>45887</v>
      </c>
      <c r="B4295" s="2" t="s">
        <v>12</v>
      </c>
      <c r="C4295" s="3">
        <v>24.99</v>
      </c>
      <c r="D4295" s="3">
        <v>7</v>
      </c>
      <c r="E4295" s="3">
        <v>174.92999999999998</v>
      </c>
      <c r="F4295" t="str">
        <f t="shared" si="339"/>
        <v>net sales</v>
      </c>
      <c r="G4295" s="7" t="str">
        <f t="shared" si="340"/>
        <v>product 2</v>
      </c>
      <c r="H4295">
        <f t="shared" si="341"/>
        <v>2025</v>
      </c>
      <c r="I4295">
        <f t="shared" si="342"/>
        <v>8</v>
      </c>
      <c r="J4295">
        <f t="shared" si="338"/>
        <v>519.48</v>
      </c>
    </row>
    <row r="4296" spans="1:10" ht="12.5" x14ac:dyDescent="0.25">
      <c r="A4296" s="1">
        <v>45887</v>
      </c>
      <c r="B4296" s="2" t="s">
        <v>13</v>
      </c>
      <c r="C4296" s="3">
        <v>12.49</v>
      </c>
      <c r="D4296" s="3">
        <v>95</v>
      </c>
      <c r="E4296" s="3">
        <v>1186.55</v>
      </c>
      <c r="F4296" t="str">
        <f t="shared" si="339"/>
        <v>net sales</v>
      </c>
      <c r="G4296" s="7" t="str">
        <f t="shared" si="340"/>
        <v>product 3</v>
      </c>
      <c r="H4296">
        <f t="shared" si="341"/>
        <v>2025</v>
      </c>
      <c r="I4296">
        <f t="shared" si="342"/>
        <v>8</v>
      </c>
      <c r="J4296">
        <f t="shared" si="338"/>
        <v>124.94999999999999</v>
      </c>
    </row>
    <row r="4297" spans="1:10" ht="12.5" x14ac:dyDescent="0.25">
      <c r="A4297" s="1">
        <v>45888</v>
      </c>
      <c r="B4297" s="2" t="s">
        <v>7</v>
      </c>
      <c r="C4297" s="3">
        <v>5.49</v>
      </c>
      <c r="D4297" s="3">
        <v>23</v>
      </c>
      <c r="E4297" s="3">
        <v>126.27000000000001</v>
      </c>
      <c r="F4297" t="str">
        <f t="shared" si="339"/>
        <v>cogs</v>
      </c>
      <c r="G4297" s="7" t="str">
        <f t="shared" si="340"/>
        <v>product 1</v>
      </c>
      <c r="H4297">
        <f t="shared" si="341"/>
        <v>2025</v>
      </c>
      <c r="I4297">
        <f t="shared" si="342"/>
        <v>8</v>
      </c>
      <c r="J4297">
        <f t="shared" si="338"/>
        <v>1885.99</v>
      </c>
    </row>
    <row r="4298" spans="1:10" ht="12.5" x14ac:dyDescent="0.25">
      <c r="A4298" s="1">
        <v>45888</v>
      </c>
      <c r="B4298" s="2" t="s">
        <v>8</v>
      </c>
      <c r="C4298" s="3">
        <v>19.989999999999998</v>
      </c>
      <c r="D4298" s="3">
        <v>2</v>
      </c>
      <c r="E4298" s="3">
        <v>39.979999999999997</v>
      </c>
      <c r="F4298" t="str">
        <f t="shared" si="339"/>
        <v>cogs</v>
      </c>
      <c r="G4298" s="7" t="str">
        <f t="shared" si="340"/>
        <v>product 2</v>
      </c>
      <c r="H4298">
        <f t="shared" si="341"/>
        <v>2025</v>
      </c>
      <c r="I4298">
        <f t="shared" si="342"/>
        <v>8</v>
      </c>
      <c r="J4298">
        <f t="shared" si="338"/>
        <v>-54.900000000000006</v>
      </c>
    </row>
    <row r="4299" spans="1:10" ht="12.5" x14ac:dyDescent="0.25">
      <c r="A4299" s="1">
        <v>45888</v>
      </c>
      <c r="B4299" s="2" t="s">
        <v>9</v>
      </c>
      <c r="C4299" s="3">
        <v>8.99</v>
      </c>
      <c r="D4299" s="3">
        <v>225</v>
      </c>
      <c r="E4299" s="3">
        <v>2022.75</v>
      </c>
      <c r="F4299" t="str">
        <f t="shared" si="339"/>
        <v>cogs</v>
      </c>
      <c r="G4299" s="7" t="str">
        <f t="shared" si="340"/>
        <v>product 3</v>
      </c>
      <c r="H4299">
        <f t="shared" si="341"/>
        <v>2025</v>
      </c>
      <c r="I4299">
        <f t="shared" si="342"/>
        <v>8</v>
      </c>
      <c r="J4299">
        <f t="shared" si="338"/>
        <v>-139.92999999999998</v>
      </c>
    </row>
    <row r="4300" spans="1:10" ht="12.5" x14ac:dyDescent="0.25">
      <c r="A4300" s="1">
        <v>45888</v>
      </c>
      <c r="B4300" s="2" t="s">
        <v>10</v>
      </c>
      <c r="C4300" s="2" t="s">
        <v>6</v>
      </c>
      <c r="D4300" s="2" t="s">
        <v>6</v>
      </c>
      <c r="E4300" s="3">
        <v>114.03</v>
      </c>
      <c r="F4300" t="str">
        <f t="shared" si="339"/>
        <v>marketing</v>
      </c>
      <c r="G4300" s="7" t="s">
        <v>6</v>
      </c>
      <c r="H4300">
        <f t="shared" si="341"/>
        <v>2025</v>
      </c>
      <c r="I4300">
        <f t="shared" si="342"/>
        <v>8</v>
      </c>
      <c r="J4300">
        <f t="shared" si="338"/>
        <v>-1357.49</v>
      </c>
    </row>
    <row r="4301" spans="1:10" ht="12.5" x14ac:dyDescent="0.25">
      <c r="A4301" s="1">
        <v>45888</v>
      </c>
      <c r="B4301" s="2" t="s">
        <v>11</v>
      </c>
      <c r="C4301" s="3">
        <v>9.99</v>
      </c>
      <c r="D4301" s="3">
        <v>23</v>
      </c>
      <c r="E4301" s="3">
        <v>229.77</v>
      </c>
      <c r="F4301" t="str">
        <f t="shared" si="339"/>
        <v>net sales</v>
      </c>
      <c r="G4301" s="7" t="str">
        <f t="shared" si="340"/>
        <v>product 1</v>
      </c>
      <c r="H4301">
        <f t="shared" si="341"/>
        <v>2025</v>
      </c>
      <c r="I4301">
        <f t="shared" si="342"/>
        <v>8</v>
      </c>
      <c r="J4301">
        <f t="shared" si="338"/>
        <v>-111.93</v>
      </c>
    </row>
    <row r="4302" spans="1:10" ht="12.5" x14ac:dyDescent="0.25">
      <c r="A4302" s="1">
        <v>45888</v>
      </c>
      <c r="B4302" s="2" t="s">
        <v>12</v>
      </c>
      <c r="C4302" s="3">
        <v>24.99</v>
      </c>
      <c r="D4302" s="3">
        <v>2</v>
      </c>
      <c r="E4302" s="3">
        <v>49.98</v>
      </c>
      <c r="F4302" t="str">
        <f t="shared" si="339"/>
        <v>net sales</v>
      </c>
      <c r="G4302" s="7" t="str">
        <f t="shared" si="340"/>
        <v>product 2</v>
      </c>
      <c r="H4302">
        <f t="shared" si="341"/>
        <v>2025</v>
      </c>
      <c r="I4302">
        <f t="shared" si="342"/>
        <v>8</v>
      </c>
      <c r="J4302">
        <f t="shared" si="338"/>
        <v>99.9</v>
      </c>
    </row>
    <row r="4303" spans="1:10" ht="12.5" x14ac:dyDescent="0.25">
      <c r="A4303" s="1">
        <v>45888</v>
      </c>
      <c r="B4303" s="2" t="s">
        <v>13</v>
      </c>
      <c r="C4303" s="3">
        <v>12.49</v>
      </c>
      <c r="D4303" s="3">
        <v>225</v>
      </c>
      <c r="E4303" s="3">
        <v>2810.25</v>
      </c>
      <c r="F4303" t="str">
        <f t="shared" si="339"/>
        <v>net sales</v>
      </c>
      <c r="G4303" s="7" t="str">
        <f t="shared" si="340"/>
        <v>product 3</v>
      </c>
      <c r="H4303">
        <f t="shared" si="341"/>
        <v>2025</v>
      </c>
      <c r="I4303">
        <f t="shared" si="342"/>
        <v>8</v>
      </c>
      <c r="J4303">
        <f t="shared" si="338"/>
        <v>174.92999999999998</v>
      </c>
    </row>
    <row r="4304" spans="1:10" ht="12.5" x14ac:dyDescent="0.25">
      <c r="A4304" s="1">
        <v>45889</v>
      </c>
      <c r="B4304" s="2" t="s">
        <v>7</v>
      </c>
      <c r="C4304" s="3">
        <v>5.49</v>
      </c>
      <c r="D4304" s="3">
        <v>5</v>
      </c>
      <c r="E4304" s="3">
        <v>27.450000000000003</v>
      </c>
      <c r="F4304" t="str">
        <f t="shared" si="339"/>
        <v>cogs</v>
      </c>
      <c r="G4304" s="7" t="str">
        <f t="shared" si="340"/>
        <v>product 1</v>
      </c>
      <c r="H4304">
        <f t="shared" si="341"/>
        <v>2025</v>
      </c>
      <c r="I4304">
        <f t="shared" si="342"/>
        <v>8</v>
      </c>
      <c r="J4304">
        <f t="shared" si="338"/>
        <v>1885.99</v>
      </c>
    </row>
    <row r="4305" spans="1:10" ht="12.5" x14ac:dyDescent="0.25">
      <c r="A4305" s="1">
        <v>45889</v>
      </c>
      <c r="B4305" s="2" t="s">
        <v>8</v>
      </c>
      <c r="C4305" s="3">
        <v>19.989999999999998</v>
      </c>
      <c r="D4305" s="3">
        <v>3</v>
      </c>
      <c r="E4305" s="3">
        <v>59.97</v>
      </c>
      <c r="F4305" t="str">
        <f t="shared" si="339"/>
        <v>cogs</v>
      </c>
      <c r="G4305" s="7" t="str">
        <f t="shared" si="340"/>
        <v>product 2</v>
      </c>
      <c r="H4305">
        <f t="shared" si="341"/>
        <v>2025</v>
      </c>
      <c r="I4305">
        <f t="shared" si="342"/>
        <v>8</v>
      </c>
      <c r="J4305">
        <f t="shared" si="338"/>
        <v>-472.14000000000004</v>
      </c>
    </row>
    <row r="4306" spans="1:10" ht="12.5" x14ac:dyDescent="0.25">
      <c r="A4306" s="1">
        <v>45889</v>
      </c>
      <c r="B4306" s="2" t="s">
        <v>9</v>
      </c>
      <c r="C4306" s="3">
        <v>8.99</v>
      </c>
      <c r="D4306" s="3">
        <v>94</v>
      </c>
      <c r="E4306" s="3">
        <v>845.06000000000006</v>
      </c>
      <c r="F4306" t="str">
        <f t="shared" si="339"/>
        <v>cogs</v>
      </c>
      <c r="G4306" s="7" t="str">
        <f t="shared" si="340"/>
        <v>product 3</v>
      </c>
      <c r="H4306">
        <f t="shared" si="341"/>
        <v>2025</v>
      </c>
      <c r="I4306">
        <f t="shared" si="342"/>
        <v>8</v>
      </c>
      <c r="J4306">
        <f t="shared" si="338"/>
        <v>-79.959999999999994</v>
      </c>
    </row>
    <row r="4307" spans="1:10" ht="12.5" x14ac:dyDescent="0.25">
      <c r="A4307" s="1">
        <v>45889</v>
      </c>
      <c r="B4307" s="2" t="s">
        <v>10</v>
      </c>
      <c r="C4307" s="2" t="s">
        <v>6</v>
      </c>
      <c r="D4307" s="2" t="s">
        <v>6</v>
      </c>
      <c r="E4307" s="3">
        <v>107.01</v>
      </c>
      <c r="F4307" t="str">
        <f t="shared" si="339"/>
        <v>marketing</v>
      </c>
      <c r="G4307" s="7" t="s">
        <v>6</v>
      </c>
      <c r="H4307">
        <f t="shared" si="341"/>
        <v>2025</v>
      </c>
      <c r="I4307">
        <f t="shared" si="342"/>
        <v>8</v>
      </c>
      <c r="J4307">
        <f t="shared" si="338"/>
        <v>-1447.39</v>
      </c>
    </row>
    <row r="4308" spans="1:10" ht="12.5" x14ac:dyDescent="0.25">
      <c r="A4308" s="1">
        <v>45889</v>
      </c>
      <c r="B4308" s="2" t="s">
        <v>11</v>
      </c>
      <c r="C4308" s="3">
        <v>9.99</v>
      </c>
      <c r="D4308" s="3">
        <v>5</v>
      </c>
      <c r="E4308" s="3">
        <v>49.95</v>
      </c>
      <c r="F4308" t="str">
        <f t="shared" si="339"/>
        <v>net sales</v>
      </c>
      <c r="G4308" s="7" t="str">
        <f t="shared" si="340"/>
        <v>product 1</v>
      </c>
      <c r="H4308">
        <f t="shared" si="341"/>
        <v>2025</v>
      </c>
      <c r="I4308">
        <f t="shared" si="342"/>
        <v>8</v>
      </c>
      <c r="J4308">
        <f t="shared" si="338"/>
        <v>-111.97</v>
      </c>
    </row>
    <row r="4309" spans="1:10" ht="12.5" x14ac:dyDescent="0.25">
      <c r="A4309" s="1">
        <v>45889</v>
      </c>
      <c r="B4309" s="2" t="s">
        <v>12</v>
      </c>
      <c r="C4309" s="3">
        <v>24.99</v>
      </c>
      <c r="D4309" s="3">
        <v>3</v>
      </c>
      <c r="E4309" s="3">
        <v>74.97</v>
      </c>
      <c r="F4309" t="str">
        <f t="shared" si="339"/>
        <v>net sales</v>
      </c>
      <c r="G4309" s="7" t="str">
        <f t="shared" si="340"/>
        <v>product 2</v>
      </c>
      <c r="H4309">
        <f t="shared" si="341"/>
        <v>2025</v>
      </c>
      <c r="I4309">
        <f t="shared" si="342"/>
        <v>8</v>
      </c>
      <c r="J4309">
        <f t="shared" si="338"/>
        <v>859.14</v>
      </c>
    </row>
    <row r="4310" spans="1:10" ht="12.5" x14ac:dyDescent="0.25">
      <c r="A4310" s="1">
        <v>45889</v>
      </c>
      <c r="B4310" s="2" t="s">
        <v>13</v>
      </c>
      <c r="C4310" s="3">
        <v>12.49</v>
      </c>
      <c r="D4310" s="3">
        <v>94</v>
      </c>
      <c r="E4310" s="3">
        <v>1174.06</v>
      </c>
      <c r="F4310" t="str">
        <f t="shared" si="339"/>
        <v>net sales</v>
      </c>
      <c r="G4310" s="7" t="str">
        <f t="shared" si="340"/>
        <v>product 3</v>
      </c>
      <c r="H4310">
        <f t="shared" si="341"/>
        <v>2025</v>
      </c>
      <c r="I4310">
        <f t="shared" si="342"/>
        <v>8</v>
      </c>
      <c r="J4310">
        <f t="shared" si="338"/>
        <v>99.96</v>
      </c>
    </row>
    <row r="4311" spans="1:10" ht="12.5" x14ac:dyDescent="0.25">
      <c r="A4311" s="1">
        <v>45890</v>
      </c>
      <c r="B4311" s="2" t="s">
        <v>7</v>
      </c>
      <c r="C4311" s="3">
        <v>5.49</v>
      </c>
      <c r="D4311" s="3">
        <v>48</v>
      </c>
      <c r="E4311" s="3">
        <v>263.52</v>
      </c>
      <c r="F4311" t="str">
        <f t="shared" si="339"/>
        <v>cogs</v>
      </c>
      <c r="G4311" s="7" t="str">
        <f t="shared" si="340"/>
        <v>product 1</v>
      </c>
      <c r="H4311">
        <f t="shared" si="341"/>
        <v>2025</v>
      </c>
      <c r="I4311">
        <f t="shared" si="342"/>
        <v>8</v>
      </c>
      <c r="J4311">
        <f t="shared" si="338"/>
        <v>2010.89</v>
      </c>
    </row>
    <row r="4312" spans="1:10" ht="12.5" x14ac:dyDescent="0.25">
      <c r="A4312" s="1">
        <v>45890</v>
      </c>
      <c r="B4312" s="2" t="s">
        <v>8</v>
      </c>
      <c r="C4312" s="3">
        <v>19.989999999999998</v>
      </c>
      <c r="D4312" s="3">
        <v>2</v>
      </c>
      <c r="E4312" s="3">
        <v>39.979999999999997</v>
      </c>
      <c r="F4312" t="str">
        <f t="shared" si="339"/>
        <v>cogs</v>
      </c>
      <c r="G4312" s="7" t="str">
        <f t="shared" si="340"/>
        <v>product 2</v>
      </c>
      <c r="H4312">
        <f t="shared" si="341"/>
        <v>2025</v>
      </c>
      <c r="I4312">
        <f t="shared" si="342"/>
        <v>8</v>
      </c>
      <c r="J4312">
        <f t="shared" si="338"/>
        <v>-38.43</v>
      </c>
    </row>
    <row r="4313" spans="1:10" ht="12.5" x14ac:dyDescent="0.25">
      <c r="A4313" s="1">
        <v>45890</v>
      </c>
      <c r="B4313" s="2" t="s">
        <v>9</v>
      </c>
      <c r="C4313" s="3">
        <v>8.99</v>
      </c>
      <c r="D4313" s="3">
        <v>241</v>
      </c>
      <c r="E4313" s="3">
        <v>2166.59</v>
      </c>
      <c r="F4313" t="str">
        <f t="shared" si="339"/>
        <v>cogs</v>
      </c>
      <c r="G4313" s="7" t="str">
        <f t="shared" si="340"/>
        <v>product 3</v>
      </c>
      <c r="H4313">
        <f t="shared" si="341"/>
        <v>2025</v>
      </c>
      <c r="I4313">
        <f t="shared" si="342"/>
        <v>8</v>
      </c>
      <c r="J4313">
        <f t="shared" si="338"/>
        <v>-179.91</v>
      </c>
    </row>
    <row r="4314" spans="1:10" ht="12.5" x14ac:dyDescent="0.25">
      <c r="A4314" s="1">
        <v>45890</v>
      </c>
      <c r="B4314" s="2" t="s">
        <v>10</v>
      </c>
      <c r="C4314" s="2" t="s">
        <v>6</v>
      </c>
      <c r="D4314" s="2" t="s">
        <v>6</v>
      </c>
      <c r="E4314" s="3">
        <v>116.99000000000001</v>
      </c>
      <c r="F4314" t="str">
        <f t="shared" si="339"/>
        <v>marketing</v>
      </c>
      <c r="G4314" s="7" t="s">
        <v>6</v>
      </c>
      <c r="H4314">
        <f t="shared" si="341"/>
        <v>2025</v>
      </c>
      <c r="I4314">
        <f t="shared" si="342"/>
        <v>8</v>
      </c>
      <c r="J4314">
        <f t="shared" si="338"/>
        <v>-1771.03</v>
      </c>
    </row>
    <row r="4315" spans="1:10" ht="12.5" x14ac:dyDescent="0.25">
      <c r="A4315" s="1">
        <v>45890</v>
      </c>
      <c r="B4315" s="2" t="s">
        <v>11</v>
      </c>
      <c r="C4315" s="3">
        <v>9.99</v>
      </c>
      <c r="D4315" s="3">
        <v>48</v>
      </c>
      <c r="E4315" s="3">
        <v>479.52</v>
      </c>
      <c r="F4315" t="str">
        <f t="shared" si="339"/>
        <v>net sales</v>
      </c>
      <c r="G4315" s="7" t="str">
        <f t="shared" si="340"/>
        <v>product 1</v>
      </c>
      <c r="H4315">
        <f t="shared" si="341"/>
        <v>2025</v>
      </c>
      <c r="I4315">
        <f t="shared" si="342"/>
        <v>8</v>
      </c>
      <c r="J4315">
        <f t="shared" si="338"/>
        <v>-119</v>
      </c>
    </row>
    <row r="4316" spans="1:10" ht="12.5" x14ac:dyDescent="0.25">
      <c r="A4316" s="1">
        <v>45890</v>
      </c>
      <c r="B4316" s="2" t="s">
        <v>12</v>
      </c>
      <c r="C4316" s="3">
        <v>24.99</v>
      </c>
      <c r="D4316" s="3">
        <v>2</v>
      </c>
      <c r="E4316" s="3">
        <v>49.98</v>
      </c>
      <c r="F4316" t="str">
        <f t="shared" si="339"/>
        <v>net sales</v>
      </c>
      <c r="G4316" s="7" t="str">
        <f t="shared" si="340"/>
        <v>product 2</v>
      </c>
      <c r="H4316">
        <f t="shared" si="341"/>
        <v>2025</v>
      </c>
      <c r="I4316">
        <f t="shared" si="342"/>
        <v>8</v>
      </c>
      <c r="J4316">
        <f t="shared" ref="J4316:J4379" si="343">IF(F4099="net sales",E4099,
IF(F4099="cogs",-E4099,
IF(OR(F4099="marketing",F4099="overhead",F4099="payroll",F4099="interest","amortization"),-E4099,0)))</f>
        <v>69.930000000000007</v>
      </c>
    </row>
    <row r="4317" spans="1:10" ht="12.5" x14ac:dyDescent="0.25">
      <c r="A4317" s="1">
        <v>45890</v>
      </c>
      <c r="B4317" s="2" t="s">
        <v>13</v>
      </c>
      <c r="C4317" s="3">
        <v>12.49</v>
      </c>
      <c r="D4317" s="3">
        <v>241</v>
      </c>
      <c r="E4317" s="3">
        <v>3010.09</v>
      </c>
      <c r="F4317" t="str">
        <f t="shared" si="339"/>
        <v>net sales</v>
      </c>
      <c r="G4317" s="7" t="str">
        <f t="shared" si="340"/>
        <v>product 3</v>
      </c>
      <c r="H4317">
        <f t="shared" si="341"/>
        <v>2025</v>
      </c>
      <c r="I4317">
        <f t="shared" si="342"/>
        <v>8</v>
      </c>
      <c r="J4317">
        <f t="shared" si="343"/>
        <v>224.91</v>
      </c>
    </row>
    <row r="4318" spans="1:10" ht="12.5" x14ac:dyDescent="0.25">
      <c r="A4318" s="1">
        <v>45891</v>
      </c>
      <c r="B4318" s="2" t="s">
        <v>7</v>
      </c>
      <c r="C4318" s="3">
        <v>5.49</v>
      </c>
      <c r="D4318" s="3">
        <v>49</v>
      </c>
      <c r="E4318" s="3">
        <v>269.01</v>
      </c>
      <c r="F4318" t="str">
        <f t="shared" si="339"/>
        <v>cogs</v>
      </c>
      <c r="G4318" s="7" t="str">
        <f t="shared" si="340"/>
        <v>product 1</v>
      </c>
      <c r="H4318">
        <f t="shared" si="341"/>
        <v>2025</v>
      </c>
      <c r="I4318">
        <f t="shared" si="342"/>
        <v>8</v>
      </c>
      <c r="J4318">
        <f t="shared" si="343"/>
        <v>2460.5300000000002</v>
      </c>
    </row>
    <row r="4319" spans="1:10" ht="12.5" x14ac:dyDescent="0.25">
      <c r="A4319" s="1">
        <v>45891</v>
      </c>
      <c r="B4319" s="2" t="s">
        <v>8</v>
      </c>
      <c r="C4319" s="3">
        <v>19.989999999999998</v>
      </c>
      <c r="D4319" s="3">
        <v>0</v>
      </c>
      <c r="E4319" s="2">
        <f>C4319*D4319</f>
        <v>0</v>
      </c>
      <c r="F4319" t="str">
        <f t="shared" si="339"/>
        <v>cogs</v>
      </c>
      <c r="G4319" s="7" t="str">
        <f t="shared" si="340"/>
        <v>product 2</v>
      </c>
      <c r="H4319">
        <f t="shared" si="341"/>
        <v>2025</v>
      </c>
      <c r="I4319">
        <f t="shared" si="342"/>
        <v>8</v>
      </c>
      <c r="J4319">
        <f t="shared" si="343"/>
        <v>-329.40000000000003</v>
      </c>
    </row>
    <row r="4320" spans="1:10" ht="12.5" x14ac:dyDescent="0.25">
      <c r="A4320" s="1">
        <v>45891</v>
      </c>
      <c r="B4320" s="2" t="s">
        <v>9</v>
      </c>
      <c r="C4320" s="3">
        <v>8.99</v>
      </c>
      <c r="D4320" s="3">
        <v>6</v>
      </c>
      <c r="E4320" s="3">
        <v>53.94</v>
      </c>
      <c r="F4320" t="str">
        <f t="shared" si="339"/>
        <v>cogs</v>
      </c>
      <c r="G4320" s="7" t="str">
        <f t="shared" si="340"/>
        <v>product 3</v>
      </c>
      <c r="H4320">
        <f t="shared" si="341"/>
        <v>2025</v>
      </c>
      <c r="I4320">
        <f t="shared" si="342"/>
        <v>8</v>
      </c>
      <c r="J4320">
        <f t="shared" si="343"/>
        <v>-99.949999999999989</v>
      </c>
    </row>
    <row r="4321" spans="1:10" ht="12.5" x14ac:dyDescent="0.25">
      <c r="A4321" s="1">
        <v>45891</v>
      </c>
      <c r="B4321" s="2" t="s">
        <v>10</v>
      </c>
      <c r="C4321" s="2" t="s">
        <v>6</v>
      </c>
      <c r="D4321" s="2" t="s">
        <v>6</v>
      </c>
      <c r="E4321" s="3">
        <v>117.02</v>
      </c>
      <c r="F4321" t="str">
        <f t="shared" si="339"/>
        <v>marketing</v>
      </c>
      <c r="G4321" s="7" t="s">
        <v>6</v>
      </c>
      <c r="H4321">
        <f t="shared" si="341"/>
        <v>2025</v>
      </c>
      <c r="I4321">
        <f t="shared" si="342"/>
        <v>8</v>
      </c>
      <c r="J4321">
        <f t="shared" si="343"/>
        <v>-422.53000000000003</v>
      </c>
    </row>
    <row r="4322" spans="1:10" ht="12.5" x14ac:dyDescent="0.25">
      <c r="A4322" s="1">
        <v>45891</v>
      </c>
      <c r="B4322" s="2" t="s">
        <v>11</v>
      </c>
      <c r="C4322" s="3">
        <v>9.99</v>
      </c>
      <c r="D4322" s="3">
        <v>49</v>
      </c>
      <c r="E4322" s="3">
        <v>489.51</v>
      </c>
      <c r="F4322" t="str">
        <f t="shared" si="339"/>
        <v>net sales</v>
      </c>
      <c r="G4322" s="7" t="str">
        <f t="shared" si="340"/>
        <v>product 1</v>
      </c>
      <c r="H4322">
        <f t="shared" si="341"/>
        <v>2025</v>
      </c>
      <c r="I4322">
        <f t="shared" si="342"/>
        <v>8</v>
      </c>
      <c r="J4322">
        <f t="shared" si="343"/>
        <v>-112.06</v>
      </c>
    </row>
    <row r="4323" spans="1:10" ht="12.5" x14ac:dyDescent="0.25">
      <c r="A4323" s="1">
        <v>45891</v>
      </c>
      <c r="B4323" s="2" t="s">
        <v>12</v>
      </c>
      <c r="C4323" s="3">
        <v>24.99</v>
      </c>
      <c r="D4323" s="3">
        <v>0</v>
      </c>
      <c r="E4323" s="2">
        <f>C4323*D4323</f>
        <v>0</v>
      </c>
      <c r="F4323" t="str">
        <f t="shared" si="339"/>
        <v>net sales</v>
      </c>
      <c r="G4323" s="7" t="str">
        <f t="shared" si="340"/>
        <v>product 2</v>
      </c>
      <c r="H4323">
        <f t="shared" si="341"/>
        <v>2025</v>
      </c>
      <c r="I4323">
        <f t="shared" si="342"/>
        <v>8</v>
      </c>
      <c r="J4323">
        <f t="shared" si="343"/>
        <v>599.4</v>
      </c>
    </row>
    <row r="4324" spans="1:10" ht="12.5" x14ac:dyDescent="0.25">
      <c r="A4324" s="1">
        <v>45891</v>
      </c>
      <c r="B4324" s="2" t="s">
        <v>13</v>
      </c>
      <c r="C4324" s="3">
        <v>12.49</v>
      </c>
      <c r="D4324" s="3">
        <v>6</v>
      </c>
      <c r="E4324" s="3">
        <v>74.94</v>
      </c>
      <c r="F4324" t="str">
        <f t="shared" si="339"/>
        <v>net sales</v>
      </c>
      <c r="G4324" s="7" t="str">
        <f t="shared" si="340"/>
        <v>product 3</v>
      </c>
      <c r="H4324">
        <f t="shared" si="341"/>
        <v>2025</v>
      </c>
      <c r="I4324">
        <f t="shared" si="342"/>
        <v>8</v>
      </c>
      <c r="J4324">
        <f t="shared" si="343"/>
        <v>124.94999999999999</v>
      </c>
    </row>
    <row r="4325" spans="1:10" ht="12.5" x14ac:dyDescent="0.25">
      <c r="A4325" s="1">
        <v>45892</v>
      </c>
      <c r="B4325" s="2" t="s">
        <v>7</v>
      </c>
      <c r="C4325" s="3">
        <v>5.49</v>
      </c>
      <c r="D4325" s="3">
        <v>89</v>
      </c>
      <c r="E4325" s="3">
        <v>488.61</v>
      </c>
      <c r="F4325" t="str">
        <f t="shared" si="339"/>
        <v>cogs</v>
      </c>
      <c r="G4325" s="7" t="str">
        <f t="shared" si="340"/>
        <v>product 1</v>
      </c>
      <c r="H4325">
        <f t="shared" si="341"/>
        <v>2025</v>
      </c>
      <c r="I4325">
        <f t="shared" si="342"/>
        <v>8</v>
      </c>
      <c r="J4325">
        <f t="shared" si="343"/>
        <v>587.03</v>
      </c>
    </row>
    <row r="4326" spans="1:10" ht="12.5" x14ac:dyDescent="0.25">
      <c r="A4326" s="1">
        <v>45892</v>
      </c>
      <c r="B4326" s="2" t="s">
        <v>8</v>
      </c>
      <c r="C4326" s="3">
        <v>19.989999999999998</v>
      </c>
      <c r="D4326" s="3">
        <v>3</v>
      </c>
      <c r="E4326" s="3">
        <v>59.97</v>
      </c>
      <c r="F4326" t="str">
        <f t="shared" si="339"/>
        <v>cogs</v>
      </c>
      <c r="G4326" s="7" t="str">
        <f t="shared" si="340"/>
        <v>product 2</v>
      </c>
      <c r="H4326">
        <f t="shared" si="341"/>
        <v>2025</v>
      </c>
      <c r="I4326">
        <f t="shared" si="342"/>
        <v>8</v>
      </c>
      <c r="J4326">
        <f t="shared" si="343"/>
        <v>-21.96</v>
      </c>
    </row>
    <row r="4327" spans="1:10" ht="12.5" x14ac:dyDescent="0.25">
      <c r="A4327" s="1">
        <v>45892</v>
      </c>
      <c r="B4327" s="2" t="s">
        <v>9</v>
      </c>
      <c r="C4327" s="3">
        <v>8.99</v>
      </c>
      <c r="D4327" s="3">
        <v>65</v>
      </c>
      <c r="E4327" s="3">
        <v>584.35</v>
      </c>
      <c r="F4327" t="str">
        <f t="shared" si="339"/>
        <v>cogs</v>
      </c>
      <c r="G4327" s="7" t="str">
        <f t="shared" si="340"/>
        <v>product 3</v>
      </c>
      <c r="H4327">
        <f t="shared" si="341"/>
        <v>2025</v>
      </c>
      <c r="I4327">
        <f t="shared" si="342"/>
        <v>8</v>
      </c>
      <c r="J4327">
        <f t="shared" si="343"/>
        <v>-79.959999999999994</v>
      </c>
    </row>
    <row r="4328" spans="1:10" ht="12.5" x14ac:dyDescent="0.25">
      <c r="A4328" s="1">
        <v>45892</v>
      </c>
      <c r="B4328" s="2" t="s">
        <v>10</v>
      </c>
      <c r="C4328" s="2" t="s">
        <v>6</v>
      </c>
      <c r="D4328" s="2" t="s">
        <v>6</v>
      </c>
      <c r="E4328" s="3">
        <v>113.98</v>
      </c>
      <c r="F4328" t="str">
        <f t="shared" si="339"/>
        <v>marketing</v>
      </c>
      <c r="G4328" s="7" t="s">
        <v>6</v>
      </c>
      <c r="H4328">
        <f t="shared" si="341"/>
        <v>2025</v>
      </c>
      <c r="I4328">
        <f t="shared" si="342"/>
        <v>8</v>
      </c>
      <c r="J4328">
        <f t="shared" si="343"/>
        <v>-1348.5</v>
      </c>
    </row>
    <row r="4329" spans="1:10" ht="12.5" x14ac:dyDescent="0.25">
      <c r="A4329" s="1">
        <v>45892</v>
      </c>
      <c r="B4329" s="2" t="s">
        <v>11</v>
      </c>
      <c r="C4329" s="3">
        <v>9.99</v>
      </c>
      <c r="D4329" s="3">
        <v>89</v>
      </c>
      <c r="E4329" s="3">
        <v>889.11</v>
      </c>
      <c r="F4329" t="str">
        <f t="shared" si="339"/>
        <v>net sales</v>
      </c>
      <c r="G4329" s="7" t="str">
        <f t="shared" si="340"/>
        <v>product 1</v>
      </c>
      <c r="H4329">
        <f t="shared" si="341"/>
        <v>2025</v>
      </c>
      <c r="I4329">
        <f t="shared" si="342"/>
        <v>8</v>
      </c>
      <c r="J4329">
        <f t="shared" si="343"/>
        <v>-104.95</v>
      </c>
    </row>
    <row r="4330" spans="1:10" ht="12.5" x14ac:dyDescent="0.25">
      <c r="A4330" s="1">
        <v>45892</v>
      </c>
      <c r="B4330" s="2" t="s">
        <v>12</v>
      </c>
      <c r="C4330" s="3">
        <v>24.99</v>
      </c>
      <c r="D4330" s="3">
        <v>3</v>
      </c>
      <c r="E4330" s="3">
        <v>74.97</v>
      </c>
      <c r="F4330" t="str">
        <f t="shared" si="339"/>
        <v>net sales</v>
      </c>
      <c r="G4330" s="7" t="str">
        <f t="shared" si="340"/>
        <v>product 2</v>
      </c>
      <c r="H4330">
        <f t="shared" si="341"/>
        <v>2025</v>
      </c>
      <c r="I4330">
        <f t="shared" si="342"/>
        <v>8</v>
      </c>
      <c r="J4330">
        <f t="shared" si="343"/>
        <v>39.96</v>
      </c>
    </row>
    <row r="4331" spans="1:10" ht="12.5" x14ac:dyDescent="0.25">
      <c r="A4331" s="1">
        <v>45892</v>
      </c>
      <c r="B4331" s="2" t="s">
        <v>13</v>
      </c>
      <c r="C4331" s="3">
        <v>12.49</v>
      </c>
      <c r="D4331" s="3">
        <v>65</v>
      </c>
      <c r="E4331" s="3">
        <v>811.85</v>
      </c>
      <c r="F4331" t="str">
        <f t="shared" si="339"/>
        <v>net sales</v>
      </c>
      <c r="G4331" s="7" t="str">
        <f t="shared" si="340"/>
        <v>product 3</v>
      </c>
      <c r="H4331">
        <f t="shared" si="341"/>
        <v>2025</v>
      </c>
      <c r="I4331">
        <f t="shared" si="342"/>
        <v>8</v>
      </c>
      <c r="J4331">
        <f t="shared" si="343"/>
        <v>99.96</v>
      </c>
    </row>
    <row r="4332" spans="1:10" ht="12.5" x14ac:dyDescent="0.25">
      <c r="A4332" s="1">
        <v>45893</v>
      </c>
      <c r="B4332" s="2" t="s">
        <v>7</v>
      </c>
      <c r="C4332" s="3">
        <v>5.49</v>
      </c>
      <c r="D4332" s="3">
        <v>78</v>
      </c>
      <c r="E4332" s="3">
        <v>428.22</v>
      </c>
      <c r="F4332" t="str">
        <f t="shared" si="339"/>
        <v>cogs</v>
      </c>
      <c r="G4332" s="7" t="str">
        <f t="shared" si="340"/>
        <v>product 1</v>
      </c>
      <c r="H4332">
        <f t="shared" si="341"/>
        <v>2025</v>
      </c>
      <c r="I4332">
        <f t="shared" si="342"/>
        <v>8</v>
      </c>
      <c r="J4332">
        <f t="shared" si="343"/>
        <v>1873.5</v>
      </c>
    </row>
    <row r="4333" spans="1:10" ht="12.5" x14ac:dyDescent="0.25">
      <c r="A4333" s="1">
        <v>45893</v>
      </c>
      <c r="B4333" s="2" t="s">
        <v>8</v>
      </c>
      <c r="C4333" s="3">
        <v>19.989999999999998</v>
      </c>
      <c r="D4333" s="3">
        <v>9</v>
      </c>
      <c r="E4333" s="3">
        <v>179.91</v>
      </c>
      <c r="F4333" t="str">
        <f t="shared" si="339"/>
        <v>cogs</v>
      </c>
      <c r="G4333" s="7" t="str">
        <f t="shared" si="340"/>
        <v>product 2</v>
      </c>
      <c r="H4333">
        <f t="shared" si="341"/>
        <v>2025</v>
      </c>
      <c r="I4333">
        <f t="shared" si="342"/>
        <v>8</v>
      </c>
      <c r="J4333">
        <f t="shared" si="343"/>
        <v>-263.52</v>
      </c>
    </row>
    <row r="4334" spans="1:10" ht="12.5" x14ac:dyDescent="0.25">
      <c r="A4334" s="1">
        <v>45893</v>
      </c>
      <c r="B4334" s="2" t="s">
        <v>9</v>
      </c>
      <c r="C4334" s="3">
        <v>8.99</v>
      </c>
      <c r="D4334" s="3">
        <v>207</v>
      </c>
      <c r="E4334" s="3">
        <v>1860.93</v>
      </c>
      <c r="F4334" t="str">
        <f t="shared" si="339"/>
        <v>cogs</v>
      </c>
      <c r="G4334" s="7" t="str">
        <f t="shared" si="340"/>
        <v>product 3</v>
      </c>
      <c r="H4334">
        <f t="shared" si="341"/>
        <v>2025</v>
      </c>
      <c r="I4334">
        <f t="shared" si="342"/>
        <v>8</v>
      </c>
      <c r="J4334">
        <f t="shared" si="343"/>
        <v>-139.92999999999998</v>
      </c>
    </row>
    <row r="4335" spans="1:10" ht="12.5" x14ac:dyDescent="0.25">
      <c r="A4335" s="1">
        <v>45893</v>
      </c>
      <c r="B4335" s="2" t="s">
        <v>10</v>
      </c>
      <c r="C4335" s="2" t="s">
        <v>6</v>
      </c>
      <c r="D4335" s="2" t="s">
        <v>6</v>
      </c>
      <c r="E4335" s="3">
        <v>118.98</v>
      </c>
      <c r="F4335" t="str">
        <f t="shared" si="339"/>
        <v>marketing</v>
      </c>
      <c r="G4335" s="7" t="s">
        <v>6</v>
      </c>
      <c r="H4335">
        <f t="shared" si="341"/>
        <v>2025</v>
      </c>
      <c r="I4335">
        <f t="shared" si="342"/>
        <v>8</v>
      </c>
      <c r="J4335">
        <f t="shared" si="343"/>
        <v>-1429.41</v>
      </c>
    </row>
    <row r="4336" spans="1:10" ht="12.5" x14ac:dyDescent="0.25">
      <c r="A4336" s="1">
        <v>45893</v>
      </c>
      <c r="B4336" s="2" t="s">
        <v>11</v>
      </c>
      <c r="C4336" s="3">
        <v>9.99</v>
      </c>
      <c r="D4336" s="3">
        <v>78</v>
      </c>
      <c r="E4336" s="3">
        <v>779.22</v>
      </c>
      <c r="F4336" t="str">
        <f t="shared" si="339"/>
        <v>net sales</v>
      </c>
      <c r="G4336" s="7" t="str">
        <f t="shared" si="340"/>
        <v>product 1</v>
      </c>
      <c r="H4336">
        <f t="shared" si="341"/>
        <v>2025</v>
      </c>
      <c r="I4336">
        <f t="shared" si="342"/>
        <v>8</v>
      </c>
      <c r="J4336">
        <f t="shared" si="343"/>
        <v>-117.95</v>
      </c>
    </row>
    <row r="4337" spans="1:10" ht="12.5" x14ac:dyDescent="0.25">
      <c r="A4337" s="1">
        <v>45893</v>
      </c>
      <c r="B4337" s="2" t="s">
        <v>12</v>
      </c>
      <c r="C4337" s="3">
        <v>24.99</v>
      </c>
      <c r="D4337" s="3">
        <v>9</v>
      </c>
      <c r="E4337" s="3">
        <v>224.91</v>
      </c>
      <c r="F4337" t="str">
        <f t="shared" si="339"/>
        <v>net sales</v>
      </c>
      <c r="G4337" s="7" t="str">
        <f t="shared" si="340"/>
        <v>product 2</v>
      </c>
      <c r="H4337">
        <f t="shared" si="341"/>
        <v>2025</v>
      </c>
      <c r="I4337">
        <f t="shared" si="342"/>
        <v>8</v>
      </c>
      <c r="J4337">
        <f t="shared" si="343"/>
        <v>479.52</v>
      </c>
    </row>
    <row r="4338" spans="1:10" ht="12.5" x14ac:dyDescent="0.25">
      <c r="A4338" s="1">
        <v>45893</v>
      </c>
      <c r="B4338" s="2" t="s">
        <v>13</v>
      </c>
      <c r="C4338" s="3">
        <v>12.49</v>
      </c>
      <c r="D4338" s="3">
        <v>207</v>
      </c>
      <c r="E4338" s="3">
        <v>2585.4299999999998</v>
      </c>
      <c r="F4338" t="str">
        <f t="shared" si="339"/>
        <v>net sales</v>
      </c>
      <c r="G4338" s="7" t="str">
        <f t="shared" si="340"/>
        <v>product 3</v>
      </c>
      <c r="H4338">
        <f t="shared" si="341"/>
        <v>2025</v>
      </c>
      <c r="I4338">
        <f t="shared" si="342"/>
        <v>8</v>
      </c>
      <c r="J4338">
        <f t="shared" si="343"/>
        <v>174.92999999999998</v>
      </c>
    </row>
    <row r="4339" spans="1:10" ht="12.5" x14ac:dyDescent="0.25">
      <c r="A4339" s="1">
        <v>45894</v>
      </c>
      <c r="B4339" s="2" t="s">
        <v>7</v>
      </c>
      <c r="C4339" s="3">
        <v>5.49</v>
      </c>
      <c r="D4339" s="3">
        <v>92</v>
      </c>
      <c r="E4339" s="3">
        <v>505.08000000000004</v>
      </c>
      <c r="F4339" t="str">
        <f t="shared" si="339"/>
        <v>cogs</v>
      </c>
      <c r="G4339" s="7" t="str">
        <f t="shared" si="340"/>
        <v>product 1</v>
      </c>
      <c r="H4339">
        <f t="shared" si="341"/>
        <v>2025</v>
      </c>
      <c r="I4339">
        <f t="shared" si="342"/>
        <v>8</v>
      </c>
      <c r="J4339">
        <f t="shared" si="343"/>
        <v>1985.91</v>
      </c>
    </row>
    <row r="4340" spans="1:10" ht="12.5" x14ac:dyDescent="0.25">
      <c r="A4340" s="1">
        <v>45894</v>
      </c>
      <c r="B4340" s="2" t="s">
        <v>8</v>
      </c>
      <c r="C4340" s="3">
        <v>19.989999999999998</v>
      </c>
      <c r="D4340" s="3">
        <v>8</v>
      </c>
      <c r="E4340" s="3">
        <v>159.91999999999999</v>
      </c>
      <c r="F4340" t="str">
        <f t="shared" si="339"/>
        <v>cogs</v>
      </c>
      <c r="G4340" s="7" t="str">
        <f t="shared" si="340"/>
        <v>product 2</v>
      </c>
      <c r="H4340">
        <f t="shared" si="341"/>
        <v>2025</v>
      </c>
      <c r="I4340">
        <f t="shared" si="342"/>
        <v>8</v>
      </c>
      <c r="J4340">
        <f t="shared" si="343"/>
        <v>-87.84</v>
      </c>
    </row>
    <row r="4341" spans="1:10" ht="12.5" x14ac:dyDescent="0.25">
      <c r="A4341" s="1">
        <v>45894</v>
      </c>
      <c r="B4341" s="2" t="s">
        <v>9</v>
      </c>
      <c r="C4341" s="3">
        <v>8.99</v>
      </c>
      <c r="D4341" s="3">
        <v>2</v>
      </c>
      <c r="E4341" s="3">
        <v>17.98</v>
      </c>
      <c r="F4341" t="str">
        <f t="shared" si="339"/>
        <v>cogs</v>
      </c>
      <c r="G4341" s="7" t="str">
        <f t="shared" si="340"/>
        <v>product 3</v>
      </c>
      <c r="H4341">
        <f t="shared" si="341"/>
        <v>2025</v>
      </c>
      <c r="I4341">
        <f t="shared" si="342"/>
        <v>8</v>
      </c>
      <c r="J4341">
        <f t="shared" si="343"/>
        <v>-99.949999999999989</v>
      </c>
    </row>
    <row r="4342" spans="1:10" ht="12.5" x14ac:dyDescent="0.25">
      <c r="A4342" s="1">
        <v>45894</v>
      </c>
      <c r="B4342" s="2" t="s">
        <v>10</v>
      </c>
      <c r="C4342" s="2" t="s">
        <v>6</v>
      </c>
      <c r="D4342" s="2" t="s">
        <v>6</v>
      </c>
      <c r="E4342" s="3">
        <v>110.93</v>
      </c>
      <c r="F4342" t="str">
        <f t="shared" si="339"/>
        <v>marketing</v>
      </c>
      <c r="G4342" s="7" t="s">
        <v>6</v>
      </c>
      <c r="H4342">
        <f t="shared" si="341"/>
        <v>2025</v>
      </c>
      <c r="I4342">
        <f t="shared" si="342"/>
        <v>8</v>
      </c>
      <c r="J4342">
        <f t="shared" si="343"/>
        <v>-916.98</v>
      </c>
    </row>
    <row r="4343" spans="1:10" ht="12.5" x14ac:dyDescent="0.25">
      <c r="A4343" s="1">
        <v>45894</v>
      </c>
      <c r="B4343" s="2" t="s">
        <v>11</v>
      </c>
      <c r="C4343" s="3">
        <v>9.99</v>
      </c>
      <c r="D4343" s="3">
        <v>92</v>
      </c>
      <c r="E4343" s="3">
        <v>919.08</v>
      </c>
      <c r="F4343" t="str">
        <f t="shared" si="339"/>
        <v>net sales</v>
      </c>
      <c r="G4343" s="7" t="str">
        <f t="shared" si="340"/>
        <v>product 1</v>
      </c>
      <c r="H4343">
        <f t="shared" si="341"/>
        <v>2025</v>
      </c>
      <c r="I4343">
        <f t="shared" si="342"/>
        <v>8</v>
      </c>
      <c r="J4343">
        <f t="shared" si="343"/>
        <v>-120.08</v>
      </c>
    </row>
    <row r="4344" spans="1:10" ht="12.5" x14ac:dyDescent="0.25">
      <c r="A4344" s="1">
        <v>45894</v>
      </c>
      <c r="B4344" s="2" t="s">
        <v>12</v>
      </c>
      <c r="C4344" s="3">
        <v>24.99</v>
      </c>
      <c r="D4344" s="3">
        <v>8</v>
      </c>
      <c r="E4344" s="3">
        <v>199.92</v>
      </c>
      <c r="F4344" t="str">
        <f t="shared" si="339"/>
        <v>net sales</v>
      </c>
      <c r="G4344" s="7" t="str">
        <f t="shared" si="340"/>
        <v>product 2</v>
      </c>
      <c r="H4344">
        <f t="shared" si="341"/>
        <v>2025</v>
      </c>
      <c r="I4344">
        <f t="shared" si="342"/>
        <v>8</v>
      </c>
      <c r="J4344">
        <f t="shared" si="343"/>
        <v>159.84</v>
      </c>
    </row>
    <row r="4345" spans="1:10" ht="12.5" x14ac:dyDescent="0.25">
      <c r="A4345" s="1">
        <v>45894</v>
      </c>
      <c r="B4345" s="2" t="s">
        <v>13</v>
      </c>
      <c r="C4345" s="3">
        <v>12.49</v>
      </c>
      <c r="D4345" s="3">
        <v>2</v>
      </c>
      <c r="E4345" s="3">
        <v>24.98</v>
      </c>
      <c r="F4345" t="str">
        <f t="shared" si="339"/>
        <v>net sales</v>
      </c>
      <c r="G4345" s="7" t="str">
        <f t="shared" si="340"/>
        <v>product 3</v>
      </c>
      <c r="H4345">
        <f t="shared" si="341"/>
        <v>2025</v>
      </c>
      <c r="I4345">
        <f t="shared" si="342"/>
        <v>8</v>
      </c>
      <c r="J4345">
        <f t="shared" si="343"/>
        <v>124.94999999999999</v>
      </c>
    </row>
    <row r="4346" spans="1:10" ht="12.5" x14ac:dyDescent="0.25">
      <c r="A4346" s="1">
        <v>45895</v>
      </c>
      <c r="B4346" s="2" t="s">
        <v>7</v>
      </c>
      <c r="C4346" s="3">
        <v>5.49</v>
      </c>
      <c r="D4346" s="3">
        <v>82</v>
      </c>
      <c r="E4346" s="3">
        <v>450.18</v>
      </c>
      <c r="F4346" t="str">
        <f t="shared" si="339"/>
        <v>cogs</v>
      </c>
      <c r="G4346" s="7" t="str">
        <f t="shared" si="340"/>
        <v>product 1</v>
      </c>
      <c r="H4346">
        <f t="shared" si="341"/>
        <v>2025</v>
      </c>
      <c r="I4346">
        <f t="shared" si="342"/>
        <v>8</v>
      </c>
      <c r="J4346">
        <f t="shared" si="343"/>
        <v>1273.98</v>
      </c>
    </row>
    <row r="4347" spans="1:10" ht="12.5" x14ac:dyDescent="0.25">
      <c r="A4347" s="1">
        <v>45895</v>
      </c>
      <c r="B4347" s="2" t="s">
        <v>8</v>
      </c>
      <c r="C4347" s="3">
        <v>19.989999999999998</v>
      </c>
      <c r="D4347" s="3">
        <v>2</v>
      </c>
      <c r="E4347" s="3">
        <v>39.979999999999997</v>
      </c>
      <c r="F4347" t="str">
        <f t="shared" si="339"/>
        <v>cogs</v>
      </c>
      <c r="G4347" s="7" t="str">
        <f t="shared" si="340"/>
        <v>product 2</v>
      </c>
      <c r="H4347">
        <f t="shared" si="341"/>
        <v>2025</v>
      </c>
      <c r="I4347">
        <f t="shared" si="342"/>
        <v>8</v>
      </c>
      <c r="J4347">
        <f t="shared" si="343"/>
        <v>-472.14000000000004</v>
      </c>
    </row>
    <row r="4348" spans="1:10" ht="12.5" x14ac:dyDescent="0.25">
      <c r="A4348" s="1">
        <v>45895</v>
      </c>
      <c r="B4348" s="2" t="s">
        <v>9</v>
      </c>
      <c r="C4348" s="3">
        <v>8.99</v>
      </c>
      <c r="D4348" s="3">
        <v>133</v>
      </c>
      <c r="E4348" s="3">
        <v>1195.67</v>
      </c>
      <c r="F4348" t="str">
        <f t="shared" si="339"/>
        <v>cogs</v>
      </c>
      <c r="G4348" s="7" t="str">
        <f t="shared" si="340"/>
        <v>product 3</v>
      </c>
      <c r="H4348">
        <f t="shared" si="341"/>
        <v>2025</v>
      </c>
      <c r="I4348">
        <f t="shared" si="342"/>
        <v>8</v>
      </c>
      <c r="J4348">
        <f t="shared" si="343"/>
        <v>-79.959999999999994</v>
      </c>
    </row>
    <row r="4349" spans="1:10" ht="12.5" x14ac:dyDescent="0.25">
      <c r="A4349" s="1">
        <v>45895</v>
      </c>
      <c r="B4349" s="2" t="s">
        <v>10</v>
      </c>
      <c r="C4349" s="2" t="s">
        <v>6</v>
      </c>
      <c r="D4349" s="2" t="s">
        <v>6</v>
      </c>
      <c r="E4349" s="3">
        <v>113.94</v>
      </c>
      <c r="F4349" t="str">
        <f t="shared" si="339"/>
        <v>marketing</v>
      </c>
      <c r="G4349" s="7" t="s">
        <v>6</v>
      </c>
      <c r="H4349">
        <f t="shared" si="341"/>
        <v>2025</v>
      </c>
      <c r="I4349">
        <f t="shared" si="342"/>
        <v>8</v>
      </c>
      <c r="J4349">
        <f t="shared" si="343"/>
        <v>-1726.08</v>
      </c>
    </row>
    <row r="4350" spans="1:10" ht="12.5" x14ac:dyDescent="0.25">
      <c r="A4350" s="1">
        <v>45895</v>
      </c>
      <c r="B4350" s="2" t="s">
        <v>11</v>
      </c>
      <c r="C4350" s="3">
        <v>9.99</v>
      </c>
      <c r="D4350" s="3">
        <v>82</v>
      </c>
      <c r="E4350" s="3">
        <v>819.18000000000006</v>
      </c>
      <c r="F4350" t="str">
        <f t="shared" si="339"/>
        <v>net sales</v>
      </c>
      <c r="G4350" s="7" t="str">
        <f t="shared" si="340"/>
        <v>product 1</v>
      </c>
      <c r="H4350">
        <f t="shared" si="341"/>
        <v>2025</v>
      </c>
      <c r="I4350">
        <f t="shared" si="342"/>
        <v>8</v>
      </c>
      <c r="J4350">
        <f t="shared" si="343"/>
        <v>-118.09</v>
      </c>
    </row>
    <row r="4351" spans="1:10" ht="12.5" x14ac:dyDescent="0.25">
      <c r="A4351" s="1">
        <v>45895</v>
      </c>
      <c r="B4351" s="2" t="s">
        <v>12</v>
      </c>
      <c r="C4351" s="3">
        <v>24.99</v>
      </c>
      <c r="D4351" s="3">
        <v>2</v>
      </c>
      <c r="E4351" s="3">
        <v>49.98</v>
      </c>
      <c r="F4351" t="str">
        <f t="shared" si="339"/>
        <v>net sales</v>
      </c>
      <c r="G4351" s="7" t="str">
        <f t="shared" si="340"/>
        <v>product 2</v>
      </c>
      <c r="H4351">
        <f t="shared" si="341"/>
        <v>2025</v>
      </c>
      <c r="I4351">
        <f t="shared" si="342"/>
        <v>8</v>
      </c>
      <c r="J4351">
        <f t="shared" si="343"/>
        <v>859.14</v>
      </c>
    </row>
    <row r="4352" spans="1:10" ht="12.5" x14ac:dyDescent="0.25">
      <c r="A4352" s="1">
        <v>45895</v>
      </c>
      <c r="B4352" s="2" t="s">
        <v>13</v>
      </c>
      <c r="C4352" s="3">
        <v>12.49</v>
      </c>
      <c r="D4352" s="3">
        <v>133</v>
      </c>
      <c r="E4352" s="3">
        <v>1661.17</v>
      </c>
      <c r="F4352" t="str">
        <f t="shared" si="339"/>
        <v>net sales</v>
      </c>
      <c r="G4352" s="7" t="str">
        <f t="shared" si="340"/>
        <v>product 3</v>
      </c>
      <c r="H4352">
        <f t="shared" si="341"/>
        <v>2025</v>
      </c>
      <c r="I4352">
        <f t="shared" si="342"/>
        <v>8</v>
      </c>
      <c r="J4352">
        <f t="shared" si="343"/>
        <v>99.96</v>
      </c>
    </row>
    <row r="4353" spans="1:10" ht="12.5" x14ac:dyDescent="0.25">
      <c r="A4353" s="1">
        <v>45896</v>
      </c>
      <c r="B4353" s="2" t="s">
        <v>7</v>
      </c>
      <c r="C4353" s="3">
        <v>5.49</v>
      </c>
      <c r="D4353" s="3">
        <v>71</v>
      </c>
      <c r="E4353" s="3">
        <v>389.79</v>
      </c>
      <c r="F4353" t="str">
        <f t="shared" si="339"/>
        <v>cogs</v>
      </c>
      <c r="G4353" s="7" t="str">
        <f t="shared" si="340"/>
        <v>product 1</v>
      </c>
      <c r="H4353">
        <f t="shared" si="341"/>
        <v>2025</v>
      </c>
      <c r="I4353">
        <f t="shared" si="342"/>
        <v>8</v>
      </c>
      <c r="J4353">
        <f t="shared" si="343"/>
        <v>2398.08</v>
      </c>
    </row>
    <row r="4354" spans="1:10" ht="12.5" x14ac:dyDescent="0.25">
      <c r="A4354" s="1">
        <v>45896</v>
      </c>
      <c r="B4354" s="2" t="s">
        <v>8</v>
      </c>
      <c r="C4354" s="3">
        <v>19.989999999999998</v>
      </c>
      <c r="D4354" s="3">
        <v>0</v>
      </c>
      <c r="E4354" s="2">
        <f>C4354*D4354</f>
        <v>0</v>
      </c>
      <c r="F4354" t="str">
        <f t="shared" si="339"/>
        <v>cogs</v>
      </c>
      <c r="G4354" s="7" t="str">
        <f t="shared" si="340"/>
        <v>product 2</v>
      </c>
      <c r="H4354">
        <f t="shared" si="341"/>
        <v>2025</v>
      </c>
      <c r="I4354">
        <f t="shared" si="342"/>
        <v>8</v>
      </c>
      <c r="J4354">
        <f t="shared" si="343"/>
        <v>-203.13</v>
      </c>
    </row>
    <row r="4355" spans="1:10" ht="12.5" x14ac:dyDescent="0.25">
      <c r="A4355" s="1">
        <v>45896</v>
      </c>
      <c r="B4355" s="2" t="s">
        <v>9</v>
      </c>
      <c r="C4355" s="3">
        <v>8.99</v>
      </c>
      <c r="D4355" s="3">
        <v>108</v>
      </c>
      <c r="E4355" s="3">
        <v>970.92000000000007</v>
      </c>
      <c r="F4355" t="str">
        <f t="shared" ref="F4355:F4418" si="344">IFERROR(LEFT(B4355,FIND(":",B4355)-1),B4355)</f>
        <v>cogs</v>
      </c>
      <c r="G4355" s="7" t="str">
        <f t="shared" ref="G4355:G4418" si="345">IFERROR(RIGHT(B4355,LEN(B4355)-FIND(":",B4355)),"")</f>
        <v>product 3</v>
      </c>
      <c r="H4355">
        <f t="shared" ref="H4355:H4418" si="346">YEAR(A4355)</f>
        <v>2025</v>
      </c>
      <c r="I4355">
        <f t="shared" ref="I4355:I4418" si="347">MONTH(A4355)</f>
        <v>8</v>
      </c>
      <c r="J4355">
        <f t="shared" si="343"/>
        <v>-79.959999999999994</v>
      </c>
    </row>
    <row r="4356" spans="1:10" ht="12.5" x14ac:dyDescent="0.25">
      <c r="A4356" s="1">
        <v>45896</v>
      </c>
      <c r="B4356" s="2" t="s">
        <v>10</v>
      </c>
      <c r="C4356" s="2" t="s">
        <v>6</v>
      </c>
      <c r="D4356" s="2" t="s">
        <v>6</v>
      </c>
      <c r="E4356" s="3">
        <v>119.94</v>
      </c>
      <c r="F4356" t="str">
        <f t="shared" si="344"/>
        <v>marketing</v>
      </c>
      <c r="G4356" s="7" t="s">
        <v>6</v>
      </c>
      <c r="H4356">
        <f t="shared" si="346"/>
        <v>2025</v>
      </c>
      <c r="I4356">
        <f t="shared" si="347"/>
        <v>8</v>
      </c>
      <c r="J4356">
        <f t="shared" si="343"/>
        <v>-1582.24</v>
      </c>
    </row>
    <row r="4357" spans="1:10" ht="12.5" x14ac:dyDescent="0.25">
      <c r="A4357" s="1">
        <v>45896</v>
      </c>
      <c r="B4357" s="2" t="s">
        <v>11</v>
      </c>
      <c r="C4357" s="3">
        <v>9.99</v>
      </c>
      <c r="D4357" s="3">
        <v>71</v>
      </c>
      <c r="E4357" s="3">
        <v>709.29</v>
      </c>
      <c r="F4357" t="str">
        <f t="shared" si="344"/>
        <v>net sales</v>
      </c>
      <c r="G4357" s="7" t="str">
        <f t="shared" si="345"/>
        <v>product 1</v>
      </c>
      <c r="H4357">
        <f t="shared" si="346"/>
        <v>2025</v>
      </c>
      <c r="I4357">
        <f t="shared" si="347"/>
        <v>8</v>
      </c>
      <c r="J4357">
        <f t="shared" si="343"/>
        <v>-106.02</v>
      </c>
    </row>
    <row r="4358" spans="1:10" ht="12.5" x14ac:dyDescent="0.25">
      <c r="A4358" s="1">
        <v>45896</v>
      </c>
      <c r="B4358" s="2" t="s">
        <v>12</v>
      </c>
      <c r="C4358" s="3">
        <v>24.99</v>
      </c>
      <c r="D4358" s="3">
        <v>0</v>
      </c>
      <c r="E4358" s="2">
        <f>C4358*D4358</f>
        <v>0</v>
      </c>
      <c r="F4358" t="str">
        <f t="shared" si="344"/>
        <v>net sales</v>
      </c>
      <c r="G4358" s="7" t="str">
        <f t="shared" si="345"/>
        <v>product 2</v>
      </c>
      <c r="H4358">
        <f t="shared" si="346"/>
        <v>2025</v>
      </c>
      <c r="I4358">
        <f t="shared" si="347"/>
        <v>8</v>
      </c>
      <c r="J4358">
        <f t="shared" si="343"/>
        <v>369.63</v>
      </c>
    </row>
    <row r="4359" spans="1:10" ht="12.5" x14ac:dyDescent="0.25">
      <c r="A4359" s="1">
        <v>45896</v>
      </c>
      <c r="B4359" s="2" t="s">
        <v>13</v>
      </c>
      <c r="C4359" s="3">
        <v>12.49</v>
      </c>
      <c r="D4359" s="3">
        <v>108</v>
      </c>
      <c r="E4359" s="3">
        <v>1348.92</v>
      </c>
      <c r="F4359" t="str">
        <f t="shared" si="344"/>
        <v>net sales</v>
      </c>
      <c r="G4359" s="7" t="str">
        <f t="shared" si="345"/>
        <v>product 3</v>
      </c>
      <c r="H4359">
        <f t="shared" si="346"/>
        <v>2025</v>
      </c>
      <c r="I4359">
        <f t="shared" si="347"/>
        <v>8</v>
      </c>
      <c r="J4359">
        <f t="shared" si="343"/>
        <v>99.96</v>
      </c>
    </row>
    <row r="4360" spans="1:10" ht="12.5" x14ac:dyDescent="0.25">
      <c r="A4360" s="1">
        <v>45897</v>
      </c>
      <c r="B4360" s="2" t="s">
        <v>7</v>
      </c>
      <c r="C4360" s="3">
        <v>5.49</v>
      </c>
      <c r="D4360" s="3">
        <v>14</v>
      </c>
      <c r="E4360" s="3">
        <v>76.86</v>
      </c>
      <c r="F4360" t="str">
        <f t="shared" si="344"/>
        <v>cogs</v>
      </c>
      <c r="G4360" s="7" t="str">
        <f t="shared" si="345"/>
        <v>product 1</v>
      </c>
      <c r="H4360">
        <f t="shared" si="346"/>
        <v>2025</v>
      </c>
      <c r="I4360">
        <f t="shared" si="347"/>
        <v>8</v>
      </c>
      <c r="J4360">
        <f t="shared" si="343"/>
        <v>2198.2400000000002</v>
      </c>
    </row>
    <row r="4361" spans="1:10" ht="12.5" x14ac:dyDescent="0.25">
      <c r="A4361" s="1">
        <v>45897</v>
      </c>
      <c r="B4361" s="2" t="s">
        <v>8</v>
      </c>
      <c r="C4361" s="3">
        <v>19.989999999999998</v>
      </c>
      <c r="D4361" s="3">
        <v>2</v>
      </c>
      <c r="E4361" s="3">
        <v>39.979999999999997</v>
      </c>
      <c r="F4361" t="str">
        <f t="shared" si="344"/>
        <v>cogs</v>
      </c>
      <c r="G4361" s="7" t="str">
        <f t="shared" si="345"/>
        <v>product 2</v>
      </c>
      <c r="H4361">
        <f t="shared" si="346"/>
        <v>2025</v>
      </c>
      <c r="I4361">
        <f t="shared" si="347"/>
        <v>8</v>
      </c>
      <c r="J4361">
        <f t="shared" si="343"/>
        <v>-510.57</v>
      </c>
    </row>
    <row r="4362" spans="1:10" ht="12.5" x14ac:dyDescent="0.25">
      <c r="A4362" s="1">
        <v>45897</v>
      </c>
      <c r="B4362" s="2" t="s">
        <v>9</v>
      </c>
      <c r="C4362" s="3">
        <v>8.99</v>
      </c>
      <c r="D4362" s="3">
        <v>231</v>
      </c>
      <c r="E4362" s="3">
        <v>2076.69</v>
      </c>
      <c r="F4362" t="str">
        <f t="shared" si="344"/>
        <v>cogs</v>
      </c>
      <c r="G4362" s="7" t="str">
        <f t="shared" si="345"/>
        <v>product 3</v>
      </c>
      <c r="H4362">
        <f t="shared" si="346"/>
        <v>2025</v>
      </c>
      <c r="I4362">
        <f t="shared" si="347"/>
        <v>8</v>
      </c>
      <c r="J4362">
        <f t="shared" si="343"/>
        <v>-79.959999999999994</v>
      </c>
    </row>
    <row r="4363" spans="1:10" ht="12.5" x14ac:dyDescent="0.25">
      <c r="A4363" s="1">
        <v>45897</v>
      </c>
      <c r="B4363" s="2" t="s">
        <v>10</v>
      </c>
      <c r="C4363" s="2" t="s">
        <v>6</v>
      </c>
      <c r="D4363" s="2" t="s">
        <v>6</v>
      </c>
      <c r="E4363" s="3">
        <v>103.01</v>
      </c>
      <c r="F4363" t="str">
        <f t="shared" si="344"/>
        <v>marketing</v>
      </c>
      <c r="G4363" s="7" t="s">
        <v>6</v>
      </c>
      <c r="H4363">
        <f t="shared" si="346"/>
        <v>2025</v>
      </c>
      <c r="I4363">
        <f t="shared" si="347"/>
        <v>8</v>
      </c>
      <c r="J4363">
        <f t="shared" si="343"/>
        <v>-2022.75</v>
      </c>
    </row>
    <row r="4364" spans="1:10" ht="12.5" x14ac:dyDescent="0.25">
      <c r="A4364" s="1">
        <v>45897</v>
      </c>
      <c r="B4364" s="2" t="s">
        <v>11</v>
      </c>
      <c r="C4364" s="3">
        <v>9.99</v>
      </c>
      <c r="D4364" s="3">
        <v>14</v>
      </c>
      <c r="E4364" s="3">
        <v>139.86000000000001</v>
      </c>
      <c r="F4364" t="str">
        <f t="shared" si="344"/>
        <v>net sales</v>
      </c>
      <c r="G4364" s="7" t="str">
        <f t="shared" si="345"/>
        <v>product 1</v>
      </c>
      <c r="H4364">
        <f t="shared" si="346"/>
        <v>2025</v>
      </c>
      <c r="I4364">
        <f t="shared" si="347"/>
        <v>8</v>
      </c>
      <c r="J4364">
        <f t="shared" si="343"/>
        <v>-114.02</v>
      </c>
    </row>
    <row r="4365" spans="1:10" ht="12.5" x14ac:dyDescent="0.25">
      <c r="A4365" s="1">
        <v>45897</v>
      </c>
      <c r="B4365" s="2" t="s">
        <v>12</v>
      </c>
      <c r="C4365" s="3">
        <v>24.99</v>
      </c>
      <c r="D4365" s="3">
        <v>2</v>
      </c>
      <c r="E4365" s="3">
        <v>49.98</v>
      </c>
      <c r="F4365" t="str">
        <f t="shared" si="344"/>
        <v>net sales</v>
      </c>
      <c r="G4365" s="7" t="str">
        <f t="shared" si="345"/>
        <v>product 2</v>
      </c>
      <c r="H4365">
        <f t="shared" si="346"/>
        <v>2025</v>
      </c>
      <c r="I4365">
        <f t="shared" si="347"/>
        <v>8</v>
      </c>
      <c r="J4365">
        <f t="shared" si="343"/>
        <v>929.07</v>
      </c>
    </row>
    <row r="4366" spans="1:10" ht="12.5" x14ac:dyDescent="0.25">
      <c r="A4366" s="1">
        <v>45897</v>
      </c>
      <c r="B4366" s="2" t="s">
        <v>13</v>
      </c>
      <c r="C4366" s="3">
        <v>12.49</v>
      </c>
      <c r="D4366" s="3">
        <v>231</v>
      </c>
      <c r="E4366" s="3">
        <v>2885.19</v>
      </c>
      <c r="F4366" t="str">
        <f t="shared" si="344"/>
        <v>net sales</v>
      </c>
      <c r="G4366" s="7" t="str">
        <f t="shared" si="345"/>
        <v>product 3</v>
      </c>
      <c r="H4366">
        <f t="shared" si="346"/>
        <v>2025</v>
      </c>
      <c r="I4366">
        <f t="shared" si="347"/>
        <v>8</v>
      </c>
      <c r="J4366">
        <f t="shared" si="343"/>
        <v>99.96</v>
      </c>
    </row>
    <row r="4367" spans="1:10" ht="12.5" x14ac:dyDescent="0.25">
      <c r="A4367" s="1">
        <v>45898</v>
      </c>
      <c r="B4367" s="2" t="s">
        <v>7</v>
      </c>
      <c r="C4367" s="3">
        <v>5.49</v>
      </c>
      <c r="D4367" s="3">
        <v>37</v>
      </c>
      <c r="E4367" s="3">
        <v>203.13</v>
      </c>
      <c r="F4367" t="str">
        <f t="shared" si="344"/>
        <v>cogs</v>
      </c>
      <c r="G4367" s="7" t="str">
        <f t="shared" si="345"/>
        <v>product 1</v>
      </c>
      <c r="H4367">
        <f t="shared" si="346"/>
        <v>2025</v>
      </c>
      <c r="I4367">
        <f t="shared" si="347"/>
        <v>8</v>
      </c>
      <c r="J4367">
        <f t="shared" si="343"/>
        <v>2810.25</v>
      </c>
    </row>
    <row r="4368" spans="1:10" ht="12.5" x14ac:dyDescent="0.25">
      <c r="A4368" s="1">
        <v>45898</v>
      </c>
      <c r="B4368" s="2" t="s">
        <v>8</v>
      </c>
      <c r="C4368" s="3">
        <v>19.989999999999998</v>
      </c>
      <c r="D4368" s="3">
        <v>3</v>
      </c>
      <c r="E4368" s="3">
        <v>59.97</v>
      </c>
      <c r="F4368" t="str">
        <f t="shared" si="344"/>
        <v>cogs</v>
      </c>
      <c r="G4368" s="7" t="str">
        <f t="shared" si="345"/>
        <v>product 2</v>
      </c>
      <c r="H4368">
        <f t="shared" si="346"/>
        <v>2025</v>
      </c>
      <c r="I4368">
        <f t="shared" si="347"/>
        <v>8</v>
      </c>
      <c r="J4368">
        <f t="shared" si="343"/>
        <v>-450.18</v>
      </c>
    </row>
    <row r="4369" spans="1:10" ht="12.5" x14ac:dyDescent="0.25">
      <c r="A4369" s="1">
        <v>45898</v>
      </c>
      <c r="B4369" s="2" t="s">
        <v>9</v>
      </c>
      <c r="C4369" s="3">
        <v>8.99</v>
      </c>
      <c r="D4369" s="3">
        <v>110</v>
      </c>
      <c r="E4369" s="3">
        <v>988.9</v>
      </c>
      <c r="F4369" t="str">
        <f t="shared" si="344"/>
        <v>cogs</v>
      </c>
      <c r="G4369" s="7" t="str">
        <f t="shared" si="345"/>
        <v>product 3</v>
      </c>
      <c r="H4369">
        <f t="shared" si="346"/>
        <v>2025</v>
      </c>
      <c r="I4369">
        <f t="shared" si="347"/>
        <v>8</v>
      </c>
      <c r="J4369">
        <f t="shared" si="343"/>
        <v>-99.949999999999989</v>
      </c>
    </row>
    <row r="4370" spans="1:10" ht="12.5" x14ac:dyDescent="0.25">
      <c r="A4370" s="1">
        <v>45898</v>
      </c>
      <c r="B4370" s="2" t="s">
        <v>10</v>
      </c>
      <c r="C4370" s="2" t="s">
        <v>6</v>
      </c>
      <c r="D4370" s="2" t="s">
        <v>6</v>
      </c>
      <c r="E4370" s="3">
        <v>108.92</v>
      </c>
      <c r="F4370" t="str">
        <f t="shared" si="344"/>
        <v>marketing</v>
      </c>
      <c r="G4370" s="7" t="s">
        <v>6</v>
      </c>
      <c r="H4370">
        <f t="shared" si="346"/>
        <v>2025</v>
      </c>
      <c r="I4370">
        <f t="shared" si="347"/>
        <v>8</v>
      </c>
      <c r="J4370">
        <f t="shared" si="343"/>
        <v>-1285.57</v>
      </c>
    </row>
    <row r="4371" spans="1:10" ht="12.5" x14ac:dyDescent="0.25">
      <c r="A4371" s="1">
        <v>45898</v>
      </c>
      <c r="B4371" s="2" t="s">
        <v>11</v>
      </c>
      <c r="C4371" s="3">
        <v>9.99</v>
      </c>
      <c r="D4371" s="3">
        <v>37</v>
      </c>
      <c r="E4371" s="3">
        <v>369.63</v>
      </c>
      <c r="F4371" t="str">
        <f t="shared" si="344"/>
        <v>net sales</v>
      </c>
      <c r="G4371" s="7" t="str">
        <f t="shared" si="345"/>
        <v>product 1</v>
      </c>
      <c r="H4371">
        <f t="shared" si="346"/>
        <v>2025</v>
      </c>
      <c r="I4371">
        <f t="shared" si="347"/>
        <v>8</v>
      </c>
      <c r="J4371">
        <f t="shared" si="343"/>
        <v>-116.07000000000001</v>
      </c>
    </row>
    <row r="4372" spans="1:10" ht="12.5" x14ac:dyDescent="0.25">
      <c r="A4372" s="1">
        <v>45898</v>
      </c>
      <c r="B4372" s="2" t="s">
        <v>12</v>
      </c>
      <c r="C4372" s="3">
        <v>24.99</v>
      </c>
      <c r="D4372" s="3">
        <v>3</v>
      </c>
      <c r="E4372" s="3">
        <v>74.97</v>
      </c>
      <c r="F4372" t="str">
        <f t="shared" si="344"/>
        <v>net sales</v>
      </c>
      <c r="G4372" s="7" t="str">
        <f t="shared" si="345"/>
        <v>product 2</v>
      </c>
      <c r="H4372">
        <f t="shared" si="346"/>
        <v>2025</v>
      </c>
      <c r="I4372">
        <f t="shared" si="347"/>
        <v>8</v>
      </c>
      <c r="J4372">
        <f t="shared" si="343"/>
        <v>819.18000000000006</v>
      </c>
    </row>
    <row r="4373" spans="1:10" ht="12.5" x14ac:dyDescent="0.25">
      <c r="A4373" s="1">
        <v>45898</v>
      </c>
      <c r="B4373" s="2" t="s">
        <v>13</v>
      </c>
      <c r="C4373" s="3">
        <v>12.49</v>
      </c>
      <c r="D4373" s="3">
        <v>110</v>
      </c>
      <c r="E4373" s="3">
        <v>1373.9</v>
      </c>
      <c r="F4373" t="str">
        <f t="shared" si="344"/>
        <v>net sales</v>
      </c>
      <c r="G4373" s="7" t="str">
        <f t="shared" si="345"/>
        <v>product 3</v>
      </c>
      <c r="H4373">
        <f t="shared" si="346"/>
        <v>2025</v>
      </c>
      <c r="I4373">
        <f t="shared" si="347"/>
        <v>8</v>
      </c>
      <c r="J4373">
        <f t="shared" si="343"/>
        <v>124.94999999999999</v>
      </c>
    </row>
    <row r="4374" spans="1:10" ht="12.5" x14ac:dyDescent="0.25">
      <c r="A4374" s="1">
        <v>45898</v>
      </c>
      <c r="B4374" s="2" t="s">
        <v>15</v>
      </c>
      <c r="C4374" s="2" t="s">
        <v>6</v>
      </c>
      <c r="D4374" s="2" t="s">
        <v>6</v>
      </c>
      <c r="E4374" s="3">
        <v>1200</v>
      </c>
      <c r="F4374" t="str">
        <f t="shared" si="344"/>
        <v>payroll</v>
      </c>
      <c r="G4374" s="7" t="s">
        <v>6</v>
      </c>
      <c r="H4374">
        <f t="shared" si="346"/>
        <v>2025</v>
      </c>
      <c r="I4374">
        <f t="shared" si="347"/>
        <v>8</v>
      </c>
      <c r="J4374">
        <f t="shared" si="343"/>
        <v>1786.07</v>
      </c>
    </row>
    <row r="4375" spans="1:10" ht="12.5" x14ac:dyDescent="0.25">
      <c r="A4375" s="1">
        <v>45899</v>
      </c>
      <c r="B4375" s="2" t="s">
        <v>7</v>
      </c>
      <c r="C4375" s="3">
        <v>5.49</v>
      </c>
      <c r="D4375" s="3">
        <v>79</v>
      </c>
      <c r="E4375" s="3">
        <v>433.71000000000004</v>
      </c>
      <c r="F4375" t="str">
        <f t="shared" si="344"/>
        <v>cogs</v>
      </c>
      <c r="G4375" s="7" t="str">
        <f t="shared" si="345"/>
        <v>product 1</v>
      </c>
      <c r="H4375">
        <f t="shared" si="346"/>
        <v>2025</v>
      </c>
      <c r="I4375">
        <f t="shared" si="347"/>
        <v>8</v>
      </c>
      <c r="J4375">
        <f t="shared" si="343"/>
        <v>-510.57</v>
      </c>
    </row>
    <row r="4376" spans="1:10" ht="12.5" x14ac:dyDescent="0.25">
      <c r="A4376" s="1">
        <v>45899</v>
      </c>
      <c r="B4376" s="2" t="s">
        <v>8</v>
      </c>
      <c r="C4376" s="3">
        <v>19.989999999999998</v>
      </c>
      <c r="D4376" s="3">
        <v>5</v>
      </c>
      <c r="E4376" s="3">
        <v>99.949999999999989</v>
      </c>
      <c r="F4376" t="str">
        <f t="shared" si="344"/>
        <v>cogs</v>
      </c>
      <c r="G4376" s="7" t="str">
        <f t="shared" si="345"/>
        <v>product 2</v>
      </c>
      <c r="H4376">
        <f t="shared" si="346"/>
        <v>2025</v>
      </c>
      <c r="I4376">
        <f t="shared" si="347"/>
        <v>8</v>
      </c>
      <c r="J4376">
        <f t="shared" si="343"/>
        <v>-159.91999999999999</v>
      </c>
    </row>
    <row r="4377" spans="1:10" ht="12.5" x14ac:dyDescent="0.25">
      <c r="A4377" s="1">
        <v>45899</v>
      </c>
      <c r="B4377" s="2" t="s">
        <v>9</v>
      </c>
      <c r="C4377" s="3">
        <v>8.99</v>
      </c>
      <c r="D4377" s="3">
        <v>0</v>
      </c>
      <c r="E4377" s="2">
        <f>C4377*D4377</f>
        <v>0</v>
      </c>
      <c r="F4377" t="str">
        <f t="shared" si="344"/>
        <v>cogs</v>
      </c>
      <c r="G4377" s="7" t="str">
        <f t="shared" si="345"/>
        <v>product 3</v>
      </c>
      <c r="H4377">
        <f t="shared" si="346"/>
        <v>2025</v>
      </c>
      <c r="I4377">
        <f t="shared" si="347"/>
        <v>8</v>
      </c>
      <c r="J4377">
        <f t="shared" si="343"/>
        <v>-629.30000000000007</v>
      </c>
    </row>
    <row r="4378" spans="1:10" ht="12.5" x14ac:dyDescent="0.25">
      <c r="A4378" s="1">
        <v>45899</v>
      </c>
      <c r="B4378" s="2" t="s">
        <v>10</v>
      </c>
      <c r="C4378" s="2" t="s">
        <v>6</v>
      </c>
      <c r="D4378" s="2" t="s">
        <v>6</v>
      </c>
      <c r="E4378" s="3">
        <v>111.97</v>
      </c>
      <c r="F4378" t="str">
        <f t="shared" si="344"/>
        <v>marketing</v>
      </c>
      <c r="G4378" s="7" t="s">
        <v>6</v>
      </c>
      <c r="H4378">
        <f t="shared" si="346"/>
        <v>2025</v>
      </c>
      <c r="I4378">
        <f t="shared" si="347"/>
        <v>8</v>
      </c>
      <c r="J4378">
        <f t="shared" si="343"/>
        <v>-104.9</v>
      </c>
    </row>
    <row r="4379" spans="1:10" ht="12.5" x14ac:dyDescent="0.25">
      <c r="A4379" s="1">
        <v>45899</v>
      </c>
      <c r="B4379" s="2" t="s">
        <v>11</v>
      </c>
      <c r="C4379" s="3">
        <v>9.99</v>
      </c>
      <c r="D4379" s="3">
        <v>79</v>
      </c>
      <c r="E4379" s="3">
        <v>789.21</v>
      </c>
      <c r="F4379" t="str">
        <f t="shared" si="344"/>
        <v>net sales</v>
      </c>
      <c r="G4379" s="7" t="str">
        <f t="shared" si="345"/>
        <v>product 1</v>
      </c>
      <c r="H4379">
        <f t="shared" si="346"/>
        <v>2025</v>
      </c>
      <c r="I4379">
        <f t="shared" si="347"/>
        <v>8</v>
      </c>
      <c r="J4379">
        <f t="shared" si="343"/>
        <v>929.07</v>
      </c>
    </row>
    <row r="4380" spans="1:10" ht="12.5" x14ac:dyDescent="0.25">
      <c r="A4380" s="1">
        <v>45899</v>
      </c>
      <c r="B4380" s="2" t="s">
        <v>12</v>
      </c>
      <c r="C4380" s="3">
        <v>24.99</v>
      </c>
      <c r="D4380" s="3">
        <v>5</v>
      </c>
      <c r="E4380" s="3">
        <v>124.94999999999999</v>
      </c>
      <c r="F4380" t="str">
        <f t="shared" si="344"/>
        <v>net sales</v>
      </c>
      <c r="G4380" s="7" t="str">
        <f t="shared" si="345"/>
        <v>product 2</v>
      </c>
      <c r="H4380">
        <f t="shared" si="346"/>
        <v>2025</v>
      </c>
      <c r="I4380">
        <f t="shared" si="347"/>
        <v>8</v>
      </c>
      <c r="J4380">
        <f t="shared" ref="J4380:J4443" si="348">IF(F4163="net sales",E4163,
IF(F4163="cogs",-E4163,
IF(OR(F4163="marketing",F4163="overhead",F4163="payroll",F4163="interest","amortization"),-E4163,0)))</f>
        <v>199.92</v>
      </c>
    </row>
    <row r="4381" spans="1:10" ht="12.5" x14ac:dyDescent="0.25">
      <c r="A4381" s="1">
        <v>45899</v>
      </c>
      <c r="B4381" s="2" t="s">
        <v>13</v>
      </c>
      <c r="C4381" s="3">
        <v>12.49</v>
      </c>
      <c r="D4381" s="3">
        <v>0</v>
      </c>
      <c r="E4381" s="2">
        <f>C4381*D4381</f>
        <v>0</v>
      </c>
      <c r="F4381" t="str">
        <f t="shared" si="344"/>
        <v>net sales</v>
      </c>
      <c r="G4381" s="7" t="str">
        <f t="shared" si="345"/>
        <v>product 3</v>
      </c>
      <c r="H4381">
        <f t="shared" si="346"/>
        <v>2025</v>
      </c>
      <c r="I4381">
        <f t="shared" si="347"/>
        <v>8</v>
      </c>
      <c r="J4381">
        <f t="shared" si="348"/>
        <v>874.30000000000007</v>
      </c>
    </row>
    <row r="4382" spans="1:10" ht="12.5" x14ac:dyDescent="0.25">
      <c r="A4382" s="1">
        <v>45900</v>
      </c>
      <c r="B4382" s="2" t="s">
        <v>7</v>
      </c>
      <c r="C4382" s="3">
        <v>5.49</v>
      </c>
      <c r="D4382" s="3">
        <v>52</v>
      </c>
      <c r="E4382" s="3">
        <v>285.48</v>
      </c>
      <c r="F4382" t="str">
        <f t="shared" si="344"/>
        <v>cogs</v>
      </c>
      <c r="G4382" s="7" t="str">
        <f t="shared" si="345"/>
        <v>product 1</v>
      </c>
      <c r="H4382">
        <f t="shared" si="346"/>
        <v>2025</v>
      </c>
      <c r="I4382">
        <f t="shared" si="347"/>
        <v>8</v>
      </c>
      <c r="J4382">
        <f t="shared" si="348"/>
        <v>0</v>
      </c>
    </row>
    <row r="4383" spans="1:10" ht="12.5" x14ac:dyDescent="0.25">
      <c r="A4383" s="1">
        <v>45900</v>
      </c>
      <c r="B4383" s="2" t="s">
        <v>8</v>
      </c>
      <c r="C4383" s="3">
        <v>19.989999999999998</v>
      </c>
      <c r="D4383" s="3">
        <v>3</v>
      </c>
      <c r="E4383" s="3">
        <v>59.97</v>
      </c>
      <c r="F4383" t="str">
        <f t="shared" si="344"/>
        <v>cogs</v>
      </c>
      <c r="G4383" s="7" t="str">
        <f t="shared" si="345"/>
        <v>product 2</v>
      </c>
      <c r="H4383">
        <f t="shared" si="346"/>
        <v>2025</v>
      </c>
      <c r="I4383">
        <f t="shared" si="347"/>
        <v>8</v>
      </c>
      <c r="J4383">
        <f t="shared" si="348"/>
        <v>-340.38</v>
      </c>
    </row>
    <row r="4384" spans="1:10" ht="12.5" x14ac:dyDescent="0.25">
      <c r="A4384" s="1">
        <v>45900</v>
      </c>
      <c r="B4384" s="2" t="s">
        <v>9</v>
      </c>
      <c r="C4384" s="3">
        <v>8.99</v>
      </c>
      <c r="D4384" s="3">
        <v>125</v>
      </c>
      <c r="E4384" s="3">
        <v>1123.75</v>
      </c>
      <c r="F4384" t="str">
        <f t="shared" si="344"/>
        <v>cogs</v>
      </c>
      <c r="G4384" s="7" t="str">
        <f t="shared" si="345"/>
        <v>product 3</v>
      </c>
      <c r="H4384">
        <f t="shared" si="346"/>
        <v>2025</v>
      </c>
      <c r="I4384">
        <f t="shared" si="347"/>
        <v>8</v>
      </c>
      <c r="J4384">
        <f t="shared" si="348"/>
        <v>-79.959999999999994</v>
      </c>
    </row>
    <row r="4385" spans="1:10" ht="12.5" x14ac:dyDescent="0.25">
      <c r="A4385" s="1">
        <v>45900</v>
      </c>
      <c r="B4385" s="2" t="s">
        <v>10</v>
      </c>
      <c r="C4385" s="2" t="s">
        <v>6</v>
      </c>
      <c r="D4385" s="2" t="s">
        <v>6</v>
      </c>
      <c r="E4385" s="3">
        <v>117.99000000000001</v>
      </c>
      <c r="F4385" t="str">
        <f t="shared" si="344"/>
        <v>marketing</v>
      </c>
      <c r="G4385" s="7" t="s">
        <v>6</v>
      </c>
      <c r="H4385">
        <f t="shared" si="346"/>
        <v>2025</v>
      </c>
      <c r="I4385">
        <f t="shared" si="347"/>
        <v>8</v>
      </c>
      <c r="J4385">
        <f t="shared" si="348"/>
        <v>-458.49</v>
      </c>
    </row>
    <row r="4386" spans="1:10" ht="12.5" x14ac:dyDescent="0.25">
      <c r="A4386" s="1">
        <v>45900</v>
      </c>
      <c r="B4386" s="2" t="s">
        <v>11</v>
      </c>
      <c r="C4386" s="3">
        <v>9.99</v>
      </c>
      <c r="D4386" s="3">
        <v>52</v>
      </c>
      <c r="E4386" s="3">
        <v>519.48</v>
      </c>
      <c r="F4386" t="str">
        <f t="shared" si="344"/>
        <v>net sales</v>
      </c>
      <c r="G4386" s="7" t="str">
        <f t="shared" si="345"/>
        <v>product 1</v>
      </c>
      <c r="H4386">
        <f t="shared" si="346"/>
        <v>2025</v>
      </c>
      <c r="I4386">
        <f t="shared" si="347"/>
        <v>8</v>
      </c>
      <c r="J4386">
        <f t="shared" si="348"/>
        <v>-118.97</v>
      </c>
    </row>
    <row r="4387" spans="1:10" ht="12.5" x14ac:dyDescent="0.25">
      <c r="A4387" s="1">
        <v>45900</v>
      </c>
      <c r="B4387" s="2" t="s">
        <v>12</v>
      </c>
      <c r="C4387" s="3">
        <v>24.99</v>
      </c>
      <c r="D4387" s="3">
        <v>3</v>
      </c>
      <c r="E4387" s="3">
        <v>74.97</v>
      </c>
      <c r="F4387" t="str">
        <f t="shared" si="344"/>
        <v>net sales</v>
      </c>
      <c r="G4387" s="7" t="str">
        <f t="shared" si="345"/>
        <v>product 2</v>
      </c>
      <c r="H4387">
        <f t="shared" si="346"/>
        <v>2025</v>
      </c>
      <c r="I4387">
        <f t="shared" si="347"/>
        <v>8</v>
      </c>
      <c r="J4387">
        <f t="shared" si="348"/>
        <v>619.38</v>
      </c>
    </row>
    <row r="4388" spans="1:10" ht="12.5" x14ac:dyDescent="0.25">
      <c r="A4388" s="1">
        <v>45900</v>
      </c>
      <c r="B4388" s="2" t="s">
        <v>13</v>
      </c>
      <c r="C4388" s="3">
        <v>12.49</v>
      </c>
      <c r="D4388" s="3">
        <v>125</v>
      </c>
      <c r="E4388" s="3">
        <v>1561.25</v>
      </c>
      <c r="F4388" t="str">
        <f t="shared" si="344"/>
        <v>net sales</v>
      </c>
      <c r="G4388" s="7" t="str">
        <f t="shared" si="345"/>
        <v>product 3</v>
      </c>
      <c r="H4388">
        <f t="shared" si="346"/>
        <v>2025</v>
      </c>
      <c r="I4388">
        <f t="shared" si="347"/>
        <v>8</v>
      </c>
      <c r="J4388">
        <f t="shared" si="348"/>
        <v>99.96</v>
      </c>
    </row>
    <row r="4389" spans="1:10" ht="12.5" x14ac:dyDescent="0.25">
      <c r="A4389" s="1">
        <v>45901</v>
      </c>
      <c r="B4389" s="2" t="s">
        <v>5</v>
      </c>
      <c r="C4389" s="2" t="s">
        <v>6</v>
      </c>
      <c r="D4389" s="2" t="s">
        <v>6</v>
      </c>
      <c r="E4389" s="3">
        <v>50</v>
      </c>
      <c r="F4389" t="str">
        <f t="shared" si="344"/>
        <v>amortization</v>
      </c>
      <c r="G4389" s="7" t="s">
        <v>6</v>
      </c>
      <c r="H4389">
        <f t="shared" si="346"/>
        <v>2025</v>
      </c>
      <c r="I4389">
        <f t="shared" si="347"/>
        <v>9</v>
      </c>
      <c r="J4389">
        <f t="shared" si="348"/>
        <v>636.99</v>
      </c>
    </row>
    <row r="4390" spans="1:10" ht="12.5" x14ac:dyDescent="0.25">
      <c r="A4390" s="1">
        <v>45901</v>
      </c>
      <c r="B4390" s="2" t="s">
        <v>7</v>
      </c>
      <c r="C4390" s="3">
        <v>5.49</v>
      </c>
      <c r="D4390" s="3">
        <v>45</v>
      </c>
      <c r="E4390" s="3">
        <v>247.05</v>
      </c>
      <c r="F4390" t="str">
        <f t="shared" si="344"/>
        <v>cogs</v>
      </c>
      <c r="G4390" s="7" t="str">
        <f t="shared" si="345"/>
        <v>product 1</v>
      </c>
      <c r="H4390">
        <f t="shared" si="346"/>
        <v>2025</v>
      </c>
      <c r="I4390">
        <f t="shared" si="347"/>
        <v>9</v>
      </c>
      <c r="J4390">
        <f t="shared" si="348"/>
        <v>-2000</v>
      </c>
    </row>
    <row r="4391" spans="1:10" ht="12.5" x14ac:dyDescent="0.25">
      <c r="A4391" s="1">
        <v>45901</v>
      </c>
      <c r="B4391" s="2" t="s">
        <v>8</v>
      </c>
      <c r="C4391" s="3">
        <v>21.49</v>
      </c>
      <c r="D4391" s="3">
        <v>1</v>
      </c>
      <c r="E4391" s="3">
        <v>21.49</v>
      </c>
      <c r="F4391" t="str">
        <f t="shared" si="344"/>
        <v>cogs</v>
      </c>
      <c r="G4391" s="7" t="str">
        <f t="shared" si="345"/>
        <v>product 2</v>
      </c>
      <c r="H4391">
        <f t="shared" si="346"/>
        <v>2025</v>
      </c>
      <c r="I4391">
        <f t="shared" si="347"/>
        <v>9</v>
      </c>
      <c r="J4391">
        <f t="shared" si="348"/>
        <v>-1200</v>
      </c>
    </row>
    <row r="4392" spans="1:10" ht="12.5" x14ac:dyDescent="0.25">
      <c r="A4392" s="1">
        <v>45901</v>
      </c>
      <c r="B4392" s="2" t="s">
        <v>9</v>
      </c>
      <c r="C4392" s="3">
        <v>8.99</v>
      </c>
      <c r="D4392" s="3">
        <v>192</v>
      </c>
      <c r="E4392" s="3">
        <v>1726.08</v>
      </c>
      <c r="F4392" t="str">
        <f t="shared" si="344"/>
        <v>cogs</v>
      </c>
      <c r="G4392" s="7" t="str">
        <f t="shared" si="345"/>
        <v>product 3</v>
      </c>
      <c r="H4392">
        <f t="shared" si="346"/>
        <v>2025</v>
      </c>
      <c r="I4392">
        <f t="shared" si="347"/>
        <v>9</v>
      </c>
      <c r="J4392">
        <f t="shared" si="348"/>
        <v>-510.57</v>
      </c>
    </row>
    <row r="4393" spans="1:10" ht="12.5" x14ac:dyDescent="0.25">
      <c r="A4393" s="1">
        <v>45901</v>
      </c>
      <c r="B4393" s="2" t="s">
        <v>10</v>
      </c>
      <c r="C4393" s="2" t="s">
        <v>6</v>
      </c>
      <c r="D4393" s="2" t="s">
        <v>6</v>
      </c>
      <c r="E4393" s="3">
        <v>117.94</v>
      </c>
      <c r="F4393" t="str">
        <f t="shared" si="344"/>
        <v>marketing</v>
      </c>
      <c r="G4393" s="7" t="s">
        <v>6</v>
      </c>
      <c r="H4393">
        <f t="shared" si="346"/>
        <v>2025</v>
      </c>
      <c r="I4393">
        <f t="shared" si="347"/>
        <v>9</v>
      </c>
      <c r="J4393">
        <f t="shared" si="348"/>
        <v>-19.989999999999998</v>
      </c>
    </row>
    <row r="4394" spans="1:10" ht="12.5" x14ac:dyDescent="0.25">
      <c r="A4394" s="1">
        <v>45901</v>
      </c>
      <c r="B4394" s="2" t="s">
        <v>11</v>
      </c>
      <c r="C4394" s="3">
        <v>9.99</v>
      </c>
      <c r="D4394" s="3">
        <v>45</v>
      </c>
      <c r="E4394" s="3">
        <v>449.55</v>
      </c>
      <c r="F4394" t="str">
        <f t="shared" si="344"/>
        <v>net sales</v>
      </c>
      <c r="G4394" s="7" t="str">
        <f t="shared" si="345"/>
        <v>product 1</v>
      </c>
      <c r="H4394">
        <f t="shared" si="346"/>
        <v>2025</v>
      </c>
      <c r="I4394">
        <f t="shared" si="347"/>
        <v>9</v>
      </c>
      <c r="J4394">
        <f t="shared" si="348"/>
        <v>-197.78</v>
      </c>
    </row>
    <row r="4395" spans="1:10" ht="12.5" x14ac:dyDescent="0.25">
      <c r="A4395" s="1">
        <v>45901</v>
      </c>
      <c r="B4395" s="2" t="s">
        <v>12</v>
      </c>
      <c r="C4395" s="3">
        <v>24.99</v>
      </c>
      <c r="D4395" s="3">
        <v>1</v>
      </c>
      <c r="E4395" s="3">
        <v>24.99</v>
      </c>
      <c r="F4395" t="str">
        <f t="shared" si="344"/>
        <v>net sales</v>
      </c>
      <c r="G4395" s="7" t="str">
        <f t="shared" si="345"/>
        <v>product 2</v>
      </c>
      <c r="H4395">
        <f t="shared" si="346"/>
        <v>2025</v>
      </c>
      <c r="I4395">
        <f t="shared" si="347"/>
        <v>9</v>
      </c>
      <c r="J4395">
        <f t="shared" si="348"/>
        <v>-109.09</v>
      </c>
    </row>
    <row r="4396" spans="1:10" ht="12.5" x14ac:dyDescent="0.25">
      <c r="A4396" s="1">
        <v>45901</v>
      </c>
      <c r="B4396" s="2" t="s">
        <v>13</v>
      </c>
      <c r="C4396" s="3">
        <v>12.49</v>
      </c>
      <c r="D4396" s="3">
        <v>192</v>
      </c>
      <c r="E4396" s="3">
        <v>2398.08</v>
      </c>
      <c r="F4396" t="str">
        <f t="shared" si="344"/>
        <v>net sales</v>
      </c>
      <c r="G4396" s="7" t="str">
        <f t="shared" si="345"/>
        <v>product 3</v>
      </c>
      <c r="H4396">
        <f t="shared" si="346"/>
        <v>2025</v>
      </c>
      <c r="I4396">
        <f t="shared" si="347"/>
        <v>9</v>
      </c>
      <c r="J4396">
        <f t="shared" si="348"/>
        <v>929.07</v>
      </c>
    </row>
    <row r="4397" spans="1:10" ht="12.5" x14ac:dyDescent="0.25">
      <c r="A4397" s="1">
        <v>45901</v>
      </c>
      <c r="B4397" s="2" t="s">
        <v>14</v>
      </c>
      <c r="C4397" s="2" t="s">
        <v>6</v>
      </c>
      <c r="D4397" s="2" t="s">
        <v>6</v>
      </c>
      <c r="E4397" s="3">
        <v>2000</v>
      </c>
      <c r="F4397" t="str">
        <f t="shared" si="344"/>
        <v>overhead</v>
      </c>
      <c r="G4397" s="7" t="s">
        <v>6</v>
      </c>
      <c r="H4397">
        <f t="shared" si="346"/>
        <v>2025</v>
      </c>
      <c r="I4397">
        <f t="shared" si="347"/>
        <v>9</v>
      </c>
      <c r="J4397">
        <f t="shared" si="348"/>
        <v>24.99</v>
      </c>
    </row>
    <row r="4398" spans="1:10" ht="12.5" x14ac:dyDescent="0.25">
      <c r="A4398" s="1">
        <v>45902</v>
      </c>
      <c r="B4398" s="2" t="s">
        <v>7</v>
      </c>
      <c r="C4398" s="3">
        <v>5.49</v>
      </c>
      <c r="D4398" s="3">
        <v>98</v>
      </c>
      <c r="E4398" s="3">
        <v>538.02</v>
      </c>
      <c r="F4398" t="str">
        <f t="shared" si="344"/>
        <v>cogs</v>
      </c>
      <c r="G4398" s="7" t="str">
        <f t="shared" si="345"/>
        <v>product 1</v>
      </c>
      <c r="H4398">
        <f t="shared" si="346"/>
        <v>2025</v>
      </c>
      <c r="I4398">
        <f t="shared" si="347"/>
        <v>9</v>
      </c>
      <c r="J4398">
        <f t="shared" si="348"/>
        <v>274.78000000000003</v>
      </c>
    </row>
    <row r="4399" spans="1:10" ht="12.5" x14ac:dyDescent="0.25">
      <c r="A4399" s="1">
        <v>45902</v>
      </c>
      <c r="B4399" s="2" t="s">
        <v>8</v>
      </c>
      <c r="C4399" s="3">
        <v>21.49</v>
      </c>
      <c r="D4399" s="3">
        <v>7</v>
      </c>
      <c r="E4399" s="3">
        <v>150.42999999999998</v>
      </c>
      <c r="F4399" t="str">
        <f t="shared" si="344"/>
        <v>cogs</v>
      </c>
      <c r="G4399" s="7" t="str">
        <f t="shared" si="345"/>
        <v>product 2</v>
      </c>
      <c r="H4399">
        <f t="shared" si="346"/>
        <v>2025</v>
      </c>
      <c r="I4399">
        <f t="shared" si="347"/>
        <v>9</v>
      </c>
      <c r="J4399">
        <f t="shared" si="348"/>
        <v>-400.77000000000004</v>
      </c>
    </row>
    <row r="4400" spans="1:10" ht="12.5" x14ac:dyDescent="0.25">
      <c r="A4400" s="1">
        <v>45902</v>
      </c>
      <c r="B4400" s="2" t="s">
        <v>9</v>
      </c>
      <c r="C4400" s="3">
        <v>8.99</v>
      </c>
      <c r="D4400" s="3">
        <v>202</v>
      </c>
      <c r="E4400" s="3">
        <v>1815.98</v>
      </c>
      <c r="F4400" t="str">
        <f t="shared" si="344"/>
        <v>cogs</v>
      </c>
      <c r="G4400" s="7" t="str">
        <f t="shared" si="345"/>
        <v>product 3</v>
      </c>
      <c r="H4400">
        <f t="shared" si="346"/>
        <v>2025</v>
      </c>
      <c r="I4400">
        <f t="shared" si="347"/>
        <v>9</v>
      </c>
      <c r="J4400">
        <f t="shared" si="348"/>
        <v>-19.989999999999998</v>
      </c>
    </row>
    <row r="4401" spans="1:10" ht="12.5" x14ac:dyDescent="0.25">
      <c r="A4401" s="1">
        <v>45902</v>
      </c>
      <c r="B4401" s="2" t="s">
        <v>10</v>
      </c>
      <c r="C4401" s="2" t="s">
        <v>6</v>
      </c>
      <c r="D4401" s="2" t="s">
        <v>6</v>
      </c>
      <c r="E4401" s="3">
        <v>103.01</v>
      </c>
      <c r="F4401" t="str">
        <f t="shared" si="344"/>
        <v>marketing</v>
      </c>
      <c r="G4401" s="7" t="s">
        <v>6</v>
      </c>
      <c r="H4401">
        <f t="shared" si="346"/>
        <v>2025</v>
      </c>
      <c r="I4401">
        <f t="shared" si="347"/>
        <v>9</v>
      </c>
      <c r="J4401">
        <f t="shared" si="348"/>
        <v>-215.76</v>
      </c>
    </row>
    <row r="4402" spans="1:10" ht="12.5" x14ac:dyDescent="0.25">
      <c r="A4402" s="1">
        <v>45902</v>
      </c>
      <c r="B4402" s="2" t="s">
        <v>11</v>
      </c>
      <c r="C4402" s="3">
        <v>9.99</v>
      </c>
      <c r="D4402" s="3">
        <v>98</v>
      </c>
      <c r="E4402" s="3">
        <v>979.02</v>
      </c>
      <c r="F4402" t="str">
        <f t="shared" si="344"/>
        <v>net sales</v>
      </c>
      <c r="G4402" s="7" t="str">
        <f t="shared" si="345"/>
        <v>product 1</v>
      </c>
      <c r="H4402">
        <f t="shared" si="346"/>
        <v>2025</v>
      </c>
      <c r="I4402">
        <f t="shared" si="347"/>
        <v>9</v>
      </c>
      <c r="J4402">
        <f t="shared" si="348"/>
        <v>-107.94</v>
      </c>
    </row>
    <row r="4403" spans="1:10" ht="12.5" x14ac:dyDescent="0.25">
      <c r="A4403" s="1">
        <v>45902</v>
      </c>
      <c r="B4403" s="2" t="s">
        <v>12</v>
      </c>
      <c r="C4403" s="3">
        <v>24.99</v>
      </c>
      <c r="D4403" s="3">
        <v>7</v>
      </c>
      <c r="E4403" s="3">
        <v>174.92999999999998</v>
      </c>
      <c r="F4403" t="str">
        <f t="shared" si="344"/>
        <v>net sales</v>
      </c>
      <c r="G4403" s="7" t="str">
        <f t="shared" si="345"/>
        <v>product 2</v>
      </c>
      <c r="H4403">
        <f t="shared" si="346"/>
        <v>2025</v>
      </c>
      <c r="I4403">
        <f t="shared" si="347"/>
        <v>9</v>
      </c>
      <c r="J4403">
        <f t="shared" si="348"/>
        <v>729.27</v>
      </c>
    </row>
    <row r="4404" spans="1:10" ht="12.5" x14ac:dyDescent="0.25">
      <c r="A4404" s="1">
        <v>45902</v>
      </c>
      <c r="B4404" s="2" t="s">
        <v>13</v>
      </c>
      <c r="C4404" s="3">
        <v>12.49</v>
      </c>
      <c r="D4404" s="3">
        <v>202</v>
      </c>
      <c r="E4404" s="3">
        <v>2522.98</v>
      </c>
      <c r="F4404" t="str">
        <f t="shared" si="344"/>
        <v>net sales</v>
      </c>
      <c r="G4404" s="7" t="str">
        <f t="shared" si="345"/>
        <v>product 3</v>
      </c>
      <c r="H4404">
        <f t="shared" si="346"/>
        <v>2025</v>
      </c>
      <c r="I4404">
        <f t="shared" si="347"/>
        <v>9</v>
      </c>
      <c r="J4404">
        <f t="shared" si="348"/>
        <v>24.99</v>
      </c>
    </row>
    <row r="4405" spans="1:10" ht="12.5" x14ac:dyDescent="0.25">
      <c r="A4405" s="1">
        <v>45903</v>
      </c>
      <c r="B4405" s="2" t="s">
        <v>7</v>
      </c>
      <c r="C4405" s="3">
        <v>5.49</v>
      </c>
      <c r="D4405" s="3">
        <v>51</v>
      </c>
      <c r="E4405" s="3">
        <v>279.99</v>
      </c>
      <c r="F4405" t="str">
        <f t="shared" si="344"/>
        <v>cogs</v>
      </c>
      <c r="G4405" s="7" t="str">
        <f t="shared" si="345"/>
        <v>product 1</v>
      </c>
      <c r="H4405">
        <f t="shared" si="346"/>
        <v>2025</v>
      </c>
      <c r="I4405">
        <f t="shared" si="347"/>
        <v>9</v>
      </c>
      <c r="J4405">
        <f t="shared" si="348"/>
        <v>299.76</v>
      </c>
    </row>
    <row r="4406" spans="1:10" ht="12.5" x14ac:dyDescent="0.25">
      <c r="A4406" s="1">
        <v>45903</v>
      </c>
      <c r="B4406" s="2" t="s">
        <v>8</v>
      </c>
      <c r="C4406" s="3">
        <v>21.49</v>
      </c>
      <c r="D4406" s="3">
        <v>1</v>
      </c>
      <c r="E4406" s="3">
        <v>21.49</v>
      </c>
      <c r="F4406" t="str">
        <f t="shared" si="344"/>
        <v>cogs</v>
      </c>
      <c r="G4406" s="7" t="str">
        <f t="shared" si="345"/>
        <v>product 2</v>
      </c>
      <c r="H4406">
        <f t="shared" si="346"/>
        <v>2025</v>
      </c>
      <c r="I4406">
        <f t="shared" si="347"/>
        <v>9</v>
      </c>
      <c r="J4406">
        <f t="shared" si="348"/>
        <v>-444.69</v>
      </c>
    </row>
    <row r="4407" spans="1:10" ht="12.5" x14ac:dyDescent="0.25">
      <c r="A4407" s="1">
        <v>45903</v>
      </c>
      <c r="B4407" s="2" t="s">
        <v>9</v>
      </c>
      <c r="C4407" s="3">
        <v>8.99</v>
      </c>
      <c r="D4407" s="3">
        <v>33</v>
      </c>
      <c r="E4407" s="3">
        <v>296.67</v>
      </c>
      <c r="F4407" t="str">
        <f t="shared" si="344"/>
        <v>cogs</v>
      </c>
      <c r="G4407" s="7" t="str">
        <f t="shared" si="345"/>
        <v>product 3</v>
      </c>
      <c r="H4407">
        <f t="shared" si="346"/>
        <v>2025</v>
      </c>
      <c r="I4407">
        <f t="shared" si="347"/>
        <v>9</v>
      </c>
      <c r="J4407">
        <f t="shared" si="348"/>
        <v>-139.92999999999998</v>
      </c>
    </row>
    <row r="4408" spans="1:10" ht="12.5" x14ac:dyDescent="0.25">
      <c r="A4408" s="1">
        <v>45903</v>
      </c>
      <c r="B4408" s="2" t="s">
        <v>10</v>
      </c>
      <c r="C4408" s="2" t="s">
        <v>6</v>
      </c>
      <c r="D4408" s="2" t="s">
        <v>6</v>
      </c>
      <c r="E4408" s="3">
        <v>108.01</v>
      </c>
      <c r="F4408" t="str">
        <f t="shared" si="344"/>
        <v>marketing</v>
      </c>
      <c r="G4408" s="7" t="s">
        <v>6</v>
      </c>
      <c r="H4408">
        <f t="shared" si="346"/>
        <v>2025</v>
      </c>
      <c r="I4408">
        <f t="shared" si="347"/>
        <v>9</v>
      </c>
      <c r="J4408">
        <f t="shared" si="348"/>
        <v>-53.94</v>
      </c>
    </row>
    <row r="4409" spans="1:10" ht="12.5" x14ac:dyDescent="0.25">
      <c r="A4409" s="1">
        <v>45903</v>
      </c>
      <c r="B4409" s="2" t="s">
        <v>11</v>
      </c>
      <c r="C4409" s="3">
        <v>9.99</v>
      </c>
      <c r="D4409" s="3">
        <v>51</v>
      </c>
      <c r="E4409" s="3">
        <v>509.49</v>
      </c>
      <c r="F4409" t="str">
        <f t="shared" si="344"/>
        <v>net sales</v>
      </c>
      <c r="G4409" s="7" t="str">
        <f t="shared" si="345"/>
        <v>product 1</v>
      </c>
      <c r="H4409">
        <f t="shared" si="346"/>
        <v>2025</v>
      </c>
      <c r="I4409">
        <f t="shared" si="347"/>
        <v>9</v>
      </c>
      <c r="J4409">
        <f t="shared" si="348"/>
        <v>-116.94</v>
      </c>
    </row>
    <row r="4410" spans="1:10" ht="12.5" x14ac:dyDescent="0.25">
      <c r="A4410" s="1">
        <v>45903</v>
      </c>
      <c r="B4410" s="2" t="s">
        <v>12</v>
      </c>
      <c r="C4410" s="3">
        <v>24.99</v>
      </c>
      <c r="D4410" s="3">
        <v>1</v>
      </c>
      <c r="E4410" s="3">
        <v>24.99</v>
      </c>
      <c r="F4410" t="str">
        <f t="shared" si="344"/>
        <v>net sales</v>
      </c>
      <c r="G4410" s="7" t="str">
        <f t="shared" si="345"/>
        <v>product 2</v>
      </c>
      <c r="H4410">
        <f t="shared" si="346"/>
        <v>2025</v>
      </c>
      <c r="I4410">
        <f t="shared" si="347"/>
        <v>9</v>
      </c>
      <c r="J4410">
        <f t="shared" si="348"/>
        <v>809.19</v>
      </c>
    </row>
    <row r="4411" spans="1:10" ht="12.5" x14ac:dyDescent="0.25">
      <c r="A4411" s="1">
        <v>45903</v>
      </c>
      <c r="B4411" s="2" t="s">
        <v>13</v>
      </c>
      <c r="C4411" s="3">
        <v>12.49</v>
      </c>
      <c r="D4411" s="3">
        <v>33</v>
      </c>
      <c r="E4411" s="3">
        <v>412.17</v>
      </c>
      <c r="F4411" t="str">
        <f t="shared" si="344"/>
        <v>net sales</v>
      </c>
      <c r="G4411" s="7" t="str">
        <f t="shared" si="345"/>
        <v>product 3</v>
      </c>
      <c r="H4411">
        <f t="shared" si="346"/>
        <v>2025</v>
      </c>
      <c r="I4411">
        <f t="shared" si="347"/>
        <v>9</v>
      </c>
      <c r="J4411">
        <f t="shared" si="348"/>
        <v>174.92999999999998</v>
      </c>
    </row>
    <row r="4412" spans="1:10" ht="12.5" x14ac:dyDescent="0.25">
      <c r="A4412" s="1">
        <v>45904</v>
      </c>
      <c r="B4412" s="2" t="s">
        <v>7</v>
      </c>
      <c r="C4412" s="3">
        <v>5.49</v>
      </c>
      <c r="D4412" s="3">
        <v>16</v>
      </c>
      <c r="E4412" s="3">
        <v>87.84</v>
      </c>
      <c r="F4412" t="str">
        <f t="shared" si="344"/>
        <v>cogs</v>
      </c>
      <c r="G4412" s="7" t="str">
        <f t="shared" si="345"/>
        <v>product 1</v>
      </c>
      <c r="H4412">
        <f t="shared" si="346"/>
        <v>2025</v>
      </c>
      <c r="I4412">
        <f t="shared" si="347"/>
        <v>9</v>
      </c>
      <c r="J4412">
        <f t="shared" si="348"/>
        <v>74.94</v>
      </c>
    </row>
    <row r="4413" spans="1:10" ht="12.5" x14ac:dyDescent="0.25">
      <c r="A4413" s="1">
        <v>45904</v>
      </c>
      <c r="B4413" s="2" t="s">
        <v>8</v>
      </c>
      <c r="C4413" s="3">
        <v>21.49</v>
      </c>
      <c r="D4413" s="3">
        <v>0</v>
      </c>
      <c r="E4413" s="2">
        <f>C4413*D4413</f>
        <v>0</v>
      </c>
      <c r="F4413" t="str">
        <f t="shared" si="344"/>
        <v>cogs</v>
      </c>
      <c r="G4413" s="7" t="str">
        <f t="shared" si="345"/>
        <v>product 2</v>
      </c>
      <c r="H4413">
        <f t="shared" si="346"/>
        <v>2025</v>
      </c>
      <c r="I4413">
        <f t="shared" si="347"/>
        <v>9</v>
      </c>
      <c r="J4413">
        <f t="shared" si="348"/>
        <v>-510.57</v>
      </c>
    </row>
    <row r="4414" spans="1:10" ht="12.5" x14ac:dyDescent="0.25">
      <c r="A4414" s="1">
        <v>45904</v>
      </c>
      <c r="B4414" s="2" t="s">
        <v>9</v>
      </c>
      <c r="C4414" s="3">
        <v>8.99</v>
      </c>
      <c r="D4414" s="3">
        <v>41</v>
      </c>
      <c r="E4414" s="3">
        <v>368.59000000000003</v>
      </c>
      <c r="F4414" t="str">
        <f t="shared" si="344"/>
        <v>cogs</v>
      </c>
      <c r="G4414" s="7" t="str">
        <f t="shared" si="345"/>
        <v>product 3</v>
      </c>
      <c r="H4414">
        <f t="shared" si="346"/>
        <v>2025</v>
      </c>
      <c r="I4414">
        <f t="shared" si="347"/>
        <v>9</v>
      </c>
      <c r="J4414">
        <f t="shared" si="348"/>
        <v>-179.91</v>
      </c>
    </row>
    <row r="4415" spans="1:10" ht="12.5" x14ac:dyDescent="0.25">
      <c r="A4415" s="1">
        <v>45904</v>
      </c>
      <c r="B4415" s="2" t="s">
        <v>10</v>
      </c>
      <c r="C4415" s="2" t="s">
        <v>6</v>
      </c>
      <c r="D4415" s="2" t="s">
        <v>6</v>
      </c>
      <c r="E4415" s="3">
        <v>102.04</v>
      </c>
      <c r="F4415" t="str">
        <f t="shared" si="344"/>
        <v>marketing</v>
      </c>
      <c r="G4415" s="7" t="s">
        <v>6</v>
      </c>
      <c r="H4415">
        <f t="shared" si="346"/>
        <v>2025</v>
      </c>
      <c r="I4415">
        <f t="shared" si="347"/>
        <v>9</v>
      </c>
      <c r="J4415">
        <f t="shared" si="348"/>
        <v>0</v>
      </c>
    </row>
    <row r="4416" spans="1:10" ht="12.5" x14ac:dyDescent="0.25">
      <c r="A4416" s="1">
        <v>45904</v>
      </c>
      <c r="B4416" s="2" t="s">
        <v>11</v>
      </c>
      <c r="C4416" s="3">
        <v>9.99</v>
      </c>
      <c r="D4416" s="3">
        <v>16</v>
      </c>
      <c r="E4416" s="3">
        <v>159.84</v>
      </c>
      <c r="F4416" t="str">
        <f t="shared" si="344"/>
        <v>net sales</v>
      </c>
      <c r="G4416" s="7" t="str">
        <f t="shared" si="345"/>
        <v>product 1</v>
      </c>
      <c r="H4416">
        <f t="shared" si="346"/>
        <v>2025</v>
      </c>
      <c r="I4416">
        <f t="shared" si="347"/>
        <v>9</v>
      </c>
      <c r="J4416">
        <f t="shared" si="348"/>
        <v>-108.93</v>
      </c>
    </row>
    <row r="4417" spans="1:10" ht="12.5" x14ac:dyDescent="0.25">
      <c r="A4417" s="1">
        <v>45904</v>
      </c>
      <c r="B4417" s="2" t="s">
        <v>12</v>
      </c>
      <c r="C4417" s="3">
        <v>24.99</v>
      </c>
      <c r="D4417" s="3">
        <v>0</v>
      </c>
      <c r="E4417" s="2">
        <f>C4417*D4417</f>
        <v>0</v>
      </c>
      <c r="F4417" t="str">
        <f t="shared" si="344"/>
        <v>net sales</v>
      </c>
      <c r="G4417" s="7" t="str">
        <f t="shared" si="345"/>
        <v>product 2</v>
      </c>
      <c r="H4417">
        <f t="shared" si="346"/>
        <v>2025</v>
      </c>
      <c r="I4417">
        <f t="shared" si="347"/>
        <v>9</v>
      </c>
      <c r="J4417">
        <f t="shared" si="348"/>
        <v>929.07</v>
      </c>
    </row>
    <row r="4418" spans="1:10" ht="12.5" x14ac:dyDescent="0.25">
      <c r="A4418" s="1">
        <v>45904</v>
      </c>
      <c r="B4418" s="2" t="s">
        <v>13</v>
      </c>
      <c r="C4418" s="3">
        <v>12.49</v>
      </c>
      <c r="D4418" s="3">
        <v>41</v>
      </c>
      <c r="E4418" s="3">
        <v>512.09</v>
      </c>
      <c r="F4418" t="str">
        <f t="shared" si="344"/>
        <v>net sales</v>
      </c>
      <c r="G4418" s="7" t="str">
        <f t="shared" si="345"/>
        <v>product 3</v>
      </c>
      <c r="H4418">
        <f t="shared" si="346"/>
        <v>2025</v>
      </c>
      <c r="I4418">
        <f t="shared" si="347"/>
        <v>9</v>
      </c>
      <c r="J4418">
        <f t="shared" si="348"/>
        <v>224.91</v>
      </c>
    </row>
    <row r="4419" spans="1:10" ht="12.5" x14ac:dyDescent="0.25">
      <c r="A4419" s="1">
        <v>45905</v>
      </c>
      <c r="B4419" s="2" t="s">
        <v>7</v>
      </c>
      <c r="C4419" s="3">
        <v>5.49</v>
      </c>
      <c r="D4419" s="3">
        <v>11</v>
      </c>
      <c r="E4419" s="3">
        <v>60.39</v>
      </c>
      <c r="F4419" t="str">
        <f t="shared" ref="F4419:F4482" si="349">IFERROR(LEFT(B4419,FIND(":",B4419)-1),B4419)</f>
        <v>cogs</v>
      </c>
      <c r="G4419" s="7" t="str">
        <f t="shared" ref="G4419:G4482" si="350">IFERROR(RIGHT(B4419,LEN(B4419)-FIND(":",B4419)),"")</f>
        <v>product 1</v>
      </c>
      <c r="H4419">
        <f t="shared" ref="H4419:H4482" si="351">YEAR(A4419)</f>
        <v>2025</v>
      </c>
      <c r="I4419">
        <f t="shared" ref="I4419:I4482" si="352">MONTH(A4419)</f>
        <v>9</v>
      </c>
      <c r="J4419">
        <f t="shared" si="348"/>
        <v>0</v>
      </c>
    </row>
    <row r="4420" spans="1:10" ht="12.5" x14ac:dyDescent="0.25">
      <c r="A4420" s="1">
        <v>45905</v>
      </c>
      <c r="B4420" s="2" t="s">
        <v>8</v>
      </c>
      <c r="C4420" s="3">
        <v>21.49</v>
      </c>
      <c r="D4420" s="3">
        <v>0</v>
      </c>
      <c r="E4420" s="2">
        <f>C4420*D4420</f>
        <v>0</v>
      </c>
      <c r="F4420" t="str">
        <f t="shared" si="349"/>
        <v>cogs</v>
      </c>
      <c r="G4420" s="7" t="str">
        <f t="shared" si="350"/>
        <v>product 2</v>
      </c>
      <c r="H4420">
        <f t="shared" si="351"/>
        <v>2025</v>
      </c>
      <c r="I4420">
        <f t="shared" si="352"/>
        <v>9</v>
      </c>
      <c r="J4420">
        <f t="shared" si="348"/>
        <v>-466.65000000000003</v>
      </c>
    </row>
    <row r="4421" spans="1:10" ht="12.5" x14ac:dyDescent="0.25">
      <c r="A4421" s="1">
        <v>45905</v>
      </c>
      <c r="B4421" s="2" t="s">
        <v>9</v>
      </c>
      <c r="C4421" s="3">
        <v>8.99</v>
      </c>
      <c r="D4421" s="3">
        <v>88</v>
      </c>
      <c r="E4421" s="3">
        <v>791.12</v>
      </c>
      <c r="F4421" t="str">
        <f t="shared" si="349"/>
        <v>cogs</v>
      </c>
      <c r="G4421" s="7" t="str">
        <f t="shared" si="350"/>
        <v>product 3</v>
      </c>
      <c r="H4421">
        <f t="shared" si="351"/>
        <v>2025</v>
      </c>
      <c r="I4421">
        <f t="shared" si="352"/>
        <v>9</v>
      </c>
      <c r="J4421">
        <f t="shared" si="348"/>
        <v>0</v>
      </c>
    </row>
    <row r="4422" spans="1:10" ht="12.5" x14ac:dyDescent="0.25">
      <c r="A4422" s="1">
        <v>45905</v>
      </c>
      <c r="B4422" s="2" t="s">
        <v>10</v>
      </c>
      <c r="C4422" s="2" t="s">
        <v>6</v>
      </c>
      <c r="D4422" s="2" t="s">
        <v>6</v>
      </c>
      <c r="E4422" s="3">
        <v>116.07000000000001</v>
      </c>
      <c r="F4422" t="str">
        <f t="shared" si="349"/>
        <v>marketing</v>
      </c>
      <c r="G4422" s="7" t="s">
        <v>6</v>
      </c>
      <c r="H4422">
        <f t="shared" si="351"/>
        <v>2025</v>
      </c>
      <c r="I4422">
        <f t="shared" si="352"/>
        <v>9</v>
      </c>
      <c r="J4422">
        <f t="shared" si="348"/>
        <v>-1986.79</v>
      </c>
    </row>
    <row r="4423" spans="1:10" ht="12.5" x14ac:dyDescent="0.25">
      <c r="A4423" s="1">
        <v>45905</v>
      </c>
      <c r="B4423" s="2" t="s">
        <v>11</v>
      </c>
      <c r="C4423" s="3">
        <v>9.99</v>
      </c>
      <c r="D4423" s="3">
        <v>11</v>
      </c>
      <c r="E4423" s="3">
        <v>109.89</v>
      </c>
      <c r="F4423" t="str">
        <f t="shared" si="349"/>
        <v>net sales</v>
      </c>
      <c r="G4423" s="7" t="str">
        <f t="shared" si="350"/>
        <v>product 1</v>
      </c>
      <c r="H4423">
        <f t="shared" si="351"/>
        <v>2025</v>
      </c>
      <c r="I4423">
        <f t="shared" si="352"/>
        <v>9</v>
      </c>
      <c r="J4423">
        <f t="shared" si="348"/>
        <v>-113.91</v>
      </c>
    </row>
    <row r="4424" spans="1:10" ht="12.5" x14ac:dyDescent="0.25">
      <c r="A4424" s="1">
        <v>45905</v>
      </c>
      <c r="B4424" s="2" t="s">
        <v>12</v>
      </c>
      <c r="C4424" s="3">
        <v>24.99</v>
      </c>
      <c r="D4424" s="3">
        <v>0</v>
      </c>
      <c r="E4424" s="2">
        <f>C4424*D4424</f>
        <v>0</v>
      </c>
      <c r="F4424" t="str">
        <f t="shared" si="349"/>
        <v>net sales</v>
      </c>
      <c r="G4424" s="7" t="str">
        <f t="shared" si="350"/>
        <v>product 2</v>
      </c>
      <c r="H4424">
        <f t="shared" si="351"/>
        <v>2025</v>
      </c>
      <c r="I4424">
        <f t="shared" si="352"/>
        <v>9</v>
      </c>
      <c r="J4424">
        <f t="shared" si="348"/>
        <v>849.15</v>
      </c>
    </row>
    <row r="4425" spans="1:10" ht="12.5" x14ac:dyDescent="0.25">
      <c r="A4425" s="1">
        <v>45905</v>
      </c>
      <c r="B4425" s="2" t="s">
        <v>13</v>
      </c>
      <c r="C4425" s="3">
        <v>12.49</v>
      </c>
      <c r="D4425" s="3">
        <v>88</v>
      </c>
      <c r="E4425" s="3">
        <v>1099.1200000000001</v>
      </c>
      <c r="F4425" t="str">
        <f t="shared" si="349"/>
        <v>net sales</v>
      </c>
      <c r="G4425" s="7" t="str">
        <f t="shared" si="350"/>
        <v>product 3</v>
      </c>
      <c r="H4425">
        <f t="shared" si="351"/>
        <v>2025</v>
      </c>
      <c r="I4425">
        <f t="shared" si="352"/>
        <v>9</v>
      </c>
      <c r="J4425">
        <f t="shared" si="348"/>
        <v>0</v>
      </c>
    </row>
    <row r="4426" spans="1:10" ht="12.5" x14ac:dyDescent="0.25">
      <c r="A4426" s="1">
        <v>45906</v>
      </c>
      <c r="B4426" s="2" t="s">
        <v>7</v>
      </c>
      <c r="C4426" s="3">
        <v>5.49</v>
      </c>
      <c r="D4426" s="3">
        <v>36</v>
      </c>
      <c r="E4426" s="3">
        <v>197.64000000000001</v>
      </c>
      <c r="F4426" t="str">
        <f t="shared" si="349"/>
        <v>cogs</v>
      </c>
      <c r="G4426" s="7" t="str">
        <f t="shared" si="350"/>
        <v>product 1</v>
      </c>
      <c r="H4426">
        <f t="shared" si="351"/>
        <v>2025</v>
      </c>
      <c r="I4426">
        <f t="shared" si="352"/>
        <v>9</v>
      </c>
      <c r="J4426">
        <f t="shared" si="348"/>
        <v>2760.29</v>
      </c>
    </row>
    <row r="4427" spans="1:10" ht="12.5" x14ac:dyDescent="0.25">
      <c r="A4427" s="1">
        <v>45906</v>
      </c>
      <c r="B4427" s="2" t="s">
        <v>8</v>
      </c>
      <c r="C4427" s="3">
        <v>21.49</v>
      </c>
      <c r="D4427" s="3">
        <v>7</v>
      </c>
      <c r="E4427" s="3">
        <v>150.42999999999998</v>
      </c>
      <c r="F4427" t="str">
        <f t="shared" si="349"/>
        <v>cogs</v>
      </c>
      <c r="G4427" s="7" t="str">
        <f t="shared" si="350"/>
        <v>product 2</v>
      </c>
      <c r="H4427">
        <f t="shared" si="351"/>
        <v>2025</v>
      </c>
      <c r="I4427">
        <f t="shared" si="352"/>
        <v>9</v>
      </c>
      <c r="J4427">
        <f t="shared" si="348"/>
        <v>-175.68</v>
      </c>
    </row>
    <row r="4428" spans="1:10" ht="12.5" x14ac:dyDescent="0.25">
      <c r="A4428" s="1">
        <v>45906</v>
      </c>
      <c r="B4428" s="2" t="s">
        <v>9</v>
      </c>
      <c r="C4428" s="3">
        <v>8.99</v>
      </c>
      <c r="D4428" s="3">
        <v>147</v>
      </c>
      <c r="E4428" s="3">
        <v>1321.53</v>
      </c>
      <c r="F4428" t="str">
        <f t="shared" si="349"/>
        <v>cogs</v>
      </c>
      <c r="G4428" s="7" t="str">
        <f t="shared" si="350"/>
        <v>product 3</v>
      </c>
      <c r="H4428">
        <f t="shared" si="351"/>
        <v>2025</v>
      </c>
      <c r="I4428">
        <f t="shared" si="352"/>
        <v>9</v>
      </c>
      <c r="J4428">
        <f t="shared" si="348"/>
        <v>-79.959999999999994</v>
      </c>
    </row>
    <row r="4429" spans="1:10" ht="12.5" x14ac:dyDescent="0.25">
      <c r="A4429" s="1">
        <v>45906</v>
      </c>
      <c r="B4429" s="2" t="s">
        <v>10</v>
      </c>
      <c r="C4429" s="2" t="s">
        <v>6</v>
      </c>
      <c r="D4429" s="2" t="s">
        <v>6</v>
      </c>
      <c r="E4429" s="3">
        <v>113.03</v>
      </c>
      <c r="F4429" t="str">
        <f t="shared" si="349"/>
        <v>marketing</v>
      </c>
      <c r="G4429" s="7" t="s">
        <v>6</v>
      </c>
      <c r="H4429">
        <f t="shared" si="351"/>
        <v>2025</v>
      </c>
      <c r="I4429">
        <f t="shared" si="352"/>
        <v>9</v>
      </c>
      <c r="J4429">
        <f t="shared" si="348"/>
        <v>-1240.6200000000001</v>
      </c>
    </row>
    <row r="4430" spans="1:10" ht="12.5" x14ac:dyDescent="0.25">
      <c r="A4430" s="1">
        <v>45906</v>
      </c>
      <c r="B4430" s="2" t="s">
        <v>11</v>
      </c>
      <c r="C4430" s="3">
        <v>9.99</v>
      </c>
      <c r="D4430" s="3">
        <v>36</v>
      </c>
      <c r="E4430" s="3">
        <v>359.64</v>
      </c>
      <c r="F4430" t="str">
        <f t="shared" si="349"/>
        <v>net sales</v>
      </c>
      <c r="G4430" s="7" t="str">
        <f t="shared" si="350"/>
        <v>product 1</v>
      </c>
      <c r="H4430">
        <f t="shared" si="351"/>
        <v>2025</v>
      </c>
      <c r="I4430">
        <f t="shared" si="352"/>
        <v>9</v>
      </c>
      <c r="J4430">
        <f t="shared" si="348"/>
        <v>-112.94</v>
      </c>
    </row>
    <row r="4431" spans="1:10" ht="12.5" x14ac:dyDescent="0.25">
      <c r="A4431" s="1">
        <v>45906</v>
      </c>
      <c r="B4431" s="2" t="s">
        <v>12</v>
      </c>
      <c r="C4431" s="3">
        <v>24.99</v>
      </c>
      <c r="D4431" s="3">
        <v>7</v>
      </c>
      <c r="E4431" s="3">
        <v>174.92999999999998</v>
      </c>
      <c r="F4431" t="str">
        <f t="shared" si="349"/>
        <v>net sales</v>
      </c>
      <c r="G4431" s="7" t="str">
        <f t="shared" si="350"/>
        <v>product 2</v>
      </c>
      <c r="H4431">
        <f t="shared" si="351"/>
        <v>2025</v>
      </c>
      <c r="I4431">
        <f t="shared" si="352"/>
        <v>9</v>
      </c>
      <c r="J4431">
        <f t="shared" si="348"/>
        <v>319.68</v>
      </c>
    </row>
    <row r="4432" spans="1:10" ht="12.5" x14ac:dyDescent="0.25">
      <c r="A4432" s="1">
        <v>45906</v>
      </c>
      <c r="B4432" s="2" t="s">
        <v>13</v>
      </c>
      <c r="C4432" s="3">
        <v>12.49</v>
      </c>
      <c r="D4432" s="3">
        <v>147</v>
      </c>
      <c r="E4432" s="3">
        <v>1836.03</v>
      </c>
      <c r="F4432" t="str">
        <f t="shared" si="349"/>
        <v>net sales</v>
      </c>
      <c r="G4432" s="7" t="str">
        <f t="shared" si="350"/>
        <v>product 3</v>
      </c>
      <c r="H4432">
        <f t="shared" si="351"/>
        <v>2025</v>
      </c>
      <c r="I4432">
        <f t="shared" si="352"/>
        <v>9</v>
      </c>
      <c r="J4432">
        <f t="shared" si="348"/>
        <v>99.96</v>
      </c>
    </row>
    <row r="4433" spans="1:10" ht="12.5" x14ac:dyDescent="0.25">
      <c r="A4433" s="1">
        <v>45907</v>
      </c>
      <c r="B4433" s="2" t="s">
        <v>7</v>
      </c>
      <c r="C4433" s="3">
        <v>5.49</v>
      </c>
      <c r="D4433" s="3">
        <v>18</v>
      </c>
      <c r="E4433" s="3">
        <v>98.820000000000007</v>
      </c>
      <c r="F4433" t="str">
        <f t="shared" si="349"/>
        <v>cogs</v>
      </c>
      <c r="G4433" s="7" t="str">
        <f t="shared" si="350"/>
        <v>product 1</v>
      </c>
      <c r="H4433">
        <f t="shared" si="351"/>
        <v>2025</v>
      </c>
      <c r="I4433">
        <f t="shared" si="352"/>
        <v>9</v>
      </c>
      <c r="J4433">
        <f t="shared" si="348"/>
        <v>1723.6200000000001</v>
      </c>
    </row>
    <row r="4434" spans="1:10" ht="12.5" x14ac:dyDescent="0.25">
      <c r="A4434" s="1">
        <v>45907</v>
      </c>
      <c r="B4434" s="2" t="s">
        <v>8</v>
      </c>
      <c r="C4434" s="3">
        <v>21.49</v>
      </c>
      <c r="D4434" s="3">
        <v>4</v>
      </c>
      <c r="E4434" s="3">
        <v>85.96</v>
      </c>
      <c r="F4434" t="str">
        <f t="shared" si="349"/>
        <v>cogs</v>
      </c>
      <c r="G4434" s="7" t="str">
        <f t="shared" si="350"/>
        <v>product 2</v>
      </c>
      <c r="H4434">
        <f t="shared" si="351"/>
        <v>2025</v>
      </c>
      <c r="I4434">
        <f t="shared" si="352"/>
        <v>9</v>
      </c>
      <c r="J4434">
        <f t="shared" si="348"/>
        <v>-21.96</v>
      </c>
    </row>
    <row r="4435" spans="1:10" ht="12.5" x14ac:dyDescent="0.25">
      <c r="A4435" s="1">
        <v>45907</v>
      </c>
      <c r="B4435" s="2" t="s">
        <v>9</v>
      </c>
      <c r="C4435" s="3">
        <v>8.99</v>
      </c>
      <c r="D4435" s="3">
        <v>24</v>
      </c>
      <c r="E4435" s="3">
        <v>215.76</v>
      </c>
      <c r="F4435" t="str">
        <f t="shared" si="349"/>
        <v>cogs</v>
      </c>
      <c r="G4435" s="7" t="str">
        <f t="shared" si="350"/>
        <v>product 3</v>
      </c>
      <c r="H4435">
        <f t="shared" si="351"/>
        <v>2025</v>
      </c>
      <c r="I4435">
        <f t="shared" si="352"/>
        <v>9</v>
      </c>
      <c r="J4435">
        <f t="shared" si="348"/>
        <v>-119.94</v>
      </c>
    </row>
    <row r="4436" spans="1:10" ht="12.5" x14ac:dyDescent="0.25">
      <c r="A4436" s="1">
        <v>45907</v>
      </c>
      <c r="B4436" s="2" t="s">
        <v>10</v>
      </c>
      <c r="C4436" s="2" t="s">
        <v>6</v>
      </c>
      <c r="D4436" s="2" t="s">
        <v>6</v>
      </c>
      <c r="E4436" s="3">
        <v>104.91</v>
      </c>
      <c r="F4436" t="str">
        <f t="shared" si="349"/>
        <v>marketing</v>
      </c>
      <c r="G4436" s="7" t="s">
        <v>6</v>
      </c>
      <c r="H4436">
        <f t="shared" si="351"/>
        <v>2025</v>
      </c>
      <c r="I4436">
        <f t="shared" si="352"/>
        <v>9</v>
      </c>
      <c r="J4436">
        <f t="shared" si="348"/>
        <v>-2031.74</v>
      </c>
    </row>
    <row r="4437" spans="1:10" ht="12.5" x14ac:dyDescent="0.25">
      <c r="A4437" s="1">
        <v>45907</v>
      </c>
      <c r="B4437" s="2" t="s">
        <v>11</v>
      </c>
      <c r="C4437" s="3">
        <v>9.99</v>
      </c>
      <c r="D4437" s="3">
        <v>18</v>
      </c>
      <c r="E4437" s="3">
        <v>179.82</v>
      </c>
      <c r="F4437" t="str">
        <f t="shared" si="349"/>
        <v>net sales</v>
      </c>
      <c r="G4437" s="7" t="str">
        <f t="shared" si="350"/>
        <v>product 1</v>
      </c>
      <c r="H4437">
        <f t="shared" si="351"/>
        <v>2025</v>
      </c>
      <c r="I4437">
        <f t="shared" si="352"/>
        <v>9</v>
      </c>
      <c r="J4437">
        <f t="shared" si="348"/>
        <v>-103.02</v>
      </c>
    </row>
    <row r="4438" spans="1:10" ht="12.5" x14ac:dyDescent="0.25">
      <c r="A4438" s="1">
        <v>45907</v>
      </c>
      <c r="B4438" s="2" t="s">
        <v>12</v>
      </c>
      <c r="C4438" s="3">
        <v>24.99</v>
      </c>
      <c r="D4438" s="3">
        <v>4</v>
      </c>
      <c r="E4438" s="3">
        <v>99.96</v>
      </c>
      <c r="F4438" t="str">
        <f t="shared" si="349"/>
        <v>net sales</v>
      </c>
      <c r="G4438" s="7" t="str">
        <f t="shared" si="350"/>
        <v>product 2</v>
      </c>
      <c r="H4438">
        <f t="shared" si="351"/>
        <v>2025</v>
      </c>
      <c r="I4438">
        <f t="shared" si="352"/>
        <v>9</v>
      </c>
      <c r="J4438">
        <f t="shared" si="348"/>
        <v>39.96</v>
      </c>
    </row>
    <row r="4439" spans="1:10" ht="12.5" x14ac:dyDescent="0.25">
      <c r="A4439" s="1">
        <v>45907</v>
      </c>
      <c r="B4439" s="2" t="s">
        <v>13</v>
      </c>
      <c r="C4439" s="3">
        <v>12.49</v>
      </c>
      <c r="D4439" s="3">
        <v>24</v>
      </c>
      <c r="E4439" s="3">
        <v>299.76</v>
      </c>
      <c r="F4439" t="str">
        <f t="shared" si="349"/>
        <v>net sales</v>
      </c>
      <c r="G4439" s="7" t="str">
        <f t="shared" si="350"/>
        <v>product 3</v>
      </c>
      <c r="H4439">
        <f t="shared" si="351"/>
        <v>2025</v>
      </c>
      <c r="I4439">
        <f t="shared" si="352"/>
        <v>9</v>
      </c>
      <c r="J4439">
        <f t="shared" si="348"/>
        <v>149.94</v>
      </c>
    </row>
    <row r="4440" spans="1:10" ht="12.5" x14ac:dyDescent="0.25">
      <c r="A4440" s="1">
        <v>45908</v>
      </c>
      <c r="B4440" s="2" t="s">
        <v>7</v>
      </c>
      <c r="C4440" s="3">
        <v>5.49</v>
      </c>
      <c r="D4440" s="3">
        <v>36</v>
      </c>
      <c r="E4440" s="3">
        <v>197.64000000000001</v>
      </c>
      <c r="F4440" t="str">
        <f t="shared" si="349"/>
        <v>cogs</v>
      </c>
      <c r="G4440" s="7" t="str">
        <f t="shared" si="350"/>
        <v>product 1</v>
      </c>
      <c r="H4440">
        <f t="shared" si="351"/>
        <v>2025</v>
      </c>
      <c r="I4440">
        <f t="shared" si="352"/>
        <v>9</v>
      </c>
      <c r="J4440">
        <f t="shared" si="348"/>
        <v>2822.7400000000002</v>
      </c>
    </row>
    <row r="4441" spans="1:10" ht="12.5" x14ac:dyDescent="0.25">
      <c r="A4441" s="1">
        <v>45908</v>
      </c>
      <c r="B4441" s="2" t="s">
        <v>8</v>
      </c>
      <c r="C4441" s="3">
        <v>21.49</v>
      </c>
      <c r="D4441" s="3">
        <v>5</v>
      </c>
      <c r="E4441" s="3">
        <v>107.44999999999999</v>
      </c>
      <c r="F4441" t="str">
        <f t="shared" si="349"/>
        <v>cogs</v>
      </c>
      <c r="G4441" s="7" t="str">
        <f t="shared" si="350"/>
        <v>product 2</v>
      </c>
      <c r="H4441">
        <f t="shared" si="351"/>
        <v>2025</v>
      </c>
      <c r="I4441">
        <f t="shared" si="352"/>
        <v>9</v>
      </c>
      <c r="J4441">
        <f t="shared" si="348"/>
        <v>-472.14000000000004</v>
      </c>
    </row>
    <row r="4442" spans="1:10" ht="12.5" x14ac:dyDescent="0.25">
      <c r="A4442" s="1">
        <v>45908</v>
      </c>
      <c r="B4442" s="2" t="s">
        <v>9</v>
      </c>
      <c r="C4442" s="3">
        <v>8.99</v>
      </c>
      <c r="D4442" s="3">
        <v>86</v>
      </c>
      <c r="E4442" s="3">
        <v>773.14</v>
      </c>
      <c r="F4442" t="str">
        <f t="shared" si="349"/>
        <v>cogs</v>
      </c>
      <c r="G4442" s="7" t="str">
        <f t="shared" si="350"/>
        <v>product 3</v>
      </c>
      <c r="H4442">
        <f t="shared" si="351"/>
        <v>2025</v>
      </c>
      <c r="I4442">
        <f t="shared" si="352"/>
        <v>9</v>
      </c>
      <c r="J4442">
        <f t="shared" si="348"/>
        <v>-19.989999999999998</v>
      </c>
    </row>
    <row r="4443" spans="1:10" ht="12.5" x14ac:dyDescent="0.25">
      <c r="A4443" s="1">
        <v>45908</v>
      </c>
      <c r="B4443" s="2" t="s">
        <v>10</v>
      </c>
      <c r="C4443" s="2" t="s">
        <v>6</v>
      </c>
      <c r="D4443" s="2" t="s">
        <v>6</v>
      </c>
      <c r="E4443" s="3">
        <v>101.04</v>
      </c>
      <c r="F4443" t="str">
        <f t="shared" si="349"/>
        <v>marketing</v>
      </c>
      <c r="G4443" s="7" t="s">
        <v>6</v>
      </c>
      <c r="H4443">
        <f t="shared" si="351"/>
        <v>2025</v>
      </c>
      <c r="I4443">
        <f t="shared" si="352"/>
        <v>9</v>
      </c>
      <c r="J4443">
        <f t="shared" si="348"/>
        <v>-1833.96</v>
      </c>
    </row>
    <row r="4444" spans="1:10" ht="12.5" x14ac:dyDescent="0.25">
      <c r="A4444" s="1">
        <v>45908</v>
      </c>
      <c r="B4444" s="2" t="s">
        <v>11</v>
      </c>
      <c r="C4444" s="3">
        <v>9.99</v>
      </c>
      <c r="D4444" s="3">
        <v>36</v>
      </c>
      <c r="E4444" s="3">
        <v>359.64</v>
      </c>
      <c r="F4444" t="str">
        <f t="shared" si="349"/>
        <v>net sales</v>
      </c>
      <c r="G4444" s="7" t="str">
        <f t="shared" si="350"/>
        <v>product 1</v>
      </c>
      <c r="H4444">
        <f t="shared" si="351"/>
        <v>2025</v>
      </c>
      <c r="I4444">
        <f t="shared" si="352"/>
        <v>9</v>
      </c>
      <c r="J4444">
        <f t="shared" ref="J4444:J4507" si="353">IF(F4227="net sales",E4227,
IF(F4227="cogs",-E4227,
IF(OR(F4227="marketing",F4227="overhead",F4227="payroll",F4227="interest","amortization"),-E4227,0)))</f>
        <v>-105.06</v>
      </c>
    </row>
    <row r="4445" spans="1:10" ht="12.5" x14ac:dyDescent="0.25">
      <c r="A4445" s="1">
        <v>45908</v>
      </c>
      <c r="B4445" s="2" t="s">
        <v>12</v>
      </c>
      <c r="C4445" s="3">
        <v>24.99</v>
      </c>
      <c r="D4445" s="3">
        <v>5</v>
      </c>
      <c r="E4445" s="3">
        <v>124.94999999999999</v>
      </c>
      <c r="F4445" t="str">
        <f t="shared" si="349"/>
        <v>net sales</v>
      </c>
      <c r="G4445" s="7" t="str">
        <f t="shared" si="350"/>
        <v>product 2</v>
      </c>
      <c r="H4445">
        <f t="shared" si="351"/>
        <v>2025</v>
      </c>
      <c r="I4445">
        <f t="shared" si="352"/>
        <v>9</v>
      </c>
      <c r="J4445">
        <f t="shared" si="353"/>
        <v>859.14</v>
      </c>
    </row>
    <row r="4446" spans="1:10" ht="12.5" x14ac:dyDescent="0.25">
      <c r="A4446" s="1">
        <v>45908</v>
      </c>
      <c r="B4446" s="2" t="s">
        <v>13</v>
      </c>
      <c r="C4446" s="3">
        <v>12.49</v>
      </c>
      <c r="D4446" s="3">
        <v>86</v>
      </c>
      <c r="E4446" s="3">
        <v>1074.1400000000001</v>
      </c>
      <c r="F4446" t="str">
        <f t="shared" si="349"/>
        <v>net sales</v>
      </c>
      <c r="G4446" s="7" t="str">
        <f t="shared" si="350"/>
        <v>product 3</v>
      </c>
      <c r="H4446">
        <f t="shared" si="351"/>
        <v>2025</v>
      </c>
      <c r="I4446">
        <f t="shared" si="352"/>
        <v>9</v>
      </c>
      <c r="J4446">
        <f t="shared" si="353"/>
        <v>24.99</v>
      </c>
    </row>
    <row r="4447" spans="1:10" ht="12.5" x14ac:dyDescent="0.25">
      <c r="A4447" s="1">
        <v>45909</v>
      </c>
      <c r="B4447" s="2" t="s">
        <v>7</v>
      </c>
      <c r="C4447" s="3">
        <v>5.49</v>
      </c>
      <c r="D4447" s="3">
        <v>42</v>
      </c>
      <c r="E4447" s="3">
        <v>230.58</v>
      </c>
      <c r="F4447" t="str">
        <f t="shared" si="349"/>
        <v>cogs</v>
      </c>
      <c r="G4447" s="7" t="str">
        <f t="shared" si="350"/>
        <v>product 1</v>
      </c>
      <c r="H4447">
        <f t="shared" si="351"/>
        <v>2025</v>
      </c>
      <c r="I4447">
        <f t="shared" si="352"/>
        <v>9</v>
      </c>
      <c r="J4447">
        <f t="shared" si="353"/>
        <v>2547.96</v>
      </c>
    </row>
    <row r="4448" spans="1:10" ht="12.5" x14ac:dyDescent="0.25">
      <c r="A4448" s="1">
        <v>45909</v>
      </c>
      <c r="B4448" s="2" t="s">
        <v>8</v>
      </c>
      <c r="C4448" s="3">
        <v>21.49</v>
      </c>
      <c r="D4448" s="3">
        <v>3</v>
      </c>
      <c r="E4448" s="3">
        <v>64.47</v>
      </c>
      <c r="F4448" t="str">
        <f t="shared" si="349"/>
        <v>cogs</v>
      </c>
      <c r="G4448" s="7" t="str">
        <f t="shared" si="350"/>
        <v>product 2</v>
      </c>
      <c r="H4448">
        <f t="shared" si="351"/>
        <v>2025</v>
      </c>
      <c r="I4448">
        <f t="shared" si="352"/>
        <v>9</v>
      </c>
      <c r="J4448">
        <f t="shared" si="353"/>
        <v>-400.77000000000004</v>
      </c>
    </row>
    <row r="4449" spans="1:10" ht="12.5" x14ac:dyDescent="0.25">
      <c r="A4449" s="1">
        <v>45909</v>
      </c>
      <c r="B4449" s="2" t="s">
        <v>9</v>
      </c>
      <c r="C4449" s="3">
        <v>8.99</v>
      </c>
      <c r="D4449" s="3">
        <v>151</v>
      </c>
      <c r="E4449" s="3">
        <v>1357.49</v>
      </c>
      <c r="F4449" t="str">
        <f t="shared" si="349"/>
        <v>cogs</v>
      </c>
      <c r="G4449" s="7" t="str">
        <f t="shared" si="350"/>
        <v>product 3</v>
      </c>
      <c r="H4449">
        <f t="shared" si="351"/>
        <v>2025</v>
      </c>
      <c r="I4449">
        <f t="shared" si="352"/>
        <v>9</v>
      </c>
      <c r="J4449">
        <f t="shared" si="353"/>
        <v>-139.92999999999998</v>
      </c>
    </row>
    <row r="4450" spans="1:10" ht="12.5" x14ac:dyDescent="0.25">
      <c r="A4450" s="1">
        <v>45909</v>
      </c>
      <c r="B4450" s="2" t="s">
        <v>10</v>
      </c>
      <c r="C4450" s="2" t="s">
        <v>6</v>
      </c>
      <c r="D4450" s="2" t="s">
        <v>6</v>
      </c>
      <c r="E4450" s="3">
        <v>108.04</v>
      </c>
      <c r="F4450" t="str">
        <f t="shared" si="349"/>
        <v>marketing</v>
      </c>
      <c r="G4450" s="7" t="s">
        <v>6</v>
      </c>
      <c r="H4450">
        <f t="shared" si="351"/>
        <v>2025</v>
      </c>
      <c r="I4450">
        <f t="shared" si="352"/>
        <v>9</v>
      </c>
      <c r="J4450">
        <f t="shared" si="353"/>
        <v>-188.79</v>
      </c>
    </row>
    <row r="4451" spans="1:10" ht="12.5" x14ac:dyDescent="0.25">
      <c r="A4451" s="1">
        <v>45909</v>
      </c>
      <c r="B4451" s="2" t="s">
        <v>11</v>
      </c>
      <c r="C4451" s="3">
        <v>9.99</v>
      </c>
      <c r="D4451" s="3">
        <v>42</v>
      </c>
      <c r="E4451" s="3">
        <v>419.58</v>
      </c>
      <c r="F4451" t="str">
        <f t="shared" si="349"/>
        <v>net sales</v>
      </c>
      <c r="G4451" s="7" t="str">
        <f t="shared" si="350"/>
        <v>product 1</v>
      </c>
      <c r="H4451">
        <f t="shared" si="351"/>
        <v>2025</v>
      </c>
      <c r="I4451">
        <f t="shared" si="352"/>
        <v>9</v>
      </c>
      <c r="J4451">
        <f t="shared" si="353"/>
        <v>-102.91</v>
      </c>
    </row>
    <row r="4452" spans="1:10" ht="12.5" x14ac:dyDescent="0.25">
      <c r="A4452" s="1">
        <v>45909</v>
      </c>
      <c r="B4452" s="2" t="s">
        <v>12</v>
      </c>
      <c r="C4452" s="3">
        <v>24.99</v>
      </c>
      <c r="D4452" s="3">
        <v>3</v>
      </c>
      <c r="E4452" s="3">
        <v>74.97</v>
      </c>
      <c r="F4452" t="str">
        <f t="shared" si="349"/>
        <v>net sales</v>
      </c>
      <c r="G4452" s="7" t="str">
        <f t="shared" si="350"/>
        <v>product 2</v>
      </c>
      <c r="H4452">
        <f t="shared" si="351"/>
        <v>2025</v>
      </c>
      <c r="I4452">
        <f t="shared" si="352"/>
        <v>9</v>
      </c>
      <c r="J4452">
        <f t="shared" si="353"/>
        <v>729.27</v>
      </c>
    </row>
    <row r="4453" spans="1:10" ht="12.5" x14ac:dyDescent="0.25">
      <c r="A4453" s="1">
        <v>45909</v>
      </c>
      <c r="B4453" s="2" t="s">
        <v>13</v>
      </c>
      <c r="C4453" s="3">
        <v>12.49</v>
      </c>
      <c r="D4453" s="3">
        <v>151</v>
      </c>
      <c r="E4453" s="3">
        <v>1885.99</v>
      </c>
      <c r="F4453" t="str">
        <f t="shared" si="349"/>
        <v>net sales</v>
      </c>
      <c r="G4453" s="7" t="str">
        <f t="shared" si="350"/>
        <v>product 3</v>
      </c>
      <c r="H4453">
        <f t="shared" si="351"/>
        <v>2025</v>
      </c>
      <c r="I4453">
        <f t="shared" si="352"/>
        <v>9</v>
      </c>
      <c r="J4453">
        <f t="shared" si="353"/>
        <v>174.92999999999998</v>
      </c>
    </row>
    <row r="4454" spans="1:10" ht="12.5" x14ac:dyDescent="0.25">
      <c r="A4454" s="1">
        <v>45910</v>
      </c>
      <c r="B4454" s="2" t="s">
        <v>7</v>
      </c>
      <c r="C4454" s="3">
        <v>5.49</v>
      </c>
      <c r="D4454" s="3">
        <v>86</v>
      </c>
      <c r="E4454" s="3">
        <v>472.14000000000004</v>
      </c>
      <c r="F4454" t="str">
        <f t="shared" si="349"/>
        <v>cogs</v>
      </c>
      <c r="G4454" s="7" t="str">
        <f t="shared" si="350"/>
        <v>product 1</v>
      </c>
      <c r="H4454">
        <f t="shared" si="351"/>
        <v>2025</v>
      </c>
      <c r="I4454">
        <f t="shared" si="352"/>
        <v>9</v>
      </c>
      <c r="J4454">
        <f t="shared" si="353"/>
        <v>262.29000000000002</v>
      </c>
    </row>
    <row r="4455" spans="1:10" ht="12.5" x14ac:dyDescent="0.25">
      <c r="A4455" s="1">
        <v>45910</v>
      </c>
      <c r="B4455" s="2" t="s">
        <v>8</v>
      </c>
      <c r="C4455" s="3">
        <v>21.49</v>
      </c>
      <c r="D4455" s="3">
        <v>4</v>
      </c>
      <c r="E4455" s="3">
        <v>85.96</v>
      </c>
      <c r="F4455" t="str">
        <f t="shared" si="349"/>
        <v>cogs</v>
      </c>
      <c r="G4455" s="7" t="str">
        <f t="shared" si="350"/>
        <v>product 2</v>
      </c>
      <c r="H4455">
        <f t="shared" si="351"/>
        <v>2025</v>
      </c>
      <c r="I4455">
        <f t="shared" si="352"/>
        <v>9</v>
      </c>
      <c r="J4455">
        <f t="shared" si="353"/>
        <v>-356.85</v>
      </c>
    </row>
    <row r="4456" spans="1:10" ht="12.5" x14ac:dyDescent="0.25">
      <c r="A4456" s="1">
        <v>45910</v>
      </c>
      <c r="B4456" s="2" t="s">
        <v>9</v>
      </c>
      <c r="C4456" s="3">
        <v>8.99</v>
      </c>
      <c r="D4456" s="3">
        <v>0</v>
      </c>
      <c r="E4456" s="2">
        <f>C4456*D4456</f>
        <v>0</v>
      </c>
      <c r="F4456" t="str">
        <f t="shared" si="349"/>
        <v>cogs</v>
      </c>
      <c r="G4456" s="7" t="str">
        <f t="shared" si="350"/>
        <v>product 3</v>
      </c>
      <c r="H4456">
        <f t="shared" si="351"/>
        <v>2025</v>
      </c>
      <c r="I4456">
        <f t="shared" si="352"/>
        <v>9</v>
      </c>
      <c r="J4456">
        <f t="shared" si="353"/>
        <v>-19.989999999999998</v>
      </c>
    </row>
    <row r="4457" spans="1:10" ht="12.5" x14ac:dyDescent="0.25">
      <c r="A4457" s="1">
        <v>45910</v>
      </c>
      <c r="B4457" s="2" t="s">
        <v>10</v>
      </c>
      <c r="C4457" s="2" t="s">
        <v>6</v>
      </c>
      <c r="D4457" s="2" t="s">
        <v>6</v>
      </c>
      <c r="E4457" s="3">
        <v>111.99000000000001</v>
      </c>
      <c r="F4457" t="str">
        <f t="shared" si="349"/>
        <v>marketing</v>
      </c>
      <c r="G4457" s="7" t="s">
        <v>6</v>
      </c>
      <c r="H4457">
        <f t="shared" si="351"/>
        <v>2025</v>
      </c>
      <c r="I4457">
        <f t="shared" si="352"/>
        <v>9</v>
      </c>
      <c r="J4457">
        <f t="shared" si="353"/>
        <v>-845.06000000000006</v>
      </c>
    </row>
    <row r="4458" spans="1:10" ht="12.5" x14ac:dyDescent="0.25">
      <c r="A4458" s="1">
        <v>45910</v>
      </c>
      <c r="B4458" s="2" t="s">
        <v>11</v>
      </c>
      <c r="C4458" s="3">
        <v>9.99</v>
      </c>
      <c r="D4458" s="3">
        <v>86</v>
      </c>
      <c r="E4458" s="3">
        <v>859.14</v>
      </c>
      <c r="F4458" t="str">
        <f t="shared" si="349"/>
        <v>net sales</v>
      </c>
      <c r="G4458" s="7" t="str">
        <f t="shared" si="350"/>
        <v>product 1</v>
      </c>
      <c r="H4458">
        <f t="shared" si="351"/>
        <v>2025</v>
      </c>
      <c r="I4458">
        <f t="shared" si="352"/>
        <v>9</v>
      </c>
      <c r="J4458">
        <f t="shared" si="353"/>
        <v>-113</v>
      </c>
    </row>
    <row r="4459" spans="1:10" ht="12.5" x14ac:dyDescent="0.25">
      <c r="A4459" s="1">
        <v>45910</v>
      </c>
      <c r="B4459" s="2" t="s">
        <v>12</v>
      </c>
      <c r="C4459" s="3">
        <v>24.99</v>
      </c>
      <c r="D4459" s="3">
        <v>4</v>
      </c>
      <c r="E4459" s="3">
        <v>99.96</v>
      </c>
      <c r="F4459" t="str">
        <f t="shared" si="349"/>
        <v>net sales</v>
      </c>
      <c r="G4459" s="7" t="str">
        <f t="shared" si="350"/>
        <v>product 2</v>
      </c>
      <c r="H4459">
        <f t="shared" si="351"/>
        <v>2025</v>
      </c>
      <c r="I4459">
        <f t="shared" si="352"/>
        <v>9</v>
      </c>
      <c r="J4459">
        <f t="shared" si="353"/>
        <v>649.35</v>
      </c>
    </row>
    <row r="4460" spans="1:10" ht="12.5" x14ac:dyDescent="0.25">
      <c r="A4460" s="1">
        <v>45910</v>
      </c>
      <c r="B4460" s="2" t="s">
        <v>13</v>
      </c>
      <c r="C4460" s="3">
        <v>12.49</v>
      </c>
      <c r="D4460" s="3">
        <v>0</v>
      </c>
      <c r="E4460" s="2">
        <f>C4460*D4460</f>
        <v>0</v>
      </c>
      <c r="F4460" t="str">
        <f t="shared" si="349"/>
        <v>net sales</v>
      </c>
      <c r="G4460" s="7" t="str">
        <f t="shared" si="350"/>
        <v>product 3</v>
      </c>
      <c r="H4460">
        <f t="shared" si="351"/>
        <v>2025</v>
      </c>
      <c r="I4460">
        <f t="shared" si="352"/>
        <v>9</v>
      </c>
      <c r="J4460">
        <f t="shared" si="353"/>
        <v>24.99</v>
      </c>
    </row>
    <row r="4461" spans="1:10" ht="12.5" x14ac:dyDescent="0.25">
      <c r="A4461" s="1">
        <v>45911</v>
      </c>
      <c r="B4461" s="2" t="s">
        <v>7</v>
      </c>
      <c r="C4461" s="3">
        <v>5.49</v>
      </c>
      <c r="D4461" s="3">
        <v>86</v>
      </c>
      <c r="E4461" s="3">
        <v>472.14000000000004</v>
      </c>
      <c r="F4461" t="str">
        <f t="shared" si="349"/>
        <v>cogs</v>
      </c>
      <c r="G4461" s="7" t="str">
        <f t="shared" si="350"/>
        <v>product 1</v>
      </c>
      <c r="H4461">
        <f t="shared" si="351"/>
        <v>2025</v>
      </c>
      <c r="I4461">
        <f t="shared" si="352"/>
        <v>9</v>
      </c>
      <c r="J4461">
        <f t="shared" si="353"/>
        <v>1174.06</v>
      </c>
    </row>
    <row r="4462" spans="1:10" ht="12.5" x14ac:dyDescent="0.25">
      <c r="A4462" s="1">
        <v>45911</v>
      </c>
      <c r="B4462" s="2" t="s">
        <v>8</v>
      </c>
      <c r="C4462" s="3">
        <v>21.49</v>
      </c>
      <c r="D4462" s="3">
        <v>0</v>
      </c>
      <c r="E4462" s="2">
        <f>C4462*D4462</f>
        <v>0</v>
      </c>
      <c r="F4462" t="str">
        <f t="shared" si="349"/>
        <v>cogs</v>
      </c>
      <c r="G4462" s="7" t="str">
        <f t="shared" si="350"/>
        <v>product 2</v>
      </c>
      <c r="H4462">
        <f t="shared" si="351"/>
        <v>2025</v>
      </c>
      <c r="I4462">
        <f t="shared" si="352"/>
        <v>9</v>
      </c>
      <c r="J4462">
        <f t="shared" si="353"/>
        <v>-362.34000000000003</v>
      </c>
    </row>
    <row r="4463" spans="1:10" ht="12.5" x14ac:dyDescent="0.25">
      <c r="A4463" s="1">
        <v>45911</v>
      </c>
      <c r="B4463" s="2" t="s">
        <v>9</v>
      </c>
      <c r="C4463" s="3">
        <v>8.99</v>
      </c>
      <c r="D4463" s="3">
        <v>109</v>
      </c>
      <c r="E4463" s="3">
        <v>979.91</v>
      </c>
      <c r="F4463" t="str">
        <f t="shared" si="349"/>
        <v>cogs</v>
      </c>
      <c r="G4463" s="7" t="str">
        <f t="shared" si="350"/>
        <v>product 3</v>
      </c>
      <c r="H4463">
        <f t="shared" si="351"/>
        <v>2025</v>
      </c>
      <c r="I4463">
        <f t="shared" si="352"/>
        <v>9</v>
      </c>
      <c r="J4463">
        <f t="shared" si="353"/>
        <v>0</v>
      </c>
    </row>
    <row r="4464" spans="1:10" ht="12.5" x14ac:dyDescent="0.25">
      <c r="A4464" s="1">
        <v>45911</v>
      </c>
      <c r="B4464" s="2" t="s">
        <v>10</v>
      </c>
      <c r="C4464" s="2" t="s">
        <v>6</v>
      </c>
      <c r="D4464" s="2" t="s">
        <v>6</v>
      </c>
      <c r="E4464" s="3">
        <v>118.07000000000001</v>
      </c>
      <c r="F4464" t="str">
        <f t="shared" si="349"/>
        <v>marketing</v>
      </c>
      <c r="G4464" s="7" t="s">
        <v>6</v>
      </c>
      <c r="H4464">
        <f t="shared" si="351"/>
        <v>2025</v>
      </c>
      <c r="I4464">
        <f t="shared" si="352"/>
        <v>9</v>
      </c>
      <c r="J4464">
        <f t="shared" si="353"/>
        <v>-827.08</v>
      </c>
    </row>
    <row r="4465" spans="1:10" ht="12.5" x14ac:dyDescent="0.25">
      <c r="A4465" s="1">
        <v>45911</v>
      </c>
      <c r="B4465" s="2" t="s">
        <v>11</v>
      </c>
      <c r="C4465" s="3">
        <v>9.99</v>
      </c>
      <c r="D4465" s="3">
        <v>86</v>
      </c>
      <c r="E4465" s="3">
        <v>859.14</v>
      </c>
      <c r="F4465" t="str">
        <f t="shared" si="349"/>
        <v>net sales</v>
      </c>
      <c r="G4465" s="7" t="str">
        <f t="shared" si="350"/>
        <v>product 1</v>
      </c>
      <c r="H4465">
        <f t="shared" si="351"/>
        <v>2025</v>
      </c>
      <c r="I4465">
        <f t="shared" si="352"/>
        <v>9</v>
      </c>
      <c r="J4465">
        <f t="shared" si="353"/>
        <v>-114.91</v>
      </c>
    </row>
    <row r="4466" spans="1:10" ht="12.5" x14ac:dyDescent="0.25">
      <c r="A4466" s="1">
        <v>45911</v>
      </c>
      <c r="B4466" s="2" t="s">
        <v>12</v>
      </c>
      <c r="C4466" s="3">
        <v>24.99</v>
      </c>
      <c r="D4466" s="3">
        <v>0</v>
      </c>
      <c r="E4466" s="2">
        <f>C4466*D4466</f>
        <v>0</v>
      </c>
      <c r="F4466" t="str">
        <f t="shared" si="349"/>
        <v>net sales</v>
      </c>
      <c r="G4466" s="7" t="str">
        <f t="shared" si="350"/>
        <v>product 2</v>
      </c>
      <c r="H4466">
        <f t="shared" si="351"/>
        <v>2025</v>
      </c>
      <c r="I4466">
        <f t="shared" si="352"/>
        <v>9</v>
      </c>
      <c r="J4466">
        <f t="shared" si="353"/>
        <v>659.34</v>
      </c>
    </row>
    <row r="4467" spans="1:10" ht="12.5" x14ac:dyDescent="0.25">
      <c r="A4467" s="1">
        <v>45911</v>
      </c>
      <c r="B4467" s="2" t="s">
        <v>13</v>
      </c>
      <c r="C4467" s="3">
        <v>12.49</v>
      </c>
      <c r="D4467" s="3">
        <v>109</v>
      </c>
      <c r="E4467" s="3">
        <v>1361.41</v>
      </c>
      <c r="F4467" t="str">
        <f t="shared" si="349"/>
        <v>net sales</v>
      </c>
      <c r="G4467" s="7" t="str">
        <f t="shared" si="350"/>
        <v>product 3</v>
      </c>
      <c r="H4467">
        <f t="shared" si="351"/>
        <v>2025</v>
      </c>
      <c r="I4467">
        <f t="shared" si="352"/>
        <v>9</v>
      </c>
      <c r="J4467">
        <f t="shared" si="353"/>
        <v>0</v>
      </c>
    </row>
    <row r="4468" spans="1:10" ht="12.5" x14ac:dyDescent="0.25">
      <c r="A4468" s="1">
        <v>45912</v>
      </c>
      <c r="B4468" s="2" t="s">
        <v>7</v>
      </c>
      <c r="C4468" s="3">
        <v>5.49</v>
      </c>
      <c r="D4468" s="3">
        <v>77</v>
      </c>
      <c r="E4468" s="3">
        <v>422.73</v>
      </c>
      <c r="F4468" t="str">
        <f t="shared" si="349"/>
        <v>cogs</v>
      </c>
      <c r="G4468" s="7" t="str">
        <f t="shared" si="350"/>
        <v>product 1</v>
      </c>
      <c r="H4468">
        <f t="shared" si="351"/>
        <v>2025</v>
      </c>
      <c r="I4468">
        <f t="shared" si="352"/>
        <v>9</v>
      </c>
      <c r="J4468">
        <f t="shared" si="353"/>
        <v>1149.08</v>
      </c>
    </row>
    <row r="4469" spans="1:10" ht="12.5" x14ac:dyDescent="0.25">
      <c r="A4469" s="1">
        <v>45912</v>
      </c>
      <c r="B4469" s="2" t="s">
        <v>8</v>
      </c>
      <c r="C4469" s="3">
        <v>21.49</v>
      </c>
      <c r="D4469" s="3">
        <v>1</v>
      </c>
      <c r="E4469" s="3">
        <v>21.49</v>
      </c>
      <c r="F4469" t="str">
        <f t="shared" si="349"/>
        <v>cogs</v>
      </c>
      <c r="G4469" s="7" t="str">
        <f t="shared" si="350"/>
        <v>product 2</v>
      </c>
      <c r="H4469">
        <f t="shared" si="351"/>
        <v>2025</v>
      </c>
      <c r="I4469">
        <f t="shared" si="352"/>
        <v>9</v>
      </c>
      <c r="J4469">
        <f t="shared" si="353"/>
        <v>-439.20000000000005</v>
      </c>
    </row>
    <row r="4470" spans="1:10" ht="12.5" x14ac:dyDescent="0.25">
      <c r="A4470" s="1">
        <v>45912</v>
      </c>
      <c r="B4470" s="2" t="s">
        <v>9</v>
      </c>
      <c r="C4470" s="3">
        <v>8.99</v>
      </c>
      <c r="D4470" s="3">
        <v>100</v>
      </c>
      <c r="E4470" s="3">
        <v>899</v>
      </c>
      <c r="F4470" t="str">
        <f t="shared" si="349"/>
        <v>cogs</v>
      </c>
      <c r="G4470" s="7" t="str">
        <f t="shared" si="350"/>
        <v>product 3</v>
      </c>
      <c r="H4470">
        <f t="shared" si="351"/>
        <v>2025</v>
      </c>
      <c r="I4470">
        <f t="shared" si="352"/>
        <v>9</v>
      </c>
      <c r="J4470">
        <f t="shared" si="353"/>
        <v>-59.97</v>
      </c>
    </row>
    <row r="4471" spans="1:10" ht="12.5" x14ac:dyDescent="0.25">
      <c r="A4471" s="1">
        <v>45912</v>
      </c>
      <c r="B4471" s="2" t="s">
        <v>10</v>
      </c>
      <c r="C4471" s="2" t="s">
        <v>6</v>
      </c>
      <c r="D4471" s="2" t="s">
        <v>6</v>
      </c>
      <c r="E4471" s="3">
        <v>107.96000000000001</v>
      </c>
      <c r="F4471" t="str">
        <f t="shared" si="349"/>
        <v>marketing</v>
      </c>
      <c r="G4471" s="7" t="s">
        <v>6</v>
      </c>
      <c r="H4471">
        <f t="shared" si="351"/>
        <v>2025</v>
      </c>
      <c r="I4471">
        <f t="shared" si="352"/>
        <v>9</v>
      </c>
      <c r="J4471">
        <f t="shared" si="353"/>
        <v>-35.96</v>
      </c>
    </row>
    <row r="4472" spans="1:10" ht="12.5" x14ac:dyDescent="0.25">
      <c r="A4472" s="1">
        <v>45912</v>
      </c>
      <c r="B4472" s="2" t="s">
        <v>11</v>
      </c>
      <c r="C4472" s="3">
        <v>9.99</v>
      </c>
      <c r="D4472" s="3">
        <v>77</v>
      </c>
      <c r="E4472" s="3">
        <v>769.23</v>
      </c>
      <c r="F4472" t="str">
        <f t="shared" si="349"/>
        <v>net sales</v>
      </c>
      <c r="G4472" s="7" t="str">
        <f t="shared" si="350"/>
        <v>product 1</v>
      </c>
      <c r="H4472">
        <f t="shared" si="351"/>
        <v>2025</v>
      </c>
      <c r="I4472">
        <f t="shared" si="352"/>
        <v>9</v>
      </c>
      <c r="J4472">
        <f t="shared" si="353"/>
        <v>-102.06</v>
      </c>
    </row>
    <row r="4473" spans="1:10" ht="12.5" x14ac:dyDescent="0.25">
      <c r="A4473" s="1">
        <v>45912</v>
      </c>
      <c r="B4473" s="2" t="s">
        <v>12</v>
      </c>
      <c r="C4473" s="3">
        <v>24.99</v>
      </c>
      <c r="D4473" s="3">
        <v>1</v>
      </c>
      <c r="E4473" s="3">
        <v>24.99</v>
      </c>
      <c r="F4473" t="str">
        <f t="shared" si="349"/>
        <v>net sales</v>
      </c>
      <c r="G4473" s="7" t="str">
        <f t="shared" si="350"/>
        <v>product 2</v>
      </c>
      <c r="H4473">
        <f t="shared" si="351"/>
        <v>2025</v>
      </c>
      <c r="I4473">
        <f t="shared" si="352"/>
        <v>9</v>
      </c>
      <c r="J4473">
        <f t="shared" si="353"/>
        <v>799.2</v>
      </c>
    </row>
    <row r="4474" spans="1:10" ht="12.5" x14ac:dyDescent="0.25">
      <c r="A4474" s="1">
        <v>45912</v>
      </c>
      <c r="B4474" s="2" t="s">
        <v>13</v>
      </c>
      <c r="C4474" s="3">
        <v>12.49</v>
      </c>
      <c r="D4474" s="3">
        <v>100</v>
      </c>
      <c r="E4474" s="3">
        <v>1249</v>
      </c>
      <c r="F4474" t="str">
        <f t="shared" si="349"/>
        <v>net sales</v>
      </c>
      <c r="G4474" s="7" t="str">
        <f t="shared" si="350"/>
        <v>product 3</v>
      </c>
      <c r="H4474">
        <f t="shared" si="351"/>
        <v>2025</v>
      </c>
      <c r="I4474">
        <f t="shared" si="352"/>
        <v>9</v>
      </c>
      <c r="J4474">
        <f t="shared" si="353"/>
        <v>74.97</v>
      </c>
    </row>
    <row r="4475" spans="1:10" ht="12.5" x14ac:dyDescent="0.25">
      <c r="A4475" s="1">
        <v>45912</v>
      </c>
      <c r="B4475" s="2" t="s">
        <v>15</v>
      </c>
      <c r="C4475" s="2" t="s">
        <v>6</v>
      </c>
      <c r="D4475" s="2" t="s">
        <v>6</v>
      </c>
      <c r="E4475" s="3">
        <v>1200</v>
      </c>
      <c r="F4475" t="str">
        <f t="shared" si="349"/>
        <v>payroll</v>
      </c>
      <c r="G4475" s="7" t="s">
        <v>6</v>
      </c>
      <c r="H4475">
        <f t="shared" si="351"/>
        <v>2025</v>
      </c>
      <c r="I4475">
        <f t="shared" si="352"/>
        <v>9</v>
      </c>
      <c r="J4475">
        <f t="shared" si="353"/>
        <v>49.96</v>
      </c>
    </row>
    <row r="4476" spans="1:10" ht="12.5" x14ac:dyDescent="0.25">
      <c r="A4476" s="1">
        <v>45913</v>
      </c>
      <c r="B4476" s="2" t="s">
        <v>7</v>
      </c>
      <c r="C4476" s="3">
        <v>5.49</v>
      </c>
      <c r="D4476" s="3">
        <v>47</v>
      </c>
      <c r="E4476" s="3">
        <v>258.03000000000003</v>
      </c>
      <c r="F4476" t="str">
        <f t="shared" si="349"/>
        <v>cogs</v>
      </c>
      <c r="G4476" s="7" t="str">
        <f t="shared" si="350"/>
        <v>product 1</v>
      </c>
      <c r="H4476">
        <f t="shared" si="351"/>
        <v>2025</v>
      </c>
      <c r="I4476">
        <f t="shared" si="352"/>
        <v>9</v>
      </c>
      <c r="J4476">
        <f t="shared" si="353"/>
        <v>-76.86</v>
      </c>
    </row>
    <row r="4477" spans="1:10" ht="12.5" x14ac:dyDescent="0.25">
      <c r="A4477" s="1">
        <v>45913</v>
      </c>
      <c r="B4477" s="2" t="s">
        <v>8</v>
      </c>
      <c r="C4477" s="3">
        <v>21.49</v>
      </c>
      <c r="D4477" s="3">
        <v>3</v>
      </c>
      <c r="E4477" s="3">
        <v>64.47</v>
      </c>
      <c r="F4477" t="str">
        <f t="shared" si="349"/>
        <v>cogs</v>
      </c>
      <c r="G4477" s="7" t="str">
        <f t="shared" si="350"/>
        <v>product 2</v>
      </c>
      <c r="H4477">
        <f t="shared" si="351"/>
        <v>2025</v>
      </c>
      <c r="I4477">
        <f t="shared" si="352"/>
        <v>9</v>
      </c>
      <c r="J4477">
        <f t="shared" si="353"/>
        <v>-119.94</v>
      </c>
    </row>
    <row r="4478" spans="1:10" ht="12.5" x14ac:dyDescent="0.25">
      <c r="A4478" s="1">
        <v>45913</v>
      </c>
      <c r="B4478" s="2" t="s">
        <v>9</v>
      </c>
      <c r="C4478" s="3">
        <v>8.99</v>
      </c>
      <c r="D4478" s="3">
        <v>31</v>
      </c>
      <c r="E4478" s="3">
        <v>278.69</v>
      </c>
      <c r="F4478" t="str">
        <f t="shared" si="349"/>
        <v>cogs</v>
      </c>
      <c r="G4478" s="7" t="str">
        <f t="shared" si="350"/>
        <v>product 3</v>
      </c>
      <c r="H4478">
        <f t="shared" si="351"/>
        <v>2025</v>
      </c>
      <c r="I4478">
        <f t="shared" si="352"/>
        <v>9</v>
      </c>
      <c r="J4478">
        <f t="shared" si="353"/>
        <v>-2022.75</v>
      </c>
    </row>
    <row r="4479" spans="1:10" ht="12.5" x14ac:dyDescent="0.25">
      <c r="A4479" s="1">
        <v>45913</v>
      </c>
      <c r="B4479" s="2" t="s">
        <v>10</v>
      </c>
      <c r="C4479" s="2" t="s">
        <v>6</v>
      </c>
      <c r="D4479" s="2" t="s">
        <v>6</v>
      </c>
      <c r="E4479" s="3">
        <v>112.9</v>
      </c>
      <c r="F4479" t="str">
        <f t="shared" si="349"/>
        <v>marketing</v>
      </c>
      <c r="G4479" s="7" t="s">
        <v>6</v>
      </c>
      <c r="H4479">
        <f t="shared" si="351"/>
        <v>2025</v>
      </c>
      <c r="I4479">
        <f t="shared" si="352"/>
        <v>9</v>
      </c>
      <c r="J4479">
        <f t="shared" si="353"/>
        <v>-103.07000000000001</v>
      </c>
    </row>
    <row r="4480" spans="1:10" ht="12.5" x14ac:dyDescent="0.25">
      <c r="A4480" s="1">
        <v>45913</v>
      </c>
      <c r="B4480" s="2" t="s">
        <v>11</v>
      </c>
      <c r="C4480" s="3">
        <v>9.99</v>
      </c>
      <c r="D4480" s="3">
        <v>47</v>
      </c>
      <c r="E4480" s="3">
        <v>469.53000000000003</v>
      </c>
      <c r="F4480" t="str">
        <f t="shared" si="349"/>
        <v>net sales</v>
      </c>
      <c r="G4480" s="7" t="str">
        <f t="shared" si="350"/>
        <v>product 1</v>
      </c>
      <c r="H4480">
        <f t="shared" si="351"/>
        <v>2025</v>
      </c>
      <c r="I4480">
        <f t="shared" si="352"/>
        <v>9</v>
      </c>
      <c r="J4480">
        <f t="shared" si="353"/>
        <v>139.86000000000001</v>
      </c>
    </row>
    <row r="4481" spans="1:10" ht="12.5" x14ac:dyDescent="0.25">
      <c r="A4481" s="1">
        <v>45913</v>
      </c>
      <c r="B4481" s="2" t="s">
        <v>12</v>
      </c>
      <c r="C4481" s="3">
        <v>24.99</v>
      </c>
      <c r="D4481" s="3">
        <v>3</v>
      </c>
      <c r="E4481" s="3">
        <v>74.97</v>
      </c>
      <c r="F4481" t="str">
        <f t="shared" si="349"/>
        <v>net sales</v>
      </c>
      <c r="G4481" s="7" t="str">
        <f t="shared" si="350"/>
        <v>product 2</v>
      </c>
      <c r="H4481">
        <f t="shared" si="351"/>
        <v>2025</v>
      </c>
      <c r="I4481">
        <f t="shared" si="352"/>
        <v>9</v>
      </c>
      <c r="J4481">
        <f t="shared" si="353"/>
        <v>149.94</v>
      </c>
    </row>
    <row r="4482" spans="1:10" ht="12.5" x14ac:dyDescent="0.25">
      <c r="A4482" s="1">
        <v>45913</v>
      </c>
      <c r="B4482" s="2" t="s">
        <v>13</v>
      </c>
      <c r="C4482" s="3">
        <v>12.49</v>
      </c>
      <c r="D4482" s="3">
        <v>31</v>
      </c>
      <c r="E4482" s="3">
        <v>387.19</v>
      </c>
      <c r="F4482" t="str">
        <f t="shared" si="349"/>
        <v>net sales</v>
      </c>
      <c r="G4482" s="7" t="str">
        <f t="shared" si="350"/>
        <v>product 3</v>
      </c>
      <c r="H4482">
        <f t="shared" si="351"/>
        <v>2025</v>
      </c>
      <c r="I4482">
        <f t="shared" si="352"/>
        <v>9</v>
      </c>
      <c r="J4482">
        <f t="shared" si="353"/>
        <v>2810.25</v>
      </c>
    </row>
    <row r="4483" spans="1:10" ht="12.5" x14ac:dyDescent="0.25">
      <c r="A4483" s="1">
        <v>45914</v>
      </c>
      <c r="B4483" s="2" t="s">
        <v>7</v>
      </c>
      <c r="C4483" s="3">
        <v>5.49</v>
      </c>
      <c r="D4483" s="3">
        <v>52</v>
      </c>
      <c r="E4483" s="3">
        <v>285.48</v>
      </c>
      <c r="F4483" t="str">
        <f t="shared" ref="F4483:F4546" si="354">IFERROR(LEFT(B4483,FIND(":",B4483)-1),B4483)</f>
        <v>cogs</v>
      </c>
      <c r="G4483" s="7" t="str">
        <f t="shared" ref="G4483:G4546" si="355">IFERROR(RIGHT(B4483,LEN(B4483)-FIND(":",B4483)),"")</f>
        <v>product 1</v>
      </c>
      <c r="H4483">
        <f t="shared" ref="H4483:H4546" si="356">YEAR(A4483)</f>
        <v>2025</v>
      </c>
      <c r="I4483">
        <f t="shared" ref="I4483:I4546" si="357">MONTH(A4483)</f>
        <v>9</v>
      </c>
      <c r="J4483">
        <f t="shared" si="353"/>
        <v>-444.69</v>
      </c>
    </row>
    <row r="4484" spans="1:10" ht="12.5" x14ac:dyDescent="0.25">
      <c r="A4484" s="1">
        <v>45914</v>
      </c>
      <c r="B4484" s="2" t="s">
        <v>8</v>
      </c>
      <c r="C4484" s="3">
        <v>21.49</v>
      </c>
      <c r="D4484" s="3">
        <v>3</v>
      </c>
      <c r="E4484" s="3">
        <v>64.47</v>
      </c>
      <c r="F4484" t="str">
        <f t="shared" si="354"/>
        <v>cogs</v>
      </c>
      <c r="G4484" s="7" t="str">
        <f t="shared" si="355"/>
        <v>product 2</v>
      </c>
      <c r="H4484">
        <f t="shared" si="356"/>
        <v>2025</v>
      </c>
      <c r="I4484">
        <f t="shared" si="357"/>
        <v>9</v>
      </c>
      <c r="J4484">
        <f t="shared" si="353"/>
        <v>-19.989999999999998</v>
      </c>
    </row>
    <row r="4485" spans="1:10" ht="12.5" x14ac:dyDescent="0.25">
      <c r="A4485" s="1">
        <v>45914</v>
      </c>
      <c r="B4485" s="2" t="s">
        <v>9</v>
      </c>
      <c r="C4485" s="3">
        <v>8.99</v>
      </c>
      <c r="D4485" s="3">
        <v>0</v>
      </c>
      <c r="E4485" s="2">
        <f>C4485*D4485</f>
        <v>0</v>
      </c>
      <c r="F4485" t="str">
        <f t="shared" si="354"/>
        <v>cogs</v>
      </c>
      <c r="G4485" s="7" t="str">
        <f t="shared" si="355"/>
        <v>product 3</v>
      </c>
      <c r="H4485">
        <f t="shared" si="356"/>
        <v>2025</v>
      </c>
      <c r="I4485">
        <f t="shared" si="357"/>
        <v>9</v>
      </c>
      <c r="J4485">
        <f t="shared" si="353"/>
        <v>-1114.76</v>
      </c>
    </row>
    <row r="4486" spans="1:10" ht="12.5" x14ac:dyDescent="0.25">
      <c r="A4486" s="1">
        <v>45914</v>
      </c>
      <c r="B4486" s="2" t="s">
        <v>10</v>
      </c>
      <c r="C4486" s="2" t="s">
        <v>6</v>
      </c>
      <c r="D4486" s="2" t="s">
        <v>6</v>
      </c>
      <c r="E4486" s="3">
        <v>107.09</v>
      </c>
      <c r="F4486" t="str">
        <f t="shared" si="354"/>
        <v>marketing</v>
      </c>
      <c r="G4486" s="7" t="s">
        <v>6</v>
      </c>
      <c r="H4486">
        <f t="shared" si="356"/>
        <v>2025</v>
      </c>
      <c r="I4486">
        <f t="shared" si="357"/>
        <v>9</v>
      </c>
      <c r="J4486">
        <f t="shared" si="353"/>
        <v>-1256.4000000000001</v>
      </c>
    </row>
    <row r="4487" spans="1:10" ht="12.5" x14ac:dyDescent="0.25">
      <c r="A4487" s="1">
        <v>45914</v>
      </c>
      <c r="B4487" s="2" t="s">
        <v>11</v>
      </c>
      <c r="C4487" s="3">
        <v>9.99</v>
      </c>
      <c r="D4487" s="3">
        <v>52</v>
      </c>
      <c r="E4487" s="3">
        <v>519.48</v>
      </c>
      <c r="F4487" t="str">
        <f t="shared" si="354"/>
        <v>net sales</v>
      </c>
      <c r="G4487" s="7" t="str">
        <f t="shared" si="355"/>
        <v>product 1</v>
      </c>
      <c r="H4487">
        <f t="shared" si="356"/>
        <v>2025</v>
      </c>
      <c r="I4487">
        <f t="shared" si="357"/>
        <v>9</v>
      </c>
      <c r="J4487">
        <f t="shared" si="353"/>
        <v>-117.92</v>
      </c>
    </row>
    <row r="4488" spans="1:10" ht="12.5" x14ac:dyDescent="0.25">
      <c r="A4488" s="1">
        <v>45914</v>
      </c>
      <c r="B4488" s="2" t="s">
        <v>12</v>
      </c>
      <c r="C4488" s="3">
        <v>24.99</v>
      </c>
      <c r="D4488" s="3">
        <v>3</v>
      </c>
      <c r="E4488" s="3">
        <v>74.97</v>
      </c>
      <c r="F4488" t="str">
        <f t="shared" si="354"/>
        <v>net sales</v>
      </c>
      <c r="G4488" s="7" t="str">
        <f t="shared" si="355"/>
        <v>product 2</v>
      </c>
      <c r="H4488">
        <f t="shared" si="356"/>
        <v>2025</v>
      </c>
      <c r="I4488">
        <f t="shared" si="357"/>
        <v>9</v>
      </c>
      <c r="J4488">
        <f t="shared" si="353"/>
        <v>809.19</v>
      </c>
    </row>
    <row r="4489" spans="1:10" ht="12.5" x14ac:dyDescent="0.25">
      <c r="A4489" s="1">
        <v>45914</v>
      </c>
      <c r="B4489" s="2" t="s">
        <v>13</v>
      </c>
      <c r="C4489" s="3">
        <v>12.49</v>
      </c>
      <c r="D4489" s="3">
        <v>0</v>
      </c>
      <c r="E4489" s="2">
        <f>C4489*D4489</f>
        <v>0</v>
      </c>
      <c r="F4489" t="str">
        <f t="shared" si="354"/>
        <v>net sales</v>
      </c>
      <c r="G4489" s="7" t="str">
        <f t="shared" si="355"/>
        <v>product 3</v>
      </c>
      <c r="H4489">
        <f t="shared" si="356"/>
        <v>2025</v>
      </c>
      <c r="I4489">
        <f t="shared" si="357"/>
        <v>9</v>
      </c>
      <c r="J4489">
        <f t="shared" si="353"/>
        <v>24.99</v>
      </c>
    </row>
    <row r="4490" spans="1:10" ht="12.5" x14ac:dyDescent="0.25">
      <c r="A4490" s="1">
        <v>45915</v>
      </c>
      <c r="B4490" s="2" t="s">
        <v>7</v>
      </c>
      <c r="C4490" s="3">
        <v>5.49</v>
      </c>
      <c r="D4490" s="3">
        <v>67</v>
      </c>
      <c r="E4490" s="3">
        <v>367.83000000000004</v>
      </c>
      <c r="F4490" t="str">
        <f t="shared" si="354"/>
        <v>cogs</v>
      </c>
      <c r="G4490" s="7" t="str">
        <f t="shared" si="355"/>
        <v>product 1</v>
      </c>
      <c r="H4490">
        <f t="shared" si="356"/>
        <v>2025</v>
      </c>
      <c r="I4490">
        <f t="shared" si="357"/>
        <v>9</v>
      </c>
      <c r="J4490">
        <f t="shared" si="353"/>
        <v>1548.76</v>
      </c>
    </row>
    <row r="4491" spans="1:10" ht="12.5" x14ac:dyDescent="0.25">
      <c r="A4491" s="1">
        <v>45915</v>
      </c>
      <c r="B4491" s="2" t="s">
        <v>8</v>
      </c>
      <c r="C4491" s="3">
        <v>21.49</v>
      </c>
      <c r="D4491" s="3">
        <v>0</v>
      </c>
      <c r="E4491" s="2">
        <f>C4491*D4491</f>
        <v>0</v>
      </c>
      <c r="F4491" t="str">
        <f t="shared" si="354"/>
        <v>cogs</v>
      </c>
      <c r="G4491" s="7" t="str">
        <f t="shared" si="355"/>
        <v>product 2</v>
      </c>
      <c r="H4491">
        <f t="shared" si="356"/>
        <v>2025</v>
      </c>
      <c r="I4491">
        <f t="shared" si="357"/>
        <v>9</v>
      </c>
      <c r="J4491">
        <f t="shared" si="353"/>
        <v>-321.61</v>
      </c>
    </row>
    <row r="4492" spans="1:10" ht="12.5" x14ac:dyDescent="0.25">
      <c r="A4492" s="1">
        <v>45915</v>
      </c>
      <c r="B4492" s="2" t="s">
        <v>9</v>
      </c>
      <c r="C4492" s="3">
        <v>8.99</v>
      </c>
      <c r="D4492" s="3">
        <v>18</v>
      </c>
      <c r="E4492" s="3">
        <v>161.82</v>
      </c>
      <c r="F4492" t="str">
        <f t="shared" si="354"/>
        <v>cogs</v>
      </c>
      <c r="G4492" s="7" t="str">
        <f t="shared" si="355"/>
        <v>product 3</v>
      </c>
      <c r="H4492">
        <f t="shared" si="356"/>
        <v>2025</v>
      </c>
      <c r="I4492">
        <f t="shared" si="357"/>
        <v>9</v>
      </c>
      <c r="J4492">
        <f t="shared" si="353"/>
        <v>-1200</v>
      </c>
    </row>
    <row r="4493" spans="1:10" ht="12.5" x14ac:dyDescent="0.25">
      <c r="A4493" s="1">
        <v>45915</v>
      </c>
      <c r="B4493" s="2" t="s">
        <v>16</v>
      </c>
      <c r="C4493" s="2" t="s">
        <v>6</v>
      </c>
      <c r="D4493" s="2" t="s">
        <v>6</v>
      </c>
      <c r="E4493" s="3">
        <v>1254.28</v>
      </c>
      <c r="F4493" t="str">
        <f t="shared" si="354"/>
        <v>interest</v>
      </c>
      <c r="G4493" s="7" t="s">
        <v>6</v>
      </c>
      <c r="H4493">
        <f t="shared" si="356"/>
        <v>2025</v>
      </c>
      <c r="I4493">
        <f t="shared" si="357"/>
        <v>9</v>
      </c>
      <c r="J4493">
        <f t="shared" si="353"/>
        <v>-93.33</v>
      </c>
    </row>
    <row r="4494" spans="1:10" ht="12.5" x14ac:dyDescent="0.25">
      <c r="A4494" s="1">
        <v>45915</v>
      </c>
      <c r="B4494" s="2" t="s">
        <v>10</v>
      </c>
      <c r="C4494" s="2" t="s">
        <v>6</v>
      </c>
      <c r="D4494" s="2" t="s">
        <v>6</v>
      </c>
      <c r="E4494" s="3">
        <v>119.06</v>
      </c>
      <c r="F4494" t="str">
        <f t="shared" si="354"/>
        <v>marketing</v>
      </c>
      <c r="G4494" s="7" t="s">
        <v>6</v>
      </c>
      <c r="H4494">
        <f t="shared" si="356"/>
        <v>2025</v>
      </c>
      <c r="I4494">
        <f t="shared" si="357"/>
        <v>9</v>
      </c>
      <c r="J4494">
        <f t="shared" si="353"/>
        <v>-139.92999999999998</v>
      </c>
    </row>
    <row r="4495" spans="1:10" ht="12.5" x14ac:dyDescent="0.25">
      <c r="A4495" s="1">
        <v>45915</v>
      </c>
      <c r="B4495" s="2" t="s">
        <v>11</v>
      </c>
      <c r="C4495" s="3">
        <v>9.99</v>
      </c>
      <c r="D4495" s="3">
        <v>67</v>
      </c>
      <c r="E4495" s="3">
        <v>669.33</v>
      </c>
      <c r="F4495" t="str">
        <f t="shared" si="354"/>
        <v>net sales</v>
      </c>
      <c r="G4495" s="7" t="str">
        <f t="shared" si="355"/>
        <v>product 1</v>
      </c>
      <c r="H4495">
        <f t="shared" si="356"/>
        <v>2025</v>
      </c>
      <c r="I4495">
        <f t="shared" si="357"/>
        <v>9</v>
      </c>
      <c r="J4495">
        <f t="shared" si="353"/>
        <v>-71.92</v>
      </c>
    </row>
    <row r="4496" spans="1:10" ht="12.5" x14ac:dyDescent="0.25">
      <c r="A4496" s="1">
        <v>45915</v>
      </c>
      <c r="B4496" s="2" t="s">
        <v>12</v>
      </c>
      <c r="C4496" s="3">
        <v>24.99</v>
      </c>
      <c r="D4496" s="3">
        <v>0</v>
      </c>
      <c r="E4496" s="2">
        <f>C4496*D4496</f>
        <v>0</v>
      </c>
      <c r="F4496" t="str">
        <f t="shared" si="354"/>
        <v>net sales</v>
      </c>
      <c r="G4496" s="7" t="str">
        <f t="shared" si="355"/>
        <v>product 2</v>
      </c>
      <c r="H4496">
        <f t="shared" si="356"/>
        <v>2025</v>
      </c>
      <c r="I4496">
        <f t="shared" si="357"/>
        <v>9</v>
      </c>
      <c r="J4496">
        <f t="shared" si="353"/>
        <v>-117.94</v>
      </c>
    </row>
    <row r="4497" spans="1:10" ht="12.5" x14ac:dyDescent="0.25">
      <c r="A4497" s="1">
        <v>45915</v>
      </c>
      <c r="B4497" s="2" t="s">
        <v>13</v>
      </c>
      <c r="C4497" s="3">
        <v>12.49</v>
      </c>
      <c r="D4497" s="3">
        <v>18</v>
      </c>
      <c r="E4497" s="3">
        <v>224.82</v>
      </c>
      <c r="F4497" t="str">
        <f t="shared" si="354"/>
        <v>net sales</v>
      </c>
      <c r="G4497" s="7" t="str">
        <f t="shared" si="355"/>
        <v>product 3</v>
      </c>
      <c r="H4497">
        <f t="shared" si="356"/>
        <v>2025</v>
      </c>
      <c r="I4497">
        <f t="shared" si="357"/>
        <v>9</v>
      </c>
      <c r="J4497">
        <f t="shared" si="353"/>
        <v>169.83</v>
      </c>
    </row>
    <row r="4498" spans="1:10" ht="12.5" x14ac:dyDescent="0.25">
      <c r="A4498" s="1">
        <v>45915</v>
      </c>
      <c r="B4498" s="2" t="s">
        <v>14</v>
      </c>
      <c r="C4498" s="2" t="s">
        <v>6</v>
      </c>
      <c r="D4498" s="2" t="s">
        <v>6</v>
      </c>
      <c r="E4498" s="3">
        <v>313.57</v>
      </c>
      <c r="F4498" t="str">
        <f t="shared" si="354"/>
        <v>overhead</v>
      </c>
      <c r="G4498" s="7" t="s">
        <v>6</v>
      </c>
      <c r="H4498">
        <f t="shared" si="356"/>
        <v>2025</v>
      </c>
      <c r="I4498">
        <f t="shared" si="357"/>
        <v>9</v>
      </c>
      <c r="J4498">
        <f t="shared" si="353"/>
        <v>174.92999999999998</v>
      </c>
    </row>
    <row r="4499" spans="1:10" ht="12.5" x14ac:dyDescent="0.25">
      <c r="A4499" s="1">
        <v>45916</v>
      </c>
      <c r="B4499" s="2" t="s">
        <v>7</v>
      </c>
      <c r="C4499" s="3">
        <v>5.49</v>
      </c>
      <c r="D4499" s="3">
        <v>78</v>
      </c>
      <c r="E4499" s="3">
        <v>428.22</v>
      </c>
      <c r="F4499" t="str">
        <f t="shared" si="354"/>
        <v>cogs</v>
      </c>
      <c r="G4499" s="7" t="str">
        <f t="shared" si="355"/>
        <v>product 1</v>
      </c>
      <c r="H4499">
        <f t="shared" si="356"/>
        <v>2025</v>
      </c>
      <c r="I4499">
        <f t="shared" si="357"/>
        <v>9</v>
      </c>
      <c r="J4499">
        <f t="shared" si="353"/>
        <v>99.92</v>
      </c>
    </row>
    <row r="4500" spans="1:10" ht="12.5" x14ac:dyDescent="0.25">
      <c r="A4500" s="1">
        <v>45916</v>
      </c>
      <c r="B4500" s="2" t="s">
        <v>8</v>
      </c>
      <c r="C4500" s="3">
        <v>21.49</v>
      </c>
      <c r="D4500" s="3">
        <v>1</v>
      </c>
      <c r="E4500" s="3">
        <v>21.49</v>
      </c>
      <c r="F4500" t="str">
        <f t="shared" si="354"/>
        <v>cogs</v>
      </c>
      <c r="G4500" s="7" t="str">
        <f t="shared" si="355"/>
        <v>product 2</v>
      </c>
      <c r="H4500">
        <f t="shared" si="356"/>
        <v>2025</v>
      </c>
      <c r="I4500">
        <f t="shared" si="357"/>
        <v>9</v>
      </c>
      <c r="J4500">
        <f t="shared" si="353"/>
        <v>-120.78</v>
      </c>
    </row>
    <row r="4501" spans="1:10" ht="12.5" x14ac:dyDescent="0.25">
      <c r="A4501" s="1">
        <v>45916</v>
      </c>
      <c r="B4501" s="2" t="s">
        <v>9</v>
      </c>
      <c r="C4501" s="3">
        <v>8.99</v>
      </c>
      <c r="D4501" s="3">
        <v>167</v>
      </c>
      <c r="E4501" s="3">
        <v>1501.33</v>
      </c>
      <c r="F4501" t="str">
        <f t="shared" si="354"/>
        <v>cogs</v>
      </c>
      <c r="G4501" s="7" t="str">
        <f t="shared" si="355"/>
        <v>product 3</v>
      </c>
      <c r="H4501">
        <f t="shared" si="356"/>
        <v>2025</v>
      </c>
      <c r="I4501">
        <f t="shared" si="357"/>
        <v>9</v>
      </c>
      <c r="J4501">
        <f t="shared" si="353"/>
        <v>-39.979999999999997</v>
      </c>
    </row>
    <row r="4502" spans="1:10" ht="12.5" x14ac:dyDescent="0.25">
      <c r="A4502" s="1">
        <v>45916</v>
      </c>
      <c r="B4502" s="2" t="s">
        <v>10</v>
      </c>
      <c r="C4502" s="2" t="s">
        <v>6</v>
      </c>
      <c r="D4502" s="2" t="s">
        <v>6</v>
      </c>
      <c r="E4502" s="3">
        <v>109.03</v>
      </c>
      <c r="F4502" t="str">
        <f t="shared" si="354"/>
        <v>marketing</v>
      </c>
      <c r="G4502" s="7" t="s">
        <v>6</v>
      </c>
      <c r="H4502">
        <f t="shared" si="356"/>
        <v>2025</v>
      </c>
      <c r="I4502">
        <f t="shared" si="357"/>
        <v>9</v>
      </c>
      <c r="J4502">
        <f t="shared" si="353"/>
        <v>-1762.04</v>
      </c>
    </row>
    <row r="4503" spans="1:10" ht="12.5" x14ac:dyDescent="0.25">
      <c r="A4503" s="1">
        <v>45916</v>
      </c>
      <c r="B4503" s="2" t="s">
        <v>11</v>
      </c>
      <c r="C4503" s="3">
        <v>9.99</v>
      </c>
      <c r="D4503" s="3">
        <v>78</v>
      </c>
      <c r="E4503" s="3">
        <v>779.22</v>
      </c>
      <c r="F4503" t="str">
        <f t="shared" si="354"/>
        <v>net sales</v>
      </c>
      <c r="G4503" s="7" t="str">
        <f t="shared" si="355"/>
        <v>product 1</v>
      </c>
      <c r="H4503">
        <f t="shared" si="356"/>
        <v>2025</v>
      </c>
      <c r="I4503">
        <f t="shared" si="357"/>
        <v>9</v>
      </c>
      <c r="J4503">
        <f t="shared" si="353"/>
        <v>-105.06</v>
      </c>
    </row>
    <row r="4504" spans="1:10" ht="12.5" x14ac:dyDescent="0.25">
      <c r="A4504" s="1">
        <v>45916</v>
      </c>
      <c r="B4504" s="2" t="s">
        <v>12</v>
      </c>
      <c r="C4504" s="3">
        <v>24.99</v>
      </c>
      <c r="D4504" s="3">
        <v>1</v>
      </c>
      <c r="E4504" s="3">
        <v>24.99</v>
      </c>
      <c r="F4504" t="str">
        <f t="shared" si="354"/>
        <v>net sales</v>
      </c>
      <c r="G4504" s="7" t="str">
        <f t="shared" si="355"/>
        <v>product 2</v>
      </c>
      <c r="H4504">
        <f t="shared" si="356"/>
        <v>2025</v>
      </c>
      <c r="I4504">
        <f t="shared" si="357"/>
        <v>9</v>
      </c>
      <c r="J4504">
        <f t="shared" si="353"/>
        <v>219.78</v>
      </c>
    </row>
    <row r="4505" spans="1:10" ht="12.5" x14ac:dyDescent="0.25">
      <c r="A4505" s="1">
        <v>45916</v>
      </c>
      <c r="B4505" s="2" t="s">
        <v>13</v>
      </c>
      <c r="C4505" s="3">
        <v>12.49</v>
      </c>
      <c r="D4505" s="3">
        <v>167</v>
      </c>
      <c r="E4505" s="3">
        <v>2085.83</v>
      </c>
      <c r="F4505" t="str">
        <f t="shared" si="354"/>
        <v>net sales</v>
      </c>
      <c r="G4505" s="7" t="str">
        <f t="shared" si="355"/>
        <v>product 3</v>
      </c>
      <c r="H4505">
        <f t="shared" si="356"/>
        <v>2025</v>
      </c>
      <c r="I4505">
        <f t="shared" si="357"/>
        <v>9</v>
      </c>
      <c r="J4505">
        <f t="shared" si="353"/>
        <v>49.98</v>
      </c>
    </row>
    <row r="4506" spans="1:10" ht="12.5" x14ac:dyDescent="0.25">
      <c r="A4506" s="1">
        <v>45917</v>
      </c>
      <c r="B4506" s="2" t="s">
        <v>7</v>
      </c>
      <c r="C4506" s="3">
        <v>5.49</v>
      </c>
      <c r="D4506" s="3">
        <v>76</v>
      </c>
      <c r="E4506" s="3">
        <v>417.24</v>
      </c>
      <c r="F4506" t="str">
        <f t="shared" si="354"/>
        <v>cogs</v>
      </c>
      <c r="G4506" s="7" t="str">
        <f t="shared" si="355"/>
        <v>product 1</v>
      </c>
      <c r="H4506">
        <f t="shared" si="356"/>
        <v>2025</v>
      </c>
      <c r="I4506">
        <f t="shared" si="357"/>
        <v>9</v>
      </c>
      <c r="J4506">
        <f t="shared" si="353"/>
        <v>2448.04</v>
      </c>
    </row>
    <row r="4507" spans="1:10" ht="12.5" x14ac:dyDescent="0.25">
      <c r="A4507" s="1">
        <v>45917</v>
      </c>
      <c r="B4507" s="2" t="s">
        <v>8</v>
      </c>
      <c r="C4507" s="3">
        <v>21.49</v>
      </c>
      <c r="D4507" s="3">
        <v>6</v>
      </c>
      <c r="E4507" s="3">
        <v>128.94</v>
      </c>
      <c r="F4507" t="str">
        <f t="shared" si="354"/>
        <v>cogs</v>
      </c>
      <c r="G4507" s="7" t="str">
        <f t="shared" si="355"/>
        <v>product 2</v>
      </c>
      <c r="H4507">
        <f t="shared" si="356"/>
        <v>2025</v>
      </c>
      <c r="I4507">
        <f t="shared" si="357"/>
        <v>9</v>
      </c>
      <c r="J4507">
        <f t="shared" si="353"/>
        <v>-384.3</v>
      </c>
    </row>
    <row r="4508" spans="1:10" ht="12.5" x14ac:dyDescent="0.25">
      <c r="A4508" s="1">
        <v>45917</v>
      </c>
      <c r="B4508" s="2" t="s">
        <v>9</v>
      </c>
      <c r="C4508" s="3">
        <v>8.99</v>
      </c>
      <c r="D4508" s="3">
        <v>202</v>
      </c>
      <c r="E4508" s="3">
        <v>1815.98</v>
      </c>
      <c r="F4508" t="str">
        <f t="shared" si="354"/>
        <v>cogs</v>
      </c>
      <c r="G4508" s="7" t="str">
        <f t="shared" si="355"/>
        <v>product 3</v>
      </c>
      <c r="H4508">
        <f t="shared" si="356"/>
        <v>2025</v>
      </c>
      <c r="I4508">
        <f t="shared" si="357"/>
        <v>9</v>
      </c>
      <c r="J4508">
        <f t="shared" ref="J4508:J4571" si="358">IF(F4291="net sales",E4291,
IF(F4291="cogs",-E4291,
IF(OR(F4291="marketing",F4291="overhead",F4291="payroll",F4291="interest","amortization"),-E4291,0)))</f>
        <v>-139.92999999999998</v>
      </c>
    </row>
    <row r="4509" spans="1:10" ht="12.5" x14ac:dyDescent="0.25">
      <c r="A4509" s="1">
        <v>45917</v>
      </c>
      <c r="B4509" s="2" t="s">
        <v>10</v>
      </c>
      <c r="C4509" s="2" t="s">
        <v>6</v>
      </c>
      <c r="D4509" s="2" t="s">
        <v>6</v>
      </c>
      <c r="E4509" s="3">
        <v>102.97</v>
      </c>
      <c r="F4509" t="str">
        <f t="shared" si="354"/>
        <v>marketing</v>
      </c>
      <c r="G4509" s="7" t="s">
        <v>6</v>
      </c>
      <c r="H4509">
        <f t="shared" si="356"/>
        <v>2025</v>
      </c>
      <c r="I4509">
        <f t="shared" si="357"/>
        <v>9</v>
      </c>
      <c r="J4509">
        <f t="shared" si="358"/>
        <v>-854.05000000000007</v>
      </c>
    </row>
    <row r="4510" spans="1:10" ht="12.5" x14ac:dyDescent="0.25">
      <c r="A4510" s="1">
        <v>45917</v>
      </c>
      <c r="B4510" s="2" t="s">
        <v>11</v>
      </c>
      <c r="C4510" s="3">
        <v>9.99</v>
      </c>
      <c r="D4510" s="3">
        <v>76</v>
      </c>
      <c r="E4510" s="3">
        <v>759.24</v>
      </c>
      <c r="F4510" t="str">
        <f t="shared" si="354"/>
        <v>net sales</v>
      </c>
      <c r="G4510" s="7" t="str">
        <f t="shared" si="355"/>
        <v>product 1</v>
      </c>
      <c r="H4510">
        <f t="shared" si="356"/>
        <v>2025</v>
      </c>
      <c r="I4510">
        <f t="shared" si="357"/>
        <v>9</v>
      </c>
      <c r="J4510">
        <f t="shared" si="358"/>
        <v>-108.05</v>
      </c>
    </row>
    <row r="4511" spans="1:10" ht="12.5" x14ac:dyDescent="0.25">
      <c r="A4511" s="1">
        <v>45917</v>
      </c>
      <c r="B4511" s="2" t="s">
        <v>12</v>
      </c>
      <c r="C4511" s="3">
        <v>24.99</v>
      </c>
      <c r="D4511" s="3">
        <v>6</v>
      </c>
      <c r="E4511" s="3">
        <v>149.94</v>
      </c>
      <c r="F4511" t="str">
        <f t="shared" si="354"/>
        <v>net sales</v>
      </c>
      <c r="G4511" s="7" t="str">
        <f t="shared" si="355"/>
        <v>product 2</v>
      </c>
      <c r="H4511">
        <f t="shared" si="356"/>
        <v>2025</v>
      </c>
      <c r="I4511">
        <f t="shared" si="357"/>
        <v>9</v>
      </c>
      <c r="J4511">
        <f t="shared" si="358"/>
        <v>699.30000000000007</v>
      </c>
    </row>
    <row r="4512" spans="1:10" ht="12.5" x14ac:dyDescent="0.25">
      <c r="A4512" s="1">
        <v>45917</v>
      </c>
      <c r="B4512" s="2" t="s">
        <v>13</v>
      </c>
      <c r="C4512" s="3">
        <v>12.49</v>
      </c>
      <c r="D4512" s="3">
        <v>202</v>
      </c>
      <c r="E4512" s="3">
        <v>2522.98</v>
      </c>
      <c r="F4512" t="str">
        <f t="shared" si="354"/>
        <v>net sales</v>
      </c>
      <c r="G4512" s="7" t="str">
        <f t="shared" si="355"/>
        <v>product 3</v>
      </c>
      <c r="H4512">
        <f t="shared" si="356"/>
        <v>2025</v>
      </c>
      <c r="I4512">
        <f t="shared" si="357"/>
        <v>9</v>
      </c>
      <c r="J4512">
        <f t="shared" si="358"/>
        <v>174.92999999999998</v>
      </c>
    </row>
    <row r="4513" spans="1:10" ht="12.5" x14ac:dyDescent="0.25">
      <c r="A4513" s="1">
        <v>45918</v>
      </c>
      <c r="B4513" s="2" t="s">
        <v>7</v>
      </c>
      <c r="C4513" s="3">
        <v>5.49</v>
      </c>
      <c r="D4513" s="3">
        <v>97</v>
      </c>
      <c r="E4513" s="3">
        <v>532.53</v>
      </c>
      <c r="F4513" t="str">
        <f t="shared" si="354"/>
        <v>cogs</v>
      </c>
      <c r="G4513" s="7" t="str">
        <f t="shared" si="355"/>
        <v>product 1</v>
      </c>
      <c r="H4513">
        <f t="shared" si="356"/>
        <v>2025</v>
      </c>
      <c r="I4513">
        <f t="shared" si="357"/>
        <v>9</v>
      </c>
      <c r="J4513">
        <f t="shared" si="358"/>
        <v>1186.55</v>
      </c>
    </row>
    <row r="4514" spans="1:10" ht="12.5" x14ac:dyDescent="0.25">
      <c r="A4514" s="1">
        <v>45918</v>
      </c>
      <c r="B4514" s="2" t="s">
        <v>8</v>
      </c>
      <c r="C4514" s="3">
        <v>21.49</v>
      </c>
      <c r="D4514" s="3">
        <v>4</v>
      </c>
      <c r="E4514" s="3">
        <v>85.96</v>
      </c>
      <c r="F4514" t="str">
        <f t="shared" si="354"/>
        <v>cogs</v>
      </c>
      <c r="G4514" s="7" t="str">
        <f t="shared" si="355"/>
        <v>product 2</v>
      </c>
      <c r="H4514">
        <f t="shared" si="356"/>
        <v>2025</v>
      </c>
      <c r="I4514">
        <f t="shared" si="357"/>
        <v>9</v>
      </c>
      <c r="J4514">
        <f t="shared" si="358"/>
        <v>-126.27000000000001</v>
      </c>
    </row>
    <row r="4515" spans="1:10" ht="12.5" x14ac:dyDescent="0.25">
      <c r="A4515" s="1">
        <v>45918</v>
      </c>
      <c r="B4515" s="2" t="s">
        <v>9</v>
      </c>
      <c r="C4515" s="3">
        <v>8.99</v>
      </c>
      <c r="D4515" s="3">
        <v>153</v>
      </c>
      <c r="E4515" s="3">
        <v>1375.47</v>
      </c>
      <c r="F4515" t="str">
        <f t="shared" si="354"/>
        <v>cogs</v>
      </c>
      <c r="G4515" s="7" t="str">
        <f t="shared" si="355"/>
        <v>product 3</v>
      </c>
      <c r="H4515">
        <f t="shared" si="356"/>
        <v>2025</v>
      </c>
      <c r="I4515">
        <f t="shared" si="357"/>
        <v>9</v>
      </c>
      <c r="J4515">
        <f t="shared" si="358"/>
        <v>-39.979999999999997</v>
      </c>
    </row>
    <row r="4516" spans="1:10" ht="12.5" x14ac:dyDescent="0.25">
      <c r="A4516" s="1">
        <v>45918</v>
      </c>
      <c r="B4516" s="2" t="s">
        <v>10</v>
      </c>
      <c r="C4516" s="2" t="s">
        <v>6</v>
      </c>
      <c r="D4516" s="2" t="s">
        <v>6</v>
      </c>
      <c r="E4516" s="3">
        <v>101.08</v>
      </c>
      <c r="F4516" t="str">
        <f t="shared" si="354"/>
        <v>marketing</v>
      </c>
      <c r="G4516" s="7" t="s">
        <v>6</v>
      </c>
      <c r="H4516">
        <f t="shared" si="356"/>
        <v>2025</v>
      </c>
      <c r="I4516">
        <f t="shared" si="357"/>
        <v>9</v>
      </c>
      <c r="J4516">
        <f t="shared" si="358"/>
        <v>-2022.75</v>
      </c>
    </row>
    <row r="4517" spans="1:10" ht="12.5" x14ac:dyDescent="0.25">
      <c r="A4517" s="1">
        <v>45918</v>
      </c>
      <c r="B4517" s="2" t="s">
        <v>11</v>
      </c>
      <c r="C4517" s="3">
        <v>9.99</v>
      </c>
      <c r="D4517" s="3">
        <v>97</v>
      </c>
      <c r="E4517" s="3">
        <v>969.03</v>
      </c>
      <c r="F4517" t="str">
        <f t="shared" si="354"/>
        <v>net sales</v>
      </c>
      <c r="G4517" s="7" t="str">
        <f t="shared" si="355"/>
        <v>product 1</v>
      </c>
      <c r="H4517">
        <f t="shared" si="356"/>
        <v>2025</v>
      </c>
      <c r="I4517">
        <f t="shared" si="357"/>
        <v>9</v>
      </c>
      <c r="J4517">
        <f t="shared" si="358"/>
        <v>-114.03</v>
      </c>
    </row>
    <row r="4518" spans="1:10" ht="12.5" x14ac:dyDescent="0.25">
      <c r="A4518" s="1">
        <v>45918</v>
      </c>
      <c r="B4518" s="2" t="s">
        <v>12</v>
      </c>
      <c r="C4518" s="3">
        <v>24.99</v>
      </c>
      <c r="D4518" s="3">
        <v>4</v>
      </c>
      <c r="E4518" s="3">
        <v>99.96</v>
      </c>
      <c r="F4518" t="str">
        <f t="shared" si="354"/>
        <v>net sales</v>
      </c>
      <c r="G4518" s="7" t="str">
        <f t="shared" si="355"/>
        <v>product 2</v>
      </c>
      <c r="H4518">
        <f t="shared" si="356"/>
        <v>2025</v>
      </c>
      <c r="I4518">
        <f t="shared" si="357"/>
        <v>9</v>
      </c>
      <c r="J4518">
        <f t="shared" si="358"/>
        <v>229.77</v>
      </c>
    </row>
    <row r="4519" spans="1:10" ht="12.5" x14ac:dyDescent="0.25">
      <c r="A4519" s="1">
        <v>45918</v>
      </c>
      <c r="B4519" s="2" t="s">
        <v>13</v>
      </c>
      <c r="C4519" s="3">
        <v>12.49</v>
      </c>
      <c r="D4519" s="3">
        <v>153</v>
      </c>
      <c r="E4519" s="3">
        <v>1910.97</v>
      </c>
      <c r="F4519" t="str">
        <f t="shared" si="354"/>
        <v>net sales</v>
      </c>
      <c r="G4519" s="7" t="str">
        <f t="shared" si="355"/>
        <v>product 3</v>
      </c>
      <c r="H4519">
        <f t="shared" si="356"/>
        <v>2025</v>
      </c>
      <c r="I4519">
        <f t="shared" si="357"/>
        <v>9</v>
      </c>
      <c r="J4519">
        <f t="shared" si="358"/>
        <v>49.98</v>
      </c>
    </row>
    <row r="4520" spans="1:10" ht="12.5" x14ac:dyDescent="0.25">
      <c r="A4520" s="1">
        <v>45919</v>
      </c>
      <c r="B4520" s="2" t="s">
        <v>7</v>
      </c>
      <c r="C4520" s="3">
        <v>5.49</v>
      </c>
      <c r="D4520" s="3">
        <v>85</v>
      </c>
      <c r="E4520" s="3">
        <v>466.65000000000003</v>
      </c>
      <c r="F4520" t="str">
        <f t="shared" si="354"/>
        <v>cogs</v>
      </c>
      <c r="G4520" s="7" t="str">
        <f t="shared" si="355"/>
        <v>product 1</v>
      </c>
      <c r="H4520">
        <f t="shared" si="356"/>
        <v>2025</v>
      </c>
      <c r="I4520">
        <f t="shared" si="357"/>
        <v>9</v>
      </c>
      <c r="J4520">
        <f t="shared" si="358"/>
        <v>2810.25</v>
      </c>
    </row>
    <row r="4521" spans="1:10" ht="12.5" x14ac:dyDescent="0.25">
      <c r="A4521" s="1">
        <v>45919</v>
      </c>
      <c r="B4521" s="2" t="s">
        <v>8</v>
      </c>
      <c r="C4521" s="3">
        <v>21.49</v>
      </c>
      <c r="D4521" s="3">
        <v>3</v>
      </c>
      <c r="E4521" s="3">
        <v>64.47</v>
      </c>
      <c r="F4521" t="str">
        <f t="shared" si="354"/>
        <v>cogs</v>
      </c>
      <c r="G4521" s="7" t="str">
        <f t="shared" si="355"/>
        <v>product 2</v>
      </c>
      <c r="H4521">
        <f t="shared" si="356"/>
        <v>2025</v>
      </c>
      <c r="I4521">
        <f t="shared" si="357"/>
        <v>9</v>
      </c>
      <c r="J4521">
        <f t="shared" si="358"/>
        <v>-27.450000000000003</v>
      </c>
    </row>
    <row r="4522" spans="1:10" ht="12.5" x14ac:dyDescent="0.25">
      <c r="A4522" s="1">
        <v>45919</v>
      </c>
      <c r="B4522" s="2" t="s">
        <v>9</v>
      </c>
      <c r="C4522" s="3">
        <v>8.99</v>
      </c>
      <c r="D4522" s="3">
        <v>207</v>
      </c>
      <c r="E4522" s="3">
        <v>1860.93</v>
      </c>
      <c r="F4522" t="str">
        <f t="shared" si="354"/>
        <v>cogs</v>
      </c>
      <c r="G4522" s="7" t="str">
        <f t="shared" si="355"/>
        <v>product 3</v>
      </c>
      <c r="H4522">
        <f t="shared" si="356"/>
        <v>2025</v>
      </c>
      <c r="I4522">
        <f t="shared" si="357"/>
        <v>9</v>
      </c>
      <c r="J4522">
        <f t="shared" si="358"/>
        <v>-59.97</v>
      </c>
    </row>
    <row r="4523" spans="1:10" ht="12.5" x14ac:dyDescent="0.25">
      <c r="A4523" s="1">
        <v>45919</v>
      </c>
      <c r="B4523" s="2" t="s">
        <v>10</v>
      </c>
      <c r="C4523" s="2" t="s">
        <v>6</v>
      </c>
      <c r="D4523" s="2" t="s">
        <v>6</v>
      </c>
      <c r="E4523" s="3">
        <v>104.08</v>
      </c>
      <c r="F4523" t="str">
        <f t="shared" si="354"/>
        <v>marketing</v>
      </c>
      <c r="G4523" s="7" t="s">
        <v>6</v>
      </c>
      <c r="H4523">
        <f t="shared" si="356"/>
        <v>2025</v>
      </c>
      <c r="I4523">
        <f t="shared" si="357"/>
        <v>9</v>
      </c>
      <c r="J4523">
        <f t="shared" si="358"/>
        <v>-845.06000000000006</v>
      </c>
    </row>
    <row r="4524" spans="1:10" ht="12.5" x14ac:dyDescent="0.25">
      <c r="A4524" s="1">
        <v>45919</v>
      </c>
      <c r="B4524" s="2" t="s">
        <v>11</v>
      </c>
      <c r="C4524" s="3">
        <v>9.99</v>
      </c>
      <c r="D4524" s="3">
        <v>85</v>
      </c>
      <c r="E4524" s="3">
        <v>849.15</v>
      </c>
      <c r="F4524" t="str">
        <f t="shared" si="354"/>
        <v>net sales</v>
      </c>
      <c r="G4524" s="7" t="str">
        <f t="shared" si="355"/>
        <v>product 1</v>
      </c>
      <c r="H4524">
        <f t="shared" si="356"/>
        <v>2025</v>
      </c>
      <c r="I4524">
        <f t="shared" si="357"/>
        <v>9</v>
      </c>
      <c r="J4524">
        <f t="shared" si="358"/>
        <v>-107.01</v>
      </c>
    </row>
    <row r="4525" spans="1:10" ht="12.5" x14ac:dyDescent="0.25">
      <c r="A4525" s="1">
        <v>45919</v>
      </c>
      <c r="B4525" s="2" t="s">
        <v>12</v>
      </c>
      <c r="C4525" s="3">
        <v>24.99</v>
      </c>
      <c r="D4525" s="3">
        <v>3</v>
      </c>
      <c r="E4525" s="3">
        <v>74.97</v>
      </c>
      <c r="F4525" t="str">
        <f t="shared" si="354"/>
        <v>net sales</v>
      </c>
      <c r="G4525" s="7" t="str">
        <f t="shared" si="355"/>
        <v>product 2</v>
      </c>
      <c r="H4525">
        <f t="shared" si="356"/>
        <v>2025</v>
      </c>
      <c r="I4525">
        <f t="shared" si="357"/>
        <v>9</v>
      </c>
      <c r="J4525">
        <f t="shared" si="358"/>
        <v>49.95</v>
      </c>
    </row>
    <row r="4526" spans="1:10" ht="12.5" x14ac:dyDescent="0.25">
      <c r="A4526" s="1">
        <v>45919</v>
      </c>
      <c r="B4526" s="2" t="s">
        <v>13</v>
      </c>
      <c r="C4526" s="3">
        <v>12.49</v>
      </c>
      <c r="D4526" s="3">
        <v>207</v>
      </c>
      <c r="E4526" s="3">
        <v>2585.4299999999998</v>
      </c>
      <c r="F4526" t="str">
        <f t="shared" si="354"/>
        <v>net sales</v>
      </c>
      <c r="G4526" s="7" t="str">
        <f t="shared" si="355"/>
        <v>product 3</v>
      </c>
      <c r="H4526">
        <f t="shared" si="356"/>
        <v>2025</v>
      </c>
      <c r="I4526">
        <f t="shared" si="357"/>
        <v>9</v>
      </c>
      <c r="J4526">
        <f t="shared" si="358"/>
        <v>74.97</v>
      </c>
    </row>
    <row r="4527" spans="1:10" ht="12.5" x14ac:dyDescent="0.25">
      <c r="A4527" s="1">
        <v>45920</v>
      </c>
      <c r="B4527" s="2" t="s">
        <v>7</v>
      </c>
      <c r="C4527" s="3">
        <v>5.49</v>
      </c>
      <c r="D4527" s="3">
        <v>73</v>
      </c>
      <c r="E4527" s="3">
        <v>400.77000000000004</v>
      </c>
      <c r="F4527" t="str">
        <f t="shared" si="354"/>
        <v>cogs</v>
      </c>
      <c r="G4527" s="7" t="str">
        <f t="shared" si="355"/>
        <v>product 1</v>
      </c>
      <c r="H4527">
        <f t="shared" si="356"/>
        <v>2025</v>
      </c>
      <c r="I4527">
        <f t="shared" si="357"/>
        <v>9</v>
      </c>
      <c r="J4527">
        <f t="shared" si="358"/>
        <v>1174.06</v>
      </c>
    </row>
    <row r="4528" spans="1:10" ht="12.5" x14ac:dyDescent="0.25">
      <c r="A4528" s="1">
        <v>45920</v>
      </c>
      <c r="B4528" s="2" t="s">
        <v>8</v>
      </c>
      <c r="C4528" s="3">
        <v>21.49</v>
      </c>
      <c r="D4528" s="3">
        <v>0</v>
      </c>
      <c r="E4528" s="2">
        <f>C4528*D4528</f>
        <v>0</v>
      </c>
      <c r="F4528" t="str">
        <f t="shared" si="354"/>
        <v>cogs</v>
      </c>
      <c r="G4528" s="7" t="str">
        <f t="shared" si="355"/>
        <v>product 2</v>
      </c>
      <c r="H4528">
        <f t="shared" si="356"/>
        <v>2025</v>
      </c>
      <c r="I4528">
        <f t="shared" si="357"/>
        <v>9</v>
      </c>
      <c r="J4528">
        <f t="shared" si="358"/>
        <v>-263.52</v>
      </c>
    </row>
    <row r="4529" spans="1:10" ht="12.5" x14ac:dyDescent="0.25">
      <c r="A4529" s="1">
        <v>45920</v>
      </c>
      <c r="B4529" s="2" t="s">
        <v>9</v>
      </c>
      <c r="C4529" s="3">
        <v>8.99</v>
      </c>
      <c r="D4529" s="3">
        <v>226</v>
      </c>
      <c r="E4529" s="3">
        <v>2031.74</v>
      </c>
      <c r="F4529" t="str">
        <f t="shared" si="354"/>
        <v>cogs</v>
      </c>
      <c r="G4529" s="7" t="str">
        <f t="shared" si="355"/>
        <v>product 3</v>
      </c>
      <c r="H4529">
        <f t="shared" si="356"/>
        <v>2025</v>
      </c>
      <c r="I4529">
        <f t="shared" si="357"/>
        <v>9</v>
      </c>
      <c r="J4529">
        <f t="shared" si="358"/>
        <v>-39.979999999999997</v>
      </c>
    </row>
    <row r="4530" spans="1:10" ht="12.5" x14ac:dyDescent="0.25">
      <c r="A4530" s="1">
        <v>45920</v>
      </c>
      <c r="B4530" s="2" t="s">
        <v>10</v>
      </c>
      <c r="C4530" s="2" t="s">
        <v>6</v>
      </c>
      <c r="D4530" s="2" t="s">
        <v>6</v>
      </c>
      <c r="E4530" s="3">
        <v>115.06</v>
      </c>
      <c r="F4530" t="str">
        <f t="shared" si="354"/>
        <v>marketing</v>
      </c>
      <c r="G4530" s="7" t="s">
        <v>6</v>
      </c>
      <c r="H4530">
        <f t="shared" si="356"/>
        <v>2025</v>
      </c>
      <c r="I4530">
        <f t="shared" si="357"/>
        <v>9</v>
      </c>
      <c r="J4530">
        <f t="shared" si="358"/>
        <v>-2166.59</v>
      </c>
    </row>
    <row r="4531" spans="1:10" ht="12.5" x14ac:dyDescent="0.25">
      <c r="A4531" s="1">
        <v>45920</v>
      </c>
      <c r="B4531" s="2" t="s">
        <v>11</v>
      </c>
      <c r="C4531" s="3">
        <v>9.99</v>
      </c>
      <c r="D4531" s="3">
        <v>73</v>
      </c>
      <c r="E4531" s="3">
        <v>729.27</v>
      </c>
      <c r="F4531" t="str">
        <f t="shared" si="354"/>
        <v>net sales</v>
      </c>
      <c r="G4531" s="7" t="str">
        <f t="shared" si="355"/>
        <v>product 1</v>
      </c>
      <c r="H4531">
        <f t="shared" si="356"/>
        <v>2025</v>
      </c>
      <c r="I4531">
        <f t="shared" si="357"/>
        <v>9</v>
      </c>
      <c r="J4531">
        <f t="shared" si="358"/>
        <v>-116.99000000000001</v>
      </c>
    </row>
    <row r="4532" spans="1:10" ht="12.5" x14ac:dyDescent="0.25">
      <c r="A4532" s="1">
        <v>45920</v>
      </c>
      <c r="B4532" s="2" t="s">
        <v>12</v>
      </c>
      <c r="C4532" s="3">
        <v>24.99</v>
      </c>
      <c r="D4532" s="3">
        <v>0</v>
      </c>
      <c r="E4532" s="2">
        <f>C4532*D4532</f>
        <v>0</v>
      </c>
      <c r="F4532" t="str">
        <f t="shared" si="354"/>
        <v>net sales</v>
      </c>
      <c r="G4532" s="7" t="str">
        <f t="shared" si="355"/>
        <v>product 2</v>
      </c>
      <c r="H4532">
        <f t="shared" si="356"/>
        <v>2025</v>
      </c>
      <c r="I4532">
        <f t="shared" si="357"/>
        <v>9</v>
      </c>
      <c r="J4532">
        <f t="shared" si="358"/>
        <v>479.52</v>
      </c>
    </row>
    <row r="4533" spans="1:10" ht="12.5" x14ac:dyDescent="0.25">
      <c r="A4533" s="1">
        <v>45920</v>
      </c>
      <c r="B4533" s="2" t="s">
        <v>13</v>
      </c>
      <c r="C4533" s="3">
        <v>12.49</v>
      </c>
      <c r="D4533" s="3">
        <v>226</v>
      </c>
      <c r="E4533" s="3">
        <v>2822.7400000000002</v>
      </c>
      <c r="F4533" t="str">
        <f t="shared" si="354"/>
        <v>net sales</v>
      </c>
      <c r="G4533" s="7" t="str">
        <f t="shared" si="355"/>
        <v>product 3</v>
      </c>
      <c r="H4533">
        <f t="shared" si="356"/>
        <v>2025</v>
      </c>
      <c r="I4533">
        <f t="shared" si="357"/>
        <v>9</v>
      </c>
      <c r="J4533">
        <f t="shared" si="358"/>
        <v>49.98</v>
      </c>
    </row>
    <row r="4534" spans="1:10" ht="12.5" x14ac:dyDescent="0.25">
      <c r="A4534" s="1">
        <v>45921</v>
      </c>
      <c r="B4534" s="2" t="s">
        <v>7</v>
      </c>
      <c r="C4534" s="3">
        <v>5.49</v>
      </c>
      <c r="D4534" s="3">
        <v>66</v>
      </c>
      <c r="E4534" s="3">
        <v>362.34000000000003</v>
      </c>
      <c r="F4534" t="str">
        <f t="shared" si="354"/>
        <v>cogs</v>
      </c>
      <c r="G4534" s="7" t="str">
        <f t="shared" si="355"/>
        <v>product 1</v>
      </c>
      <c r="H4534">
        <f t="shared" si="356"/>
        <v>2025</v>
      </c>
      <c r="I4534">
        <f t="shared" si="357"/>
        <v>9</v>
      </c>
      <c r="J4534">
        <f t="shared" si="358"/>
        <v>3010.09</v>
      </c>
    </row>
    <row r="4535" spans="1:10" ht="12.5" x14ac:dyDescent="0.25">
      <c r="A4535" s="1">
        <v>45921</v>
      </c>
      <c r="B4535" s="2" t="s">
        <v>8</v>
      </c>
      <c r="C4535" s="3">
        <v>21.49</v>
      </c>
      <c r="D4535" s="3">
        <v>5</v>
      </c>
      <c r="E4535" s="3">
        <v>107.44999999999999</v>
      </c>
      <c r="F4535" t="str">
        <f t="shared" si="354"/>
        <v>cogs</v>
      </c>
      <c r="G4535" s="7" t="str">
        <f t="shared" si="355"/>
        <v>product 2</v>
      </c>
      <c r="H4535">
        <f t="shared" si="356"/>
        <v>2025</v>
      </c>
      <c r="I4535">
        <f t="shared" si="357"/>
        <v>9</v>
      </c>
      <c r="J4535">
        <f t="shared" si="358"/>
        <v>-269.01</v>
      </c>
    </row>
    <row r="4536" spans="1:10" ht="12.5" x14ac:dyDescent="0.25">
      <c r="A4536" s="1">
        <v>45921</v>
      </c>
      <c r="B4536" s="2" t="s">
        <v>9</v>
      </c>
      <c r="C4536" s="3">
        <v>8.99</v>
      </c>
      <c r="D4536" s="3">
        <v>75</v>
      </c>
      <c r="E4536" s="3">
        <v>674.25</v>
      </c>
      <c r="F4536" t="str">
        <f t="shared" si="354"/>
        <v>cogs</v>
      </c>
      <c r="G4536" s="7" t="str">
        <f t="shared" si="355"/>
        <v>product 3</v>
      </c>
      <c r="H4536">
        <f t="shared" si="356"/>
        <v>2025</v>
      </c>
      <c r="I4536">
        <f t="shared" si="357"/>
        <v>9</v>
      </c>
      <c r="J4536">
        <f t="shared" si="358"/>
        <v>0</v>
      </c>
    </row>
    <row r="4537" spans="1:10" ht="12.5" x14ac:dyDescent="0.25">
      <c r="A4537" s="1">
        <v>45921</v>
      </c>
      <c r="B4537" s="2" t="s">
        <v>10</v>
      </c>
      <c r="C4537" s="2" t="s">
        <v>6</v>
      </c>
      <c r="D4537" s="2" t="s">
        <v>6</v>
      </c>
      <c r="E4537" s="3">
        <v>111</v>
      </c>
      <c r="F4537" t="str">
        <f t="shared" si="354"/>
        <v>marketing</v>
      </c>
      <c r="G4537" s="7" t="s">
        <v>6</v>
      </c>
      <c r="H4537">
        <f t="shared" si="356"/>
        <v>2025</v>
      </c>
      <c r="I4537">
        <f t="shared" si="357"/>
        <v>9</v>
      </c>
      <c r="J4537">
        <f t="shared" si="358"/>
        <v>-53.94</v>
      </c>
    </row>
    <row r="4538" spans="1:10" ht="12.5" x14ac:dyDescent="0.25">
      <c r="A4538" s="1">
        <v>45921</v>
      </c>
      <c r="B4538" s="2" t="s">
        <v>11</v>
      </c>
      <c r="C4538" s="3">
        <v>9.99</v>
      </c>
      <c r="D4538" s="3">
        <v>66</v>
      </c>
      <c r="E4538" s="3">
        <v>659.34</v>
      </c>
      <c r="F4538" t="str">
        <f t="shared" si="354"/>
        <v>net sales</v>
      </c>
      <c r="G4538" s="7" t="str">
        <f t="shared" si="355"/>
        <v>product 1</v>
      </c>
      <c r="H4538">
        <f t="shared" si="356"/>
        <v>2025</v>
      </c>
      <c r="I4538">
        <f t="shared" si="357"/>
        <v>9</v>
      </c>
      <c r="J4538">
        <f t="shared" si="358"/>
        <v>-117.02</v>
      </c>
    </row>
    <row r="4539" spans="1:10" ht="12.5" x14ac:dyDescent="0.25">
      <c r="A4539" s="1">
        <v>45921</v>
      </c>
      <c r="B4539" s="2" t="s">
        <v>12</v>
      </c>
      <c r="C4539" s="3">
        <v>24.99</v>
      </c>
      <c r="D4539" s="3">
        <v>5</v>
      </c>
      <c r="E4539" s="3">
        <v>124.94999999999999</v>
      </c>
      <c r="F4539" t="str">
        <f t="shared" si="354"/>
        <v>net sales</v>
      </c>
      <c r="G4539" s="7" t="str">
        <f t="shared" si="355"/>
        <v>product 2</v>
      </c>
      <c r="H4539">
        <f t="shared" si="356"/>
        <v>2025</v>
      </c>
      <c r="I4539">
        <f t="shared" si="357"/>
        <v>9</v>
      </c>
      <c r="J4539">
        <f t="shared" si="358"/>
        <v>489.51</v>
      </c>
    </row>
    <row r="4540" spans="1:10" ht="12.5" x14ac:dyDescent="0.25">
      <c r="A4540" s="1">
        <v>45921</v>
      </c>
      <c r="B4540" s="2" t="s">
        <v>13</v>
      </c>
      <c r="C4540" s="3">
        <v>12.49</v>
      </c>
      <c r="D4540" s="3">
        <v>75</v>
      </c>
      <c r="E4540" s="3">
        <v>936.75</v>
      </c>
      <c r="F4540" t="str">
        <f t="shared" si="354"/>
        <v>net sales</v>
      </c>
      <c r="G4540" s="7" t="str">
        <f t="shared" si="355"/>
        <v>product 3</v>
      </c>
      <c r="H4540">
        <f t="shared" si="356"/>
        <v>2025</v>
      </c>
      <c r="I4540">
        <f t="shared" si="357"/>
        <v>9</v>
      </c>
      <c r="J4540">
        <f t="shared" si="358"/>
        <v>0</v>
      </c>
    </row>
    <row r="4541" spans="1:10" ht="12.5" x14ac:dyDescent="0.25">
      <c r="A4541" s="1">
        <v>45922</v>
      </c>
      <c r="B4541" s="2" t="s">
        <v>7</v>
      </c>
      <c r="C4541" s="3">
        <v>5.49</v>
      </c>
      <c r="D4541" s="3">
        <v>103</v>
      </c>
      <c r="E4541" s="3">
        <v>565.47</v>
      </c>
      <c r="F4541" t="str">
        <f t="shared" si="354"/>
        <v>cogs</v>
      </c>
      <c r="G4541" s="7" t="str">
        <f t="shared" si="355"/>
        <v>product 1</v>
      </c>
      <c r="H4541">
        <f t="shared" si="356"/>
        <v>2025</v>
      </c>
      <c r="I4541">
        <f t="shared" si="357"/>
        <v>9</v>
      </c>
      <c r="J4541">
        <f t="shared" si="358"/>
        <v>74.94</v>
      </c>
    </row>
    <row r="4542" spans="1:10" ht="12.5" x14ac:dyDescent="0.25">
      <c r="A4542" s="1">
        <v>45922</v>
      </c>
      <c r="B4542" s="2" t="s">
        <v>8</v>
      </c>
      <c r="C4542" s="3">
        <v>21.49</v>
      </c>
      <c r="D4542" s="3">
        <v>0</v>
      </c>
      <c r="E4542" s="2">
        <f>C4542*D4542</f>
        <v>0</v>
      </c>
      <c r="F4542" t="str">
        <f t="shared" si="354"/>
        <v>cogs</v>
      </c>
      <c r="G4542" s="7" t="str">
        <f t="shared" si="355"/>
        <v>product 2</v>
      </c>
      <c r="H4542">
        <f t="shared" si="356"/>
        <v>2025</v>
      </c>
      <c r="I4542">
        <f t="shared" si="357"/>
        <v>9</v>
      </c>
      <c r="J4542">
        <f t="shared" si="358"/>
        <v>-488.61</v>
      </c>
    </row>
    <row r="4543" spans="1:10" ht="12.5" x14ac:dyDescent="0.25">
      <c r="A4543" s="1">
        <v>45922</v>
      </c>
      <c r="B4543" s="2" t="s">
        <v>9</v>
      </c>
      <c r="C4543" s="3">
        <v>8.99</v>
      </c>
      <c r="D4543" s="3">
        <v>220</v>
      </c>
      <c r="E4543" s="3">
        <v>1977.8</v>
      </c>
      <c r="F4543" t="str">
        <f t="shared" si="354"/>
        <v>cogs</v>
      </c>
      <c r="G4543" s="7" t="str">
        <f t="shared" si="355"/>
        <v>product 3</v>
      </c>
      <c r="H4543">
        <f t="shared" si="356"/>
        <v>2025</v>
      </c>
      <c r="I4543">
        <f t="shared" si="357"/>
        <v>9</v>
      </c>
      <c r="J4543">
        <f t="shared" si="358"/>
        <v>-59.97</v>
      </c>
    </row>
    <row r="4544" spans="1:10" ht="12.5" x14ac:dyDescent="0.25">
      <c r="A4544" s="1">
        <v>45922</v>
      </c>
      <c r="B4544" s="2" t="s">
        <v>10</v>
      </c>
      <c r="C4544" s="2" t="s">
        <v>6</v>
      </c>
      <c r="D4544" s="2" t="s">
        <v>6</v>
      </c>
      <c r="E4544" s="3">
        <v>101.06</v>
      </c>
      <c r="F4544" t="str">
        <f t="shared" si="354"/>
        <v>marketing</v>
      </c>
      <c r="G4544" s="7" t="s">
        <v>6</v>
      </c>
      <c r="H4544">
        <f t="shared" si="356"/>
        <v>2025</v>
      </c>
      <c r="I4544">
        <f t="shared" si="357"/>
        <v>9</v>
      </c>
      <c r="J4544">
        <f t="shared" si="358"/>
        <v>-584.35</v>
      </c>
    </row>
    <row r="4545" spans="1:10" ht="12.5" x14ac:dyDescent="0.25">
      <c r="A4545" s="1">
        <v>45922</v>
      </c>
      <c r="B4545" s="2" t="s">
        <v>11</v>
      </c>
      <c r="C4545" s="3">
        <v>9.99</v>
      </c>
      <c r="D4545" s="3">
        <v>103</v>
      </c>
      <c r="E4545" s="3">
        <v>1028.97</v>
      </c>
      <c r="F4545" t="str">
        <f t="shared" si="354"/>
        <v>net sales</v>
      </c>
      <c r="G4545" s="7" t="str">
        <f t="shared" si="355"/>
        <v>product 1</v>
      </c>
      <c r="H4545">
        <f t="shared" si="356"/>
        <v>2025</v>
      </c>
      <c r="I4545">
        <f t="shared" si="357"/>
        <v>9</v>
      </c>
      <c r="J4545">
        <f t="shared" si="358"/>
        <v>-113.98</v>
      </c>
    </row>
    <row r="4546" spans="1:10" ht="12.5" x14ac:dyDescent="0.25">
      <c r="A4546" s="1">
        <v>45922</v>
      </c>
      <c r="B4546" s="2" t="s">
        <v>12</v>
      </c>
      <c r="C4546" s="3">
        <v>24.99</v>
      </c>
      <c r="D4546" s="3">
        <v>0</v>
      </c>
      <c r="E4546" s="2">
        <f>C4546*D4546</f>
        <v>0</v>
      </c>
      <c r="F4546" t="str">
        <f t="shared" si="354"/>
        <v>net sales</v>
      </c>
      <c r="G4546" s="7" t="str">
        <f t="shared" si="355"/>
        <v>product 2</v>
      </c>
      <c r="H4546">
        <f t="shared" si="356"/>
        <v>2025</v>
      </c>
      <c r="I4546">
        <f t="shared" si="357"/>
        <v>9</v>
      </c>
      <c r="J4546">
        <f t="shared" si="358"/>
        <v>889.11</v>
      </c>
    </row>
    <row r="4547" spans="1:10" ht="12.5" x14ac:dyDescent="0.25">
      <c r="A4547" s="1">
        <v>45922</v>
      </c>
      <c r="B4547" s="2" t="s">
        <v>13</v>
      </c>
      <c r="C4547" s="3">
        <v>12.49</v>
      </c>
      <c r="D4547" s="3">
        <v>220</v>
      </c>
      <c r="E4547" s="3">
        <v>2747.8</v>
      </c>
      <c r="F4547" t="str">
        <f t="shared" ref="F4547:F4610" si="359">IFERROR(LEFT(B4547,FIND(":",B4547)-1),B4547)</f>
        <v>net sales</v>
      </c>
      <c r="G4547" s="7" t="str">
        <f t="shared" ref="G4547:G4610" si="360">IFERROR(RIGHT(B4547,LEN(B4547)-FIND(":",B4547)),"")</f>
        <v>product 3</v>
      </c>
      <c r="H4547">
        <f t="shared" ref="H4547:H4610" si="361">YEAR(A4547)</f>
        <v>2025</v>
      </c>
      <c r="I4547">
        <f t="shared" ref="I4547:I4610" si="362">MONTH(A4547)</f>
        <v>9</v>
      </c>
      <c r="J4547">
        <f t="shared" si="358"/>
        <v>74.97</v>
      </c>
    </row>
    <row r="4548" spans="1:10" ht="12.5" x14ac:dyDescent="0.25">
      <c r="A4548" s="1">
        <v>45923</v>
      </c>
      <c r="B4548" s="2" t="s">
        <v>7</v>
      </c>
      <c r="C4548" s="3">
        <v>5.49</v>
      </c>
      <c r="D4548" s="3">
        <v>26</v>
      </c>
      <c r="E4548" s="3">
        <v>142.74</v>
      </c>
      <c r="F4548" t="str">
        <f t="shared" si="359"/>
        <v>cogs</v>
      </c>
      <c r="G4548" s="7" t="str">
        <f t="shared" si="360"/>
        <v>product 1</v>
      </c>
      <c r="H4548">
        <f t="shared" si="361"/>
        <v>2025</v>
      </c>
      <c r="I4548">
        <f t="shared" si="362"/>
        <v>9</v>
      </c>
      <c r="J4548">
        <f t="shared" si="358"/>
        <v>811.85</v>
      </c>
    </row>
    <row r="4549" spans="1:10" ht="12.5" x14ac:dyDescent="0.25">
      <c r="A4549" s="1">
        <v>45923</v>
      </c>
      <c r="B4549" s="2" t="s">
        <v>8</v>
      </c>
      <c r="C4549" s="3">
        <v>21.49</v>
      </c>
      <c r="D4549" s="3">
        <v>2</v>
      </c>
      <c r="E4549" s="3">
        <v>42.98</v>
      </c>
      <c r="F4549" t="str">
        <f t="shared" si="359"/>
        <v>cogs</v>
      </c>
      <c r="G4549" s="7" t="str">
        <f t="shared" si="360"/>
        <v>product 2</v>
      </c>
      <c r="H4549">
        <f t="shared" si="361"/>
        <v>2025</v>
      </c>
      <c r="I4549">
        <f t="shared" si="362"/>
        <v>9</v>
      </c>
      <c r="J4549">
        <f t="shared" si="358"/>
        <v>-428.22</v>
      </c>
    </row>
    <row r="4550" spans="1:10" ht="12.5" x14ac:dyDescent="0.25">
      <c r="A4550" s="1">
        <v>45923</v>
      </c>
      <c r="B4550" s="2" t="s">
        <v>9</v>
      </c>
      <c r="C4550" s="3">
        <v>8.99</v>
      </c>
      <c r="D4550" s="3">
        <v>215</v>
      </c>
      <c r="E4550" s="3">
        <v>1932.8500000000001</v>
      </c>
      <c r="F4550" t="str">
        <f t="shared" si="359"/>
        <v>cogs</v>
      </c>
      <c r="G4550" s="7" t="str">
        <f t="shared" si="360"/>
        <v>product 3</v>
      </c>
      <c r="H4550">
        <f t="shared" si="361"/>
        <v>2025</v>
      </c>
      <c r="I4550">
        <f t="shared" si="362"/>
        <v>9</v>
      </c>
      <c r="J4550">
        <f t="shared" si="358"/>
        <v>-179.91</v>
      </c>
    </row>
    <row r="4551" spans="1:10" ht="12.5" x14ac:dyDescent="0.25">
      <c r="A4551" s="1">
        <v>45923</v>
      </c>
      <c r="B4551" s="2" t="s">
        <v>10</v>
      </c>
      <c r="C4551" s="2" t="s">
        <v>6</v>
      </c>
      <c r="D4551" s="2" t="s">
        <v>6</v>
      </c>
      <c r="E4551" s="3">
        <v>114.98</v>
      </c>
      <c r="F4551" t="str">
        <f t="shared" si="359"/>
        <v>marketing</v>
      </c>
      <c r="G4551" s="7" t="s">
        <v>6</v>
      </c>
      <c r="H4551">
        <f t="shared" si="361"/>
        <v>2025</v>
      </c>
      <c r="I4551">
        <f t="shared" si="362"/>
        <v>9</v>
      </c>
      <c r="J4551">
        <f t="shared" si="358"/>
        <v>-1860.93</v>
      </c>
    </row>
    <row r="4552" spans="1:10" ht="12.5" x14ac:dyDescent="0.25">
      <c r="A4552" s="1">
        <v>45923</v>
      </c>
      <c r="B4552" s="2" t="s">
        <v>11</v>
      </c>
      <c r="C4552" s="3">
        <v>9.99</v>
      </c>
      <c r="D4552" s="3">
        <v>26</v>
      </c>
      <c r="E4552" s="3">
        <v>259.74</v>
      </c>
      <c r="F4552" t="str">
        <f t="shared" si="359"/>
        <v>net sales</v>
      </c>
      <c r="G4552" s="7" t="str">
        <f t="shared" si="360"/>
        <v>product 1</v>
      </c>
      <c r="H4552">
        <f t="shared" si="361"/>
        <v>2025</v>
      </c>
      <c r="I4552">
        <f t="shared" si="362"/>
        <v>9</v>
      </c>
      <c r="J4552">
        <f t="shared" si="358"/>
        <v>-118.98</v>
      </c>
    </row>
    <row r="4553" spans="1:10" ht="12.5" x14ac:dyDescent="0.25">
      <c r="A4553" s="1">
        <v>45923</v>
      </c>
      <c r="B4553" s="2" t="s">
        <v>12</v>
      </c>
      <c r="C4553" s="3">
        <v>24.99</v>
      </c>
      <c r="D4553" s="3">
        <v>2</v>
      </c>
      <c r="E4553" s="3">
        <v>49.98</v>
      </c>
      <c r="F4553" t="str">
        <f t="shared" si="359"/>
        <v>net sales</v>
      </c>
      <c r="G4553" s="7" t="str">
        <f t="shared" si="360"/>
        <v>product 2</v>
      </c>
      <c r="H4553">
        <f t="shared" si="361"/>
        <v>2025</v>
      </c>
      <c r="I4553">
        <f t="shared" si="362"/>
        <v>9</v>
      </c>
      <c r="J4553">
        <f t="shared" si="358"/>
        <v>779.22</v>
      </c>
    </row>
    <row r="4554" spans="1:10" ht="12.5" x14ac:dyDescent="0.25">
      <c r="A4554" s="1">
        <v>45923</v>
      </c>
      <c r="B4554" s="2" t="s">
        <v>13</v>
      </c>
      <c r="C4554" s="3">
        <v>12.49</v>
      </c>
      <c r="D4554" s="3">
        <v>215</v>
      </c>
      <c r="E4554" s="3">
        <v>2685.35</v>
      </c>
      <c r="F4554" t="str">
        <f t="shared" si="359"/>
        <v>net sales</v>
      </c>
      <c r="G4554" s="7" t="str">
        <f t="shared" si="360"/>
        <v>product 3</v>
      </c>
      <c r="H4554">
        <f t="shared" si="361"/>
        <v>2025</v>
      </c>
      <c r="I4554">
        <f t="shared" si="362"/>
        <v>9</v>
      </c>
      <c r="J4554">
        <f t="shared" si="358"/>
        <v>224.91</v>
      </c>
    </row>
    <row r="4555" spans="1:10" ht="12.5" x14ac:dyDescent="0.25">
      <c r="A4555" s="1">
        <v>45924</v>
      </c>
      <c r="B4555" s="2" t="s">
        <v>7</v>
      </c>
      <c r="C4555" s="3">
        <v>5.49</v>
      </c>
      <c r="D4555" s="3">
        <v>80</v>
      </c>
      <c r="E4555" s="3">
        <v>439.20000000000005</v>
      </c>
      <c r="F4555" t="str">
        <f t="shared" si="359"/>
        <v>cogs</v>
      </c>
      <c r="G4555" s="7" t="str">
        <f t="shared" si="360"/>
        <v>product 1</v>
      </c>
      <c r="H4555">
        <f t="shared" si="361"/>
        <v>2025</v>
      </c>
      <c r="I4555">
        <f t="shared" si="362"/>
        <v>9</v>
      </c>
      <c r="J4555">
        <f t="shared" si="358"/>
        <v>2585.4299999999998</v>
      </c>
    </row>
    <row r="4556" spans="1:10" ht="12.5" x14ac:dyDescent="0.25">
      <c r="A4556" s="1">
        <v>45924</v>
      </c>
      <c r="B4556" s="2" t="s">
        <v>8</v>
      </c>
      <c r="C4556" s="3">
        <v>21.49</v>
      </c>
      <c r="D4556" s="3">
        <v>7</v>
      </c>
      <c r="E4556" s="3">
        <v>150.42999999999998</v>
      </c>
      <c r="F4556" t="str">
        <f t="shared" si="359"/>
        <v>cogs</v>
      </c>
      <c r="G4556" s="7" t="str">
        <f t="shared" si="360"/>
        <v>product 2</v>
      </c>
      <c r="H4556">
        <f t="shared" si="361"/>
        <v>2025</v>
      </c>
      <c r="I4556">
        <f t="shared" si="362"/>
        <v>9</v>
      </c>
      <c r="J4556">
        <f t="shared" si="358"/>
        <v>-505.08000000000004</v>
      </c>
    </row>
    <row r="4557" spans="1:10" ht="12.5" x14ac:dyDescent="0.25">
      <c r="A4557" s="1">
        <v>45924</v>
      </c>
      <c r="B4557" s="2" t="s">
        <v>9</v>
      </c>
      <c r="C4557" s="3">
        <v>8.99</v>
      </c>
      <c r="D4557" s="3">
        <v>218</v>
      </c>
      <c r="E4557" s="3">
        <v>1959.82</v>
      </c>
      <c r="F4557" t="str">
        <f t="shared" si="359"/>
        <v>cogs</v>
      </c>
      <c r="G4557" s="7" t="str">
        <f t="shared" si="360"/>
        <v>product 3</v>
      </c>
      <c r="H4557">
        <f t="shared" si="361"/>
        <v>2025</v>
      </c>
      <c r="I4557">
        <f t="shared" si="362"/>
        <v>9</v>
      </c>
      <c r="J4557">
        <f t="shared" si="358"/>
        <v>-159.91999999999999</v>
      </c>
    </row>
    <row r="4558" spans="1:10" ht="12.5" x14ac:dyDescent="0.25">
      <c r="A4558" s="1">
        <v>45924</v>
      </c>
      <c r="B4558" s="2" t="s">
        <v>10</v>
      </c>
      <c r="C4558" s="2" t="s">
        <v>6</v>
      </c>
      <c r="D4558" s="2" t="s">
        <v>6</v>
      </c>
      <c r="E4558" s="3">
        <v>112.92</v>
      </c>
      <c r="F4558" t="str">
        <f t="shared" si="359"/>
        <v>marketing</v>
      </c>
      <c r="G4558" s="7" t="s">
        <v>6</v>
      </c>
      <c r="H4558">
        <f t="shared" si="361"/>
        <v>2025</v>
      </c>
      <c r="I4558">
        <f t="shared" si="362"/>
        <v>9</v>
      </c>
      <c r="J4558">
        <f t="shared" si="358"/>
        <v>-17.98</v>
      </c>
    </row>
    <row r="4559" spans="1:10" ht="12.5" x14ac:dyDescent="0.25">
      <c r="A4559" s="1">
        <v>45924</v>
      </c>
      <c r="B4559" s="2" t="s">
        <v>11</v>
      </c>
      <c r="C4559" s="3">
        <v>9.99</v>
      </c>
      <c r="D4559" s="3">
        <v>80</v>
      </c>
      <c r="E4559" s="3">
        <v>799.2</v>
      </c>
      <c r="F4559" t="str">
        <f t="shared" si="359"/>
        <v>net sales</v>
      </c>
      <c r="G4559" s="7" t="str">
        <f t="shared" si="360"/>
        <v>product 1</v>
      </c>
      <c r="H4559">
        <f t="shared" si="361"/>
        <v>2025</v>
      </c>
      <c r="I4559">
        <f t="shared" si="362"/>
        <v>9</v>
      </c>
      <c r="J4559">
        <f t="shared" si="358"/>
        <v>-110.93</v>
      </c>
    </row>
    <row r="4560" spans="1:10" ht="12.5" x14ac:dyDescent="0.25">
      <c r="A4560" s="1">
        <v>45924</v>
      </c>
      <c r="B4560" s="2" t="s">
        <v>12</v>
      </c>
      <c r="C4560" s="3">
        <v>24.99</v>
      </c>
      <c r="D4560" s="3">
        <v>7</v>
      </c>
      <c r="E4560" s="3">
        <v>174.92999999999998</v>
      </c>
      <c r="F4560" t="str">
        <f t="shared" si="359"/>
        <v>net sales</v>
      </c>
      <c r="G4560" s="7" t="str">
        <f t="shared" si="360"/>
        <v>product 2</v>
      </c>
      <c r="H4560">
        <f t="shared" si="361"/>
        <v>2025</v>
      </c>
      <c r="I4560">
        <f t="shared" si="362"/>
        <v>9</v>
      </c>
      <c r="J4560">
        <f t="shared" si="358"/>
        <v>919.08</v>
      </c>
    </row>
    <row r="4561" spans="1:10" ht="12.5" x14ac:dyDescent="0.25">
      <c r="A4561" s="1">
        <v>45924</v>
      </c>
      <c r="B4561" s="2" t="s">
        <v>13</v>
      </c>
      <c r="C4561" s="3">
        <v>12.49</v>
      </c>
      <c r="D4561" s="3">
        <v>218</v>
      </c>
      <c r="E4561" s="3">
        <v>2722.82</v>
      </c>
      <c r="F4561" t="str">
        <f t="shared" si="359"/>
        <v>net sales</v>
      </c>
      <c r="G4561" s="7" t="str">
        <f t="shared" si="360"/>
        <v>product 3</v>
      </c>
      <c r="H4561">
        <f t="shared" si="361"/>
        <v>2025</v>
      </c>
      <c r="I4561">
        <f t="shared" si="362"/>
        <v>9</v>
      </c>
      <c r="J4561">
        <f t="shared" si="358"/>
        <v>199.92</v>
      </c>
    </row>
    <row r="4562" spans="1:10" ht="12.5" x14ac:dyDescent="0.25">
      <c r="A4562" s="1">
        <v>45925</v>
      </c>
      <c r="B4562" s="2" t="s">
        <v>7</v>
      </c>
      <c r="C4562" s="3">
        <v>5.49</v>
      </c>
      <c r="D4562" s="3">
        <v>42</v>
      </c>
      <c r="E4562" s="3">
        <v>230.58</v>
      </c>
      <c r="F4562" t="str">
        <f t="shared" si="359"/>
        <v>cogs</v>
      </c>
      <c r="G4562" s="7" t="str">
        <f t="shared" si="360"/>
        <v>product 1</v>
      </c>
      <c r="H4562">
        <f t="shared" si="361"/>
        <v>2025</v>
      </c>
      <c r="I4562">
        <f t="shared" si="362"/>
        <v>9</v>
      </c>
      <c r="J4562">
        <f t="shared" si="358"/>
        <v>24.98</v>
      </c>
    </row>
    <row r="4563" spans="1:10" ht="12.5" x14ac:dyDescent="0.25">
      <c r="A4563" s="1">
        <v>45925</v>
      </c>
      <c r="B4563" s="2" t="s">
        <v>8</v>
      </c>
      <c r="C4563" s="3">
        <v>21.49</v>
      </c>
      <c r="D4563" s="3">
        <v>2</v>
      </c>
      <c r="E4563" s="3">
        <v>42.98</v>
      </c>
      <c r="F4563" t="str">
        <f t="shared" si="359"/>
        <v>cogs</v>
      </c>
      <c r="G4563" s="7" t="str">
        <f t="shared" si="360"/>
        <v>product 2</v>
      </c>
      <c r="H4563">
        <f t="shared" si="361"/>
        <v>2025</v>
      </c>
      <c r="I4563">
        <f t="shared" si="362"/>
        <v>9</v>
      </c>
      <c r="J4563">
        <f t="shared" si="358"/>
        <v>-450.18</v>
      </c>
    </row>
    <row r="4564" spans="1:10" ht="12.5" x14ac:dyDescent="0.25">
      <c r="A4564" s="1">
        <v>45925</v>
      </c>
      <c r="B4564" s="2" t="s">
        <v>9</v>
      </c>
      <c r="C4564" s="3">
        <v>8.99</v>
      </c>
      <c r="D4564" s="3">
        <v>113</v>
      </c>
      <c r="E4564" s="3">
        <v>1015.87</v>
      </c>
      <c r="F4564" t="str">
        <f t="shared" si="359"/>
        <v>cogs</v>
      </c>
      <c r="G4564" s="7" t="str">
        <f t="shared" si="360"/>
        <v>product 3</v>
      </c>
      <c r="H4564">
        <f t="shared" si="361"/>
        <v>2025</v>
      </c>
      <c r="I4564">
        <f t="shared" si="362"/>
        <v>9</v>
      </c>
      <c r="J4564">
        <f t="shared" si="358"/>
        <v>-39.979999999999997</v>
      </c>
    </row>
    <row r="4565" spans="1:10" ht="12.5" x14ac:dyDescent="0.25">
      <c r="A4565" s="1">
        <v>45925</v>
      </c>
      <c r="B4565" s="2" t="s">
        <v>10</v>
      </c>
      <c r="C4565" s="2" t="s">
        <v>6</v>
      </c>
      <c r="D4565" s="2" t="s">
        <v>6</v>
      </c>
      <c r="E4565" s="3">
        <v>107.97</v>
      </c>
      <c r="F4565" t="str">
        <f t="shared" si="359"/>
        <v>marketing</v>
      </c>
      <c r="G4565" s="7" t="s">
        <v>6</v>
      </c>
      <c r="H4565">
        <f t="shared" si="361"/>
        <v>2025</v>
      </c>
      <c r="I4565">
        <f t="shared" si="362"/>
        <v>9</v>
      </c>
      <c r="J4565">
        <f t="shared" si="358"/>
        <v>-1195.67</v>
      </c>
    </row>
    <row r="4566" spans="1:10" ht="12.5" x14ac:dyDescent="0.25">
      <c r="A4566" s="1">
        <v>45925</v>
      </c>
      <c r="B4566" s="2" t="s">
        <v>11</v>
      </c>
      <c r="C4566" s="3">
        <v>9.99</v>
      </c>
      <c r="D4566" s="3">
        <v>42</v>
      </c>
      <c r="E4566" s="3">
        <v>419.58</v>
      </c>
      <c r="F4566" t="str">
        <f t="shared" si="359"/>
        <v>net sales</v>
      </c>
      <c r="G4566" s="7" t="str">
        <f t="shared" si="360"/>
        <v>product 1</v>
      </c>
      <c r="H4566">
        <f t="shared" si="361"/>
        <v>2025</v>
      </c>
      <c r="I4566">
        <f t="shared" si="362"/>
        <v>9</v>
      </c>
      <c r="J4566">
        <f t="shared" si="358"/>
        <v>-113.94</v>
      </c>
    </row>
    <row r="4567" spans="1:10" ht="12.5" x14ac:dyDescent="0.25">
      <c r="A4567" s="1">
        <v>45925</v>
      </c>
      <c r="B4567" s="2" t="s">
        <v>12</v>
      </c>
      <c r="C4567" s="3">
        <v>24.99</v>
      </c>
      <c r="D4567" s="3">
        <v>2</v>
      </c>
      <c r="E4567" s="3">
        <v>49.98</v>
      </c>
      <c r="F4567" t="str">
        <f t="shared" si="359"/>
        <v>net sales</v>
      </c>
      <c r="G4567" s="7" t="str">
        <f t="shared" si="360"/>
        <v>product 2</v>
      </c>
      <c r="H4567">
        <f t="shared" si="361"/>
        <v>2025</v>
      </c>
      <c r="I4567">
        <f t="shared" si="362"/>
        <v>9</v>
      </c>
      <c r="J4567">
        <f t="shared" si="358"/>
        <v>819.18000000000006</v>
      </c>
    </row>
    <row r="4568" spans="1:10" ht="12.5" x14ac:dyDescent="0.25">
      <c r="A4568" s="1">
        <v>45925</v>
      </c>
      <c r="B4568" s="2" t="s">
        <v>13</v>
      </c>
      <c r="C4568" s="3">
        <v>12.49</v>
      </c>
      <c r="D4568" s="3">
        <v>113</v>
      </c>
      <c r="E4568" s="3">
        <v>1411.3700000000001</v>
      </c>
      <c r="F4568" t="str">
        <f t="shared" si="359"/>
        <v>net sales</v>
      </c>
      <c r="G4568" s="7" t="str">
        <f t="shared" si="360"/>
        <v>product 3</v>
      </c>
      <c r="H4568">
        <f t="shared" si="361"/>
        <v>2025</v>
      </c>
      <c r="I4568">
        <f t="shared" si="362"/>
        <v>9</v>
      </c>
      <c r="J4568">
        <f t="shared" si="358"/>
        <v>49.98</v>
      </c>
    </row>
    <row r="4569" spans="1:10" ht="12.5" x14ac:dyDescent="0.25">
      <c r="A4569" s="1">
        <v>45926</v>
      </c>
      <c r="B4569" s="2" t="s">
        <v>7</v>
      </c>
      <c r="C4569" s="3">
        <v>5.49</v>
      </c>
      <c r="D4569" s="3">
        <v>0</v>
      </c>
      <c r="E4569" s="2">
        <f>C4569*D4569</f>
        <v>0</v>
      </c>
      <c r="F4569" t="str">
        <f t="shared" si="359"/>
        <v>cogs</v>
      </c>
      <c r="G4569" s="7" t="str">
        <f t="shared" si="360"/>
        <v>product 1</v>
      </c>
      <c r="H4569">
        <f t="shared" si="361"/>
        <v>2025</v>
      </c>
      <c r="I4569">
        <f t="shared" si="362"/>
        <v>9</v>
      </c>
      <c r="J4569">
        <f t="shared" si="358"/>
        <v>1661.17</v>
      </c>
    </row>
    <row r="4570" spans="1:10" ht="12.5" x14ac:dyDescent="0.25">
      <c r="A4570" s="1">
        <v>45926</v>
      </c>
      <c r="B4570" s="2" t="s">
        <v>8</v>
      </c>
      <c r="C4570" s="3">
        <v>21.49</v>
      </c>
      <c r="D4570" s="3">
        <v>8</v>
      </c>
      <c r="E4570" s="3">
        <v>171.92</v>
      </c>
      <c r="F4570" t="str">
        <f t="shared" si="359"/>
        <v>cogs</v>
      </c>
      <c r="G4570" s="7" t="str">
        <f t="shared" si="360"/>
        <v>product 2</v>
      </c>
      <c r="H4570">
        <f t="shared" si="361"/>
        <v>2025</v>
      </c>
      <c r="I4570">
        <f t="shared" si="362"/>
        <v>9</v>
      </c>
      <c r="J4570">
        <f t="shared" si="358"/>
        <v>-389.79</v>
      </c>
    </row>
    <row r="4571" spans="1:10" ht="12.5" x14ac:dyDescent="0.25">
      <c r="A4571" s="1">
        <v>45926</v>
      </c>
      <c r="B4571" s="2" t="s">
        <v>9</v>
      </c>
      <c r="C4571" s="3">
        <v>8.99</v>
      </c>
      <c r="D4571" s="3">
        <v>195</v>
      </c>
      <c r="E4571" s="3">
        <v>1753.05</v>
      </c>
      <c r="F4571" t="str">
        <f t="shared" si="359"/>
        <v>cogs</v>
      </c>
      <c r="G4571" s="7" t="str">
        <f t="shared" si="360"/>
        <v>product 3</v>
      </c>
      <c r="H4571">
        <f t="shared" si="361"/>
        <v>2025</v>
      </c>
      <c r="I4571">
        <f t="shared" si="362"/>
        <v>9</v>
      </c>
      <c r="J4571">
        <f t="shared" si="358"/>
        <v>0</v>
      </c>
    </row>
    <row r="4572" spans="1:10" ht="12.5" x14ac:dyDescent="0.25">
      <c r="A4572" s="1">
        <v>45926</v>
      </c>
      <c r="B4572" s="2" t="s">
        <v>10</v>
      </c>
      <c r="C4572" s="2" t="s">
        <v>6</v>
      </c>
      <c r="D4572" s="2" t="s">
        <v>6</v>
      </c>
      <c r="E4572" s="3">
        <v>120.09</v>
      </c>
      <c r="F4572" t="str">
        <f t="shared" si="359"/>
        <v>marketing</v>
      </c>
      <c r="G4572" s="7" t="s">
        <v>6</v>
      </c>
      <c r="H4572">
        <f t="shared" si="361"/>
        <v>2025</v>
      </c>
      <c r="I4572">
        <f t="shared" si="362"/>
        <v>9</v>
      </c>
      <c r="J4572">
        <f t="shared" ref="J4572:J4635" si="363">IF(F4355="net sales",E4355,
IF(F4355="cogs",-E4355,
IF(OR(F4355="marketing",F4355="overhead",F4355="payroll",F4355="interest","amortization"),-E4355,0)))</f>
        <v>-970.92000000000007</v>
      </c>
    </row>
    <row r="4573" spans="1:10" ht="12.5" x14ac:dyDescent="0.25">
      <c r="A4573" s="1">
        <v>45926</v>
      </c>
      <c r="B4573" s="2" t="s">
        <v>11</v>
      </c>
      <c r="C4573" s="3">
        <v>9.99</v>
      </c>
      <c r="D4573" s="3">
        <v>0</v>
      </c>
      <c r="E4573" s="2">
        <f>C4573*D4573</f>
        <v>0</v>
      </c>
      <c r="F4573" t="str">
        <f t="shared" si="359"/>
        <v>net sales</v>
      </c>
      <c r="G4573" s="7" t="str">
        <f t="shared" si="360"/>
        <v>product 1</v>
      </c>
      <c r="H4573">
        <f t="shared" si="361"/>
        <v>2025</v>
      </c>
      <c r="I4573">
        <f t="shared" si="362"/>
        <v>9</v>
      </c>
      <c r="J4573">
        <f t="shared" si="363"/>
        <v>-119.94</v>
      </c>
    </row>
    <row r="4574" spans="1:10" ht="12.5" x14ac:dyDescent="0.25">
      <c r="A4574" s="1">
        <v>45926</v>
      </c>
      <c r="B4574" s="2" t="s">
        <v>12</v>
      </c>
      <c r="C4574" s="3">
        <v>24.99</v>
      </c>
      <c r="D4574" s="3">
        <v>8</v>
      </c>
      <c r="E4574" s="3">
        <v>199.92</v>
      </c>
      <c r="F4574" t="str">
        <f t="shared" si="359"/>
        <v>net sales</v>
      </c>
      <c r="G4574" s="7" t="str">
        <f t="shared" si="360"/>
        <v>product 2</v>
      </c>
      <c r="H4574">
        <f t="shared" si="361"/>
        <v>2025</v>
      </c>
      <c r="I4574">
        <f t="shared" si="362"/>
        <v>9</v>
      </c>
      <c r="J4574">
        <f t="shared" si="363"/>
        <v>709.29</v>
      </c>
    </row>
    <row r="4575" spans="1:10" ht="12.5" x14ac:dyDescent="0.25">
      <c r="A4575" s="1">
        <v>45926</v>
      </c>
      <c r="B4575" s="2" t="s">
        <v>13</v>
      </c>
      <c r="C4575" s="3">
        <v>12.49</v>
      </c>
      <c r="D4575" s="3">
        <v>195</v>
      </c>
      <c r="E4575" s="3">
        <v>2435.5500000000002</v>
      </c>
      <c r="F4575" t="str">
        <f t="shared" si="359"/>
        <v>net sales</v>
      </c>
      <c r="G4575" s="7" t="str">
        <f t="shared" si="360"/>
        <v>product 3</v>
      </c>
      <c r="H4575">
        <f t="shared" si="361"/>
        <v>2025</v>
      </c>
      <c r="I4575">
        <f t="shared" si="362"/>
        <v>9</v>
      </c>
      <c r="J4575">
        <f t="shared" si="363"/>
        <v>0</v>
      </c>
    </row>
    <row r="4576" spans="1:10" ht="12.5" x14ac:dyDescent="0.25">
      <c r="A4576" s="1">
        <v>45926</v>
      </c>
      <c r="B4576" s="2" t="s">
        <v>15</v>
      </c>
      <c r="C4576" s="2" t="s">
        <v>6</v>
      </c>
      <c r="D4576" s="2" t="s">
        <v>6</v>
      </c>
      <c r="E4576" s="3">
        <v>1200</v>
      </c>
      <c r="F4576" t="str">
        <f t="shared" si="359"/>
        <v>payroll</v>
      </c>
      <c r="G4576" s="7" t="s">
        <v>6</v>
      </c>
      <c r="H4576">
        <f t="shared" si="361"/>
        <v>2025</v>
      </c>
      <c r="I4576">
        <f t="shared" si="362"/>
        <v>9</v>
      </c>
      <c r="J4576">
        <f t="shared" si="363"/>
        <v>1348.92</v>
      </c>
    </row>
    <row r="4577" spans="1:10" ht="12.5" x14ac:dyDescent="0.25">
      <c r="A4577" s="1">
        <v>45927</v>
      </c>
      <c r="B4577" s="2" t="s">
        <v>7</v>
      </c>
      <c r="C4577" s="3">
        <v>5.49</v>
      </c>
      <c r="D4577" s="3">
        <v>38</v>
      </c>
      <c r="E4577" s="3">
        <v>208.62</v>
      </c>
      <c r="F4577" t="str">
        <f t="shared" si="359"/>
        <v>cogs</v>
      </c>
      <c r="G4577" s="7" t="str">
        <f t="shared" si="360"/>
        <v>product 1</v>
      </c>
      <c r="H4577">
        <f t="shared" si="361"/>
        <v>2025</v>
      </c>
      <c r="I4577">
        <f t="shared" si="362"/>
        <v>9</v>
      </c>
      <c r="J4577">
        <f t="shared" si="363"/>
        <v>-76.86</v>
      </c>
    </row>
    <row r="4578" spans="1:10" ht="12.5" x14ac:dyDescent="0.25">
      <c r="A4578" s="1">
        <v>45927</v>
      </c>
      <c r="B4578" s="2" t="s">
        <v>8</v>
      </c>
      <c r="C4578" s="3">
        <v>21.49</v>
      </c>
      <c r="D4578" s="3">
        <v>3</v>
      </c>
      <c r="E4578" s="3">
        <v>64.47</v>
      </c>
      <c r="F4578" t="str">
        <f t="shared" si="359"/>
        <v>cogs</v>
      </c>
      <c r="G4578" s="7" t="str">
        <f t="shared" si="360"/>
        <v>product 2</v>
      </c>
      <c r="H4578">
        <f t="shared" si="361"/>
        <v>2025</v>
      </c>
      <c r="I4578">
        <f t="shared" si="362"/>
        <v>9</v>
      </c>
      <c r="J4578">
        <f t="shared" si="363"/>
        <v>-39.979999999999997</v>
      </c>
    </row>
    <row r="4579" spans="1:10" ht="12.5" x14ac:dyDescent="0.25">
      <c r="A4579" s="1">
        <v>45927</v>
      </c>
      <c r="B4579" s="2" t="s">
        <v>9</v>
      </c>
      <c r="C4579" s="3">
        <v>8.99</v>
      </c>
      <c r="D4579" s="3">
        <v>223</v>
      </c>
      <c r="E4579" s="3">
        <v>2004.77</v>
      </c>
      <c r="F4579" t="str">
        <f t="shared" si="359"/>
        <v>cogs</v>
      </c>
      <c r="G4579" s="7" t="str">
        <f t="shared" si="360"/>
        <v>product 3</v>
      </c>
      <c r="H4579">
        <f t="shared" si="361"/>
        <v>2025</v>
      </c>
      <c r="I4579">
        <f t="shared" si="362"/>
        <v>9</v>
      </c>
      <c r="J4579">
        <f t="shared" si="363"/>
        <v>-2076.69</v>
      </c>
    </row>
    <row r="4580" spans="1:10" ht="12.5" x14ac:dyDescent="0.25">
      <c r="A4580" s="1">
        <v>45927</v>
      </c>
      <c r="B4580" s="2" t="s">
        <v>10</v>
      </c>
      <c r="C4580" s="2" t="s">
        <v>6</v>
      </c>
      <c r="D4580" s="2" t="s">
        <v>6</v>
      </c>
      <c r="E4580" s="3">
        <v>109.09</v>
      </c>
      <c r="F4580" t="str">
        <f t="shared" si="359"/>
        <v>marketing</v>
      </c>
      <c r="G4580" s="7" t="s">
        <v>6</v>
      </c>
      <c r="H4580">
        <f t="shared" si="361"/>
        <v>2025</v>
      </c>
      <c r="I4580">
        <f t="shared" si="362"/>
        <v>9</v>
      </c>
      <c r="J4580">
        <f t="shared" si="363"/>
        <v>-103.01</v>
      </c>
    </row>
    <row r="4581" spans="1:10" ht="12.5" x14ac:dyDescent="0.25">
      <c r="A4581" s="1">
        <v>45927</v>
      </c>
      <c r="B4581" s="2" t="s">
        <v>11</v>
      </c>
      <c r="C4581" s="3">
        <v>9.99</v>
      </c>
      <c r="D4581" s="3">
        <v>38</v>
      </c>
      <c r="E4581" s="3">
        <v>379.62</v>
      </c>
      <c r="F4581" t="str">
        <f t="shared" si="359"/>
        <v>net sales</v>
      </c>
      <c r="G4581" s="7" t="str">
        <f t="shared" si="360"/>
        <v>product 1</v>
      </c>
      <c r="H4581">
        <f t="shared" si="361"/>
        <v>2025</v>
      </c>
      <c r="I4581">
        <f t="shared" si="362"/>
        <v>9</v>
      </c>
      <c r="J4581">
        <f t="shared" si="363"/>
        <v>139.86000000000001</v>
      </c>
    </row>
    <row r="4582" spans="1:10" ht="12.5" x14ac:dyDescent="0.25">
      <c r="A4582" s="1">
        <v>45927</v>
      </c>
      <c r="B4582" s="2" t="s">
        <v>12</v>
      </c>
      <c r="C4582" s="3">
        <v>24.99</v>
      </c>
      <c r="D4582" s="3">
        <v>3</v>
      </c>
      <c r="E4582" s="3">
        <v>74.97</v>
      </c>
      <c r="F4582" t="str">
        <f t="shared" si="359"/>
        <v>net sales</v>
      </c>
      <c r="G4582" s="7" t="str">
        <f t="shared" si="360"/>
        <v>product 2</v>
      </c>
      <c r="H4582">
        <f t="shared" si="361"/>
        <v>2025</v>
      </c>
      <c r="I4582">
        <f t="shared" si="362"/>
        <v>9</v>
      </c>
      <c r="J4582">
        <f t="shared" si="363"/>
        <v>49.98</v>
      </c>
    </row>
    <row r="4583" spans="1:10" ht="12.5" x14ac:dyDescent="0.25">
      <c r="A4583" s="1">
        <v>45927</v>
      </c>
      <c r="B4583" s="2" t="s">
        <v>13</v>
      </c>
      <c r="C4583" s="3">
        <v>12.49</v>
      </c>
      <c r="D4583" s="3">
        <v>223</v>
      </c>
      <c r="E4583" s="3">
        <v>2785.27</v>
      </c>
      <c r="F4583" t="str">
        <f t="shared" si="359"/>
        <v>net sales</v>
      </c>
      <c r="G4583" s="7" t="str">
        <f t="shared" si="360"/>
        <v>product 3</v>
      </c>
      <c r="H4583">
        <f t="shared" si="361"/>
        <v>2025</v>
      </c>
      <c r="I4583">
        <f t="shared" si="362"/>
        <v>9</v>
      </c>
      <c r="J4583">
        <f t="shared" si="363"/>
        <v>2885.19</v>
      </c>
    </row>
    <row r="4584" spans="1:10" ht="12.5" x14ac:dyDescent="0.25">
      <c r="A4584" s="1">
        <v>45928</v>
      </c>
      <c r="B4584" s="2" t="s">
        <v>7</v>
      </c>
      <c r="C4584" s="3">
        <v>5.49</v>
      </c>
      <c r="D4584" s="3">
        <v>37</v>
      </c>
      <c r="E4584" s="3">
        <v>203.13</v>
      </c>
      <c r="F4584" t="str">
        <f t="shared" si="359"/>
        <v>cogs</v>
      </c>
      <c r="G4584" s="7" t="str">
        <f t="shared" si="360"/>
        <v>product 1</v>
      </c>
      <c r="H4584">
        <f t="shared" si="361"/>
        <v>2025</v>
      </c>
      <c r="I4584">
        <f t="shared" si="362"/>
        <v>9</v>
      </c>
      <c r="J4584">
        <f t="shared" si="363"/>
        <v>-203.13</v>
      </c>
    </row>
    <row r="4585" spans="1:10" ht="12.5" x14ac:dyDescent="0.25">
      <c r="A4585" s="1">
        <v>45928</v>
      </c>
      <c r="B4585" s="2" t="s">
        <v>8</v>
      </c>
      <c r="C4585" s="3">
        <v>21.49</v>
      </c>
      <c r="D4585" s="3">
        <v>8</v>
      </c>
      <c r="E4585" s="3">
        <v>171.92</v>
      </c>
      <c r="F4585" t="str">
        <f t="shared" si="359"/>
        <v>cogs</v>
      </c>
      <c r="G4585" s="7" t="str">
        <f t="shared" si="360"/>
        <v>product 2</v>
      </c>
      <c r="H4585">
        <f t="shared" si="361"/>
        <v>2025</v>
      </c>
      <c r="I4585">
        <f t="shared" si="362"/>
        <v>9</v>
      </c>
      <c r="J4585">
        <f t="shared" si="363"/>
        <v>-59.97</v>
      </c>
    </row>
    <row r="4586" spans="1:10" ht="12.5" x14ac:dyDescent="0.25">
      <c r="A4586" s="1">
        <v>45928</v>
      </c>
      <c r="B4586" s="2" t="s">
        <v>9</v>
      </c>
      <c r="C4586" s="3">
        <v>8.99</v>
      </c>
      <c r="D4586" s="3">
        <v>100</v>
      </c>
      <c r="E4586" s="3">
        <v>899</v>
      </c>
      <c r="F4586" t="str">
        <f t="shared" si="359"/>
        <v>cogs</v>
      </c>
      <c r="G4586" s="7" t="str">
        <f t="shared" si="360"/>
        <v>product 3</v>
      </c>
      <c r="H4586">
        <f t="shared" si="361"/>
        <v>2025</v>
      </c>
      <c r="I4586">
        <f t="shared" si="362"/>
        <v>9</v>
      </c>
      <c r="J4586">
        <f t="shared" si="363"/>
        <v>-988.9</v>
      </c>
    </row>
    <row r="4587" spans="1:10" ht="12.5" x14ac:dyDescent="0.25">
      <c r="A4587" s="1">
        <v>45928</v>
      </c>
      <c r="B4587" s="2" t="s">
        <v>10</v>
      </c>
      <c r="C4587" s="2" t="s">
        <v>6</v>
      </c>
      <c r="D4587" s="2" t="s">
        <v>6</v>
      </c>
      <c r="E4587" s="3">
        <v>102.97</v>
      </c>
      <c r="F4587" t="str">
        <f t="shared" si="359"/>
        <v>marketing</v>
      </c>
      <c r="G4587" s="7" t="s">
        <v>6</v>
      </c>
      <c r="H4587">
        <f t="shared" si="361"/>
        <v>2025</v>
      </c>
      <c r="I4587">
        <f t="shared" si="362"/>
        <v>9</v>
      </c>
      <c r="J4587">
        <f t="shared" si="363"/>
        <v>-108.92</v>
      </c>
    </row>
    <row r="4588" spans="1:10" ht="12.5" x14ac:dyDescent="0.25">
      <c r="A4588" s="1">
        <v>45928</v>
      </c>
      <c r="B4588" s="2" t="s">
        <v>11</v>
      </c>
      <c r="C4588" s="3">
        <v>9.99</v>
      </c>
      <c r="D4588" s="3">
        <v>37</v>
      </c>
      <c r="E4588" s="3">
        <v>369.63</v>
      </c>
      <c r="F4588" t="str">
        <f t="shared" si="359"/>
        <v>net sales</v>
      </c>
      <c r="G4588" s="7" t="str">
        <f t="shared" si="360"/>
        <v>product 1</v>
      </c>
      <c r="H4588">
        <f t="shared" si="361"/>
        <v>2025</v>
      </c>
      <c r="I4588">
        <f t="shared" si="362"/>
        <v>9</v>
      </c>
      <c r="J4588">
        <f t="shared" si="363"/>
        <v>369.63</v>
      </c>
    </row>
    <row r="4589" spans="1:10" ht="12.5" x14ac:dyDescent="0.25">
      <c r="A4589" s="1">
        <v>45928</v>
      </c>
      <c r="B4589" s="2" t="s">
        <v>12</v>
      </c>
      <c r="C4589" s="3">
        <v>24.99</v>
      </c>
      <c r="D4589" s="3">
        <v>8</v>
      </c>
      <c r="E4589" s="3">
        <v>199.92</v>
      </c>
      <c r="F4589" t="str">
        <f t="shared" si="359"/>
        <v>net sales</v>
      </c>
      <c r="G4589" s="7" t="str">
        <f t="shared" si="360"/>
        <v>product 2</v>
      </c>
      <c r="H4589">
        <f t="shared" si="361"/>
        <v>2025</v>
      </c>
      <c r="I4589">
        <f t="shared" si="362"/>
        <v>9</v>
      </c>
      <c r="J4589">
        <f t="shared" si="363"/>
        <v>74.97</v>
      </c>
    </row>
    <row r="4590" spans="1:10" ht="12.5" x14ac:dyDescent="0.25">
      <c r="A4590" s="1">
        <v>45928</v>
      </c>
      <c r="B4590" s="2" t="s">
        <v>13</v>
      </c>
      <c r="C4590" s="3">
        <v>12.49</v>
      </c>
      <c r="D4590" s="3">
        <v>100</v>
      </c>
      <c r="E4590" s="3">
        <v>1249</v>
      </c>
      <c r="F4590" t="str">
        <f t="shared" si="359"/>
        <v>net sales</v>
      </c>
      <c r="G4590" s="7" t="str">
        <f t="shared" si="360"/>
        <v>product 3</v>
      </c>
      <c r="H4590">
        <f t="shared" si="361"/>
        <v>2025</v>
      </c>
      <c r="I4590">
        <f t="shared" si="362"/>
        <v>9</v>
      </c>
      <c r="J4590">
        <f t="shared" si="363"/>
        <v>1373.9</v>
      </c>
    </row>
    <row r="4591" spans="1:10" ht="12.5" x14ac:dyDescent="0.25">
      <c r="A4591" s="1">
        <v>45929</v>
      </c>
      <c r="B4591" s="2" t="s">
        <v>7</v>
      </c>
      <c r="C4591" s="3">
        <v>5.49</v>
      </c>
      <c r="D4591" s="3">
        <v>88</v>
      </c>
      <c r="E4591" s="3">
        <v>483.12</v>
      </c>
      <c r="F4591" t="str">
        <f t="shared" si="359"/>
        <v>cogs</v>
      </c>
      <c r="G4591" s="7" t="str">
        <f t="shared" si="360"/>
        <v>product 1</v>
      </c>
      <c r="H4591">
        <f t="shared" si="361"/>
        <v>2025</v>
      </c>
      <c r="I4591">
        <f t="shared" si="362"/>
        <v>9</v>
      </c>
      <c r="J4591">
        <f t="shared" si="363"/>
        <v>-1200</v>
      </c>
    </row>
    <row r="4592" spans="1:10" ht="12.5" x14ac:dyDescent="0.25">
      <c r="A4592" s="1">
        <v>45929</v>
      </c>
      <c r="B4592" s="2" t="s">
        <v>8</v>
      </c>
      <c r="C4592" s="3">
        <v>21.49</v>
      </c>
      <c r="D4592" s="3">
        <v>1</v>
      </c>
      <c r="E4592" s="3">
        <v>21.49</v>
      </c>
      <c r="F4592" t="str">
        <f t="shared" si="359"/>
        <v>cogs</v>
      </c>
      <c r="G4592" s="7" t="str">
        <f t="shared" si="360"/>
        <v>product 2</v>
      </c>
      <c r="H4592">
        <f t="shared" si="361"/>
        <v>2025</v>
      </c>
      <c r="I4592">
        <f t="shared" si="362"/>
        <v>9</v>
      </c>
      <c r="J4592">
        <f t="shared" si="363"/>
        <v>-433.71000000000004</v>
      </c>
    </row>
    <row r="4593" spans="1:10" ht="12.5" x14ac:dyDescent="0.25">
      <c r="A4593" s="1">
        <v>45929</v>
      </c>
      <c r="B4593" s="2" t="s">
        <v>9</v>
      </c>
      <c r="C4593" s="3">
        <v>8.99</v>
      </c>
      <c r="D4593" s="3">
        <v>90</v>
      </c>
      <c r="E4593" s="3">
        <v>809.1</v>
      </c>
      <c r="F4593" t="str">
        <f t="shared" si="359"/>
        <v>cogs</v>
      </c>
      <c r="G4593" s="7" t="str">
        <f t="shared" si="360"/>
        <v>product 3</v>
      </c>
      <c r="H4593">
        <f t="shared" si="361"/>
        <v>2025</v>
      </c>
      <c r="I4593">
        <f t="shared" si="362"/>
        <v>9</v>
      </c>
      <c r="J4593">
        <f t="shared" si="363"/>
        <v>-99.949999999999989</v>
      </c>
    </row>
    <row r="4594" spans="1:10" ht="12.5" x14ac:dyDescent="0.25">
      <c r="A4594" s="1">
        <v>45929</v>
      </c>
      <c r="B4594" s="2" t="s">
        <v>10</v>
      </c>
      <c r="C4594" s="2" t="s">
        <v>6</v>
      </c>
      <c r="D4594" s="2" t="s">
        <v>6</v>
      </c>
      <c r="E4594" s="3">
        <v>118.10000000000001</v>
      </c>
      <c r="F4594" t="str">
        <f t="shared" si="359"/>
        <v>marketing</v>
      </c>
      <c r="G4594" s="7" t="s">
        <v>6</v>
      </c>
      <c r="H4594">
        <f t="shared" si="361"/>
        <v>2025</v>
      </c>
      <c r="I4594">
        <f t="shared" si="362"/>
        <v>9</v>
      </c>
      <c r="J4594">
        <f t="shared" si="363"/>
        <v>0</v>
      </c>
    </row>
    <row r="4595" spans="1:10" ht="12.5" x14ac:dyDescent="0.25">
      <c r="A4595" s="1">
        <v>45929</v>
      </c>
      <c r="B4595" s="2" t="s">
        <v>11</v>
      </c>
      <c r="C4595" s="3">
        <v>9.99</v>
      </c>
      <c r="D4595" s="3">
        <v>88</v>
      </c>
      <c r="E4595" s="3">
        <v>879.12</v>
      </c>
      <c r="F4595" t="str">
        <f t="shared" si="359"/>
        <v>net sales</v>
      </c>
      <c r="G4595" s="7" t="str">
        <f t="shared" si="360"/>
        <v>product 1</v>
      </c>
      <c r="H4595">
        <f t="shared" si="361"/>
        <v>2025</v>
      </c>
      <c r="I4595">
        <f t="shared" si="362"/>
        <v>9</v>
      </c>
      <c r="J4595">
        <f t="shared" si="363"/>
        <v>-111.97</v>
      </c>
    </row>
    <row r="4596" spans="1:10" ht="12.5" x14ac:dyDescent="0.25">
      <c r="A4596" s="1">
        <v>45929</v>
      </c>
      <c r="B4596" s="2" t="s">
        <v>12</v>
      </c>
      <c r="C4596" s="3">
        <v>24.99</v>
      </c>
      <c r="D4596" s="3">
        <v>1</v>
      </c>
      <c r="E4596" s="3">
        <v>24.99</v>
      </c>
      <c r="F4596" t="str">
        <f t="shared" si="359"/>
        <v>net sales</v>
      </c>
      <c r="G4596" s="7" t="str">
        <f t="shared" si="360"/>
        <v>product 2</v>
      </c>
      <c r="H4596">
        <f t="shared" si="361"/>
        <v>2025</v>
      </c>
      <c r="I4596">
        <f t="shared" si="362"/>
        <v>9</v>
      </c>
      <c r="J4596">
        <f t="shared" si="363"/>
        <v>789.21</v>
      </c>
    </row>
    <row r="4597" spans="1:10" ht="12.5" x14ac:dyDescent="0.25">
      <c r="A4597" s="1">
        <v>45929</v>
      </c>
      <c r="B4597" s="2" t="s">
        <v>13</v>
      </c>
      <c r="C4597" s="3">
        <v>12.49</v>
      </c>
      <c r="D4597" s="3">
        <v>90</v>
      </c>
      <c r="E4597" s="3">
        <v>1124.0999999999999</v>
      </c>
      <c r="F4597" t="str">
        <f t="shared" si="359"/>
        <v>net sales</v>
      </c>
      <c r="G4597" s="7" t="str">
        <f t="shared" si="360"/>
        <v>product 3</v>
      </c>
      <c r="H4597">
        <f t="shared" si="361"/>
        <v>2025</v>
      </c>
      <c r="I4597">
        <f t="shared" si="362"/>
        <v>9</v>
      </c>
      <c r="J4597">
        <f t="shared" si="363"/>
        <v>124.94999999999999</v>
      </c>
    </row>
    <row r="4598" spans="1:10" ht="12.5" x14ac:dyDescent="0.25">
      <c r="A4598" s="1">
        <v>45930</v>
      </c>
      <c r="B4598" s="2" t="s">
        <v>7</v>
      </c>
      <c r="C4598" s="3">
        <v>5.49</v>
      </c>
      <c r="D4598" s="3">
        <v>34</v>
      </c>
      <c r="E4598" s="3">
        <v>186.66</v>
      </c>
      <c r="F4598" t="str">
        <f t="shared" si="359"/>
        <v>cogs</v>
      </c>
      <c r="G4598" s="7" t="str">
        <f t="shared" si="360"/>
        <v>product 1</v>
      </c>
      <c r="H4598">
        <f t="shared" si="361"/>
        <v>2025</v>
      </c>
      <c r="I4598">
        <f t="shared" si="362"/>
        <v>9</v>
      </c>
      <c r="J4598">
        <f t="shared" si="363"/>
        <v>0</v>
      </c>
    </row>
    <row r="4599" spans="1:10" ht="12.5" x14ac:dyDescent="0.25">
      <c r="A4599" s="1">
        <v>45930</v>
      </c>
      <c r="B4599" s="2" t="s">
        <v>8</v>
      </c>
      <c r="C4599" s="3">
        <v>21.49</v>
      </c>
      <c r="D4599" s="3">
        <v>0</v>
      </c>
      <c r="E4599" s="2">
        <f>C4599*D4599</f>
        <v>0</v>
      </c>
      <c r="F4599" t="str">
        <f t="shared" si="359"/>
        <v>cogs</v>
      </c>
      <c r="G4599" s="7" t="str">
        <f t="shared" si="360"/>
        <v>product 2</v>
      </c>
      <c r="H4599">
        <f t="shared" si="361"/>
        <v>2025</v>
      </c>
      <c r="I4599">
        <f t="shared" si="362"/>
        <v>9</v>
      </c>
      <c r="J4599">
        <f t="shared" si="363"/>
        <v>-285.48</v>
      </c>
    </row>
    <row r="4600" spans="1:10" ht="12.5" x14ac:dyDescent="0.25">
      <c r="A4600" s="1">
        <v>45930</v>
      </c>
      <c r="B4600" s="2" t="s">
        <v>9</v>
      </c>
      <c r="C4600" s="3">
        <v>8.99</v>
      </c>
      <c r="D4600" s="3">
        <v>184</v>
      </c>
      <c r="E4600" s="3">
        <v>1654.16</v>
      </c>
      <c r="F4600" t="str">
        <f t="shared" si="359"/>
        <v>cogs</v>
      </c>
      <c r="G4600" s="7" t="str">
        <f t="shared" si="360"/>
        <v>product 3</v>
      </c>
      <c r="H4600">
        <f t="shared" si="361"/>
        <v>2025</v>
      </c>
      <c r="I4600">
        <f t="shared" si="362"/>
        <v>9</v>
      </c>
      <c r="J4600">
        <f t="shared" si="363"/>
        <v>-59.97</v>
      </c>
    </row>
    <row r="4601" spans="1:10" ht="12.5" x14ac:dyDescent="0.25">
      <c r="A4601" s="1">
        <v>45930</v>
      </c>
      <c r="B4601" s="2" t="s">
        <v>10</v>
      </c>
      <c r="C4601" s="2" t="s">
        <v>6</v>
      </c>
      <c r="D4601" s="2" t="s">
        <v>6</v>
      </c>
      <c r="E4601" s="3">
        <v>101.01</v>
      </c>
      <c r="F4601" t="str">
        <f t="shared" si="359"/>
        <v>marketing</v>
      </c>
      <c r="G4601" s="7" t="s">
        <v>6</v>
      </c>
      <c r="H4601">
        <f t="shared" si="361"/>
        <v>2025</v>
      </c>
      <c r="I4601">
        <f t="shared" si="362"/>
        <v>9</v>
      </c>
      <c r="J4601">
        <f t="shared" si="363"/>
        <v>-1123.75</v>
      </c>
    </row>
    <row r="4602" spans="1:10" ht="12.5" x14ac:dyDescent="0.25">
      <c r="A4602" s="1">
        <v>45930</v>
      </c>
      <c r="B4602" s="2" t="s">
        <v>11</v>
      </c>
      <c r="C4602" s="3">
        <v>9.99</v>
      </c>
      <c r="D4602" s="3">
        <v>34</v>
      </c>
      <c r="E4602" s="3">
        <v>339.66</v>
      </c>
      <c r="F4602" t="str">
        <f t="shared" si="359"/>
        <v>net sales</v>
      </c>
      <c r="G4602" s="7" t="str">
        <f t="shared" si="360"/>
        <v>product 1</v>
      </c>
      <c r="H4602">
        <f t="shared" si="361"/>
        <v>2025</v>
      </c>
      <c r="I4602">
        <f t="shared" si="362"/>
        <v>9</v>
      </c>
      <c r="J4602">
        <f t="shared" si="363"/>
        <v>-117.99000000000001</v>
      </c>
    </row>
    <row r="4603" spans="1:10" ht="12.5" x14ac:dyDescent="0.25">
      <c r="A4603" s="1">
        <v>45930</v>
      </c>
      <c r="B4603" s="2" t="s">
        <v>12</v>
      </c>
      <c r="C4603" s="3">
        <v>24.99</v>
      </c>
      <c r="D4603" s="3">
        <v>0</v>
      </c>
      <c r="E4603" s="2">
        <f>C4603*D4603</f>
        <v>0</v>
      </c>
      <c r="F4603" t="str">
        <f t="shared" si="359"/>
        <v>net sales</v>
      </c>
      <c r="G4603" s="7" t="str">
        <f t="shared" si="360"/>
        <v>product 2</v>
      </c>
      <c r="H4603">
        <f t="shared" si="361"/>
        <v>2025</v>
      </c>
      <c r="I4603">
        <f t="shared" si="362"/>
        <v>9</v>
      </c>
      <c r="J4603">
        <f t="shared" si="363"/>
        <v>519.48</v>
      </c>
    </row>
    <row r="4604" spans="1:10" ht="12.5" x14ac:dyDescent="0.25">
      <c r="A4604" s="1">
        <v>45930</v>
      </c>
      <c r="B4604" s="2" t="s">
        <v>13</v>
      </c>
      <c r="C4604" s="3">
        <v>12.49</v>
      </c>
      <c r="D4604" s="3">
        <v>184</v>
      </c>
      <c r="E4604" s="3">
        <v>2298.16</v>
      </c>
      <c r="F4604" t="str">
        <f t="shared" si="359"/>
        <v>net sales</v>
      </c>
      <c r="G4604" s="7" t="str">
        <f t="shared" si="360"/>
        <v>product 3</v>
      </c>
      <c r="H4604">
        <f t="shared" si="361"/>
        <v>2025</v>
      </c>
      <c r="I4604">
        <f t="shared" si="362"/>
        <v>9</v>
      </c>
      <c r="J4604">
        <f t="shared" si="363"/>
        <v>74.97</v>
      </c>
    </row>
    <row r="4605" spans="1:10" ht="12.5" x14ac:dyDescent="0.25">
      <c r="A4605" s="1">
        <v>45931</v>
      </c>
      <c r="B4605" s="2" t="s">
        <v>5</v>
      </c>
      <c r="C4605" s="2" t="s">
        <v>6</v>
      </c>
      <c r="D4605" s="2" t="s">
        <v>6</v>
      </c>
      <c r="E4605" s="3">
        <v>50</v>
      </c>
      <c r="F4605" t="str">
        <f t="shared" si="359"/>
        <v>amortization</v>
      </c>
      <c r="G4605" s="7" t="s">
        <v>6</v>
      </c>
      <c r="H4605">
        <f t="shared" si="361"/>
        <v>2025</v>
      </c>
      <c r="I4605">
        <f t="shared" si="362"/>
        <v>10</v>
      </c>
      <c r="J4605">
        <f t="shared" si="363"/>
        <v>1561.25</v>
      </c>
    </row>
    <row r="4606" spans="1:10" ht="12.5" x14ac:dyDescent="0.25">
      <c r="A4606" s="1">
        <v>45931</v>
      </c>
      <c r="B4606" s="2" t="s">
        <v>7</v>
      </c>
      <c r="C4606" s="3">
        <v>5.49</v>
      </c>
      <c r="D4606" s="3">
        <v>68</v>
      </c>
      <c r="E4606" s="3">
        <v>373.32</v>
      </c>
      <c r="F4606" t="str">
        <f t="shared" si="359"/>
        <v>cogs</v>
      </c>
      <c r="G4606" s="7" t="str">
        <f t="shared" si="360"/>
        <v>product 1</v>
      </c>
      <c r="H4606">
        <f t="shared" si="361"/>
        <v>2025</v>
      </c>
      <c r="I4606">
        <f t="shared" si="362"/>
        <v>10</v>
      </c>
      <c r="J4606">
        <f t="shared" si="363"/>
        <v>0</v>
      </c>
    </row>
    <row r="4607" spans="1:10" ht="12.5" x14ac:dyDescent="0.25">
      <c r="A4607" s="1">
        <v>45931</v>
      </c>
      <c r="B4607" s="2" t="s">
        <v>8</v>
      </c>
      <c r="C4607" s="3">
        <v>21.49</v>
      </c>
      <c r="D4607" s="3">
        <v>8</v>
      </c>
      <c r="E4607" s="3">
        <v>171.92</v>
      </c>
      <c r="F4607" t="str">
        <f t="shared" si="359"/>
        <v>cogs</v>
      </c>
      <c r="G4607" s="7" t="str">
        <f t="shared" si="360"/>
        <v>product 2</v>
      </c>
      <c r="H4607">
        <f t="shared" si="361"/>
        <v>2025</v>
      </c>
      <c r="I4607">
        <f t="shared" si="362"/>
        <v>10</v>
      </c>
      <c r="J4607">
        <f t="shared" si="363"/>
        <v>-247.05</v>
      </c>
    </row>
    <row r="4608" spans="1:10" ht="12.5" x14ac:dyDescent="0.25">
      <c r="A4608" s="1">
        <v>45931</v>
      </c>
      <c r="B4608" s="2" t="s">
        <v>9</v>
      </c>
      <c r="C4608" s="3">
        <v>8.99</v>
      </c>
      <c r="D4608" s="3">
        <v>201</v>
      </c>
      <c r="E4608" s="3">
        <v>1806.99</v>
      </c>
      <c r="F4608" t="str">
        <f t="shared" si="359"/>
        <v>cogs</v>
      </c>
      <c r="G4608" s="7" t="str">
        <f t="shared" si="360"/>
        <v>product 3</v>
      </c>
      <c r="H4608">
        <f t="shared" si="361"/>
        <v>2025</v>
      </c>
      <c r="I4608">
        <f t="shared" si="362"/>
        <v>10</v>
      </c>
      <c r="J4608">
        <f t="shared" si="363"/>
        <v>-21.49</v>
      </c>
    </row>
    <row r="4609" spans="1:10" ht="12.5" x14ac:dyDescent="0.25">
      <c r="A4609" s="1">
        <v>45931</v>
      </c>
      <c r="B4609" s="2" t="s">
        <v>10</v>
      </c>
      <c r="C4609" s="2" t="s">
        <v>6</v>
      </c>
      <c r="D4609" s="2" t="s">
        <v>6</v>
      </c>
      <c r="E4609" s="3">
        <v>106.03</v>
      </c>
      <c r="F4609" t="str">
        <f t="shared" si="359"/>
        <v>marketing</v>
      </c>
      <c r="G4609" s="7" t="s">
        <v>6</v>
      </c>
      <c r="H4609">
        <f t="shared" si="361"/>
        <v>2025</v>
      </c>
      <c r="I4609">
        <f t="shared" si="362"/>
        <v>10</v>
      </c>
      <c r="J4609">
        <f t="shared" si="363"/>
        <v>-1726.08</v>
      </c>
    </row>
    <row r="4610" spans="1:10" ht="12.5" x14ac:dyDescent="0.25">
      <c r="A4610" s="1">
        <v>45931</v>
      </c>
      <c r="B4610" s="2" t="s">
        <v>11</v>
      </c>
      <c r="C4610" s="3">
        <v>9.99</v>
      </c>
      <c r="D4610" s="3">
        <v>68</v>
      </c>
      <c r="E4610" s="3">
        <v>679.32</v>
      </c>
      <c r="F4610" t="str">
        <f t="shared" si="359"/>
        <v>net sales</v>
      </c>
      <c r="G4610" s="7" t="str">
        <f t="shared" si="360"/>
        <v>product 1</v>
      </c>
      <c r="H4610">
        <f t="shared" si="361"/>
        <v>2025</v>
      </c>
      <c r="I4610">
        <f t="shared" si="362"/>
        <v>10</v>
      </c>
      <c r="J4610">
        <f t="shared" si="363"/>
        <v>-117.94</v>
      </c>
    </row>
    <row r="4611" spans="1:10" ht="12.5" x14ac:dyDescent="0.25">
      <c r="A4611" s="1">
        <v>45931</v>
      </c>
      <c r="B4611" s="2" t="s">
        <v>12</v>
      </c>
      <c r="C4611" s="3">
        <v>24.99</v>
      </c>
      <c r="D4611" s="3">
        <v>8</v>
      </c>
      <c r="E4611" s="3">
        <v>199.92</v>
      </c>
      <c r="F4611" t="str">
        <f t="shared" ref="F4611:F4674" si="364">IFERROR(LEFT(B4611,FIND(":",B4611)-1),B4611)</f>
        <v>net sales</v>
      </c>
      <c r="G4611" s="7" t="str">
        <f t="shared" ref="G4611:G4674" si="365">IFERROR(RIGHT(B4611,LEN(B4611)-FIND(":",B4611)),"")</f>
        <v>product 2</v>
      </c>
      <c r="H4611">
        <f t="shared" ref="H4611:H4674" si="366">YEAR(A4611)</f>
        <v>2025</v>
      </c>
      <c r="I4611">
        <f t="shared" ref="I4611:I4674" si="367">MONTH(A4611)</f>
        <v>10</v>
      </c>
      <c r="J4611">
        <f t="shared" si="363"/>
        <v>449.55</v>
      </c>
    </row>
    <row r="4612" spans="1:10" ht="12.5" x14ac:dyDescent="0.25">
      <c r="A4612" s="1">
        <v>45931</v>
      </c>
      <c r="B4612" s="2" t="s">
        <v>13</v>
      </c>
      <c r="C4612" s="3">
        <v>12.49</v>
      </c>
      <c r="D4612" s="3">
        <v>201</v>
      </c>
      <c r="E4612" s="3">
        <v>2510.4900000000002</v>
      </c>
      <c r="F4612" t="str">
        <f t="shared" si="364"/>
        <v>net sales</v>
      </c>
      <c r="G4612" s="7" t="str">
        <f t="shared" si="365"/>
        <v>product 3</v>
      </c>
      <c r="H4612">
        <f t="shared" si="366"/>
        <v>2025</v>
      </c>
      <c r="I4612">
        <f t="shared" si="367"/>
        <v>10</v>
      </c>
      <c r="J4612">
        <f t="shared" si="363"/>
        <v>24.99</v>
      </c>
    </row>
    <row r="4613" spans="1:10" ht="12.5" x14ac:dyDescent="0.25">
      <c r="A4613" s="1">
        <v>45931</v>
      </c>
      <c r="B4613" s="2" t="s">
        <v>14</v>
      </c>
      <c r="C4613" s="2" t="s">
        <v>6</v>
      </c>
      <c r="D4613" s="2" t="s">
        <v>6</v>
      </c>
      <c r="E4613" s="3">
        <v>2000</v>
      </c>
      <c r="F4613" t="str">
        <f t="shared" si="364"/>
        <v>overhead</v>
      </c>
      <c r="G4613" s="7" t="s">
        <v>6</v>
      </c>
      <c r="H4613">
        <f t="shared" si="366"/>
        <v>2025</v>
      </c>
      <c r="I4613">
        <f t="shared" si="367"/>
        <v>10</v>
      </c>
      <c r="J4613">
        <f t="shared" si="363"/>
        <v>2398.08</v>
      </c>
    </row>
    <row r="4614" spans="1:10" ht="12.5" x14ac:dyDescent="0.25">
      <c r="A4614" s="1">
        <v>45932</v>
      </c>
      <c r="B4614" s="2" t="s">
        <v>7</v>
      </c>
      <c r="C4614" s="3">
        <v>5.49</v>
      </c>
      <c r="D4614" s="3">
        <v>91</v>
      </c>
      <c r="E4614" s="3">
        <v>499.59000000000003</v>
      </c>
      <c r="F4614" t="str">
        <f t="shared" si="364"/>
        <v>cogs</v>
      </c>
      <c r="G4614" s="7" t="str">
        <f t="shared" si="365"/>
        <v>product 1</v>
      </c>
      <c r="H4614">
        <f t="shared" si="366"/>
        <v>2025</v>
      </c>
      <c r="I4614">
        <f t="shared" si="367"/>
        <v>10</v>
      </c>
      <c r="J4614">
        <f t="shared" si="363"/>
        <v>-2000</v>
      </c>
    </row>
    <row r="4615" spans="1:10" ht="12.5" x14ac:dyDescent="0.25">
      <c r="A4615" s="1">
        <v>45932</v>
      </c>
      <c r="B4615" s="2" t="s">
        <v>8</v>
      </c>
      <c r="C4615" s="3">
        <v>21.49</v>
      </c>
      <c r="D4615" s="3">
        <v>1</v>
      </c>
      <c r="E4615" s="3">
        <v>21.49</v>
      </c>
      <c r="F4615" t="str">
        <f t="shared" si="364"/>
        <v>cogs</v>
      </c>
      <c r="G4615" s="7" t="str">
        <f t="shared" si="365"/>
        <v>product 2</v>
      </c>
      <c r="H4615">
        <f t="shared" si="366"/>
        <v>2025</v>
      </c>
      <c r="I4615">
        <f t="shared" si="367"/>
        <v>10</v>
      </c>
      <c r="J4615">
        <f t="shared" si="363"/>
        <v>-538.02</v>
      </c>
    </row>
    <row r="4616" spans="1:10" ht="12.5" x14ac:dyDescent="0.25">
      <c r="A4616" s="1">
        <v>45932</v>
      </c>
      <c r="B4616" s="2" t="s">
        <v>9</v>
      </c>
      <c r="C4616" s="3">
        <v>8.99</v>
      </c>
      <c r="D4616" s="3">
        <v>80</v>
      </c>
      <c r="E4616" s="3">
        <v>719.2</v>
      </c>
      <c r="F4616" t="str">
        <f t="shared" si="364"/>
        <v>cogs</v>
      </c>
      <c r="G4616" s="7" t="str">
        <f t="shared" si="365"/>
        <v>product 3</v>
      </c>
      <c r="H4616">
        <f t="shared" si="366"/>
        <v>2025</v>
      </c>
      <c r="I4616">
        <f t="shared" si="367"/>
        <v>10</v>
      </c>
      <c r="J4616">
        <f t="shared" si="363"/>
        <v>-150.42999999999998</v>
      </c>
    </row>
    <row r="4617" spans="1:10" ht="12.5" x14ac:dyDescent="0.25">
      <c r="A4617" s="1">
        <v>45932</v>
      </c>
      <c r="B4617" s="2" t="s">
        <v>10</v>
      </c>
      <c r="C4617" s="2" t="s">
        <v>6</v>
      </c>
      <c r="D4617" s="2" t="s">
        <v>6</v>
      </c>
      <c r="E4617" s="3">
        <v>105.05</v>
      </c>
      <c r="F4617" t="str">
        <f t="shared" si="364"/>
        <v>marketing</v>
      </c>
      <c r="G4617" s="7" t="s">
        <v>6</v>
      </c>
      <c r="H4617">
        <f t="shared" si="366"/>
        <v>2025</v>
      </c>
      <c r="I4617">
        <f t="shared" si="367"/>
        <v>10</v>
      </c>
      <c r="J4617">
        <f t="shared" si="363"/>
        <v>-1815.98</v>
      </c>
    </row>
    <row r="4618" spans="1:10" ht="12.5" x14ac:dyDescent="0.25">
      <c r="A4618" s="1">
        <v>45932</v>
      </c>
      <c r="B4618" s="2" t="s">
        <v>11</v>
      </c>
      <c r="C4618" s="3">
        <v>9.99</v>
      </c>
      <c r="D4618" s="3">
        <v>91</v>
      </c>
      <c r="E4618" s="3">
        <v>909.09</v>
      </c>
      <c r="F4618" t="str">
        <f t="shared" si="364"/>
        <v>net sales</v>
      </c>
      <c r="G4618" s="7" t="str">
        <f t="shared" si="365"/>
        <v>product 1</v>
      </c>
      <c r="H4618">
        <f t="shared" si="366"/>
        <v>2025</v>
      </c>
      <c r="I4618">
        <f t="shared" si="367"/>
        <v>10</v>
      </c>
      <c r="J4618">
        <f t="shared" si="363"/>
        <v>-103.01</v>
      </c>
    </row>
    <row r="4619" spans="1:10" ht="12.5" x14ac:dyDescent="0.25">
      <c r="A4619" s="1">
        <v>45932</v>
      </c>
      <c r="B4619" s="2" t="s">
        <v>12</v>
      </c>
      <c r="C4619" s="3">
        <v>24.99</v>
      </c>
      <c r="D4619" s="3">
        <v>1</v>
      </c>
      <c r="E4619" s="3">
        <v>24.99</v>
      </c>
      <c r="F4619" t="str">
        <f t="shared" si="364"/>
        <v>net sales</v>
      </c>
      <c r="G4619" s="7" t="str">
        <f t="shared" si="365"/>
        <v>product 2</v>
      </c>
      <c r="H4619">
        <f t="shared" si="366"/>
        <v>2025</v>
      </c>
      <c r="I4619">
        <f t="shared" si="367"/>
        <v>10</v>
      </c>
      <c r="J4619">
        <f t="shared" si="363"/>
        <v>979.02</v>
      </c>
    </row>
    <row r="4620" spans="1:10" ht="12.5" x14ac:dyDescent="0.25">
      <c r="A4620" s="1">
        <v>45932</v>
      </c>
      <c r="B4620" s="2" t="s">
        <v>13</v>
      </c>
      <c r="C4620" s="3">
        <v>12.49</v>
      </c>
      <c r="D4620" s="3">
        <v>80</v>
      </c>
      <c r="E4620" s="3">
        <v>999.2</v>
      </c>
      <c r="F4620" t="str">
        <f t="shared" si="364"/>
        <v>net sales</v>
      </c>
      <c r="G4620" s="7" t="str">
        <f t="shared" si="365"/>
        <v>product 3</v>
      </c>
      <c r="H4620">
        <f t="shared" si="366"/>
        <v>2025</v>
      </c>
      <c r="I4620">
        <f t="shared" si="367"/>
        <v>10</v>
      </c>
      <c r="J4620">
        <f t="shared" si="363"/>
        <v>174.92999999999998</v>
      </c>
    </row>
    <row r="4621" spans="1:10" ht="12.5" x14ac:dyDescent="0.25">
      <c r="A4621" s="1">
        <v>45933</v>
      </c>
      <c r="B4621" s="2" t="s">
        <v>7</v>
      </c>
      <c r="C4621" s="3">
        <v>5.49</v>
      </c>
      <c r="D4621" s="3">
        <v>52</v>
      </c>
      <c r="E4621" s="3">
        <v>285.48</v>
      </c>
      <c r="F4621" t="str">
        <f t="shared" si="364"/>
        <v>cogs</v>
      </c>
      <c r="G4621" s="7" t="str">
        <f t="shared" si="365"/>
        <v>product 1</v>
      </c>
      <c r="H4621">
        <f t="shared" si="366"/>
        <v>2025</v>
      </c>
      <c r="I4621">
        <f t="shared" si="367"/>
        <v>10</v>
      </c>
      <c r="J4621">
        <f t="shared" si="363"/>
        <v>2522.98</v>
      </c>
    </row>
    <row r="4622" spans="1:10" ht="12.5" x14ac:dyDescent="0.25">
      <c r="A4622" s="1">
        <v>45933</v>
      </c>
      <c r="B4622" s="2" t="s">
        <v>8</v>
      </c>
      <c r="C4622" s="3">
        <v>21.49</v>
      </c>
      <c r="D4622" s="3">
        <v>7</v>
      </c>
      <c r="E4622" s="3">
        <v>150.42999999999998</v>
      </c>
      <c r="F4622" t="str">
        <f t="shared" si="364"/>
        <v>cogs</v>
      </c>
      <c r="G4622" s="7" t="str">
        <f t="shared" si="365"/>
        <v>product 2</v>
      </c>
      <c r="H4622">
        <f t="shared" si="366"/>
        <v>2025</v>
      </c>
      <c r="I4622">
        <f t="shared" si="367"/>
        <v>10</v>
      </c>
      <c r="J4622">
        <f t="shared" si="363"/>
        <v>-279.99</v>
      </c>
    </row>
    <row r="4623" spans="1:10" ht="12.5" x14ac:dyDescent="0.25">
      <c r="A4623" s="1">
        <v>45933</v>
      </c>
      <c r="B4623" s="2" t="s">
        <v>9</v>
      </c>
      <c r="C4623" s="3">
        <v>8.99</v>
      </c>
      <c r="D4623" s="3">
        <v>170</v>
      </c>
      <c r="E4623" s="3">
        <v>1528.3</v>
      </c>
      <c r="F4623" t="str">
        <f t="shared" si="364"/>
        <v>cogs</v>
      </c>
      <c r="G4623" s="7" t="str">
        <f t="shared" si="365"/>
        <v>product 3</v>
      </c>
      <c r="H4623">
        <f t="shared" si="366"/>
        <v>2025</v>
      </c>
      <c r="I4623">
        <f t="shared" si="367"/>
        <v>10</v>
      </c>
      <c r="J4623">
        <f t="shared" si="363"/>
        <v>-21.49</v>
      </c>
    </row>
    <row r="4624" spans="1:10" ht="12.5" x14ac:dyDescent="0.25">
      <c r="A4624" s="1">
        <v>45933</v>
      </c>
      <c r="B4624" s="2" t="s">
        <v>10</v>
      </c>
      <c r="C4624" s="2" t="s">
        <v>6</v>
      </c>
      <c r="D4624" s="2" t="s">
        <v>6</v>
      </c>
      <c r="E4624" s="3">
        <v>103.05</v>
      </c>
      <c r="F4624" t="str">
        <f t="shared" si="364"/>
        <v>marketing</v>
      </c>
      <c r="G4624" s="7" t="s">
        <v>6</v>
      </c>
      <c r="H4624">
        <f t="shared" si="366"/>
        <v>2025</v>
      </c>
      <c r="I4624">
        <f t="shared" si="367"/>
        <v>10</v>
      </c>
      <c r="J4624">
        <f t="shared" si="363"/>
        <v>-296.67</v>
      </c>
    </row>
    <row r="4625" spans="1:10" ht="12.5" x14ac:dyDescent="0.25">
      <c r="A4625" s="1">
        <v>45933</v>
      </c>
      <c r="B4625" s="2" t="s">
        <v>11</v>
      </c>
      <c r="C4625" s="3">
        <v>9.99</v>
      </c>
      <c r="D4625" s="3">
        <v>52</v>
      </c>
      <c r="E4625" s="3">
        <v>519.48</v>
      </c>
      <c r="F4625" t="str">
        <f t="shared" si="364"/>
        <v>net sales</v>
      </c>
      <c r="G4625" s="7" t="str">
        <f t="shared" si="365"/>
        <v>product 1</v>
      </c>
      <c r="H4625">
        <f t="shared" si="366"/>
        <v>2025</v>
      </c>
      <c r="I4625">
        <f t="shared" si="367"/>
        <v>10</v>
      </c>
      <c r="J4625">
        <f t="shared" si="363"/>
        <v>-108.01</v>
      </c>
    </row>
    <row r="4626" spans="1:10" ht="12.5" x14ac:dyDescent="0.25">
      <c r="A4626" s="1">
        <v>45933</v>
      </c>
      <c r="B4626" s="2" t="s">
        <v>12</v>
      </c>
      <c r="C4626" s="3">
        <v>24.99</v>
      </c>
      <c r="D4626" s="3">
        <v>7</v>
      </c>
      <c r="E4626" s="3">
        <v>174.92999999999998</v>
      </c>
      <c r="F4626" t="str">
        <f t="shared" si="364"/>
        <v>net sales</v>
      </c>
      <c r="G4626" s="7" t="str">
        <f t="shared" si="365"/>
        <v>product 2</v>
      </c>
      <c r="H4626">
        <f t="shared" si="366"/>
        <v>2025</v>
      </c>
      <c r="I4626">
        <f t="shared" si="367"/>
        <v>10</v>
      </c>
      <c r="J4626">
        <f t="shared" si="363"/>
        <v>509.49</v>
      </c>
    </row>
    <row r="4627" spans="1:10" ht="12.5" x14ac:dyDescent="0.25">
      <c r="A4627" s="1">
        <v>45933</v>
      </c>
      <c r="B4627" s="2" t="s">
        <v>13</v>
      </c>
      <c r="C4627" s="3">
        <v>12.49</v>
      </c>
      <c r="D4627" s="3">
        <v>170</v>
      </c>
      <c r="E4627" s="3">
        <v>2123.3000000000002</v>
      </c>
      <c r="F4627" t="str">
        <f t="shared" si="364"/>
        <v>net sales</v>
      </c>
      <c r="G4627" s="7" t="str">
        <f t="shared" si="365"/>
        <v>product 3</v>
      </c>
      <c r="H4627">
        <f t="shared" si="366"/>
        <v>2025</v>
      </c>
      <c r="I4627">
        <f t="shared" si="367"/>
        <v>10</v>
      </c>
      <c r="J4627">
        <f t="shared" si="363"/>
        <v>24.99</v>
      </c>
    </row>
    <row r="4628" spans="1:10" ht="12.5" x14ac:dyDescent="0.25">
      <c r="A4628" s="1">
        <v>45934</v>
      </c>
      <c r="B4628" s="2" t="s">
        <v>7</v>
      </c>
      <c r="C4628" s="3">
        <v>5.49</v>
      </c>
      <c r="D4628" s="3">
        <v>83</v>
      </c>
      <c r="E4628" s="3">
        <v>455.67</v>
      </c>
      <c r="F4628" t="str">
        <f t="shared" si="364"/>
        <v>cogs</v>
      </c>
      <c r="G4628" s="7" t="str">
        <f t="shared" si="365"/>
        <v>product 1</v>
      </c>
      <c r="H4628">
        <f t="shared" si="366"/>
        <v>2025</v>
      </c>
      <c r="I4628">
        <f t="shared" si="367"/>
        <v>10</v>
      </c>
      <c r="J4628">
        <f t="shared" si="363"/>
        <v>412.17</v>
      </c>
    </row>
    <row r="4629" spans="1:10" ht="12.5" x14ac:dyDescent="0.25">
      <c r="A4629" s="1">
        <v>45934</v>
      </c>
      <c r="B4629" s="2" t="s">
        <v>8</v>
      </c>
      <c r="C4629" s="3">
        <v>21.49</v>
      </c>
      <c r="D4629" s="3">
        <v>8</v>
      </c>
      <c r="E4629" s="3">
        <v>171.92</v>
      </c>
      <c r="F4629" t="str">
        <f t="shared" si="364"/>
        <v>cogs</v>
      </c>
      <c r="G4629" s="7" t="str">
        <f t="shared" si="365"/>
        <v>product 2</v>
      </c>
      <c r="H4629">
        <f t="shared" si="366"/>
        <v>2025</v>
      </c>
      <c r="I4629">
        <f t="shared" si="367"/>
        <v>10</v>
      </c>
      <c r="J4629">
        <f t="shared" si="363"/>
        <v>-87.84</v>
      </c>
    </row>
    <row r="4630" spans="1:10" ht="12.5" x14ac:dyDescent="0.25">
      <c r="A4630" s="1">
        <v>45934</v>
      </c>
      <c r="B4630" s="2" t="s">
        <v>9</v>
      </c>
      <c r="C4630" s="3">
        <v>8.99</v>
      </c>
      <c r="D4630" s="3">
        <v>36</v>
      </c>
      <c r="E4630" s="3">
        <v>323.64</v>
      </c>
      <c r="F4630" t="str">
        <f t="shared" si="364"/>
        <v>cogs</v>
      </c>
      <c r="G4630" s="7" t="str">
        <f t="shared" si="365"/>
        <v>product 3</v>
      </c>
      <c r="H4630">
        <f t="shared" si="366"/>
        <v>2025</v>
      </c>
      <c r="I4630">
        <f t="shared" si="367"/>
        <v>10</v>
      </c>
      <c r="J4630">
        <f t="shared" si="363"/>
        <v>0</v>
      </c>
    </row>
    <row r="4631" spans="1:10" ht="12.5" x14ac:dyDescent="0.25">
      <c r="A4631" s="1">
        <v>45934</v>
      </c>
      <c r="B4631" s="2" t="s">
        <v>10</v>
      </c>
      <c r="C4631" s="2" t="s">
        <v>6</v>
      </c>
      <c r="D4631" s="2" t="s">
        <v>6</v>
      </c>
      <c r="E4631" s="3">
        <v>112.03</v>
      </c>
      <c r="F4631" t="str">
        <f t="shared" si="364"/>
        <v>marketing</v>
      </c>
      <c r="G4631" s="7" t="s">
        <v>6</v>
      </c>
      <c r="H4631">
        <f t="shared" si="366"/>
        <v>2025</v>
      </c>
      <c r="I4631">
        <f t="shared" si="367"/>
        <v>10</v>
      </c>
      <c r="J4631">
        <f t="shared" si="363"/>
        <v>-368.59000000000003</v>
      </c>
    </row>
    <row r="4632" spans="1:10" ht="12.5" x14ac:dyDescent="0.25">
      <c r="A4632" s="1">
        <v>45934</v>
      </c>
      <c r="B4632" s="2" t="s">
        <v>11</v>
      </c>
      <c r="C4632" s="3">
        <v>9.99</v>
      </c>
      <c r="D4632" s="3">
        <v>83</v>
      </c>
      <c r="E4632" s="3">
        <v>829.17000000000007</v>
      </c>
      <c r="F4632" t="str">
        <f t="shared" si="364"/>
        <v>net sales</v>
      </c>
      <c r="G4632" s="7" t="str">
        <f t="shared" si="365"/>
        <v>product 1</v>
      </c>
      <c r="H4632">
        <f t="shared" si="366"/>
        <v>2025</v>
      </c>
      <c r="I4632">
        <f t="shared" si="367"/>
        <v>10</v>
      </c>
      <c r="J4632">
        <f t="shared" si="363"/>
        <v>-102.04</v>
      </c>
    </row>
    <row r="4633" spans="1:10" ht="12.5" x14ac:dyDescent="0.25">
      <c r="A4633" s="1">
        <v>45934</v>
      </c>
      <c r="B4633" s="2" t="s">
        <v>12</v>
      </c>
      <c r="C4633" s="3">
        <v>24.99</v>
      </c>
      <c r="D4633" s="3">
        <v>8</v>
      </c>
      <c r="E4633" s="3">
        <v>199.92</v>
      </c>
      <c r="F4633" t="str">
        <f t="shared" si="364"/>
        <v>net sales</v>
      </c>
      <c r="G4633" s="7" t="str">
        <f t="shared" si="365"/>
        <v>product 2</v>
      </c>
      <c r="H4633">
        <f t="shared" si="366"/>
        <v>2025</v>
      </c>
      <c r="I4633">
        <f t="shared" si="367"/>
        <v>10</v>
      </c>
      <c r="J4633">
        <f t="shared" si="363"/>
        <v>159.84</v>
      </c>
    </row>
    <row r="4634" spans="1:10" ht="12.5" x14ac:dyDescent="0.25">
      <c r="A4634" s="1">
        <v>45934</v>
      </c>
      <c r="B4634" s="2" t="s">
        <v>13</v>
      </c>
      <c r="C4634" s="3">
        <v>12.49</v>
      </c>
      <c r="D4634" s="3">
        <v>36</v>
      </c>
      <c r="E4634" s="3">
        <v>449.64</v>
      </c>
      <c r="F4634" t="str">
        <f t="shared" si="364"/>
        <v>net sales</v>
      </c>
      <c r="G4634" s="7" t="str">
        <f t="shared" si="365"/>
        <v>product 3</v>
      </c>
      <c r="H4634">
        <f t="shared" si="366"/>
        <v>2025</v>
      </c>
      <c r="I4634">
        <f t="shared" si="367"/>
        <v>10</v>
      </c>
      <c r="J4634">
        <f t="shared" si="363"/>
        <v>0</v>
      </c>
    </row>
    <row r="4635" spans="1:10" ht="12.5" x14ac:dyDescent="0.25">
      <c r="A4635" s="1">
        <v>45935</v>
      </c>
      <c r="B4635" s="2" t="s">
        <v>7</v>
      </c>
      <c r="C4635" s="3">
        <v>5.49</v>
      </c>
      <c r="D4635" s="3">
        <v>61</v>
      </c>
      <c r="E4635" s="3">
        <v>334.89</v>
      </c>
      <c r="F4635" t="str">
        <f t="shared" si="364"/>
        <v>cogs</v>
      </c>
      <c r="G4635" s="7" t="str">
        <f t="shared" si="365"/>
        <v>product 1</v>
      </c>
      <c r="H4635">
        <f t="shared" si="366"/>
        <v>2025</v>
      </c>
      <c r="I4635">
        <f t="shared" si="367"/>
        <v>10</v>
      </c>
      <c r="J4635">
        <f t="shared" si="363"/>
        <v>512.09</v>
      </c>
    </row>
    <row r="4636" spans="1:10" ht="12.5" x14ac:dyDescent="0.25">
      <c r="A4636" s="1">
        <v>45935</v>
      </c>
      <c r="B4636" s="2" t="s">
        <v>8</v>
      </c>
      <c r="C4636" s="3">
        <v>21.49</v>
      </c>
      <c r="D4636" s="3">
        <v>4</v>
      </c>
      <c r="E4636" s="3">
        <v>85.96</v>
      </c>
      <c r="F4636" t="str">
        <f t="shared" si="364"/>
        <v>cogs</v>
      </c>
      <c r="G4636" s="7" t="str">
        <f t="shared" si="365"/>
        <v>product 2</v>
      </c>
      <c r="H4636">
        <f t="shared" si="366"/>
        <v>2025</v>
      </c>
      <c r="I4636">
        <f t="shared" si="367"/>
        <v>10</v>
      </c>
      <c r="J4636">
        <f t="shared" ref="J4636:J4699" si="368">IF(F4419="net sales",E4419,
IF(F4419="cogs",-E4419,
IF(OR(F4419="marketing",F4419="overhead",F4419="payroll",F4419="interest","amortization"),-E4419,0)))</f>
        <v>-60.39</v>
      </c>
    </row>
    <row r="4637" spans="1:10" ht="12.5" x14ac:dyDescent="0.25">
      <c r="A4637" s="1">
        <v>45935</v>
      </c>
      <c r="B4637" s="2" t="s">
        <v>9</v>
      </c>
      <c r="C4637" s="3">
        <v>8.99</v>
      </c>
      <c r="D4637" s="3">
        <v>26</v>
      </c>
      <c r="E4637" s="3">
        <v>233.74</v>
      </c>
      <c r="F4637" t="str">
        <f t="shared" si="364"/>
        <v>cogs</v>
      </c>
      <c r="G4637" s="7" t="str">
        <f t="shared" si="365"/>
        <v>product 3</v>
      </c>
      <c r="H4637">
        <f t="shared" si="366"/>
        <v>2025</v>
      </c>
      <c r="I4637">
        <f t="shared" si="367"/>
        <v>10</v>
      </c>
      <c r="J4637">
        <f t="shared" si="368"/>
        <v>0</v>
      </c>
    </row>
    <row r="4638" spans="1:10" ht="12.5" x14ac:dyDescent="0.25">
      <c r="A4638" s="1">
        <v>45935</v>
      </c>
      <c r="B4638" s="2" t="s">
        <v>10</v>
      </c>
      <c r="C4638" s="2" t="s">
        <v>6</v>
      </c>
      <c r="D4638" s="2" t="s">
        <v>6</v>
      </c>
      <c r="E4638" s="3">
        <v>106.04</v>
      </c>
      <c r="F4638" t="str">
        <f t="shared" si="364"/>
        <v>marketing</v>
      </c>
      <c r="G4638" s="7" t="s">
        <v>6</v>
      </c>
      <c r="H4638">
        <f t="shared" si="366"/>
        <v>2025</v>
      </c>
      <c r="I4638">
        <f t="shared" si="367"/>
        <v>10</v>
      </c>
      <c r="J4638">
        <f t="shared" si="368"/>
        <v>-791.12</v>
      </c>
    </row>
    <row r="4639" spans="1:10" ht="12.5" x14ac:dyDescent="0.25">
      <c r="A4639" s="1">
        <v>45935</v>
      </c>
      <c r="B4639" s="2" t="s">
        <v>11</v>
      </c>
      <c r="C4639" s="3">
        <v>9.99</v>
      </c>
      <c r="D4639" s="3">
        <v>61</v>
      </c>
      <c r="E4639" s="3">
        <v>609.39</v>
      </c>
      <c r="F4639" t="str">
        <f t="shared" si="364"/>
        <v>net sales</v>
      </c>
      <c r="G4639" s="7" t="str">
        <f t="shared" si="365"/>
        <v>product 1</v>
      </c>
      <c r="H4639">
        <f t="shared" si="366"/>
        <v>2025</v>
      </c>
      <c r="I4639">
        <f t="shared" si="367"/>
        <v>10</v>
      </c>
      <c r="J4639">
        <f t="shared" si="368"/>
        <v>-116.07000000000001</v>
      </c>
    </row>
    <row r="4640" spans="1:10" ht="12.5" x14ac:dyDescent="0.25">
      <c r="A4640" s="1">
        <v>45935</v>
      </c>
      <c r="B4640" s="2" t="s">
        <v>12</v>
      </c>
      <c r="C4640" s="3">
        <v>24.99</v>
      </c>
      <c r="D4640" s="3">
        <v>4</v>
      </c>
      <c r="E4640" s="3">
        <v>99.96</v>
      </c>
      <c r="F4640" t="str">
        <f t="shared" si="364"/>
        <v>net sales</v>
      </c>
      <c r="G4640" s="7" t="str">
        <f t="shared" si="365"/>
        <v>product 2</v>
      </c>
      <c r="H4640">
        <f t="shared" si="366"/>
        <v>2025</v>
      </c>
      <c r="I4640">
        <f t="shared" si="367"/>
        <v>10</v>
      </c>
      <c r="J4640">
        <f t="shared" si="368"/>
        <v>109.89</v>
      </c>
    </row>
    <row r="4641" spans="1:10" ht="12.5" x14ac:dyDescent="0.25">
      <c r="A4641" s="1">
        <v>45935</v>
      </c>
      <c r="B4641" s="2" t="s">
        <v>13</v>
      </c>
      <c r="C4641" s="3">
        <v>12.49</v>
      </c>
      <c r="D4641" s="3">
        <v>26</v>
      </c>
      <c r="E4641" s="3">
        <v>324.74</v>
      </c>
      <c r="F4641" t="str">
        <f t="shared" si="364"/>
        <v>net sales</v>
      </c>
      <c r="G4641" s="7" t="str">
        <f t="shared" si="365"/>
        <v>product 3</v>
      </c>
      <c r="H4641">
        <f t="shared" si="366"/>
        <v>2025</v>
      </c>
      <c r="I4641">
        <f t="shared" si="367"/>
        <v>10</v>
      </c>
      <c r="J4641">
        <f t="shared" si="368"/>
        <v>0</v>
      </c>
    </row>
    <row r="4642" spans="1:10" ht="12.5" x14ac:dyDescent="0.25">
      <c r="A4642" s="1">
        <v>45936</v>
      </c>
      <c r="B4642" s="2" t="s">
        <v>7</v>
      </c>
      <c r="C4642" s="3">
        <v>5.49</v>
      </c>
      <c r="D4642" s="3">
        <v>34</v>
      </c>
      <c r="E4642" s="3">
        <v>186.66</v>
      </c>
      <c r="F4642" t="str">
        <f t="shared" si="364"/>
        <v>cogs</v>
      </c>
      <c r="G4642" s="7" t="str">
        <f t="shared" si="365"/>
        <v>product 1</v>
      </c>
      <c r="H4642">
        <f t="shared" si="366"/>
        <v>2025</v>
      </c>
      <c r="I4642">
        <f t="shared" si="367"/>
        <v>10</v>
      </c>
      <c r="J4642">
        <f t="shared" si="368"/>
        <v>1099.1200000000001</v>
      </c>
    </row>
    <row r="4643" spans="1:10" ht="12.5" x14ac:dyDescent="0.25">
      <c r="A4643" s="1">
        <v>45936</v>
      </c>
      <c r="B4643" s="2" t="s">
        <v>8</v>
      </c>
      <c r="C4643" s="3">
        <v>21.49</v>
      </c>
      <c r="D4643" s="3">
        <v>2</v>
      </c>
      <c r="E4643" s="3">
        <v>42.98</v>
      </c>
      <c r="F4643" t="str">
        <f t="shared" si="364"/>
        <v>cogs</v>
      </c>
      <c r="G4643" s="7" t="str">
        <f t="shared" si="365"/>
        <v>product 2</v>
      </c>
      <c r="H4643">
        <f t="shared" si="366"/>
        <v>2025</v>
      </c>
      <c r="I4643">
        <f t="shared" si="367"/>
        <v>10</v>
      </c>
      <c r="J4643">
        <f t="shared" si="368"/>
        <v>-197.64000000000001</v>
      </c>
    </row>
    <row r="4644" spans="1:10" ht="12.5" x14ac:dyDescent="0.25">
      <c r="A4644" s="1">
        <v>45936</v>
      </c>
      <c r="B4644" s="2" t="s">
        <v>9</v>
      </c>
      <c r="C4644" s="3">
        <v>8.99</v>
      </c>
      <c r="D4644" s="3">
        <v>6</v>
      </c>
      <c r="E4644" s="3">
        <v>53.94</v>
      </c>
      <c r="F4644" t="str">
        <f t="shared" si="364"/>
        <v>cogs</v>
      </c>
      <c r="G4644" s="7" t="str">
        <f t="shared" si="365"/>
        <v>product 3</v>
      </c>
      <c r="H4644">
        <f t="shared" si="366"/>
        <v>2025</v>
      </c>
      <c r="I4644">
        <f t="shared" si="367"/>
        <v>10</v>
      </c>
      <c r="J4644">
        <f t="shared" si="368"/>
        <v>-150.42999999999998</v>
      </c>
    </row>
    <row r="4645" spans="1:10" ht="12.5" x14ac:dyDescent="0.25">
      <c r="A4645" s="1">
        <v>45936</v>
      </c>
      <c r="B4645" s="2" t="s">
        <v>10</v>
      </c>
      <c r="C4645" s="2" t="s">
        <v>6</v>
      </c>
      <c r="D4645" s="2" t="s">
        <v>6</v>
      </c>
      <c r="E4645" s="3">
        <v>108.92</v>
      </c>
      <c r="F4645" t="str">
        <f t="shared" si="364"/>
        <v>marketing</v>
      </c>
      <c r="G4645" s="7" t="s">
        <v>6</v>
      </c>
      <c r="H4645">
        <f t="shared" si="366"/>
        <v>2025</v>
      </c>
      <c r="I4645">
        <f t="shared" si="367"/>
        <v>10</v>
      </c>
      <c r="J4645">
        <f t="shared" si="368"/>
        <v>-1321.53</v>
      </c>
    </row>
    <row r="4646" spans="1:10" ht="12.5" x14ac:dyDescent="0.25">
      <c r="A4646" s="1">
        <v>45936</v>
      </c>
      <c r="B4646" s="2" t="s">
        <v>11</v>
      </c>
      <c r="C4646" s="3">
        <v>9.99</v>
      </c>
      <c r="D4646" s="3">
        <v>34</v>
      </c>
      <c r="E4646" s="3">
        <v>339.66</v>
      </c>
      <c r="F4646" t="str">
        <f t="shared" si="364"/>
        <v>net sales</v>
      </c>
      <c r="G4646" s="7" t="str">
        <f t="shared" si="365"/>
        <v>product 1</v>
      </c>
      <c r="H4646">
        <f t="shared" si="366"/>
        <v>2025</v>
      </c>
      <c r="I4646">
        <f t="shared" si="367"/>
        <v>10</v>
      </c>
      <c r="J4646">
        <f t="shared" si="368"/>
        <v>-113.03</v>
      </c>
    </row>
    <row r="4647" spans="1:10" ht="12.5" x14ac:dyDescent="0.25">
      <c r="A4647" s="1">
        <v>45936</v>
      </c>
      <c r="B4647" s="2" t="s">
        <v>12</v>
      </c>
      <c r="C4647" s="3">
        <v>24.99</v>
      </c>
      <c r="D4647" s="3">
        <v>2</v>
      </c>
      <c r="E4647" s="3">
        <v>49.98</v>
      </c>
      <c r="F4647" t="str">
        <f t="shared" si="364"/>
        <v>net sales</v>
      </c>
      <c r="G4647" s="7" t="str">
        <f t="shared" si="365"/>
        <v>product 2</v>
      </c>
      <c r="H4647">
        <f t="shared" si="366"/>
        <v>2025</v>
      </c>
      <c r="I4647">
        <f t="shared" si="367"/>
        <v>10</v>
      </c>
      <c r="J4647">
        <f t="shared" si="368"/>
        <v>359.64</v>
      </c>
    </row>
    <row r="4648" spans="1:10" ht="12.5" x14ac:dyDescent="0.25">
      <c r="A4648" s="1">
        <v>45936</v>
      </c>
      <c r="B4648" s="2" t="s">
        <v>13</v>
      </c>
      <c r="C4648" s="3">
        <v>12.49</v>
      </c>
      <c r="D4648" s="3">
        <v>6</v>
      </c>
      <c r="E4648" s="3">
        <v>74.94</v>
      </c>
      <c r="F4648" t="str">
        <f t="shared" si="364"/>
        <v>net sales</v>
      </c>
      <c r="G4648" s="7" t="str">
        <f t="shared" si="365"/>
        <v>product 3</v>
      </c>
      <c r="H4648">
        <f t="shared" si="366"/>
        <v>2025</v>
      </c>
      <c r="I4648">
        <f t="shared" si="367"/>
        <v>10</v>
      </c>
      <c r="J4648">
        <f t="shared" si="368"/>
        <v>174.92999999999998</v>
      </c>
    </row>
    <row r="4649" spans="1:10" ht="12.5" x14ac:dyDescent="0.25">
      <c r="A4649" s="1">
        <v>45937</v>
      </c>
      <c r="B4649" s="2" t="s">
        <v>7</v>
      </c>
      <c r="C4649" s="3">
        <v>5.49</v>
      </c>
      <c r="D4649" s="3">
        <v>14</v>
      </c>
      <c r="E4649" s="3">
        <v>76.86</v>
      </c>
      <c r="F4649" t="str">
        <f t="shared" si="364"/>
        <v>cogs</v>
      </c>
      <c r="G4649" s="7" t="str">
        <f t="shared" si="365"/>
        <v>product 1</v>
      </c>
      <c r="H4649">
        <f t="shared" si="366"/>
        <v>2025</v>
      </c>
      <c r="I4649">
        <f t="shared" si="367"/>
        <v>10</v>
      </c>
      <c r="J4649">
        <f t="shared" si="368"/>
        <v>1836.03</v>
      </c>
    </row>
    <row r="4650" spans="1:10" ht="12.5" x14ac:dyDescent="0.25">
      <c r="A4650" s="1">
        <v>45937</v>
      </c>
      <c r="B4650" s="2" t="s">
        <v>8</v>
      </c>
      <c r="C4650" s="3">
        <v>21.49</v>
      </c>
      <c r="D4650" s="3">
        <v>0</v>
      </c>
      <c r="E4650" s="2">
        <f>C4650*D4650</f>
        <v>0</v>
      </c>
      <c r="F4650" t="str">
        <f t="shared" si="364"/>
        <v>cogs</v>
      </c>
      <c r="G4650" s="7" t="str">
        <f t="shared" si="365"/>
        <v>product 2</v>
      </c>
      <c r="H4650">
        <f t="shared" si="366"/>
        <v>2025</v>
      </c>
      <c r="I4650">
        <f t="shared" si="367"/>
        <v>10</v>
      </c>
      <c r="J4650">
        <f t="shared" si="368"/>
        <v>-98.820000000000007</v>
      </c>
    </row>
    <row r="4651" spans="1:10" ht="12.5" x14ac:dyDescent="0.25">
      <c r="A4651" s="1">
        <v>45937</v>
      </c>
      <c r="B4651" s="2" t="s">
        <v>9</v>
      </c>
      <c r="C4651" s="3">
        <v>8.99</v>
      </c>
      <c r="D4651" s="3">
        <v>44</v>
      </c>
      <c r="E4651" s="3">
        <v>395.56</v>
      </c>
      <c r="F4651" t="str">
        <f t="shared" si="364"/>
        <v>cogs</v>
      </c>
      <c r="G4651" s="7" t="str">
        <f t="shared" si="365"/>
        <v>product 3</v>
      </c>
      <c r="H4651">
        <f t="shared" si="366"/>
        <v>2025</v>
      </c>
      <c r="I4651">
        <f t="shared" si="367"/>
        <v>10</v>
      </c>
      <c r="J4651">
        <f t="shared" si="368"/>
        <v>-85.96</v>
      </c>
    </row>
    <row r="4652" spans="1:10" ht="12.5" x14ac:dyDescent="0.25">
      <c r="A4652" s="1">
        <v>45937</v>
      </c>
      <c r="B4652" s="2" t="s">
        <v>10</v>
      </c>
      <c r="C4652" s="2" t="s">
        <v>6</v>
      </c>
      <c r="D4652" s="2" t="s">
        <v>6</v>
      </c>
      <c r="E4652" s="3">
        <v>119.05</v>
      </c>
      <c r="F4652" t="str">
        <f t="shared" si="364"/>
        <v>marketing</v>
      </c>
      <c r="G4652" s="7" t="s">
        <v>6</v>
      </c>
      <c r="H4652">
        <f t="shared" si="366"/>
        <v>2025</v>
      </c>
      <c r="I4652">
        <f t="shared" si="367"/>
        <v>10</v>
      </c>
      <c r="J4652">
        <f t="shared" si="368"/>
        <v>-215.76</v>
      </c>
    </row>
    <row r="4653" spans="1:10" ht="12.5" x14ac:dyDescent="0.25">
      <c r="A4653" s="1">
        <v>45937</v>
      </c>
      <c r="B4653" s="2" t="s">
        <v>11</v>
      </c>
      <c r="C4653" s="3">
        <v>9.99</v>
      </c>
      <c r="D4653" s="3">
        <v>14</v>
      </c>
      <c r="E4653" s="3">
        <v>139.86000000000001</v>
      </c>
      <c r="F4653" t="str">
        <f t="shared" si="364"/>
        <v>net sales</v>
      </c>
      <c r="G4653" s="7" t="str">
        <f t="shared" si="365"/>
        <v>product 1</v>
      </c>
      <c r="H4653">
        <f t="shared" si="366"/>
        <v>2025</v>
      </c>
      <c r="I4653">
        <f t="shared" si="367"/>
        <v>10</v>
      </c>
      <c r="J4653">
        <f t="shared" si="368"/>
        <v>-104.91</v>
      </c>
    </row>
    <row r="4654" spans="1:10" ht="12.5" x14ac:dyDescent="0.25">
      <c r="A4654" s="1">
        <v>45937</v>
      </c>
      <c r="B4654" s="2" t="s">
        <v>12</v>
      </c>
      <c r="C4654" s="3">
        <v>24.99</v>
      </c>
      <c r="D4654" s="3">
        <v>0</v>
      </c>
      <c r="E4654" s="2">
        <f>C4654*D4654</f>
        <v>0</v>
      </c>
      <c r="F4654" t="str">
        <f t="shared" si="364"/>
        <v>net sales</v>
      </c>
      <c r="G4654" s="7" t="str">
        <f t="shared" si="365"/>
        <v>product 2</v>
      </c>
      <c r="H4654">
        <f t="shared" si="366"/>
        <v>2025</v>
      </c>
      <c r="I4654">
        <f t="shared" si="367"/>
        <v>10</v>
      </c>
      <c r="J4654">
        <f t="shared" si="368"/>
        <v>179.82</v>
      </c>
    </row>
    <row r="4655" spans="1:10" ht="12.5" x14ac:dyDescent="0.25">
      <c r="A4655" s="1">
        <v>45937</v>
      </c>
      <c r="B4655" s="2" t="s">
        <v>13</v>
      </c>
      <c r="C4655" s="3">
        <v>12.49</v>
      </c>
      <c r="D4655" s="3">
        <v>44</v>
      </c>
      <c r="E4655" s="3">
        <v>549.56000000000006</v>
      </c>
      <c r="F4655" t="str">
        <f t="shared" si="364"/>
        <v>net sales</v>
      </c>
      <c r="G4655" s="7" t="str">
        <f t="shared" si="365"/>
        <v>product 3</v>
      </c>
      <c r="H4655">
        <f t="shared" si="366"/>
        <v>2025</v>
      </c>
      <c r="I4655">
        <f t="shared" si="367"/>
        <v>10</v>
      </c>
      <c r="J4655">
        <f t="shared" si="368"/>
        <v>99.96</v>
      </c>
    </row>
    <row r="4656" spans="1:10" ht="12.5" x14ac:dyDescent="0.25">
      <c r="A4656" s="1">
        <v>45938</v>
      </c>
      <c r="B4656" s="2" t="s">
        <v>7</v>
      </c>
      <c r="C4656" s="3">
        <v>5.49</v>
      </c>
      <c r="D4656" s="3">
        <v>22</v>
      </c>
      <c r="E4656" s="3">
        <v>120.78</v>
      </c>
      <c r="F4656" t="str">
        <f t="shared" si="364"/>
        <v>cogs</v>
      </c>
      <c r="G4656" s="7" t="str">
        <f t="shared" si="365"/>
        <v>product 1</v>
      </c>
      <c r="H4656">
        <f t="shared" si="366"/>
        <v>2025</v>
      </c>
      <c r="I4656">
        <f t="shared" si="367"/>
        <v>10</v>
      </c>
      <c r="J4656">
        <f t="shared" si="368"/>
        <v>299.76</v>
      </c>
    </row>
    <row r="4657" spans="1:10" ht="12.5" x14ac:dyDescent="0.25">
      <c r="A4657" s="1">
        <v>45938</v>
      </c>
      <c r="B4657" s="2" t="s">
        <v>8</v>
      </c>
      <c r="C4657" s="3">
        <v>21.49</v>
      </c>
      <c r="D4657" s="3">
        <v>6</v>
      </c>
      <c r="E4657" s="3">
        <v>128.94</v>
      </c>
      <c r="F4657" t="str">
        <f t="shared" si="364"/>
        <v>cogs</v>
      </c>
      <c r="G4657" s="7" t="str">
        <f t="shared" si="365"/>
        <v>product 2</v>
      </c>
      <c r="H4657">
        <f t="shared" si="366"/>
        <v>2025</v>
      </c>
      <c r="I4657">
        <f t="shared" si="367"/>
        <v>10</v>
      </c>
      <c r="J4657">
        <f t="shared" si="368"/>
        <v>-197.64000000000001</v>
      </c>
    </row>
    <row r="4658" spans="1:10" ht="12.5" x14ac:dyDescent="0.25">
      <c r="A4658" s="1">
        <v>45938</v>
      </c>
      <c r="B4658" s="2" t="s">
        <v>9</v>
      </c>
      <c r="C4658" s="3">
        <v>8.99</v>
      </c>
      <c r="D4658" s="3">
        <v>240</v>
      </c>
      <c r="E4658" s="3">
        <v>2157.6</v>
      </c>
      <c r="F4658" t="str">
        <f t="shared" si="364"/>
        <v>cogs</v>
      </c>
      <c r="G4658" s="7" t="str">
        <f t="shared" si="365"/>
        <v>product 3</v>
      </c>
      <c r="H4658">
        <f t="shared" si="366"/>
        <v>2025</v>
      </c>
      <c r="I4658">
        <f t="shared" si="367"/>
        <v>10</v>
      </c>
      <c r="J4658">
        <f t="shared" si="368"/>
        <v>-107.44999999999999</v>
      </c>
    </row>
    <row r="4659" spans="1:10" ht="12.5" x14ac:dyDescent="0.25">
      <c r="A4659" s="1">
        <v>45938</v>
      </c>
      <c r="B4659" s="2" t="s">
        <v>10</v>
      </c>
      <c r="C4659" s="2" t="s">
        <v>6</v>
      </c>
      <c r="D4659" s="2" t="s">
        <v>6</v>
      </c>
      <c r="E4659" s="3">
        <v>118.9</v>
      </c>
      <c r="F4659" t="str">
        <f t="shared" si="364"/>
        <v>marketing</v>
      </c>
      <c r="G4659" s="7" t="s">
        <v>6</v>
      </c>
      <c r="H4659">
        <f t="shared" si="366"/>
        <v>2025</v>
      </c>
      <c r="I4659">
        <f t="shared" si="367"/>
        <v>10</v>
      </c>
      <c r="J4659">
        <f t="shared" si="368"/>
        <v>-773.14</v>
      </c>
    </row>
    <row r="4660" spans="1:10" ht="12.5" x14ac:dyDescent="0.25">
      <c r="A4660" s="1">
        <v>45938</v>
      </c>
      <c r="B4660" s="2" t="s">
        <v>11</v>
      </c>
      <c r="C4660" s="3">
        <v>9.99</v>
      </c>
      <c r="D4660" s="3">
        <v>22</v>
      </c>
      <c r="E4660" s="3">
        <v>219.78</v>
      </c>
      <c r="F4660" t="str">
        <f t="shared" si="364"/>
        <v>net sales</v>
      </c>
      <c r="G4660" s="7" t="str">
        <f t="shared" si="365"/>
        <v>product 1</v>
      </c>
      <c r="H4660">
        <f t="shared" si="366"/>
        <v>2025</v>
      </c>
      <c r="I4660">
        <f t="shared" si="367"/>
        <v>10</v>
      </c>
      <c r="J4660">
        <f t="shared" si="368"/>
        <v>-101.04</v>
      </c>
    </row>
    <row r="4661" spans="1:10" ht="12.5" x14ac:dyDescent="0.25">
      <c r="A4661" s="1">
        <v>45938</v>
      </c>
      <c r="B4661" s="2" t="s">
        <v>12</v>
      </c>
      <c r="C4661" s="3">
        <v>24.99</v>
      </c>
      <c r="D4661" s="3">
        <v>6</v>
      </c>
      <c r="E4661" s="3">
        <v>149.94</v>
      </c>
      <c r="F4661" t="str">
        <f t="shared" si="364"/>
        <v>net sales</v>
      </c>
      <c r="G4661" s="7" t="str">
        <f t="shared" si="365"/>
        <v>product 2</v>
      </c>
      <c r="H4661">
        <f t="shared" si="366"/>
        <v>2025</v>
      </c>
      <c r="I4661">
        <f t="shared" si="367"/>
        <v>10</v>
      </c>
      <c r="J4661">
        <f t="shared" si="368"/>
        <v>359.64</v>
      </c>
    </row>
    <row r="4662" spans="1:10" ht="12.5" x14ac:dyDescent="0.25">
      <c r="A4662" s="1">
        <v>45938</v>
      </c>
      <c r="B4662" s="2" t="s">
        <v>13</v>
      </c>
      <c r="C4662" s="3">
        <v>12.49</v>
      </c>
      <c r="D4662" s="3">
        <v>240</v>
      </c>
      <c r="E4662" s="3">
        <v>2997.6</v>
      </c>
      <c r="F4662" t="str">
        <f t="shared" si="364"/>
        <v>net sales</v>
      </c>
      <c r="G4662" s="7" t="str">
        <f t="shared" si="365"/>
        <v>product 3</v>
      </c>
      <c r="H4662">
        <f t="shared" si="366"/>
        <v>2025</v>
      </c>
      <c r="I4662">
        <f t="shared" si="367"/>
        <v>10</v>
      </c>
      <c r="J4662">
        <f t="shared" si="368"/>
        <v>124.94999999999999</v>
      </c>
    </row>
    <row r="4663" spans="1:10" ht="12.5" x14ac:dyDescent="0.25">
      <c r="A4663" s="1">
        <v>45939</v>
      </c>
      <c r="B4663" s="2" t="s">
        <v>7</v>
      </c>
      <c r="C4663" s="3">
        <v>5.49</v>
      </c>
      <c r="D4663" s="3">
        <v>15</v>
      </c>
      <c r="E4663" s="3">
        <v>82.350000000000009</v>
      </c>
      <c r="F4663" t="str">
        <f t="shared" si="364"/>
        <v>cogs</v>
      </c>
      <c r="G4663" s="7" t="str">
        <f t="shared" si="365"/>
        <v>product 1</v>
      </c>
      <c r="H4663">
        <f t="shared" si="366"/>
        <v>2025</v>
      </c>
      <c r="I4663">
        <f t="shared" si="367"/>
        <v>10</v>
      </c>
      <c r="J4663">
        <f t="shared" si="368"/>
        <v>1074.1400000000001</v>
      </c>
    </row>
    <row r="4664" spans="1:10" ht="12.5" x14ac:dyDescent="0.25">
      <c r="A4664" s="1">
        <v>45939</v>
      </c>
      <c r="B4664" s="2" t="s">
        <v>8</v>
      </c>
      <c r="C4664" s="3">
        <v>21.49</v>
      </c>
      <c r="D4664" s="3">
        <v>3</v>
      </c>
      <c r="E4664" s="3">
        <v>64.47</v>
      </c>
      <c r="F4664" t="str">
        <f t="shared" si="364"/>
        <v>cogs</v>
      </c>
      <c r="G4664" s="7" t="str">
        <f t="shared" si="365"/>
        <v>product 2</v>
      </c>
      <c r="H4664">
        <f t="shared" si="366"/>
        <v>2025</v>
      </c>
      <c r="I4664">
        <f t="shared" si="367"/>
        <v>10</v>
      </c>
      <c r="J4664">
        <f t="shared" si="368"/>
        <v>-230.58</v>
      </c>
    </row>
    <row r="4665" spans="1:10" ht="12.5" x14ac:dyDescent="0.25">
      <c r="A4665" s="1">
        <v>45939</v>
      </c>
      <c r="B4665" s="2" t="s">
        <v>9</v>
      </c>
      <c r="C4665" s="3">
        <v>8.99</v>
      </c>
      <c r="D4665" s="3">
        <v>210</v>
      </c>
      <c r="E4665" s="3">
        <v>1887.9</v>
      </c>
      <c r="F4665" t="str">
        <f t="shared" si="364"/>
        <v>cogs</v>
      </c>
      <c r="G4665" s="7" t="str">
        <f t="shared" si="365"/>
        <v>product 3</v>
      </c>
      <c r="H4665">
        <f t="shared" si="366"/>
        <v>2025</v>
      </c>
      <c r="I4665">
        <f t="shared" si="367"/>
        <v>10</v>
      </c>
      <c r="J4665">
        <f t="shared" si="368"/>
        <v>-64.47</v>
      </c>
    </row>
    <row r="4666" spans="1:10" ht="12.5" x14ac:dyDescent="0.25">
      <c r="A4666" s="1">
        <v>45939</v>
      </c>
      <c r="B4666" s="2" t="s">
        <v>10</v>
      </c>
      <c r="C4666" s="2" t="s">
        <v>6</v>
      </c>
      <c r="D4666" s="2" t="s">
        <v>6</v>
      </c>
      <c r="E4666" s="3">
        <v>115.95</v>
      </c>
      <c r="F4666" t="str">
        <f t="shared" si="364"/>
        <v>marketing</v>
      </c>
      <c r="G4666" s="7" t="s">
        <v>6</v>
      </c>
      <c r="H4666">
        <f t="shared" si="366"/>
        <v>2025</v>
      </c>
      <c r="I4666">
        <f t="shared" si="367"/>
        <v>10</v>
      </c>
      <c r="J4666">
        <f t="shared" si="368"/>
        <v>-1357.49</v>
      </c>
    </row>
    <row r="4667" spans="1:10" ht="12.5" x14ac:dyDescent="0.25">
      <c r="A4667" s="1">
        <v>45939</v>
      </c>
      <c r="B4667" s="2" t="s">
        <v>11</v>
      </c>
      <c r="C4667" s="3">
        <v>9.99</v>
      </c>
      <c r="D4667" s="3">
        <v>15</v>
      </c>
      <c r="E4667" s="3">
        <v>149.85</v>
      </c>
      <c r="F4667" t="str">
        <f t="shared" si="364"/>
        <v>net sales</v>
      </c>
      <c r="G4667" s="7" t="str">
        <f t="shared" si="365"/>
        <v>product 1</v>
      </c>
      <c r="H4667">
        <f t="shared" si="366"/>
        <v>2025</v>
      </c>
      <c r="I4667">
        <f t="shared" si="367"/>
        <v>10</v>
      </c>
      <c r="J4667">
        <f t="shared" si="368"/>
        <v>-108.04</v>
      </c>
    </row>
    <row r="4668" spans="1:10" ht="12.5" x14ac:dyDescent="0.25">
      <c r="A4668" s="1">
        <v>45939</v>
      </c>
      <c r="B4668" s="2" t="s">
        <v>12</v>
      </c>
      <c r="C4668" s="3">
        <v>24.99</v>
      </c>
      <c r="D4668" s="3">
        <v>3</v>
      </c>
      <c r="E4668" s="3">
        <v>74.97</v>
      </c>
      <c r="F4668" t="str">
        <f t="shared" si="364"/>
        <v>net sales</v>
      </c>
      <c r="G4668" s="7" t="str">
        <f t="shared" si="365"/>
        <v>product 2</v>
      </c>
      <c r="H4668">
        <f t="shared" si="366"/>
        <v>2025</v>
      </c>
      <c r="I4668">
        <f t="shared" si="367"/>
        <v>10</v>
      </c>
      <c r="J4668">
        <f t="shared" si="368"/>
        <v>419.58</v>
      </c>
    </row>
    <row r="4669" spans="1:10" ht="12.5" x14ac:dyDescent="0.25">
      <c r="A4669" s="1">
        <v>45939</v>
      </c>
      <c r="B4669" s="2" t="s">
        <v>13</v>
      </c>
      <c r="C4669" s="3">
        <v>12.49</v>
      </c>
      <c r="D4669" s="3">
        <v>210</v>
      </c>
      <c r="E4669" s="3">
        <v>2622.9</v>
      </c>
      <c r="F4669" t="str">
        <f t="shared" si="364"/>
        <v>net sales</v>
      </c>
      <c r="G4669" s="7" t="str">
        <f t="shared" si="365"/>
        <v>product 3</v>
      </c>
      <c r="H4669">
        <f t="shared" si="366"/>
        <v>2025</v>
      </c>
      <c r="I4669">
        <f t="shared" si="367"/>
        <v>10</v>
      </c>
      <c r="J4669">
        <f t="shared" si="368"/>
        <v>74.97</v>
      </c>
    </row>
    <row r="4670" spans="1:10" ht="12.5" x14ac:dyDescent="0.25">
      <c r="A4670" s="1">
        <v>45940</v>
      </c>
      <c r="B4670" s="2" t="s">
        <v>7</v>
      </c>
      <c r="C4670" s="3">
        <v>5.49</v>
      </c>
      <c r="D4670" s="3">
        <v>29</v>
      </c>
      <c r="E4670" s="3">
        <v>159.21</v>
      </c>
      <c r="F4670" t="str">
        <f t="shared" si="364"/>
        <v>cogs</v>
      </c>
      <c r="G4670" s="7" t="str">
        <f t="shared" si="365"/>
        <v>product 1</v>
      </c>
      <c r="H4670">
        <f t="shared" si="366"/>
        <v>2025</v>
      </c>
      <c r="I4670">
        <f t="shared" si="367"/>
        <v>10</v>
      </c>
      <c r="J4670">
        <f t="shared" si="368"/>
        <v>1885.99</v>
      </c>
    </row>
    <row r="4671" spans="1:10" ht="12.5" x14ac:dyDescent="0.25">
      <c r="A4671" s="1">
        <v>45940</v>
      </c>
      <c r="B4671" s="2" t="s">
        <v>8</v>
      </c>
      <c r="C4671" s="3">
        <v>21.49</v>
      </c>
      <c r="D4671" s="3">
        <v>0</v>
      </c>
      <c r="E4671" s="2">
        <f>C4671*D4671</f>
        <v>0</v>
      </c>
      <c r="F4671" t="str">
        <f t="shared" si="364"/>
        <v>cogs</v>
      </c>
      <c r="G4671" s="7" t="str">
        <f t="shared" si="365"/>
        <v>product 2</v>
      </c>
      <c r="H4671">
        <f t="shared" si="366"/>
        <v>2025</v>
      </c>
      <c r="I4671">
        <f t="shared" si="367"/>
        <v>10</v>
      </c>
      <c r="J4671">
        <f t="shared" si="368"/>
        <v>-472.14000000000004</v>
      </c>
    </row>
    <row r="4672" spans="1:10" ht="12.5" x14ac:dyDescent="0.25">
      <c r="A4672" s="1">
        <v>45940</v>
      </c>
      <c r="B4672" s="2" t="s">
        <v>9</v>
      </c>
      <c r="C4672" s="3">
        <v>8.99</v>
      </c>
      <c r="D4672" s="3">
        <v>202</v>
      </c>
      <c r="E4672" s="3">
        <v>1815.98</v>
      </c>
      <c r="F4672" t="str">
        <f t="shared" si="364"/>
        <v>cogs</v>
      </c>
      <c r="G4672" s="7" t="str">
        <f t="shared" si="365"/>
        <v>product 3</v>
      </c>
      <c r="H4672">
        <f t="shared" si="366"/>
        <v>2025</v>
      </c>
      <c r="I4672">
        <f t="shared" si="367"/>
        <v>10</v>
      </c>
      <c r="J4672">
        <f t="shared" si="368"/>
        <v>-85.96</v>
      </c>
    </row>
    <row r="4673" spans="1:10" ht="12.5" x14ac:dyDescent="0.25">
      <c r="A4673" s="1">
        <v>45940</v>
      </c>
      <c r="B4673" s="2" t="s">
        <v>10</v>
      </c>
      <c r="C4673" s="2" t="s">
        <v>6</v>
      </c>
      <c r="D4673" s="2" t="s">
        <v>6</v>
      </c>
      <c r="E4673" s="3">
        <v>113.97</v>
      </c>
      <c r="F4673" t="str">
        <f t="shared" si="364"/>
        <v>marketing</v>
      </c>
      <c r="G4673" s="7" t="s">
        <v>6</v>
      </c>
      <c r="H4673">
        <f t="shared" si="366"/>
        <v>2025</v>
      </c>
      <c r="I4673">
        <f t="shared" si="367"/>
        <v>10</v>
      </c>
      <c r="J4673">
        <f t="shared" si="368"/>
        <v>0</v>
      </c>
    </row>
    <row r="4674" spans="1:10" ht="12.5" x14ac:dyDescent="0.25">
      <c r="A4674" s="1">
        <v>45940</v>
      </c>
      <c r="B4674" s="2" t="s">
        <v>11</v>
      </c>
      <c r="C4674" s="3">
        <v>9.99</v>
      </c>
      <c r="D4674" s="3">
        <v>29</v>
      </c>
      <c r="E4674" s="3">
        <v>289.70999999999998</v>
      </c>
      <c r="F4674" t="str">
        <f t="shared" si="364"/>
        <v>net sales</v>
      </c>
      <c r="G4674" s="7" t="str">
        <f t="shared" si="365"/>
        <v>product 1</v>
      </c>
      <c r="H4674">
        <f t="shared" si="366"/>
        <v>2025</v>
      </c>
      <c r="I4674">
        <f t="shared" si="367"/>
        <v>10</v>
      </c>
      <c r="J4674">
        <f t="shared" si="368"/>
        <v>-111.99000000000001</v>
      </c>
    </row>
    <row r="4675" spans="1:10" ht="12.5" x14ac:dyDescent="0.25">
      <c r="A4675" s="1">
        <v>45940</v>
      </c>
      <c r="B4675" s="2" t="s">
        <v>12</v>
      </c>
      <c r="C4675" s="3">
        <v>24.99</v>
      </c>
      <c r="D4675" s="3">
        <v>0</v>
      </c>
      <c r="E4675" s="2">
        <f>C4675*D4675</f>
        <v>0</v>
      </c>
      <c r="F4675" t="str">
        <f t="shared" ref="F4675:F4738" si="369">IFERROR(LEFT(B4675,FIND(":",B4675)-1),B4675)</f>
        <v>net sales</v>
      </c>
      <c r="G4675" s="7" t="str">
        <f t="shared" ref="G4675:G4738" si="370">IFERROR(RIGHT(B4675,LEN(B4675)-FIND(":",B4675)),"")</f>
        <v>product 2</v>
      </c>
      <c r="H4675">
        <f t="shared" ref="H4675:H4738" si="371">YEAR(A4675)</f>
        <v>2025</v>
      </c>
      <c r="I4675">
        <f t="shared" ref="I4675:I4738" si="372">MONTH(A4675)</f>
        <v>10</v>
      </c>
      <c r="J4675">
        <f t="shared" si="368"/>
        <v>859.14</v>
      </c>
    </row>
    <row r="4676" spans="1:10" ht="12.5" x14ac:dyDescent="0.25">
      <c r="A4676" s="1">
        <v>45940</v>
      </c>
      <c r="B4676" s="2" t="s">
        <v>13</v>
      </c>
      <c r="C4676" s="3">
        <v>12.49</v>
      </c>
      <c r="D4676" s="3">
        <v>202</v>
      </c>
      <c r="E4676" s="3">
        <v>2522.98</v>
      </c>
      <c r="F4676" t="str">
        <f t="shared" si="369"/>
        <v>net sales</v>
      </c>
      <c r="G4676" s="7" t="str">
        <f t="shared" si="370"/>
        <v>product 3</v>
      </c>
      <c r="H4676">
        <f t="shared" si="371"/>
        <v>2025</v>
      </c>
      <c r="I4676">
        <f t="shared" si="372"/>
        <v>10</v>
      </c>
      <c r="J4676">
        <f t="shared" si="368"/>
        <v>99.96</v>
      </c>
    </row>
    <row r="4677" spans="1:10" ht="12.5" x14ac:dyDescent="0.25">
      <c r="A4677" s="1">
        <v>45940</v>
      </c>
      <c r="B4677" s="2" t="s">
        <v>15</v>
      </c>
      <c r="C4677" s="2" t="s">
        <v>6</v>
      </c>
      <c r="D4677" s="2" t="s">
        <v>6</v>
      </c>
      <c r="E4677" s="3">
        <v>1200</v>
      </c>
      <c r="F4677" t="str">
        <f t="shared" si="369"/>
        <v>payroll</v>
      </c>
      <c r="G4677" s="7" t="s">
        <v>6</v>
      </c>
      <c r="H4677">
        <f t="shared" si="371"/>
        <v>2025</v>
      </c>
      <c r="I4677">
        <f t="shared" si="372"/>
        <v>10</v>
      </c>
      <c r="J4677">
        <f t="shared" si="368"/>
        <v>0</v>
      </c>
    </row>
    <row r="4678" spans="1:10" ht="12.5" x14ac:dyDescent="0.25">
      <c r="A4678" s="1">
        <v>45941</v>
      </c>
      <c r="B4678" s="2" t="s">
        <v>7</v>
      </c>
      <c r="C4678" s="3">
        <v>5.49</v>
      </c>
      <c r="D4678" s="3">
        <v>75</v>
      </c>
      <c r="E4678" s="3">
        <v>411.75</v>
      </c>
      <c r="F4678" t="str">
        <f t="shared" si="369"/>
        <v>cogs</v>
      </c>
      <c r="G4678" s="7" t="str">
        <f t="shared" si="370"/>
        <v>product 1</v>
      </c>
      <c r="H4678">
        <f t="shared" si="371"/>
        <v>2025</v>
      </c>
      <c r="I4678">
        <f t="shared" si="372"/>
        <v>10</v>
      </c>
      <c r="J4678">
        <f t="shared" si="368"/>
        <v>-472.14000000000004</v>
      </c>
    </row>
    <row r="4679" spans="1:10" ht="12.5" x14ac:dyDescent="0.25">
      <c r="A4679" s="1">
        <v>45941</v>
      </c>
      <c r="B4679" s="2" t="s">
        <v>8</v>
      </c>
      <c r="C4679" s="3">
        <v>21.49</v>
      </c>
      <c r="D4679" s="3">
        <v>1</v>
      </c>
      <c r="E4679" s="3">
        <v>21.49</v>
      </c>
      <c r="F4679" t="str">
        <f t="shared" si="369"/>
        <v>cogs</v>
      </c>
      <c r="G4679" s="7" t="str">
        <f t="shared" si="370"/>
        <v>product 2</v>
      </c>
      <c r="H4679">
        <f t="shared" si="371"/>
        <v>2025</v>
      </c>
      <c r="I4679">
        <f t="shared" si="372"/>
        <v>10</v>
      </c>
      <c r="J4679">
        <f t="shared" si="368"/>
        <v>0</v>
      </c>
    </row>
    <row r="4680" spans="1:10" ht="12.5" x14ac:dyDescent="0.25">
      <c r="A4680" s="1">
        <v>45941</v>
      </c>
      <c r="B4680" s="2" t="s">
        <v>9</v>
      </c>
      <c r="C4680" s="3">
        <v>8.99</v>
      </c>
      <c r="D4680" s="3">
        <v>52</v>
      </c>
      <c r="E4680" s="3">
        <v>467.48</v>
      </c>
      <c r="F4680" t="str">
        <f t="shared" si="369"/>
        <v>cogs</v>
      </c>
      <c r="G4680" s="7" t="str">
        <f t="shared" si="370"/>
        <v>product 3</v>
      </c>
      <c r="H4680">
        <f t="shared" si="371"/>
        <v>2025</v>
      </c>
      <c r="I4680">
        <f t="shared" si="372"/>
        <v>10</v>
      </c>
      <c r="J4680">
        <f t="shared" si="368"/>
        <v>-979.91</v>
      </c>
    </row>
    <row r="4681" spans="1:10" ht="12.5" x14ac:dyDescent="0.25">
      <c r="A4681" s="1">
        <v>45941</v>
      </c>
      <c r="B4681" s="2" t="s">
        <v>10</v>
      </c>
      <c r="C4681" s="2" t="s">
        <v>6</v>
      </c>
      <c r="D4681" s="2" t="s">
        <v>6</v>
      </c>
      <c r="E4681" s="3">
        <v>105.01</v>
      </c>
      <c r="F4681" t="str">
        <f t="shared" si="369"/>
        <v>marketing</v>
      </c>
      <c r="G4681" s="7" t="s">
        <v>6</v>
      </c>
      <c r="H4681">
        <f t="shared" si="371"/>
        <v>2025</v>
      </c>
      <c r="I4681">
        <f t="shared" si="372"/>
        <v>10</v>
      </c>
      <c r="J4681">
        <f t="shared" si="368"/>
        <v>-118.07000000000001</v>
      </c>
    </row>
    <row r="4682" spans="1:10" ht="12.5" x14ac:dyDescent="0.25">
      <c r="A4682" s="1">
        <v>45941</v>
      </c>
      <c r="B4682" s="2" t="s">
        <v>11</v>
      </c>
      <c r="C4682" s="3">
        <v>9.99</v>
      </c>
      <c r="D4682" s="3">
        <v>75</v>
      </c>
      <c r="E4682" s="3">
        <v>749.25</v>
      </c>
      <c r="F4682" t="str">
        <f t="shared" si="369"/>
        <v>net sales</v>
      </c>
      <c r="G4682" s="7" t="str">
        <f t="shared" si="370"/>
        <v>product 1</v>
      </c>
      <c r="H4682">
        <f t="shared" si="371"/>
        <v>2025</v>
      </c>
      <c r="I4682">
        <f t="shared" si="372"/>
        <v>10</v>
      </c>
      <c r="J4682">
        <f t="shared" si="368"/>
        <v>859.14</v>
      </c>
    </row>
    <row r="4683" spans="1:10" ht="12.5" x14ac:dyDescent="0.25">
      <c r="A4683" s="1">
        <v>45941</v>
      </c>
      <c r="B4683" s="2" t="s">
        <v>12</v>
      </c>
      <c r="C4683" s="3">
        <v>24.99</v>
      </c>
      <c r="D4683" s="3">
        <v>1</v>
      </c>
      <c r="E4683" s="3">
        <v>24.99</v>
      </c>
      <c r="F4683" t="str">
        <f t="shared" si="369"/>
        <v>net sales</v>
      </c>
      <c r="G4683" s="7" t="str">
        <f t="shared" si="370"/>
        <v>product 2</v>
      </c>
      <c r="H4683">
        <f t="shared" si="371"/>
        <v>2025</v>
      </c>
      <c r="I4683">
        <f t="shared" si="372"/>
        <v>10</v>
      </c>
      <c r="J4683">
        <f t="shared" si="368"/>
        <v>0</v>
      </c>
    </row>
    <row r="4684" spans="1:10" ht="12.5" x14ac:dyDescent="0.25">
      <c r="A4684" s="1">
        <v>45941</v>
      </c>
      <c r="B4684" s="2" t="s">
        <v>13</v>
      </c>
      <c r="C4684" s="3">
        <v>12.49</v>
      </c>
      <c r="D4684" s="3">
        <v>52</v>
      </c>
      <c r="E4684" s="3">
        <v>649.48</v>
      </c>
      <c r="F4684" t="str">
        <f t="shared" si="369"/>
        <v>net sales</v>
      </c>
      <c r="G4684" s="7" t="str">
        <f t="shared" si="370"/>
        <v>product 3</v>
      </c>
      <c r="H4684">
        <f t="shared" si="371"/>
        <v>2025</v>
      </c>
      <c r="I4684">
        <f t="shared" si="372"/>
        <v>10</v>
      </c>
      <c r="J4684">
        <f t="shared" si="368"/>
        <v>1361.41</v>
      </c>
    </row>
    <row r="4685" spans="1:10" ht="12.5" x14ac:dyDescent="0.25">
      <c r="A4685" s="1">
        <v>45942</v>
      </c>
      <c r="B4685" s="2" t="s">
        <v>7</v>
      </c>
      <c r="C4685" s="3">
        <v>5.49</v>
      </c>
      <c r="D4685" s="3">
        <v>42</v>
      </c>
      <c r="E4685" s="3">
        <v>230.58</v>
      </c>
      <c r="F4685" t="str">
        <f t="shared" si="369"/>
        <v>cogs</v>
      </c>
      <c r="G4685" s="7" t="str">
        <f t="shared" si="370"/>
        <v>product 1</v>
      </c>
      <c r="H4685">
        <f t="shared" si="371"/>
        <v>2025</v>
      </c>
      <c r="I4685">
        <f t="shared" si="372"/>
        <v>10</v>
      </c>
      <c r="J4685">
        <f t="shared" si="368"/>
        <v>-422.73</v>
      </c>
    </row>
    <row r="4686" spans="1:10" ht="12.5" x14ac:dyDescent="0.25">
      <c r="A4686" s="1">
        <v>45942</v>
      </c>
      <c r="B4686" s="2" t="s">
        <v>8</v>
      </c>
      <c r="C4686" s="3">
        <v>21.49</v>
      </c>
      <c r="D4686" s="3">
        <v>2</v>
      </c>
      <c r="E4686" s="3">
        <v>42.98</v>
      </c>
      <c r="F4686" t="str">
        <f t="shared" si="369"/>
        <v>cogs</v>
      </c>
      <c r="G4686" s="7" t="str">
        <f t="shared" si="370"/>
        <v>product 2</v>
      </c>
      <c r="H4686">
        <f t="shared" si="371"/>
        <v>2025</v>
      </c>
      <c r="I4686">
        <f t="shared" si="372"/>
        <v>10</v>
      </c>
      <c r="J4686">
        <f t="shared" si="368"/>
        <v>-21.49</v>
      </c>
    </row>
    <row r="4687" spans="1:10" ht="12.5" x14ac:dyDescent="0.25">
      <c r="A4687" s="1">
        <v>45942</v>
      </c>
      <c r="B4687" s="2" t="s">
        <v>9</v>
      </c>
      <c r="C4687" s="3">
        <v>8.99</v>
      </c>
      <c r="D4687" s="3">
        <v>138</v>
      </c>
      <c r="E4687" s="3">
        <v>1240.6200000000001</v>
      </c>
      <c r="F4687" t="str">
        <f t="shared" si="369"/>
        <v>cogs</v>
      </c>
      <c r="G4687" s="7" t="str">
        <f t="shared" si="370"/>
        <v>product 3</v>
      </c>
      <c r="H4687">
        <f t="shared" si="371"/>
        <v>2025</v>
      </c>
      <c r="I4687">
        <f t="shared" si="372"/>
        <v>10</v>
      </c>
      <c r="J4687">
        <f t="shared" si="368"/>
        <v>-899</v>
      </c>
    </row>
    <row r="4688" spans="1:10" ht="12.5" x14ac:dyDescent="0.25">
      <c r="A4688" s="1">
        <v>45942</v>
      </c>
      <c r="B4688" s="2" t="s">
        <v>10</v>
      </c>
      <c r="C4688" s="2" t="s">
        <v>6</v>
      </c>
      <c r="D4688" s="2" t="s">
        <v>6</v>
      </c>
      <c r="E4688" s="3">
        <v>119.91</v>
      </c>
      <c r="F4688" t="str">
        <f t="shared" si="369"/>
        <v>marketing</v>
      </c>
      <c r="G4688" s="7" t="s">
        <v>6</v>
      </c>
      <c r="H4688">
        <f t="shared" si="371"/>
        <v>2025</v>
      </c>
      <c r="I4688">
        <f t="shared" si="372"/>
        <v>10</v>
      </c>
      <c r="J4688">
        <f t="shared" si="368"/>
        <v>-107.96000000000001</v>
      </c>
    </row>
    <row r="4689" spans="1:10" ht="12.5" x14ac:dyDescent="0.25">
      <c r="A4689" s="1">
        <v>45942</v>
      </c>
      <c r="B4689" s="2" t="s">
        <v>11</v>
      </c>
      <c r="C4689" s="3">
        <v>9.99</v>
      </c>
      <c r="D4689" s="3">
        <v>42</v>
      </c>
      <c r="E4689" s="3">
        <v>419.58</v>
      </c>
      <c r="F4689" t="str">
        <f t="shared" si="369"/>
        <v>net sales</v>
      </c>
      <c r="G4689" s="7" t="str">
        <f t="shared" si="370"/>
        <v>product 1</v>
      </c>
      <c r="H4689">
        <f t="shared" si="371"/>
        <v>2025</v>
      </c>
      <c r="I4689">
        <f t="shared" si="372"/>
        <v>10</v>
      </c>
      <c r="J4689">
        <f t="shared" si="368"/>
        <v>769.23</v>
      </c>
    </row>
    <row r="4690" spans="1:10" ht="12.5" x14ac:dyDescent="0.25">
      <c r="A4690" s="1">
        <v>45942</v>
      </c>
      <c r="B4690" s="2" t="s">
        <v>12</v>
      </c>
      <c r="C4690" s="3">
        <v>24.99</v>
      </c>
      <c r="D4690" s="3">
        <v>2</v>
      </c>
      <c r="E4690" s="3">
        <v>49.98</v>
      </c>
      <c r="F4690" t="str">
        <f t="shared" si="369"/>
        <v>net sales</v>
      </c>
      <c r="G4690" s="7" t="str">
        <f t="shared" si="370"/>
        <v>product 2</v>
      </c>
      <c r="H4690">
        <f t="shared" si="371"/>
        <v>2025</v>
      </c>
      <c r="I4690">
        <f t="shared" si="372"/>
        <v>10</v>
      </c>
      <c r="J4690">
        <f t="shared" si="368"/>
        <v>24.99</v>
      </c>
    </row>
    <row r="4691" spans="1:10" ht="12.5" x14ac:dyDescent="0.25">
      <c r="A4691" s="1">
        <v>45942</v>
      </c>
      <c r="B4691" s="2" t="s">
        <v>13</v>
      </c>
      <c r="C4691" s="3">
        <v>12.49</v>
      </c>
      <c r="D4691" s="3">
        <v>138</v>
      </c>
      <c r="E4691" s="3">
        <v>1723.6200000000001</v>
      </c>
      <c r="F4691" t="str">
        <f t="shared" si="369"/>
        <v>net sales</v>
      </c>
      <c r="G4691" s="7" t="str">
        <f t="shared" si="370"/>
        <v>product 3</v>
      </c>
      <c r="H4691">
        <f t="shared" si="371"/>
        <v>2025</v>
      </c>
      <c r="I4691">
        <f t="shared" si="372"/>
        <v>10</v>
      </c>
      <c r="J4691">
        <f t="shared" si="368"/>
        <v>1249</v>
      </c>
    </row>
    <row r="4692" spans="1:10" ht="12.5" x14ac:dyDescent="0.25">
      <c r="A4692" s="1">
        <v>45943</v>
      </c>
      <c r="B4692" s="2" t="s">
        <v>7</v>
      </c>
      <c r="C4692" s="3">
        <v>5.49</v>
      </c>
      <c r="D4692" s="3">
        <v>79</v>
      </c>
      <c r="E4692" s="3">
        <v>433.71000000000004</v>
      </c>
      <c r="F4692" t="str">
        <f t="shared" si="369"/>
        <v>cogs</v>
      </c>
      <c r="G4692" s="7" t="str">
        <f t="shared" si="370"/>
        <v>product 1</v>
      </c>
      <c r="H4692">
        <f t="shared" si="371"/>
        <v>2025</v>
      </c>
      <c r="I4692">
        <f t="shared" si="372"/>
        <v>10</v>
      </c>
      <c r="J4692">
        <f t="shared" si="368"/>
        <v>-1200</v>
      </c>
    </row>
    <row r="4693" spans="1:10" ht="12.5" x14ac:dyDescent="0.25">
      <c r="A4693" s="1">
        <v>45943</v>
      </c>
      <c r="B4693" s="2" t="s">
        <v>8</v>
      </c>
      <c r="C4693" s="3">
        <v>21.49</v>
      </c>
      <c r="D4693" s="3">
        <v>8</v>
      </c>
      <c r="E4693" s="3">
        <v>171.92</v>
      </c>
      <c r="F4693" t="str">
        <f t="shared" si="369"/>
        <v>cogs</v>
      </c>
      <c r="G4693" s="7" t="str">
        <f t="shared" si="370"/>
        <v>product 2</v>
      </c>
      <c r="H4693">
        <f t="shared" si="371"/>
        <v>2025</v>
      </c>
      <c r="I4693">
        <f t="shared" si="372"/>
        <v>10</v>
      </c>
      <c r="J4693">
        <f t="shared" si="368"/>
        <v>-258.03000000000003</v>
      </c>
    </row>
    <row r="4694" spans="1:10" ht="12.5" x14ac:dyDescent="0.25">
      <c r="A4694" s="1">
        <v>45943</v>
      </c>
      <c r="B4694" s="2" t="s">
        <v>9</v>
      </c>
      <c r="C4694" s="3">
        <v>8.99</v>
      </c>
      <c r="D4694" s="3">
        <v>69</v>
      </c>
      <c r="E4694" s="3">
        <v>620.31000000000006</v>
      </c>
      <c r="F4694" t="str">
        <f t="shared" si="369"/>
        <v>cogs</v>
      </c>
      <c r="G4694" s="7" t="str">
        <f t="shared" si="370"/>
        <v>product 3</v>
      </c>
      <c r="H4694">
        <f t="shared" si="371"/>
        <v>2025</v>
      </c>
      <c r="I4694">
        <f t="shared" si="372"/>
        <v>10</v>
      </c>
      <c r="J4694">
        <f t="shared" si="368"/>
        <v>-64.47</v>
      </c>
    </row>
    <row r="4695" spans="1:10" ht="12.5" x14ac:dyDescent="0.25">
      <c r="A4695" s="1">
        <v>45943</v>
      </c>
      <c r="B4695" s="2" t="s">
        <v>10</v>
      </c>
      <c r="C4695" s="2" t="s">
        <v>6</v>
      </c>
      <c r="D4695" s="2" t="s">
        <v>6</v>
      </c>
      <c r="E4695" s="3">
        <v>119.99000000000001</v>
      </c>
      <c r="F4695" t="str">
        <f t="shared" si="369"/>
        <v>marketing</v>
      </c>
      <c r="G4695" s="7" t="s">
        <v>6</v>
      </c>
      <c r="H4695">
        <f t="shared" si="371"/>
        <v>2025</v>
      </c>
      <c r="I4695">
        <f t="shared" si="372"/>
        <v>10</v>
      </c>
      <c r="J4695">
        <f t="shared" si="368"/>
        <v>-278.69</v>
      </c>
    </row>
    <row r="4696" spans="1:10" ht="12.5" x14ac:dyDescent="0.25">
      <c r="A4696" s="1">
        <v>45943</v>
      </c>
      <c r="B4696" s="2" t="s">
        <v>11</v>
      </c>
      <c r="C4696" s="3">
        <v>9.99</v>
      </c>
      <c r="D4696" s="3">
        <v>79</v>
      </c>
      <c r="E4696" s="3">
        <v>789.21</v>
      </c>
      <c r="F4696" t="str">
        <f t="shared" si="369"/>
        <v>net sales</v>
      </c>
      <c r="G4696" s="7" t="str">
        <f t="shared" si="370"/>
        <v>product 1</v>
      </c>
      <c r="H4696">
        <f t="shared" si="371"/>
        <v>2025</v>
      </c>
      <c r="I4696">
        <f t="shared" si="372"/>
        <v>10</v>
      </c>
      <c r="J4696">
        <f t="shared" si="368"/>
        <v>-112.9</v>
      </c>
    </row>
    <row r="4697" spans="1:10" ht="12.5" x14ac:dyDescent="0.25">
      <c r="A4697" s="1">
        <v>45943</v>
      </c>
      <c r="B4697" s="2" t="s">
        <v>12</v>
      </c>
      <c r="C4697" s="3">
        <v>24.99</v>
      </c>
      <c r="D4697" s="3">
        <v>8</v>
      </c>
      <c r="E4697" s="3">
        <v>199.92</v>
      </c>
      <c r="F4697" t="str">
        <f t="shared" si="369"/>
        <v>net sales</v>
      </c>
      <c r="G4697" s="7" t="str">
        <f t="shared" si="370"/>
        <v>product 2</v>
      </c>
      <c r="H4697">
        <f t="shared" si="371"/>
        <v>2025</v>
      </c>
      <c r="I4697">
        <f t="shared" si="372"/>
        <v>10</v>
      </c>
      <c r="J4697">
        <f t="shared" si="368"/>
        <v>469.53000000000003</v>
      </c>
    </row>
    <row r="4698" spans="1:10" ht="12.5" x14ac:dyDescent="0.25">
      <c r="A4698" s="1">
        <v>45943</v>
      </c>
      <c r="B4698" s="2" t="s">
        <v>13</v>
      </c>
      <c r="C4698" s="3">
        <v>12.49</v>
      </c>
      <c r="D4698" s="3">
        <v>69</v>
      </c>
      <c r="E4698" s="3">
        <v>861.81000000000006</v>
      </c>
      <c r="F4698" t="str">
        <f t="shared" si="369"/>
        <v>net sales</v>
      </c>
      <c r="G4698" s="7" t="str">
        <f t="shared" si="370"/>
        <v>product 3</v>
      </c>
      <c r="H4698">
        <f t="shared" si="371"/>
        <v>2025</v>
      </c>
      <c r="I4698">
        <f t="shared" si="372"/>
        <v>10</v>
      </c>
      <c r="J4698">
        <f t="shared" si="368"/>
        <v>74.97</v>
      </c>
    </row>
    <row r="4699" spans="1:10" ht="12.5" x14ac:dyDescent="0.25">
      <c r="A4699" s="1">
        <v>45944</v>
      </c>
      <c r="B4699" s="2" t="s">
        <v>7</v>
      </c>
      <c r="C4699" s="3">
        <v>5.49</v>
      </c>
      <c r="D4699" s="3">
        <v>79</v>
      </c>
      <c r="E4699" s="3">
        <v>433.71000000000004</v>
      </c>
      <c r="F4699" t="str">
        <f t="shared" si="369"/>
        <v>cogs</v>
      </c>
      <c r="G4699" s="7" t="str">
        <f t="shared" si="370"/>
        <v>product 1</v>
      </c>
      <c r="H4699">
        <f t="shared" si="371"/>
        <v>2025</v>
      </c>
      <c r="I4699">
        <f t="shared" si="372"/>
        <v>10</v>
      </c>
      <c r="J4699">
        <f t="shared" si="368"/>
        <v>387.19</v>
      </c>
    </row>
    <row r="4700" spans="1:10" ht="12.5" x14ac:dyDescent="0.25">
      <c r="A4700" s="1">
        <v>45944</v>
      </c>
      <c r="B4700" s="2" t="s">
        <v>8</v>
      </c>
      <c r="C4700" s="3">
        <v>21.49</v>
      </c>
      <c r="D4700" s="3">
        <v>4</v>
      </c>
      <c r="E4700" s="3">
        <v>85.96</v>
      </c>
      <c r="F4700" t="str">
        <f t="shared" si="369"/>
        <v>cogs</v>
      </c>
      <c r="G4700" s="7" t="str">
        <f t="shared" si="370"/>
        <v>product 2</v>
      </c>
      <c r="H4700">
        <f t="shared" si="371"/>
        <v>2025</v>
      </c>
      <c r="I4700">
        <f t="shared" si="372"/>
        <v>10</v>
      </c>
      <c r="J4700">
        <f t="shared" ref="J4700:J4763" si="373">IF(F4483="net sales",E4483,
IF(F4483="cogs",-E4483,
IF(OR(F4483="marketing",F4483="overhead",F4483="payroll",F4483="interest","amortization"),-E4483,0)))</f>
        <v>-285.48</v>
      </c>
    </row>
    <row r="4701" spans="1:10" ht="12.5" x14ac:dyDescent="0.25">
      <c r="A4701" s="1">
        <v>45944</v>
      </c>
      <c r="B4701" s="2" t="s">
        <v>9</v>
      </c>
      <c r="C4701" s="3">
        <v>8.99</v>
      </c>
      <c r="D4701" s="3">
        <v>187</v>
      </c>
      <c r="E4701" s="3">
        <v>1681.13</v>
      </c>
      <c r="F4701" t="str">
        <f t="shared" si="369"/>
        <v>cogs</v>
      </c>
      <c r="G4701" s="7" t="str">
        <f t="shared" si="370"/>
        <v>product 3</v>
      </c>
      <c r="H4701">
        <f t="shared" si="371"/>
        <v>2025</v>
      </c>
      <c r="I4701">
        <f t="shared" si="372"/>
        <v>10</v>
      </c>
      <c r="J4701">
        <f t="shared" si="373"/>
        <v>-64.47</v>
      </c>
    </row>
    <row r="4702" spans="1:10" ht="12.5" x14ac:dyDescent="0.25">
      <c r="A4702" s="1">
        <v>45944</v>
      </c>
      <c r="B4702" s="2" t="s">
        <v>10</v>
      </c>
      <c r="C4702" s="2" t="s">
        <v>6</v>
      </c>
      <c r="D4702" s="2" t="s">
        <v>6</v>
      </c>
      <c r="E4702" s="3">
        <v>109.04</v>
      </c>
      <c r="F4702" t="str">
        <f t="shared" si="369"/>
        <v>marketing</v>
      </c>
      <c r="G4702" s="7" t="s">
        <v>6</v>
      </c>
      <c r="H4702">
        <f t="shared" si="371"/>
        <v>2025</v>
      </c>
      <c r="I4702">
        <f t="shared" si="372"/>
        <v>10</v>
      </c>
      <c r="J4702">
        <f t="shared" si="373"/>
        <v>0</v>
      </c>
    </row>
    <row r="4703" spans="1:10" ht="12.5" x14ac:dyDescent="0.25">
      <c r="A4703" s="1">
        <v>45944</v>
      </c>
      <c r="B4703" s="2" t="s">
        <v>11</v>
      </c>
      <c r="C4703" s="3">
        <v>9.99</v>
      </c>
      <c r="D4703" s="3">
        <v>79</v>
      </c>
      <c r="E4703" s="3">
        <v>789.21</v>
      </c>
      <c r="F4703" t="str">
        <f t="shared" si="369"/>
        <v>net sales</v>
      </c>
      <c r="G4703" s="7" t="str">
        <f t="shared" si="370"/>
        <v>product 1</v>
      </c>
      <c r="H4703">
        <f t="shared" si="371"/>
        <v>2025</v>
      </c>
      <c r="I4703">
        <f t="shared" si="372"/>
        <v>10</v>
      </c>
      <c r="J4703">
        <f t="shared" si="373"/>
        <v>-107.09</v>
      </c>
    </row>
    <row r="4704" spans="1:10" ht="12.5" x14ac:dyDescent="0.25">
      <c r="A4704" s="1">
        <v>45944</v>
      </c>
      <c r="B4704" s="2" t="s">
        <v>12</v>
      </c>
      <c r="C4704" s="3">
        <v>24.99</v>
      </c>
      <c r="D4704" s="3">
        <v>4</v>
      </c>
      <c r="E4704" s="3">
        <v>99.96</v>
      </c>
      <c r="F4704" t="str">
        <f t="shared" si="369"/>
        <v>net sales</v>
      </c>
      <c r="G4704" s="7" t="str">
        <f t="shared" si="370"/>
        <v>product 2</v>
      </c>
      <c r="H4704">
        <f t="shared" si="371"/>
        <v>2025</v>
      </c>
      <c r="I4704">
        <f t="shared" si="372"/>
        <v>10</v>
      </c>
      <c r="J4704">
        <f t="shared" si="373"/>
        <v>519.48</v>
      </c>
    </row>
    <row r="4705" spans="1:10" ht="12.5" x14ac:dyDescent="0.25">
      <c r="A4705" s="1">
        <v>45944</v>
      </c>
      <c r="B4705" s="2" t="s">
        <v>13</v>
      </c>
      <c r="C4705" s="3">
        <v>12.49</v>
      </c>
      <c r="D4705" s="3">
        <v>187</v>
      </c>
      <c r="E4705" s="3">
        <v>2335.63</v>
      </c>
      <c r="F4705" t="str">
        <f t="shared" si="369"/>
        <v>net sales</v>
      </c>
      <c r="G4705" s="7" t="str">
        <f t="shared" si="370"/>
        <v>product 3</v>
      </c>
      <c r="H4705">
        <f t="shared" si="371"/>
        <v>2025</v>
      </c>
      <c r="I4705">
        <f t="shared" si="372"/>
        <v>10</v>
      </c>
      <c r="J4705">
        <f t="shared" si="373"/>
        <v>74.97</v>
      </c>
    </row>
    <row r="4706" spans="1:10" ht="12.5" x14ac:dyDescent="0.25">
      <c r="A4706" s="1">
        <v>45945</v>
      </c>
      <c r="B4706" s="2" t="s">
        <v>7</v>
      </c>
      <c r="C4706" s="3">
        <v>5.49</v>
      </c>
      <c r="D4706" s="3">
        <v>81</v>
      </c>
      <c r="E4706" s="3">
        <v>444.69</v>
      </c>
      <c r="F4706" t="str">
        <f t="shared" si="369"/>
        <v>cogs</v>
      </c>
      <c r="G4706" s="7" t="str">
        <f t="shared" si="370"/>
        <v>product 1</v>
      </c>
      <c r="H4706">
        <f t="shared" si="371"/>
        <v>2025</v>
      </c>
      <c r="I4706">
        <f t="shared" si="372"/>
        <v>10</v>
      </c>
      <c r="J4706">
        <f t="shared" si="373"/>
        <v>0</v>
      </c>
    </row>
    <row r="4707" spans="1:10" ht="12.5" x14ac:dyDescent="0.25">
      <c r="A4707" s="1">
        <v>45945</v>
      </c>
      <c r="B4707" s="2" t="s">
        <v>8</v>
      </c>
      <c r="C4707" s="3">
        <v>21.49</v>
      </c>
      <c r="D4707" s="3">
        <v>3</v>
      </c>
      <c r="E4707" s="3">
        <v>64.47</v>
      </c>
      <c r="F4707" t="str">
        <f t="shared" si="369"/>
        <v>cogs</v>
      </c>
      <c r="G4707" s="7" t="str">
        <f t="shared" si="370"/>
        <v>product 2</v>
      </c>
      <c r="H4707">
        <f t="shared" si="371"/>
        <v>2025</v>
      </c>
      <c r="I4707">
        <f t="shared" si="372"/>
        <v>10</v>
      </c>
      <c r="J4707">
        <f t="shared" si="373"/>
        <v>-367.83000000000004</v>
      </c>
    </row>
    <row r="4708" spans="1:10" ht="12.5" x14ac:dyDescent="0.25">
      <c r="A4708" s="1">
        <v>45945</v>
      </c>
      <c r="B4708" s="2" t="s">
        <v>9</v>
      </c>
      <c r="C4708" s="3">
        <v>8.99</v>
      </c>
      <c r="D4708" s="3">
        <v>50</v>
      </c>
      <c r="E4708" s="3">
        <v>449.5</v>
      </c>
      <c r="F4708" t="str">
        <f t="shared" si="369"/>
        <v>cogs</v>
      </c>
      <c r="G4708" s="7" t="str">
        <f t="shared" si="370"/>
        <v>product 3</v>
      </c>
      <c r="H4708">
        <f t="shared" si="371"/>
        <v>2025</v>
      </c>
      <c r="I4708">
        <f t="shared" si="372"/>
        <v>10</v>
      </c>
      <c r="J4708">
        <f t="shared" si="373"/>
        <v>0</v>
      </c>
    </row>
    <row r="4709" spans="1:10" ht="12.5" x14ac:dyDescent="0.25">
      <c r="A4709" s="1">
        <v>45945</v>
      </c>
      <c r="B4709" s="2" t="s">
        <v>16</v>
      </c>
      <c r="C4709" s="2" t="s">
        <v>6</v>
      </c>
      <c r="D4709" s="2" t="s">
        <v>6</v>
      </c>
      <c r="E4709" s="3">
        <v>1175.72</v>
      </c>
      <c r="F4709" t="str">
        <f t="shared" si="369"/>
        <v>interest</v>
      </c>
      <c r="G4709" s="7" t="s">
        <v>6</v>
      </c>
      <c r="H4709">
        <f t="shared" si="371"/>
        <v>2025</v>
      </c>
      <c r="I4709">
        <f t="shared" si="372"/>
        <v>10</v>
      </c>
      <c r="J4709">
        <f t="shared" si="373"/>
        <v>-161.82</v>
      </c>
    </row>
    <row r="4710" spans="1:10" ht="12.5" x14ac:dyDescent="0.25">
      <c r="A4710" s="1">
        <v>45945</v>
      </c>
      <c r="B4710" s="2" t="s">
        <v>10</v>
      </c>
      <c r="C4710" s="2" t="s">
        <v>6</v>
      </c>
      <c r="D4710" s="2" t="s">
        <v>6</v>
      </c>
      <c r="E4710" s="3">
        <v>117.04</v>
      </c>
      <c r="F4710" t="str">
        <f t="shared" si="369"/>
        <v>marketing</v>
      </c>
      <c r="G4710" s="7" t="s">
        <v>6</v>
      </c>
      <c r="H4710">
        <f t="shared" si="371"/>
        <v>2025</v>
      </c>
      <c r="I4710">
        <f t="shared" si="372"/>
        <v>10</v>
      </c>
      <c r="J4710">
        <f t="shared" si="373"/>
        <v>-1254.28</v>
      </c>
    </row>
    <row r="4711" spans="1:10" ht="12.5" x14ac:dyDescent="0.25">
      <c r="A4711" s="1">
        <v>45945</v>
      </c>
      <c r="B4711" s="2" t="s">
        <v>11</v>
      </c>
      <c r="C4711" s="3">
        <v>9.99</v>
      </c>
      <c r="D4711" s="3">
        <v>81</v>
      </c>
      <c r="E4711" s="3">
        <v>809.19</v>
      </c>
      <c r="F4711" t="str">
        <f t="shared" si="369"/>
        <v>net sales</v>
      </c>
      <c r="G4711" s="7" t="str">
        <f t="shared" si="370"/>
        <v>product 1</v>
      </c>
      <c r="H4711">
        <f t="shared" si="371"/>
        <v>2025</v>
      </c>
      <c r="I4711">
        <f t="shared" si="372"/>
        <v>10</v>
      </c>
      <c r="J4711">
        <f t="shared" si="373"/>
        <v>-119.06</v>
      </c>
    </row>
    <row r="4712" spans="1:10" ht="12.5" x14ac:dyDescent="0.25">
      <c r="A4712" s="1">
        <v>45945</v>
      </c>
      <c r="B4712" s="2" t="s">
        <v>12</v>
      </c>
      <c r="C4712" s="3">
        <v>24.99</v>
      </c>
      <c r="D4712" s="3">
        <v>3</v>
      </c>
      <c r="E4712" s="3">
        <v>74.97</v>
      </c>
      <c r="F4712" t="str">
        <f t="shared" si="369"/>
        <v>net sales</v>
      </c>
      <c r="G4712" s="7" t="str">
        <f t="shared" si="370"/>
        <v>product 2</v>
      </c>
      <c r="H4712">
        <f t="shared" si="371"/>
        <v>2025</v>
      </c>
      <c r="I4712">
        <f t="shared" si="372"/>
        <v>10</v>
      </c>
      <c r="J4712">
        <f t="shared" si="373"/>
        <v>669.33</v>
      </c>
    </row>
    <row r="4713" spans="1:10" ht="12.5" x14ac:dyDescent="0.25">
      <c r="A4713" s="1">
        <v>45945</v>
      </c>
      <c r="B4713" s="2" t="s">
        <v>13</v>
      </c>
      <c r="C4713" s="3">
        <v>12.49</v>
      </c>
      <c r="D4713" s="3">
        <v>50</v>
      </c>
      <c r="E4713" s="3">
        <v>624.5</v>
      </c>
      <c r="F4713" t="str">
        <f t="shared" si="369"/>
        <v>net sales</v>
      </c>
      <c r="G4713" s="7" t="str">
        <f t="shared" si="370"/>
        <v>product 3</v>
      </c>
      <c r="H4713">
        <f t="shared" si="371"/>
        <v>2025</v>
      </c>
      <c r="I4713">
        <f t="shared" si="372"/>
        <v>10</v>
      </c>
      <c r="J4713">
        <f t="shared" si="373"/>
        <v>0</v>
      </c>
    </row>
    <row r="4714" spans="1:10" ht="12.5" x14ac:dyDescent="0.25">
      <c r="A4714" s="1">
        <v>45945</v>
      </c>
      <c r="B4714" s="2" t="s">
        <v>14</v>
      </c>
      <c r="C4714" s="2" t="s">
        <v>6</v>
      </c>
      <c r="D4714" s="2" t="s">
        <v>6</v>
      </c>
      <c r="E4714" s="3">
        <v>322.66000000000003</v>
      </c>
      <c r="F4714" t="str">
        <f t="shared" si="369"/>
        <v>overhead</v>
      </c>
      <c r="G4714" s="7" t="s">
        <v>6</v>
      </c>
      <c r="H4714">
        <f t="shared" si="371"/>
        <v>2025</v>
      </c>
      <c r="I4714">
        <f t="shared" si="372"/>
        <v>10</v>
      </c>
      <c r="J4714">
        <f t="shared" si="373"/>
        <v>224.82</v>
      </c>
    </row>
    <row r="4715" spans="1:10" ht="12.5" x14ac:dyDescent="0.25">
      <c r="A4715" s="1">
        <v>45946</v>
      </c>
      <c r="B4715" s="2" t="s">
        <v>7</v>
      </c>
      <c r="C4715" s="3">
        <v>5.49</v>
      </c>
      <c r="D4715" s="3">
        <v>88</v>
      </c>
      <c r="E4715" s="3">
        <v>483.12</v>
      </c>
      <c r="F4715" t="str">
        <f t="shared" si="369"/>
        <v>cogs</v>
      </c>
      <c r="G4715" s="7" t="str">
        <f t="shared" si="370"/>
        <v>product 1</v>
      </c>
      <c r="H4715">
        <f t="shared" si="371"/>
        <v>2025</v>
      </c>
      <c r="I4715">
        <f t="shared" si="372"/>
        <v>10</v>
      </c>
      <c r="J4715">
        <f t="shared" si="373"/>
        <v>-313.57</v>
      </c>
    </row>
    <row r="4716" spans="1:10" ht="12.5" x14ac:dyDescent="0.25">
      <c r="A4716" s="1">
        <v>45946</v>
      </c>
      <c r="B4716" s="2" t="s">
        <v>8</v>
      </c>
      <c r="C4716" s="3">
        <v>21.49</v>
      </c>
      <c r="D4716" s="3">
        <v>0</v>
      </c>
      <c r="E4716" s="2">
        <f>C4716*D4716</f>
        <v>0</v>
      </c>
      <c r="F4716" t="str">
        <f t="shared" si="369"/>
        <v>cogs</v>
      </c>
      <c r="G4716" s="7" t="str">
        <f t="shared" si="370"/>
        <v>product 2</v>
      </c>
      <c r="H4716">
        <f t="shared" si="371"/>
        <v>2025</v>
      </c>
      <c r="I4716">
        <f t="shared" si="372"/>
        <v>10</v>
      </c>
      <c r="J4716">
        <f t="shared" si="373"/>
        <v>-428.22</v>
      </c>
    </row>
    <row r="4717" spans="1:10" ht="12.5" x14ac:dyDescent="0.25">
      <c r="A4717" s="1">
        <v>45946</v>
      </c>
      <c r="B4717" s="2" t="s">
        <v>9</v>
      </c>
      <c r="C4717" s="3">
        <v>8.99</v>
      </c>
      <c r="D4717" s="3">
        <v>92</v>
      </c>
      <c r="E4717" s="3">
        <v>827.08</v>
      </c>
      <c r="F4717" t="str">
        <f t="shared" si="369"/>
        <v>cogs</v>
      </c>
      <c r="G4717" s="7" t="str">
        <f t="shared" si="370"/>
        <v>product 3</v>
      </c>
      <c r="H4717">
        <f t="shared" si="371"/>
        <v>2025</v>
      </c>
      <c r="I4717">
        <f t="shared" si="372"/>
        <v>10</v>
      </c>
      <c r="J4717">
        <f t="shared" si="373"/>
        <v>-21.49</v>
      </c>
    </row>
    <row r="4718" spans="1:10" ht="12.5" x14ac:dyDescent="0.25">
      <c r="A4718" s="1">
        <v>45946</v>
      </c>
      <c r="B4718" s="2" t="s">
        <v>10</v>
      </c>
      <c r="C4718" s="2" t="s">
        <v>6</v>
      </c>
      <c r="D4718" s="2" t="s">
        <v>6</v>
      </c>
      <c r="E4718" s="3">
        <v>113.03</v>
      </c>
      <c r="F4718" t="str">
        <f t="shared" si="369"/>
        <v>marketing</v>
      </c>
      <c r="G4718" s="7" t="s">
        <v>6</v>
      </c>
      <c r="H4718">
        <f t="shared" si="371"/>
        <v>2025</v>
      </c>
      <c r="I4718">
        <f t="shared" si="372"/>
        <v>10</v>
      </c>
      <c r="J4718">
        <f t="shared" si="373"/>
        <v>-1501.33</v>
      </c>
    </row>
    <row r="4719" spans="1:10" ht="12.5" x14ac:dyDescent="0.25">
      <c r="A4719" s="1">
        <v>45946</v>
      </c>
      <c r="B4719" s="2" t="s">
        <v>11</v>
      </c>
      <c r="C4719" s="3">
        <v>9.99</v>
      </c>
      <c r="D4719" s="3">
        <v>88</v>
      </c>
      <c r="E4719" s="3">
        <v>879.12</v>
      </c>
      <c r="F4719" t="str">
        <f t="shared" si="369"/>
        <v>net sales</v>
      </c>
      <c r="G4719" s="7" t="str">
        <f t="shared" si="370"/>
        <v>product 1</v>
      </c>
      <c r="H4719">
        <f t="shared" si="371"/>
        <v>2025</v>
      </c>
      <c r="I4719">
        <f t="shared" si="372"/>
        <v>10</v>
      </c>
      <c r="J4719">
        <f t="shared" si="373"/>
        <v>-109.03</v>
      </c>
    </row>
    <row r="4720" spans="1:10" ht="12.5" x14ac:dyDescent="0.25">
      <c r="A4720" s="1">
        <v>45946</v>
      </c>
      <c r="B4720" s="2" t="s">
        <v>12</v>
      </c>
      <c r="C4720" s="3">
        <v>24.99</v>
      </c>
      <c r="D4720" s="3">
        <v>0</v>
      </c>
      <c r="E4720" s="2">
        <f>C4720*D4720</f>
        <v>0</v>
      </c>
      <c r="F4720" t="str">
        <f t="shared" si="369"/>
        <v>net sales</v>
      </c>
      <c r="G4720" s="7" t="str">
        <f t="shared" si="370"/>
        <v>product 2</v>
      </c>
      <c r="H4720">
        <f t="shared" si="371"/>
        <v>2025</v>
      </c>
      <c r="I4720">
        <f t="shared" si="372"/>
        <v>10</v>
      </c>
      <c r="J4720">
        <f t="shared" si="373"/>
        <v>779.22</v>
      </c>
    </row>
    <row r="4721" spans="1:10" ht="12.5" x14ac:dyDescent="0.25">
      <c r="A4721" s="1">
        <v>45946</v>
      </c>
      <c r="B4721" s="2" t="s">
        <v>13</v>
      </c>
      <c r="C4721" s="3">
        <v>12.49</v>
      </c>
      <c r="D4721" s="3">
        <v>92</v>
      </c>
      <c r="E4721" s="3">
        <v>1149.08</v>
      </c>
      <c r="F4721" t="str">
        <f t="shared" si="369"/>
        <v>net sales</v>
      </c>
      <c r="G4721" s="7" t="str">
        <f t="shared" si="370"/>
        <v>product 3</v>
      </c>
      <c r="H4721">
        <f t="shared" si="371"/>
        <v>2025</v>
      </c>
      <c r="I4721">
        <f t="shared" si="372"/>
        <v>10</v>
      </c>
      <c r="J4721">
        <f t="shared" si="373"/>
        <v>24.99</v>
      </c>
    </row>
    <row r="4722" spans="1:10" ht="12.5" x14ac:dyDescent="0.25">
      <c r="A4722" s="1">
        <v>45947</v>
      </c>
      <c r="B4722" s="2" t="s">
        <v>7</v>
      </c>
      <c r="C4722" s="3">
        <v>5.49</v>
      </c>
      <c r="D4722" s="3">
        <v>83</v>
      </c>
      <c r="E4722" s="3">
        <v>455.67</v>
      </c>
      <c r="F4722" t="str">
        <f t="shared" si="369"/>
        <v>cogs</v>
      </c>
      <c r="G4722" s="7" t="str">
        <f t="shared" si="370"/>
        <v>product 1</v>
      </c>
      <c r="H4722">
        <f t="shared" si="371"/>
        <v>2025</v>
      </c>
      <c r="I4722">
        <f t="shared" si="372"/>
        <v>10</v>
      </c>
      <c r="J4722">
        <f t="shared" si="373"/>
        <v>2085.83</v>
      </c>
    </row>
    <row r="4723" spans="1:10" ht="12.5" x14ac:dyDescent="0.25">
      <c r="A4723" s="1">
        <v>45947</v>
      </c>
      <c r="B4723" s="2" t="s">
        <v>8</v>
      </c>
      <c r="C4723" s="3">
        <v>21.49</v>
      </c>
      <c r="D4723" s="3">
        <v>2</v>
      </c>
      <c r="E4723" s="3">
        <v>42.98</v>
      </c>
      <c r="F4723" t="str">
        <f t="shared" si="369"/>
        <v>cogs</v>
      </c>
      <c r="G4723" s="7" t="str">
        <f t="shared" si="370"/>
        <v>product 2</v>
      </c>
      <c r="H4723">
        <f t="shared" si="371"/>
        <v>2025</v>
      </c>
      <c r="I4723">
        <f t="shared" si="372"/>
        <v>10</v>
      </c>
      <c r="J4723">
        <f t="shared" si="373"/>
        <v>-417.24</v>
      </c>
    </row>
    <row r="4724" spans="1:10" ht="12.5" x14ac:dyDescent="0.25">
      <c r="A4724" s="1">
        <v>45947</v>
      </c>
      <c r="B4724" s="2" t="s">
        <v>9</v>
      </c>
      <c r="C4724" s="3">
        <v>8.99</v>
      </c>
      <c r="D4724" s="3">
        <v>114</v>
      </c>
      <c r="E4724" s="3">
        <v>1024.8600000000001</v>
      </c>
      <c r="F4724" t="str">
        <f t="shared" si="369"/>
        <v>cogs</v>
      </c>
      <c r="G4724" s="7" t="str">
        <f t="shared" si="370"/>
        <v>product 3</v>
      </c>
      <c r="H4724">
        <f t="shared" si="371"/>
        <v>2025</v>
      </c>
      <c r="I4724">
        <f t="shared" si="372"/>
        <v>10</v>
      </c>
      <c r="J4724">
        <f t="shared" si="373"/>
        <v>-128.94</v>
      </c>
    </row>
    <row r="4725" spans="1:10" ht="12.5" x14ac:dyDescent="0.25">
      <c r="A4725" s="1">
        <v>45947</v>
      </c>
      <c r="B4725" s="2" t="s">
        <v>10</v>
      </c>
      <c r="C4725" s="2" t="s">
        <v>6</v>
      </c>
      <c r="D4725" s="2" t="s">
        <v>6</v>
      </c>
      <c r="E4725" s="3">
        <v>108.98</v>
      </c>
      <c r="F4725" t="str">
        <f t="shared" si="369"/>
        <v>marketing</v>
      </c>
      <c r="G4725" s="7" t="s">
        <v>6</v>
      </c>
      <c r="H4725">
        <f t="shared" si="371"/>
        <v>2025</v>
      </c>
      <c r="I4725">
        <f t="shared" si="372"/>
        <v>10</v>
      </c>
      <c r="J4725">
        <f t="shared" si="373"/>
        <v>-1815.98</v>
      </c>
    </row>
    <row r="4726" spans="1:10" ht="12.5" x14ac:dyDescent="0.25">
      <c r="A4726" s="1">
        <v>45947</v>
      </c>
      <c r="B4726" s="2" t="s">
        <v>11</v>
      </c>
      <c r="C4726" s="3">
        <v>9.99</v>
      </c>
      <c r="D4726" s="3">
        <v>83</v>
      </c>
      <c r="E4726" s="3">
        <v>829.17000000000007</v>
      </c>
      <c r="F4726" t="str">
        <f t="shared" si="369"/>
        <v>net sales</v>
      </c>
      <c r="G4726" s="7" t="str">
        <f t="shared" si="370"/>
        <v>product 1</v>
      </c>
      <c r="H4726">
        <f t="shared" si="371"/>
        <v>2025</v>
      </c>
      <c r="I4726">
        <f t="shared" si="372"/>
        <v>10</v>
      </c>
      <c r="J4726">
        <f t="shared" si="373"/>
        <v>-102.97</v>
      </c>
    </row>
    <row r="4727" spans="1:10" ht="12.5" x14ac:dyDescent="0.25">
      <c r="A4727" s="1">
        <v>45947</v>
      </c>
      <c r="B4727" s="2" t="s">
        <v>12</v>
      </c>
      <c r="C4727" s="3">
        <v>24.99</v>
      </c>
      <c r="D4727" s="3">
        <v>2</v>
      </c>
      <c r="E4727" s="3">
        <v>49.98</v>
      </c>
      <c r="F4727" t="str">
        <f t="shared" si="369"/>
        <v>net sales</v>
      </c>
      <c r="G4727" s="7" t="str">
        <f t="shared" si="370"/>
        <v>product 2</v>
      </c>
      <c r="H4727">
        <f t="shared" si="371"/>
        <v>2025</v>
      </c>
      <c r="I4727">
        <f t="shared" si="372"/>
        <v>10</v>
      </c>
      <c r="J4727">
        <f t="shared" si="373"/>
        <v>759.24</v>
      </c>
    </row>
    <row r="4728" spans="1:10" ht="12.5" x14ac:dyDescent="0.25">
      <c r="A4728" s="1">
        <v>45947</v>
      </c>
      <c r="B4728" s="2" t="s">
        <v>13</v>
      </c>
      <c r="C4728" s="3">
        <v>12.49</v>
      </c>
      <c r="D4728" s="3">
        <v>114</v>
      </c>
      <c r="E4728" s="3">
        <v>1423.8600000000001</v>
      </c>
      <c r="F4728" t="str">
        <f t="shared" si="369"/>
        <v>net sales</v>
      </c>
      <c r="G4728" s="7" t="str">
        <f t="shared" si="370"/>
        <v>product 3</v>
      </c>
      <c r="H4728">
        <f t="shared" si="371"/>
        <v>2025</v>
      </c>
      <c r="I4728">
        <f t="shared" si="372"/>
        <v>10</v>
      </c>
      <c r="J4728">
        <f t="shared" si="373"/>
        <v>149.94</v>
      </c>
    </row>
    <row r="4729" spans="1:10" ht="12.5" x14ac:dyDescent="0.25">
      <c r="A4729" s="1">
        <v>45948</v>
      </c>
      <c r="B4729" s="2" t="s">
        <v>7</v>
      </c>
      <c r="C4729" s="3">
        <v>5.49</v>
      </c>
      <c r="D4729" s="3">
        <v>8</v>
      </c>
      <c r="E4729" s="3">
        <v>43.92</v>
      </c>
      <c r="F4729" t="str">
        <f t="shared" si="369"/>
        <v>cogs</v>
      </c>
      <c r="G4729" s="7" t="str">
        <f t="shared" si="370"/>
        <v>product 1</v>
      </c>
      <c r="H4729">
        <f t="shared" si="371"/>
        <v>2025</v>
      </c>
      <c r="I4729">
        <f t="shared" si="372"/>
        <v>10</v>
      </c>
      <c r="J4729">
        <f t="shared" si="373"/>
        <v>2522.98</v>
      </c>
    </row>
    <row r="4730" spans="1:10" ht="12.5" x14ac:dyDescent="0.25">
      <c r="A4730" s="1">
        <v>45948</v>
      </c>
      <c r="B4730" s="2" t="s">
        <v>8</v>
      </c>
      <c r="C4730" s="3">
        <v>21.49</v>
      </c>
      <c r="D4730" s="3">
        <v>0</v>
      </c>
      <c r="E4730" s="2">
        <f>C4730*D4730</f>
        <v>0</v>
      </c>
      <c r="F4730" t="str">
        <f t="shared" si="369"/>
        <v>cogs</v>
      </c>
      <c r="G4730" s="7" t="str">
        <f t="shared" si="370"/>
        <v>product 2</v>
      </c>
      <c r="H4730">
        <f t="shared" si="371"/>
        <v>2025</v>
      </c>
      <c r="I4730">
        <f t="shared" si="372"/>
        <v>10</v>
      </c>
      <c r="J4730">
        <f t="shared" si="373"/>
        <v>-532.53</v>
      </c>
    </row>
    <row r="4731" spans="1:10" ht="12.5" x14ac:dyDescent="0.25">
      <c r="A4731" s="1">
        <v>45948</v>
      </c>
      <c r="B4731" s="2" t="s">
        <v>9</v>
      </c>
      <c r="C4731" s="3">
        <v>8.99</v>
      </c>
      <c r="D4731" s="3">
        <v>181</v>
      </c>
      <c r="E4731" s="3">
        <v>1627.19</v>
      </c>
      <c r="F4731" t="str">
        <f t="shared" si="369"/>
        <v>cogs</v>
      </c>
      <c r="G4731" s="7" t="str">
        <f t="shared" si="370"/>
        <v>product 3</v>
      </c>
      <c r="H4731">
        <f t="shared" si="371"/>
        <v>2025</v>
      </c>
      <c r="I4731">
        <f t="shared" si="372"/>
        <v>10</v>
      </c>
      <c r="J4731">
        <f t="shared" si="373"/>
        <v>-85.96</v>
      </c>
    </row>
    <row r="4732" spans="1:10" ht="12.5" x14ac:dyDescent="0.25">
      <c r="A4732" s="1">
        <v>45948</v>
      </c>
      <c r="B4732" s="2" t="s">
        <v>10</v>
      </c>
      <c r="C4732" s="2" t="s">
        <v>6</v>
      </c>
      <c r="D4732" s="2" t="s">
        <v>6</v>
      </c>
      <c r="E4732" s="3">
        <v>116.92</v>
      </c>
      <c r="F4732" t="str">
        <f t="shared" si="369"/>
        <v>marketing</v>
      </c>
      <c r="G4732" s="7" t="s">
        <v>6</v>
      </c>
      <c r="H4732">
        <f t="shared" si="371"/>
        <v>2025</v>
      </c>
      <c r="I4732">
        <f t="shared" si="372"/>
        <v>10</v>
      </c>
      <c r="J4732">
        <f t="shared" si="373"/>
        <v>-1375.47</v>
      </c>
    </row>
    <row r="4733" spans="1:10" ht="12.5" x14ac:dyDescent="0.25">
      <c r="A4733" s="1">
        <v>45948</v>
      </c>
      <c r="B4733" s="2" t="s">
        <v>11</v>
      </c>
      <c r="C4733" s="3">
        <v>9.99</v>
      </c>
      <c r="D4733" s="3">
        <v>8</v>
      </c>
      <c r="E4733" s="3">
        <v>79.92</v>
      </c>
      <c r="F4733" t="str">
        <f t="shared" si="369"/>
        <v>net sales</v>
      </c>
      <c r="G4733" s="7" t="str">
        <f t="shared" si="370"/>
        <v>product 1</v>
      </c>
      <c r="H4733">
        <f t="shared" si="371"/>
        <v>2025</v>
      </c>
      <c r="I4733">
        <f t="shared" si="372"/>
        <v>10</v>
      </c>
      <c r="J4733">
        <f t="shared" si="373"/>
        <v>-101.08</v>
      </c>
    </row>
    <row r="4734" spans="1:10" ht="12.5" x14ac:dyDescent="0.25">
      <c r="A4734" s="1">
        <v>45948</v>
      </c>
      <c r="B4734" s="2" t="s">
        <v>12</v>
      </c>
      <c r="C4734" s="3">
        <v>24.99</v>
      </c>
      <c r="D4734" s="3">
        <v>0</v>
      </c>
      <c r="E4734" s="2">
        <f>C4734*D4734</f>
        <v>0</v>
      </c>
      <c r="F4734" t="str">
        <f t="shared" si="369"/>
        <v>net sales</v>
      </c>
      <c r="G4734" s="7" t="str">
        <f t="shared" si="370"/>
        <v>product 2</v>
      </c>
      <c r="H4734">
        <f t="shared" si="371"/>
        <v>2025</v>
      </c>
      <c r="I4734">
        <f t="shared" si="372"/>
        <v>10</v>
      </c>
      <c r="J4734">
        <f t="shared" si="373"/>
        <v>969.03</v>
      </c>
    </row>
    <row r="4735" spans="1:10" ht="12.5" x14ac:dyDescent="0.25">
      <c r="A4735" s="1">
        <v>45948</v>
      </c>
      <c r="B4735" s="2" t="s">
        <v>13</v>
      </c>
      <c r="C4735" s="3">
        <v>12.49</v>
      </c>
      <c r="D4735" s="3">
        <v>181</v>
      </c>
      <c r="E4735" s="3">
        <v>2260.69</v>
      </c>
      <c r="F4735" t="str">
        <f t="shared" si="369"/>
        <v>net sales</v>
      </c>
      <c r="G4735" s="7" t="str">
        <f t="shared" si="370"/>
        <v>product 3</v>
      </c>
      <c r="H4735">
        <f t="shared" si="371"/>
        <v>2025</v>
      </c>
      <c r="I4735">
        <f t="shared" si="372"/>
        <v>10</v>
      </c>
      <c r="J4735">
        <f t="shared" si="373"/>
        <v>99.96</v>
      </c>
    </row>
    <row r="4736" spans="1:10" ht="12.5" x14ac:dyDescent="0.25">
      <c r="A4736" s="1">
        <v>45949</v>
      </c>
      <c r="B4736" s="2" t="s">
        <v>7</v>
      </c>
      <c r="C4736" s="3">
        <v>5.49</v>
      </c>
      <c r="D4736" s="3">
        <v>60</v>
      </c>
      <c r="E4736" s="3">
        <v>329.40000000000003</v>
      </c>
      <c r="F4736" t="str">
        <f t="shared" si="369"/>
        <v>cogs</v>
      </c>
      <c r="G4736" s="7" t="str">
        <f t="shared" si="370"/>
        <v>product 1</v>
      </c>
      <c r="H4736">
        <f t="shared" si="371"/>
        <v>2025</v>
      </c>
      <c r="I4736">
        <f t="shared" si="372"/>
        <v>10</v>
      </c>
      <c r="J4736">
        <f t="shared" si="373"/>
        <v>1910.97</v>
      </c>
    </row>
    <row r="4737" spans="1:10" ht="12.5" x14ac:dyDescent="0.25">
      <c r="A4737" s="1">
        <v>45949</v>
      </c>
      <c r="B4737" s="2" t="s">
        <v>8</v>
      </c>
      <c r="C4737" s="3">
        <v>21.49</v>
      </c>
      <c r="D4737" s="3">
        <v>0</v>
      </c>
      <c r="E4737" s="2">
        <f>C4737*D4737</f>
        <v>0</v>
      </c>
      <c r="F4737" t="str">
        <f t="shared" si="369"/>
        <v>cogs</v>
      </c>
      <c r="G4737" s="7" t="str">
        <f t="shared" si="370"/>
        <v>product 2</v>
      </c>
      <c r="H4737">
        <f t="shared" si="371"/>
        <v>2025</v>
      </c>
      <c r="I4737">
        <f t="shared" si="372"/>
        <v>10</v>
      </c>
      <c r="J4737">
        <f t="shared" si="373"/>
        <v>-466.65000000000003</v>
      </c>
    </row>
    <row r="4738" spans="1:10" ht="12.5" x14ac:dyDescent="0.25">
      <c r="A4738" s="1">
        <v>45949</v>
      </c>
      <c r="B4738" s="2" t="s">
        <v>9</v>
      </c>
      <c r="C4738" s="3">
        <v>8.99</v>
      </c>
      <c r="D4738" s="3">
        <v>125</v>
      </c>
      <c r="E4738" s="3">
        <v>1123.75</v>
      </c>
      <c r="F4738" t="str">
        <f t="shared" si="369"/>
        <v>cogs</v>
      </c>
      <c r="G4738" s="7" t="str">
        <f t="shared" si="370"/>
        <v>product 3</v>
      </c>
      <c r="H4738">
        <f t="shared" si="371"/>
        <v>2025</v>
      </c>
      <c r="I4738">
        <f t="shared" si="372"/>
        <v>10</v>
      </c>
      <c r="J4738">
        <f t="shared" si="373"/>
        <v>-64.47</v>
      </c>
    </row>
    <row r="4739" spans="1:10" ht="12.5" x14ac:dyDescent="0.25">
      <c r="A4739" s="1">
        <v>45949</v>
      </c>
      <c r="B4739" s="2" t="s">
        <v>10</v>
      </c>
      <c r="C4739" s="2" t="s">
        <v>6</v>
      </c>
      <c r="D4739" s="2" t="s">
        <v>6</v>
      </c>
      <c r="E4739" s="3">
        <v>118.02</v>
      </c>
      <c r="F4739" t="str">
        <f t="shared" ref="F4739:F4802" si="374">IFERROR(LEFT(B4739,FIND(":",B4739)-1),B4739)</f>
        <v>marketing</v>
      </c>
      <c r="G4739" s="7" t="s">
        <v>6</v>
      </c>
      <c r="H4739">
        <f t="shared" ref="H4739:H4802" si="375">YEAR(A4739)</f>
        <v>2025</v>
      </c>
      <c r="I4739">
        <f t="shared" ref="I4739:I4802" si="376">MONTH(A4739)</f>
        <v>10</v>
      </c>
      <c r="J4739">
        <f t="shared" si="373"/>
        <v>-1860.93</v>
      </c>
    </row>
    <row r="4740" spans="1:10" ht="12.5" x14ac:dyDescent="0.25">
      <c r="A4740" s="1">
        <v>45949</v>
      </c>
      <c r="B4740" s="2" t="s">
        <v>11</v>
      </c>
      <c r="C4740" s="3">
        <v>9.99</v>
      </c>
      <c r="D4740" s="3">
        <v>60</v>
      </c>
      <c r="E4740" s="3">
        <v>599.4</v>
      </c>
      <c r="F4740" t="str">
        <f t="shared" si="374"/>
        <v>net sales</v>
      </c>
      <c r="G4740" s="7" t="str">
        <f t="shared" ref="G4740:G4802" si="377">IFERROR(RIGHT(B4740,LEN(B4740)-FIND(":",B4740)),"")</f>
        <v>product 1</v>
      </c>
      <c r="H4740">
        <f t="shared" si="375"/>
        <v>2025</v>
      </c>
      <c r="I4740">
        <f t="shared" si="376"/>
        <v>10</v>
      </c>
      <c r="J4740">
        <f t="shared" si="373"/>
        <v>-104.08</v>
      </c>
    </row>
    <row r="4741" spans="1:10" ht="12.5" x14ac:dyDescent="0.25">
      <c r="A4741" s="1">
        <v>45949</v>
      </c>
      <c r="B4741" s="2" t="s">
        <v>12</v>
      </c>
      <c r="C4741" s="3">
        <v>24.99</v>
      </c>
      <c r="D4741" s="3">
        <v>0</v>
      </c>
      <c r="E4741" s="2">
        <f>C4741*D4741</f>
        <v>0</v>
      </c>
      <c r="F4741" t="str">
        <f t="shared" si="374"/>
        <v>net sales</v>
      </c>
      <c r="G4741" s="7" t="str">
        <f t="shared" si="377"/>
        <v>product 2</v>
      </c>
      <c r="H4741">
        <f t="shared" si="375"/>
        <v>2025</v>
      </c>
      <c r="I4741">
        <f t="shared" si="376"/>
        <v>10</v>
      </c>
      <c r="J4741">
        <f t="shared" si="373"/>
        <v>849.15</v>
      </c>
    </row>
    <row r="4742" spans="1:10" ht="12.5" x14ac:dyDescent="0.25">
      <c r="A4742" s="1">
        <v>45949</v>
      </c>
      <c r="B4742" s="2" t="s">
        <v>13</v>
      </c>
      <c r="C4742" s="3">
        <v>12.49</v>
      </c>
      <c r="D4742" s="3">
        <v>125</v>
      </c>
      <c r="E4742" s="3">
        <v>1561.25</v>
      </c>
      <c r="F4742" t="str">
        <f t="shared" si="374"/>
        <v>net sales</v>
      </c>
      <c r="G4742" s="7" t="str">
        <f t="shared" si="377"/>
        <v>product 3</v>
      </c>
      <c r="H4742">
        <f t="shared" si="375"/>
        <v>2025</v>
      </c>
      <c r="I4742">
        <f t="shared" si="376"/>
        <v>10</v>
      </c>
      <c r="J4742">
        <f t="shared" si="373"/>
        <v>74.97</v>
      </c>
    </row>
    <row r="4743" spans="1:10" ht="12.5" x14ac:dyDescent="0.25">
      <c r="A4743" s="1">
        <v>45950</v>
      </c>
      <c r="B4743" s="2" t="s">
        <v>7</v>
      </c>
      <c r="C4743" s="3">
        <v>5.49</v>
      </c>
      <c r="D4743" s="3">
        <v>19</v>
      </c>
      <c r="E4743" s="3">
        <v>104.31</v>
      </c>
      <c r="F4743" t="str">
        <f t="shared" si="374"/>
        <v>cogs</v>
      </c>
      <c r="G4743" s="7" t="str">
        <f t="shared" si="377"/>
        <v>product 1</v>
      </c>
      <c r="H4743">
        <f t="shared" si="375"/>
        <v>2025</v>
      </c>
      <c r="I4743">
        <f t="shared" si="376"/>
        <v>10</v>
      </c>
      <c r="J4743">
        <f t="shared" si="373"/>
        <v>2585.4299999999998</v>
      </c>
    </row>
    <row r="4744" spans="1:10" ht="12.5" x14ac:dyDescent="0.25">
      <c r="A4744" s="1">
        <v>45950</v>
      </c>
      <c r="B4744" s="2" t="s">
        <v>8</v>
      </c>
      <c r="C4744" s="3">
        <v>21.49</v>
      </c>
      <c r="D4744" s="3">
        <v>7</v>
      </c>
      <c r="E4744" s="3">
        <v>150.42999999999998</v>
      </c>
      <c r="F4744" t="str">
        <f t="shared" si="374"/>
        <v>cogs</v>
      </c>
      <c r="G4744" s="7" t="str">
        <f t="shared" si="377"/>
        <v>product 2</v>
      </c>
      <c r="H4744">
        <f t="shared" si="375"/>
        <v>2025</v>
      </c>
      <c r="I4744">
        <f t="shared" si="376"/>
        <v>10</v>
      </c>
      <c r="J4744">
        <f t="shared" si="373"/>
        <v>-400.77000000000004</v>
      </c>
    </row>
    <row r="4745" spans="1:10" ht="12.5" x14ac:dyDescent="0.25">
      <c r="A4745" s="1">
        <v>45950</v>
      </c>
      <c r="B4745" s="2" t="s">
        <v>9</v>
      </c>
      <c r="C4745" s="3">
        <v>8.99</v>
      </c>
      <c r="D4745" s="3">
        <v>0</v>
      </c>
      <c r="E4745" s="2">
        <f>C4745*D4745</f>
        <v>0</v>
      </c>
      <c r="F4745" t="str">
        <f t="shared" si="374"/>
        <v>cogs</v>
      </c>
      <c r="G4745" s="7" t="str">
        <f t="shared" si="377"/>
        <v>product 3</v>
      </c>
      <c r="H4745">
        <f t="shared" si="375"/>
        <v>2025</v>
      </c>
      <c r="I4745">
        <f t="shared" si="376"/>
        <v>10</v>
      </c>
      <c r="J4745">
        <f t="shared" si="373"/>
        <v>0</v>
      </c>
    </row>
    <row r="4746" spans="1:10" ht="12.5" x14ac:dyDescent="0.25">
      <c r="A4746" s="1">
        <v>45950</v>
      </c>
      <c r="B4746" s="2" t="s">
        <v>10</v>
      </c>
      <c r="C4746" s="2" t="s">
        <v>6</v>
      </c>
      <c r="D4746" s="2" t="s">
        <v>6</v>
      </c>
      <c r="E4746" s="3">
        <v>100.06</v>
      </c>
      <c r="F4746" t="str">
        <f t="shared" si="374"/>
        <v>marketing</v>
      </c>
      <c r="G4746" s="7" t="s">
        <v>6</v>
      </c>
      <c r="H4746">
        <f t="shared" si="375"/>
        <v>2025</v>
      </c>
      <c r="I4746">
        <f t="shared" si="376"/>
        <v>10</v>
      </c>
      <c r="J4746">
        <f t="shared" si="373"/>
        <v>-2031.74</v>
      </c>
    </row>
    <row r="4747" spans="1:10" ht="12.5" x14ac:dyDescent="0.25">
      <c r="A4747" s="1">
        <v>45950</v>
      </c>
      <c r="B4747" s="2" t="s">
        <v>11</v>
      </c>
      <c r="C4747" s="3">
        <v>9.99</v>
      </c>
      <c r="D4747" s="3">
        <v>19</v>
      </c>
      <c r="E4747" s="3">
        <v>189.81</v>
      </c>
      <c r="F4747" t="str">
        <f t="shared" si="374"/>
        <v>net sales</v>
      </c>
      <c r="G4747" s="7" t="str">
        <f t="shared" si="377"/>
        <v>product 1</v>
      </c>
      <c r="H4747">
        <f t="shared" si="375"/>
        <v>2025</v>
      </c>
      <c r="I4747">
        <f t="shared" si="376"/>
        <v>10</v>
      </c>
      <c r="J4747">
        <f t="shared" si="373"/>
        <v>-115.06</v>
      </c>
    </row>
    <row r="4748" spans="1:10" ht="12.5" x14ac:dyDescent="0.25">
      <c r="A4748" s="1">
        <v>45950</v>
      </c>
      <c r="B4748" s="2" t="s">
        <v>12</v>
      </c>
      <c r="C4748" s="3">
        <v>24.99</v>
      </c>
      <c r="D4748" s="3">
        <v>7</v>
      </c>
      <c r="E4748" s="3">
        <v>174.92999999999998</v>
      </c>
      <c r="F4748" t="str">
        <f t="shared" si="374"/>
        <v>net sales</v>
      </c>
      <c r="G4748" s="7" t="str">
        <f t="shared" si="377"/>
        <v>product 2</v>
      </c>
      <c r="H4748">
        <f t="shared" si="375"/>
        <v>2025</v>
      </c>
      <c r="I4748">
        <f t="shared" si="376"/>
        <v>10</v>
      </c>
      <c r="J4748">
        <f t="shared" si="373"/>
        <v>729.27</v>
      </c>
    </row>
    <row r="4749" spans="1:10" ht="12.5" x14ac:dyDescent="0.25">
      <c r="A4749" s="1">
        <v>45950</v>
      </c>
      <c r="B4749" s="2" t="s">
        <v>13</v>
      </c>
      <c r="C4749" s="3">
        <v>12.49</v>
      </c>
      <c r="D4749" s="3">
        <v>0</v>
      </c>
      <c r="E4749" s="2">
        <f>C4749*D4749</f>
        <v>0</v>
      </c>
      <c r="F4749" t="str">
        <f t="shared" si="374"/>
        <v>net sales</v>
      </c>
      <c r="G4749" s="7" t="str">
        <f t="shared" si="377"/>
        <v>product 3</v>
      </c>
      <c r="H4749">
        <f t="shared" si="375"/>
        <v>2025</v>
      </c>
      <c r="I4749">
        <f t="shared" si="376"/>
        <v>10</v>
      </c>
      <c r="J4749">
        <f t="shared" si="373"/>
        <v>0</v>
      </c>
    </row>
    <row r="4750" spans="1:10" ht="12.5" x14ac:dyDescent="0.25">
      <c r="A4750" s="1">
        <v>45951</v>
      </c>
      <c r="B4750" s="2" t="s">
        <v>7</v>
      </c>
      <c r="C4750" s="3">
        <v>5.49</v>
      </c>
      <c r="D4750" s="3">
        <v>82</v>
      </c>
      <c r="E4750" s="3">
        <v>450.18</v>
      </c>
      <c r="F4750" t="str">
        <f t="shared" si="374"/>
        <v>cogs</v>
      </c>
      <c r="G4750" s="7" t="str">
        <f t="shared" si="377"/>
        <v>product 1</v>
      </c>
      <c r="H4750">
        <f t="shared" si="375"/>
        <v>2025</v>
      </c>
      <c r="I4750">
        <f t="shared" si="376"/>
        <v>10</v>
      </c>
      <c r="J4750">
        <f t="shared" si="373"/>
        <v>2822.7400000000002</v>
      </c>
    </row>
    <row r="4751" spans="1:10" ht="12.5" x14ac:dyDescent="0.25">
      <c r="A4751" s="1">
        <v>45951</v>
      </c>
      <c r="B4751" s="2" t="s">
        <v>8</v>
      </c>
      <c r="C4751" s="3">
        <v>21.49</v>
      </c>
      <c r="D4751" s="3">
        <v>8</v>
      </c>
      <c r="E4751" s="3">
        <v>171.92</v>
      </c>
      <c r="F4751" t="str">
        <f t="shared" si="374"/>
        <v>cogs</v>
      </c>
      <c r="G4751" s="7" t="str">
        <f t="shared" si="377"/>
        <v>product 2</v>
      </c>
      <c r="H4751">
        <f t="shared" si="375"/>
        <v>2025</v>
      </c>
      <c r="I4751">
        <f t="shared" si="376"/>
        <v>10</v>
      </c>
      <c r="J4751">
        <f t="shared" si="373"/>
        <v>-362.34000000000003</v>
      </c>
    </row>
    <row r="4752" spans="1:10" ht="12.5" x14ac:dyDescent="0.25">
      <c r="A4752" s="1">
        <v>45951</v>
      </c>
      <c r="B4752" s="2" t="s">
        <v>9</v>
      </c>
      <c r="C4752" s="3">
        <v>8.99</v>
      </c>
      <c r="D4752" s="3">
        <v>99</v>
      </c>
      <c r="E4752" s="3">
        <v>890.01</v>
      </c>
      <c r="F4752" t="str">
        <f t="shared" si="374"/>
        <v>cogs</v>
      </c>
      <c r="G4752" s="7" t="str">
        <f t="shared" si="377"/>
        <v>product 3</v>
      </c>
      <c r="H4752">
        <f t="shared" si="375"/>
        <v>2025</v>
      </c>
      <c r="I4752">
        <f t="shared" si="376"/>
        <v>10</v>
      </c>
      <c r="J4752">
        <f t="shared" si="373"/>
        <v>-107.44999999999999</v>
      </c>
    </row>
    <row r="4753" spans="1:10" ht="12.5" x14ac:dyDescent="0.25">
      <c r="A4753" s="1">
        <v>45951</v>
      </c>
      <c r="B4753" s="2" t="s">
        <v>10</v>
      </c>
      <c r="C4753" s="2" t="s">
        <v>6</v>
      </c>
      <c r="D4753" s="2" t="s">
        <v>6</v>
      </c>
      <c r="E4753" s="3">
        <v>115.93</v>
      </c>
      <c r="F4753" t="str">
        <f t="shared" si="374"/>
        <v>marketing</v>
      </c>
      <c r="G4753" s="7" t="s">
        <v>6</v>
      </c>
      <c r="H4753">
        <f t="shared" si="375"/>
        <v>2025</v>
      </c>
      <c r="I4753">
        <f t="shared" si="376"/>
        <v>10</v>
      </c>
      <c r="J4753">
        <f t="shared" si="373"/>
        <v>-674.25</v>
      </c>
    </row>
    <row r="4754" spans="1:10" ht="12.5" x14ac:dyDescent="0.25">
      <c r="A4754" s="1">
        <v>45951</v>
      </c>
      <c r="B4754" s="2" t="s">
        <v>11</v>
      </c>
      <c r="C4754" s="3">
        <v>9.99</v>
      </c>
      <c r="D4754" s="3">
        <v>82</v>
      </c>
      <c r="E4754" s="3">
        <v>819.18000000000006</v>
      </c>
      <c r="F4754" t="str">
        <f t="shared" si="374"/>
        <v>net sales</v>
      </c>
      <c r="G4754" s="7" t="str">
        <f t="shared" si="377"/>
        <v>product 1</v>
      </c>
      <c r="H4754">
        <f t="shared" si="375"/>
        <v>2025</v>
      </c>
      <c r="I4754">
        <f t="shared" si="376"/>
        <v>10</v>
      </c>
      <c r="J4754">
        <f t="shared" si="373"/>
        <v>-111</v>
      </c>
    </row>
    <row r="4755" spans="1:10" ht="12.5" x14ac:dyDescent="0.25">
      <c r="A4755" s="1">
        <v>45951</v>
      </c>
      <c r="B4755" s="2" t="s">
        <v>12</v>
      </c>
      <c r="C4755" s="3">
        <v>24.99</v>
      </c>
      <c r="D4755" s="3">
        <v>8</v>
      </c>
      <c r="E4755" s="3">
        <v>199.92</v>
      </c>
      <c r="F4755" t="str">
        <f t="shared" si="374"/>
        <v>net sales</v>
      </c>
      <c r="G4755" s="7" t="str">
        <f t="shared" si="377"/>
        <v>product 2</v>
      </c>
      <c r="H4755">
        <f t="shared" si="375"/>
        <v>2025</v>
      </c>
      <c r="I4755">
        <f t="shared" si="376"/>
        <v>10</v>
      </c>
      <c r="J4755">
        <f t="shared" si="373"/>
        <v>659.34</v>
      </c>
    </row>
    <row r="4756" spans="1:10" ht="12.5" x14ac:dyDescent="0.25">
      <c r="A4756" s="1">
        <v>45951</v>
      </c>
      <c r="B4756" s="2" t="s">
        <v>13</v>
      </c>
      <c r="C4756" s="3">
        <v>12.49</v>
      </c>
      <c r="D4756" s="3">
        <v>99</v>
      </c>
      <c r="E4756" s="3">
        <v>1236.51</v>
      </c>
      <c r="F4756" t="str">
        <f t="shared" si="374"/>
        <v>net sales</v>
      </c>
      <c r="G4756" s="7" t="str">
        <f t="shared" si="377"/>
        <v>product 3</v>
      </c>
      <c r="H4756">
        <f t="shared" si="375"/>
        <v>2025</v>
      </c>
      <c r="I4756">
        <f t="shared" si="376"/>
        <v>10</v>
      </c>
      <c r="J4756">
        <f t="shared" si="373"/>
        <v>124.94999999999999</v>
      </c>
    </row>
    <row r="4757" spans="1:10" ht="12.5" x14ac:dyDescent="0.25">
      <c r="A4757" s="1">
        <v>45952</v>
      </c>
      <c r="B4757" s="2" t="s">
        <v>7</v>
      </c>
      <c r="C4757" s="3">
        <v>5.49</v>
      </c>
      <c r="D4757" s="3">
        <v>98</v>
      </c>
      <c r="E4757" s="3">
        <v>538.02</v>
      </c>
      <c r="F4757" t="str">
        <f t="shared" si="374"/>
        <v>cogs</v>
      </c>
      <c r="G4757" s="7" t="str">
        <f t="shared" si="377"/>
        <v>product 1</v>
      </c>
      <c r="H4757">
        <f t="shared" si="375"/>
        <v>2025</v>
      </c>
      <c r="I4757">
        <f t="shared" si="376"/>
        <v>10</v>
      </c>
      <c r="J4757">
        <f t="shared" si="373"/>
        <v>936.75</v>
      </c>
    </row>
    <row r="4758" spans="1:10" ht="12.5" x14ac:dyDescent="0.25">
      <c r="A4758" s="1">
        <v>45952</v>
      </c>
      <c r="B4758" s="2" t="s">
        <v>8</v>
      </c>
      <c r="C4758" s="3">
        <v>21.49</v>
      </c>
      <c r="D4758" s="3">
        <v>4</v>
      </c>
      <c r="E4758" s="3">
        <v>85.96</v>
      </c>
      <c r="F4758" t="str">
        <f t="shared" si="374"/>
        <v>cogs</v>
      </c>
      <c r="G4758" s="7" t="str">
        <f t="shared" si="377"/>
        <v>product 2</v>
      </c>
      <c r="H4758">
        <f t="shared" si="375"/>
        <v>2025</v>
      </c>
      <c r="I4758">
        <f t="shared" si="376"/>
        <v>10</v>
      </c>
      <c r="J4758">
        <f t="shared" si="373"/>
        <v>-565.47</v>
      </c>
    </row>
    <row r="4759" spans="1:10" ht="12.5" x14ac:dyDescent="0.25">
      <c r="A4759" s="1">
        <v>45952</v>
      </c>
      <c r="B4759" s="2" t="s">
        <v>9</v>
      </c>
      <c r="C4759" s="3">
        <v>8.99</v>
      </c>
      <c r="D4759" s="3">
        <v>245</v>
      </c>
      <c r="E4759" s="3">
        <v>2202.5500000000002</v>
      </c>
      <c r="F4759" t="str">
        <f t="shared" si="374"/>
        <v>cogs</v>
      </c>
      <c r="G4759" s="7" t="str">
        <f t="shared" si="377"/>
        <v>product 3</v>
      </c>
      <c r="H4759">
        <f t="shared" si="375"/>
        <v>2025</v>
      </c>
      <c r="I4759">
        <f t="shared" si="376"/>
        <v>10</v>
      </c>
      <c r="J4759">
        <f t="shared" si="373"/>
        <v>0</v>
      </c>
    </row>
    <row r="4760" spans="1:10" ht="12.5" x14ac:dyDescent="0.25">
      <c r="A4760" s="1">
        <v>45952</v>
      </c>
      <c r="B4760" s="2" t="s">
        <v>10</v>
      </c>
      <c r="C4760" s="2" t="s">
        <v>6</v>
      </c>
      <c r="D4760" s="2" t="s">
        <v>6</v>
      </c>
      <c r="E4760" s="3">
        <v>103.04</v>
      </c>
      <c r="F4760" t="str">
        <f t="shared" si="374"/>
        <v>marketing</v>
      </c>
      <c r="G4760" s="7" t="s">
        <v>6</v>
      </c>
      <c r="H4760">
        <f t="shared" si="375"/>
        <v>2025</v>
      </c>
      <c r="I4760">
        <f t="shared" si="376"/>
        <v>10</v>
      </c>
      <c r="J4760">
        <f t="shared" si="373"/>
        <v>-1977.8</v>
      </c>
    </row>
    <row r="4761" spans="1:10" ht="12.5" x14ac:dyDescent="0.25">
      <c r="A4761" s="1">
        <v>45952</v>
      </c>
      <c r="B4761" s="2" t="s">
        <v>11</v>
      </c>
      <c r="C4761" s="3">
        <v>9.99</v>
      </c>
      <c r="D4761" s="3">
        <v>98</v>
      </c>
      <c r="E4761" s="3">
        <v>979.02</v>
      </c>
      <c r="F4761" t="str">
        <f t="shared" si="374"/>
        <v>net sales</v>
      </c>
      <c r="G4761" s="7" t="str">
        <f t="shared" si="377"/>
        <v>product 1</v>
      </c>
      <c r="H4761">
        <f t="shared" si="375"/>
        <v>2025</v>
      </c>
      <c r="I4761">
        <f t="shared" si="376"/>
        <v>10</v>
      </c>
      <c r="J4761">
        <f t="shared" si="373"/>
        <v>-101.06</v>
      </c>
    </row>
    <row r="4762" spans="1:10" ht="12.5" x14ac:dyDescent="0.25">
      <c r="A4762" s="1">
        <v>45952</v>
      </c>
      <c r="B4762" s="2" t="s">
        <v>12</v>
      </c>
      <c r="C4762" s="3">
        <v>24.99</v>
      </c>
      <c r="D4762" s="3">
        <v>4</v>
      </c>
      <c r="E4762" s="3">
        <v>99.96</v>
      </c>
      <c r="F4762" t="str">
        <f t="shared" si="374"/>
        <v>net sales</v>
      </c>
      <c r="G4762" s="7" t="str">
        <f t="shared" si="377"/>
        <v>product 2</v>
      </c>
      <c r="H4762">
        <f t="shared" si="375"/>
        <v>2025</v>
      </c>
      <c r="I4762">
        <f t="shared" si="376"/>
        <v>10</v>
      </c>
      <c r="J4762">
        <f t="shared" si="373"/>
        <v>1028.97</v>
      </c>
    </row>
    <row r="4763" spans="1:10" ht="12.5" x14ac:dyDescent="0.25">
      <c r="A4763" s="1">
        <v>45952</v>
      </c>
      <c r="B4763" s="2" t="s">
        <v>13</v>
      </c>
      <c r="C4763" s="3">
        <v>12.49</v>
      </c>
      <c r="D4763" s="3">
        <v>245</v>
      </c>
      <c r="E4763" s="3">
        <v>3060.05</v>
      </c>
      <c r="F4763" t="str">
        <f t="shared" si="374"/>
        <v>net sales</v>
      </c>
      <c r="G4763" s="7" t="str">
        <f t="shared" si="377"/>
        <v>product 3</v>
      </c>
      <c r="H4763">
        <f t="shared" si="375"/>
        <v>2025</v>
      </c>
      <c r="I4763">
        <f t="shared" si="376"/>
        <v>10</v>
      </c>
      <c r="J4763">
        <f t="shared" si="373"/>
        <v>0</v>
      </c>
    </row>
    <row r="4764" spans="1:10" ht="12.5" x14ac:dyDescent="0.25">
      <c r="A4764" s="1">
        <v>45953</v>
      </c>
      <c r="B4764" s="2" t="s">
        <v>7</v>
      </c>
      <c r="C4764" s="3">
        <v>5.49</v>
      </c>
      <c r="D4764" s="3">
        <v>50</v>
      </c>
      <c r="E4764" s="3">
        <v>274.5</v>
      </c>
      <c r="F4764" t="str">
        <f t="shared" si="374"/>
        <v>cogs</v>
      </c>
      <c r="G4764" s="7" t="str">
        <f t="shared" si="377"/>
        <v>product 1</v>
      </c>
      <c r="H4764">
        <f t="shared" si="375"/>
        <v>2025</v>
      </c>
      <c r="I4764">
        <f t="shared" si="376"/>
        <v>10</v>
      </c>
      <c r="J4764">
        <f t="shared" ref="J4764:J4827" si="378">IF(F4547="net sales",E4547,
IF(F4547="cogs",-E4547,
IF(OR(F4547="marketing",F4547="overhead",F4547="payroll",F4547="interest","amortization"),-E4547,0)))</f>
        <v>2747.8</v>
      </c>
    </row>
    <row r="4765" spans="1:10" ht="12.5" x14ac:dyDescent="0.25">
      <c r="A4765" s="1">
        <v>45953</v>
      </c>
      <c r="B4765" s="2" t="s">
        <v>8</v>
      </c>
      <c r="C4765" s="3">
        <v>21.49</v>
      </c>
      <c r="D4765" s="3">
        <v>0</v>
      </c>
      <c r="E4765" s="2">
        <f>C4765*D4765</f>
        <v>0</v>
      </c>
      <c r="F4765" t="str">
        <f t="shared" si="374"/>
        <v>cogs</v>
      </c>
      <c r="G4765" s="7" t="str">
        <f t="shared" si="377"/>
        <v>product 2</v>
      </c>
      <c r="H4765">
        <f t="shared" si="375"/>
        <v>2025</v>
      </c>
      <c r="I4765">
        <f t="shared" si="376"/>
        <v>10</v>
      </c>
      <c r="J4765">
        <f t="shared" si="378"/>
        <v>-142.74</v>
      </c>
    </row>
    <row r="4766" spans="1:10" ht="12.5" x14ac:dyDescent="0.25">
      <c r="A4766" s="1">
        <v>45953</v>
      </c>
      <c r="B4766" s="2" t="s">
        <v>9</v>
      </c>
      <c r="C4766" s="3">
        <v>8.99</v>
      </c>
      <c r="D4766" s="3">
        <v>40</v>
      </c>
      <c r="E4766" s="3">
        <v>359.6</v>
      </c>
      <c r="F4766" t="str">
        <f t="shared" si="374"/>
        <v>cogs</v>
      </c>
      <c r="G4766" s="7" t="str">
        <f t="shared" si="377"/>
        <v>product 3</v>
      </c>
      <c r="H4766">
        <f t="shared" si="375"/>
        <v>2025</v>
      </c>
      <c r="I4766">
        <f t="shared" si="376"/>
        <v>10</v>
      </c>
      <c r="J4766">
        <f t="shared" si="378"/>
        <v>-42.98</v>
      </c>
    </row>
    <row r="4767" spans="1:10" ht="12.5" x14ac:dyDescent="0.25">
      <c r="A4767" s="1">
        <v>45953</v>
      </c>
      <c r="B4767" s="2" t="s">
        <v>10</v>
      </c>
      <c r="C4767" s="2" t="s">
        <v>6</v>
      </c>
      <c r="D4767" s="2" t="s">
        <v>6</v>
      </c>
      <c r="E4767" s="3">
        <v>100.96000000000001</v>
      </c>
      <c r="F4767" t="str">
        <f t="shared" si="374"/>
        <v>marketing</v>
      </c>
      <c r="G4767" s="7" t="s">
        <v>6</v>
      </c>
      <c r="H4767">
        <f t="shared" si="375"/>
        <v>2025</v>
      </c>
      <c r="I4767">
        <f t="shared" si="376"/>
        <v>10</v>
      </c>
      <c r="J4767">
        <f t="shared" si="378"/>
        <v>-1932.8500000000001</v>
      </c>
    </row>
    <row r="4768" spans="1:10" ht="12.5" x14ac:dyDescent="0.25">
      <c r="A4768" s="1">
        <v>45953</v>
      </c>
      <c r="B4768" s="2" t="s">
        <v>11</v>
      </c>
      <c r="C4768" s="3">
        <v>9.99</v>
      </c>
      <c r="D4768" s="3">
        <v>50</v>
      </c>
      <c r="E4768" s="3">
        <v>499.5</v>
      </c>
      <c r="F4768" t="str">
        <f t="shared" si="374"/>
        <v>net sales</v>
      </c>
      <c r="G4768" s="7" t="str">
        <f t="shared" si="377"/>
        <v>product 1</v>
      </c>
      <c r="H4768">
        <f t="shared" si="375"/>
        <v>2025</v>
      </c>
      <c r="I4768">
        <f t="shared" si="376"/>
        <v>10</v>
      </c>
      <c r="J4768">
        <f t="shared" si="378"/>
        <v>-114.98</v>
      </c>
    </row>
    <row r="4769" spans="1:10" ht="12.5" x14ac:dyDescent="0.25">
      <c r="A4769" s="1">
        <v>45953</v>
      </c>
      <c r="B4769" s="2" t="s">
        <v>12</v>
      </c>
      <c r="C4769" s="3">
        <v>24.99</v>
      </c>
      <c r="D4769" s="3">
        <v>0</v>
      </c>
      <c r="E4769" s="2">
        <f>C4769*D4769</f>
        <v>0</v>
      </c>
      <c r="F4769" t="str">
        <f t="shared" si="374"/>
        <v>net sales</v>
      </c>
      <c r="G4769" s="7" t="str">
        <f t="shared" si="377"/>
        <v>product 2</v>
      </c>
      <c r="H4769">
        <f t="shared" si="375"/>
        <v>2025</v>
      </c>
      <c r="I4769">
        <f t="shared" si="376"/>
        <v>10</v>
      </c>
      <c r="J4769">
        <f t="shared" si="378"/>
        <v>259.74</v>
      </c>
    </row>
    <row r="4770" spans="1:10" ht="12.5" x14ac:dyDescent="0.25">
      <c r="A4770" s="1">
        <v>45953</v>
      </c>
      <c r="B4770" s="2" t="s">
        <v>13</v>
      </c>
      <c r="C4770" s="3">
        <v>12.49</v>
      </c>
      <c r="D4770" s="3">
        <v>40</v>
      </c>
      <c r="E4770" s="3">
        <v>499.6</v>
      </c>
      <c r="F4770" t="str">
        <f t="shared" si="374"/>
        <v>net sales</v>
      </c>
      <c r="G4770" s="7" t="str">
        <f t="shared" si="377"/>
        <v>product 3</v>
      </c>
      <c r="H4770">
        <f t="shared" si="375"/>
        <v>2025</v>
      </c>
      <c r="I4770">
        <f t="shared" si="376"/>
        <v>10</v>
      </c>
      <c r="J4770">
        <f t="shared" si="378"/>
        <v>49.98</v>
      </c>
    </row>
    <row r="4771" spans="1:10" ht="12.5" x14ac:dyDescent="0.25">
      <c r="A4771" s="1">
        <v>45954</v>
      </c>
      <c r="B4771" s="2" t="s">
        <v>7</v>
      </c>
      <c r="C4771" s="3">
        <v>5.49</v>
      </c>
      <c r="D4771" s="3">
        <v>96</v>
      </c>
      <c r="E4771" s="3">
        <v>527.04</v>
      </c>
      <c r="F4771" t="str">
        <f t="shared" si="374"/>
        <v>cogs</v>
      </c>
      <c r="G4771" s="7" t="str">
        <f t="shared" si="377"/>
        <v>product 1</v>
      </c>
      <c r="H4771">
        <f t="shared" si="375"/>
        <v>2025</v>
      </c>
      <c r="I4771">
        <f t="shared" si="376"/>
        <v>10</v>
      </c>
      <c r="J4771">
        <f t="shared" si="378"/>
        <v>2685.35</v>
      </c>
    </row>
    <row r="4772" spans="1:10" ht="12.5" x14ac:dyDescent="0.25">
      <c r="A4772" s="1">
        <v>45954</v>
      </c>
      <c r="B4772" s="2" t="s">
        <v>8</v>
      </c>
      <c r="C4772" s="3">
        <v>21.49</v>
      </c>
      <c r="D4772" s="3">
        <v>1</v>
      </c>
      <c r="E4772" s="3">
        <v>21.49</v>
      </c>
      <c r="F4772" t="str">
        <f t="shared" si="374"/>
        <v>cogs</v>
      </c>
      <c r="G4772" s="7" t="str">
        <f t="shared" si="377"/>
        <v>product 2</v>
      </c>
      <c r="H4772">
        <f t="shared" si="375"/>
        <v>2025</v>
      </c>
      <c r="I4772">
        <f t="shared" si="376"/>
        <v>10</v>
      </c>
      <c r="J4772">
        <f t="shared" si="378"/>
        <v>-439.20000000000005</v>
      </c>
    </row>
    <row r="4773" spans="1:10" ht="12.5" x14ac:dyDescent="0.25">
      <c r="A4773" s="1">
        <v>45954</v>
      </c>
      <c r="B4773" s="2" t="s">
        <v>9</v>
      </c>
      <c r="C4773" s="3">
        <v>8.99</v>
      </c>
      <c r="D4773" s="3">
        <v>197</v>
      </c>
      <c r="E4773" s="3">
        <v>1771.03</v>
      </c>
      <c r="F4773" t="str">
        <f t="shared" si="374"/>
        <v>cogs</v>
      </c>
      <c r="G4773" s="7" t="str">
        <f t="shared" si="377"/>
        <v>product 3</v>
      </c>
      <c r="H4773">
        <f t="shared" si="375"/>
        <v>2025</v>
      </c>
      <c r="I4773">
        <f t="shared" si="376"/>
        <v>10</v>
      </c>
      <c r="J4773">
        <f t="shared" si="378"/>
        <v>-150.42999999999998</v>
      </c>
    </row>
    <row r="4774" spans="1:10" ht="12.5" x14ac:dyDescent="0.25">
      <c r="A4774" s="1">
        <v>45954</v>
      </c>
      <c r="B4774" s="2" t="s">
        <v>10</v>
      </c>
      <c r="C4774" s="2" t="s">
        <v>6</v>
      </c>
      <c r="D4774" s="2" t="s">
        <v>6</v>
      </c>
      <c r="E4774" s="3">
        <v>113.09</v>
      </c>
      <c r="F4774" t="str">
        <f t="shared" si="374"/>
        <v>marketing</v>
      </c>
      <c r="G4774" s="7" t="s">
        <v>6</v>
      </c>
      <c r="H4774">
        <f t="shared" si="375"/>
        <v>2025</v>
      </c>
      <c r="I4774">
        <f t="shared" si="376"/>
        <v>10</v>
      </c>
      <c r="J4774">
        <f t="shared" si="378"/>
        <v>-1959.82</v>
      </c>
    </row>
    <row r="4775" spans="1:10" ht="12.5" x14ac:dyDescent="0.25">
      <c r="A4775" s="1">
        <v>45954</v>
      </c>
      <c r="B4775" s="2" t="s">
        <v>11</v>
      </c>
      <c r="C4775" s="3">
        <v>9.99</v>
      </c>
      <c r="D4775" s="3">
        <v>96</v>
      </c>
      <c r="E4775" s="3">
        <v>959.04</v>
      </c>
      <c r="F4775" t="str">
        <f t="shared" si="374"/>
        <v>net sales</v>
      </c>
      <c r="G4775" s="7" t="str">
        <f t="shared" si="377"/>
        <v>product 1</v>
      </c>
      <c r="H4775">
        <f t="shared" si="375"/>
        <v>2025</v>
      </c>
      <c r="I4775">
        <f t="shared" si="376"/>
        <v>10</v>
      </c>
      <c r="J4775">
        <f t="shared" si="378"/>
        <v>-112.92</v>
      </c>
    </row>
    <row r="4776" spans="1:10" ht="12.5" x14ac:dyDescent="0.25">
      <c r="A4776" s="1">
        <v>45954</v>
      </c>
      <c r="B4776" s="2" t="s">
        <v>12</v>
      </c>
      <c r="C4776" s="3">
        <v>24.99</v>
      </c>
      <c r="D4776" s="3">
        <v>1</v>
      </c>
      <c r="E4776" s="3">
        <v>24.99</v>
      </c>
      <c r="F4776" t="str">
        <f t="shared" si="374"/>
        <v>net sales</v>
      </c>
      <c r="G4776" s="7" t="str">
        <f t="shared" si="377"/>
        <v>product 2</v>
      </c>
      <c r="H4776">
        <f t="shared" si="375"/>
        <v>2025</v>
      </c>
      <c r="I4776">
        <f t="shared" si="376"/>
        <v>10</v>
      </c>
      <c r="J4776">
        <f t="shared" si="378"/>
        <v>799.2</v>
      </c>
    </row>
    <row r="4777" spans="1:10" ht="12.5" x14ac:dyDescent="0.25">
      <c r="A4777" s="1">
        <v>45954</v>
      </c>
      <c r="B4777" s="2" t="s">
        <v>13</v>
      </c>
      <c r="C4777" s="3">
        <v>12.49</v>
      </c>
      <c r="D4777" s="3">
        <v>197</v>
      </c>
      <c r="E4777" s="3">
        <v>2460.5300000000002</v>
      </c>
      <c r="F4777" t="str">
        <f t="shared" si="374"/>
        <v>net sales</v>
      </c>
      <c r="G4777" s="7" t="str">
        <f t="shared" si="377"/>
        <v>product 3</v>
      </c>
      <c r="H4777">
        <f t="shared" si="375"/>
        <v>2025</v>
      </c>
      <c r="I4777">
        <f t="shared" si="376"/>
        <v>10</v>
      </c>
      <c r="J4777">
        <f t="shared" si="378"/>
        <v>174.92999999999998</v>
      </c>
    </row>
    <row r="4778" spans="1:10" ht="12.5" x14ac:dyDescent="0.25">
      <c r="A4778" s="1">
        <v>45954</v>
      </c>
      <c r="B4778" s="2" t="s">
        <v>15</v>
      </c>
      <c r="C4778" s="2" t="s">
        <v>6</v>
      </c>
      <c r="D4778" s="2" t="s">
        <v>6</v>
      </c>
      <c r="E4778" s="3">
        <v>1200</v>
      </c>
      <c r="F4778" t="str">
        <f t="shared" si="374"/>
        <v>payroll</v>
      </c>
      <c r="G4778" s="7" t="s">
        <v>6</v>
      </c>
      <c r="H4778">
        <f t="shared" si="375"/>
        <v>2025</v>
      </c>
      <c r="I4778">
        <f t="shared" si="376"/>
        <v>10</v>
      </c>
      <c r="J4778">
        <f t="shared" si="378"/>
        <v>2722.82</v>
      </c>
    </row>
    <row r="4779" spans="1:10" ht="12.5" x14ac:dyDescent="0.25">
      <c r="A4779" s="1">
        <v>45955</v>
      </c>
      <c r="B4779" s="2" t="s">
        <v>7</v>
      </c>
      <c r="C4779" s="3">
        <v>5.49</v>
      </c>
      <c r="D4779" s="3">
        <v>83</v>
      </c>
      <c r="E4779" s="3">
        <v>455.67</v>
      </c>
      <c r="F4779" t="str">
        <f t="shared" si="374"/>
        <v>cogs</v>
      </c>
      <c r="G4779" s="7" t="str">
        <f t="shared" si="377"/>
        <v>product 1</v>
      </c>
      <c r="H4779">
        <f t="shared" si="375"/>
        <v>2025</v>
      </c>
      <c r="I4779">
        <f t="shared" si="376"/>
        <v>10</v>
      </c>
      <c r="J4779">
        <f t="shared" si="378"/>
        <v>-230.58</v>
      </c>
    </row>
    <row r="4780" spans="1:10" ht="12.5" x14ac:dyDescent="0.25">
      <c r="A4780" s="1">
        <v>45955</v>
      </c>
      <c r="B4780" s="2" t="s">
        <v>8</v>
      </c>
      <c r="C4780" s="3">
        <v>21.49</v>
      </c>
      <c r="D4780" s="3">
        <v>1</v>
      </c>
      <c r="E4780" s="3">
        <v>21.49</v>
      </c>
      <c r="F4780" t="str">
        <f t="shared" si="374"/>
        <v>cogs</v>
      </c>
      <c r="G4780" s="7" t="str">
        <f t="shared" si="377"/>
        <v>product 2</v>
      </c>
      <c r="H4780">
        <f t="shared" si="375"/>
        <v>2025</v>
      </c>
      <c r="I4780">
        <f t="shared" si="376"/>
        <v>10</v>
      </c>
      <c r="J4780">
        <f t="shared" si="378"/>
        <v>-42.98</v>
      </c>
    </row>
    <row r="4781" spans="1:10" ht="12.5" x14ac:dyDescent="0.25">
      <c r="A4781" s="1">
        <v>45955</v>
      </c>
      <c r="B4781" s="2" t="s">
        <v>9</v>
      </c>
      <c r="C4781" s="3">
        <v>8.99</v>
      </c>
      <c r="D4781" s="3">
        <v>69</v>
      </c>
      <c r="E4781" s="3">
        <v>620.31000000000006</v>
      </c>
      <c r="F4781" t="str">
        <f t="shared" si="374"/>
        <v>cogs</v>
      </c>
      <c r="G4781" s="7" t="str">
        <f t="shared" si="377"/>
        <v>product 3</v>
      </c>
      <c r="H4781">
        <f t="shared" si="375"/>
        <v>2025</v>
      </c>
      <c r="I4781">
        <f t="shared" si="376"/>
        <v>10</v>
      </c>
      <c r="J4781">
        <f t="shared" si="378"/>
        <v>-1015.87</v>
      </c>
    </row>
    <row r="4782" spans="1:10" ht="12.5" x14ac:dyDescent="0.25">
      <c r="A4782" s="1">
        <v>45955</v>
      </c>
      <c r="B4782" s="2" t="s">
        <v>10</v>
      </c>
      <c r="C4782" s="2" t="s">
        <v>6</v>
      </c>
      <c r="D4782" s="2" t="s">
        <v>6</v>
      </c>
      <c r="E4782" s="3">
        <v>116.04</v>
      </c>
      <c r="F4782" t="str">
        <f t="shared" si="374"/>
        <v>marketing</v>
      </c>
      <c r="G4782" s="7" t="s">
        <v>6</v>
      </c>
      <c r="H4782">
        <f t="shared" si="375"/>
        <v>2025</v>
      </c>
      <c r="I4782">
        <f t="shared" si="376"/>
        <v>10</v>
      </c>
      <c r="J4782">
        <f t="shared" si="378"/>
        <v>-107.97</v>
      </c>
    </row>
    <row r="4783" spans="1:10" ht="12.5" x14ac:dyDescent="0.25">
      <c r="A4783" s="1">
        <v>45955</v>
      </c>
      <c r="B4783" s="2" t="s">
        <v>11</v>
      </c>
      <c r="C4783" s="3">
        <v>9.99</v>
      </c>
      <c r="D4783" s="3">
        <v>83</v>
      </c>
      <c r="E4783" s="3">
        <v>829.17000000000007</v>
      </c>
      <c r="F4783" t="str">
        <f t="shared" si="374"/>
        <v>net sales</v>
      </c>
      <c r="G4783" s="7" t="str">
        <f t="shared" si="377"/>
        <v>product 1</v>
      </c>
      <c r="H4783">
        <f t="shared" si="375"/>
        <v>2025</v>
      </c>
      <c r="I4783">
        <f t="shared" si="376"/>
        <v>10</v>
      </c>
      <c r="J4783">
        <f t="shared" si="378"/>
        <v>419.58</v>
      </c>
    </row>
    <row r="4784" spans="1:10" ht="12.5" x14ac:dyDescent="0.25">
      <c r="A4784" s="1">
        <v>45955</v>
      </c>
      <c r="B4784" s="2" t="s">
        <v>12</v>
      </c>
      <c r="C4784" s="3">
        <v>24.99</v>
      </c>
      <c r="D4784" s="3">
        <v>1</v>
      </c>
      <c r="E4784" s="3">
        <v>24.99</v>
      </c>
      <c r="F4784" t="str">
        <f t="shared" si="374"/>
        <v>net sales</v>
      </c>
      <c r="G4784" s="7" t="str">
        <f t="shared" si="377"/>
        <v>product 2</v>
      </c>
      <c r="H4784">
        <f t="shared" si="375"/>
        <v>2025</v>
      </c>
      <c r="I4784">
        <f t="shared" si="376"/>
        <v>10</v>
      </c>
      <c r="J4784">
        <f t="shared" si="378"/>
        <v>49.98</v>
      </c>
    </row>
    <row r="4785" spans="1:10" ht="12.5" x14ac:dyDescent="0.25">
      <c r="A4785" s="1">
        <v>45955</v>
      </c>
      <c r="B4785" s="2" t="s">
        <v>13</v>
      </c>
      <c r="C4785" s="3">
        <v>12.49</v>
      </c>
      <c r="D4785" s="3">
        <v>69</v>
      </c>
      <c r="E4785" s="3">
        <v>861.81000000000006</v>
      </c>
      <c r="F4785" t="str">
        <f t="shared" si="374"/>
        <v>net sales</v>
      </c>
      <c r="G4785" s="7" t="str">
        <f t="shared" si="377"/>
        <v>product 3</v>
      </c>
      <c r="H4785">
        <f t="shared" si="375"/>
        <v>2025</v>
      </c>
      <c r="I4785">
        <f t="shared" si="376"/>
        <v>10</v>
      </c>
      <c r="J4785">
        <f t="shared" si="378"/>
        <v>1411.3700000000001</v>
      </c>
    </row>
    <row r="4786" spans="1:10" ht="12.5" x14ac:dyDescent="0.25">
      <c r="A4786" s="1">
        <v>45956</v>
      </c>
      <c r="B4786" s="2" t="s">
        <v>7</v>
      </c>
      <c r="C4786" s="3">
        <v>5.49</v>
      </c>
      <c r="D4786" s="3">
        <v>66</v>
      </c>
      <c r="E4786" s="3">
        <v>362.34000000000003</v>
      </c>
      <c r="F4786" t="str">
        <f t="shared" si="374"/>
        <v>cogs</v>
      </c>
      <c r="G4786" s="7" t="str">
        <f t="shared" si="377"/>
        <v>product 1</v>
      </c>
      <c r="H4786">
        <f t="shared" si="375"/>
        <v>2025</v>
      </c>
      <c r="I4786">
        <f t="shared" si="376"/>
        <v>10</v>
      </c>
      <c r="J4786">
        <f t="shared" si="378"/>
        <v>0</v>
      </c>
    </row>
    <row r="4787" spans="1:10" ht="12.5" x14ac:dyDescent="0.25">
      <c r="A4787" s="1">
        <v>45956</v>
      </c>
      <c r="B4787" s="2" t="s">
        <v>8</v>
      </c>
      <c r="C4787" s="3">
        <v>21.49</v>
      </c>
      <c r="D4787" s="3">
        <v>8</v>
      </c>
      <c r="E4787" s="3">
        <v>171.92</v>
      </c>
      <c r="F4787" t="str">
        <f t="shared" si="374"/>
        <v>cogs</v>
      </c>
      <c r="G4787" s="7" t="str">
        <f t="shared" si="377"/>
        <v>product 2</v>
      </c>
      <c r="H4787">
        <f t="shared" si="375"/>
        <v>2025</v>
      </c>
      <c r="I4787">
        <f t="shared" si="376"/>
        <v>10</v>
      </c>
      <c r="J4787">
        <f t="shared" si="378"/>
        <v>-171.92</v>
      </c>
    </row>
    <row r="4788" spans="1:10" ht="12.5" x14ac:dyDescent="0.25">
      <c r="A4788" s="1">
        <v>45956</v>
      </c>
      <c r="B4788" s="2" t="s">
        <v>9</v>
      </c>
      <c r="C4788" s="3">
        <v>8.99</v>
      </c>
      <c r="D4788" s="3">
        <v>197</v>
      </c>
      <c r="E4788" s="3">
        <v>1771.03</v>
      </c>
      <c r="F4788" t="str">
        <f t="shared" si="374"/>
        <v>cogs</v>
      </c>
      <c r="G4788" s="7" t="str">
        <f t="shared" si="377"/>
        <v>product 3</v>
      </c>
      <c r="H4788">
        <f t="shared" si="375"/>
        <v>2025</v>
      </c>
      <c r="I4788">
        <f t="shared" si="376"/>
        <v>10</v>
      </c>
      <c r="J4788">
        <f t="shared" si="378"/>
        <v>-1753.05</v>
      </c>
    </row>
    <row r="4789" spans="1:10" ht="12.5" x14ac:dyDescent="0.25">
      <c r="A4789" s="1">
        <v>45956</v>
      </c>
      <c r="B4789" s="2" t="s">
        <v>10</v>
      </c>
      <c r="C4789" s="2" t="s">
        <v>6</v>
      </c>
      <c r="D4789" s="2" t="s">
        <v>6</v>
      </c>
      <c r="E4789" s="3">
        <v>117</v>
      </c>
      <c r="F4789" t="str">
        <f t="shared" si="374"/>
        <v>marketing</v>
      </c>
      <c r="G4789" s="7" t="s">
        <v>6</v>
      </c>
      <c r="H4789">
        <f t="shared" si="375"/>
        <v>2025</v>
      </c>
      <c r="I4789">
        <f t="shared" si="376"/>
        <v>10</v>
      </c>
      <c r="J4789">
        <f t="shared" si="378"/>
        <v>-120.09</v>
      </c>
    </row>
    <row r="4790" spans="1:10" ht="12.5" x14ac:dyDescent="0.25">
      <c r="A4790" s="1">
        <v>45956</v>
      </c>
      <c r="B4790" s="2" t="s">
        <v>11</v>
      </c>
      <c r="C4790" s="3">
        <v>9.99</v>
      </c>
      <c r="D4790" s="3">
        <v>66</v>
      </c>
      <c r="E4790" s="3">
        <v>659.34</v>
      </c>
      <c r="F4790" t="str">
        <f t="shared" si="374"/>
        <v>net sales</v>
      </c>
      <c r="G4790" s="7" t="str">
        <f t="shared" si="377"/>
        <v>product 1</v>
      </c>
      <c r="H4790">
        <f t="shared" si="375"/>
        <v>2025</v>
      </c>
      <c r="I4790">
        <f t="shared" si="376"/>
        <v>10</v>
      </c>
      <c r="J4790">
        <f t="shared" si="378"/>
        <v>0</v>
      </c>
    </row>
    <row r="4791" spans="1:10" ht="12.5" x14ac:dyDescent="0.25">
      <c r="A4791" s="1">
        <v>45956</v>
      </c>
      <c r="B4791" s="2" t="s">
        <v>12</v>
      </c>
      <c r="C4791" s="3">
        <v>24.99</v>
      </c>
      <c r="D4791" s="3">
        <v>8</v>
      </c>
      <c r="E4791" s="3">
        <v>199.92</v>
      </c>
      <c r="F4791" t="str">
        <f t="shared" si="374"/>
        <v>net sales</v>
      </c>
      <c r="G4791" s="7" t="str">
        <f t="shared" si="377"/>
        <v>product 2</v>
      </c>
      <c r="H4791">
        <f t="shared" si="375"/>
        <v>2025</v>
      </c>
      <c r="I4791">
        <f t="shared" si="376"/>
        <v>10</v>
      </c>
      <c r="J4791">
        <f t="shared" si="378"/>
        <v>199.92</v>
      </c>
    </row>
    <row r="4792" spans="1:10" ht="12.5" x14ac:dyDescent="0.25">
      <c r="A4792" s="1">
        <v>45956</v>
      </c>
      <c r="B4792" s="2" t="s">
        <v>13</v>
      </c>
      <c r="C4792" s="3">
        <v>12.49</v>
      </c>
      <c r="D4792" s="3">
        <v>197</v>
      </c>
      <c r="E4792" s="3">
        <v>2460.5300000000002</v>
      </c>
      <c r="F4792" t="str">
        <f t="shared" si="374"/>
        <v>net sales</v>
      </c>
      <c r="G4792" s="7" t="str">
        <f t="shared" si="377"/>
        <v>product 3</v>
      </c>
      <c r="H4792">
        <f t="shared" si="375"/>
        <v>2025</v>
      </c>
      <c r="I4792">
        <f t="shared" si="376"/>
        <v>10</v>
      </c>
      <c r="J4792">
        <f t="shared" si="378"/>
        <v>2435.5500000000002</v>
      </c>
    </row>
    <row r="4793" spans="1:10" ht="12.5" x14ac:dyDescent="0.25">
      <c r="A4793" s="1">
        <v>45957</v>
      </c>
      <c r="B4793" s="2" t="s">
        <v>7</v>
      </c>
      <c r="C4793" s="3">
        <v>5.49</v>
      </c>
      <c r="D4793" s="3">
        <v>91</v>
      </c>
      <c r="E4793" s="3">
        <v>499.59000000000003</v>
      </c>
      <c r="F4793" t="str">
        <f t="shared" si="374"/>
        <v>cogs</v>
      </c>
      <c r="G4793" s="7" t="str">
        <f t="shared" si="377"/>
        <v>product 1</v>
      </c>
      <c r="H4793">
        <f t="shared" si="375"/>
        <v>2025</v>
      </c>
      <c r="I4793">
        <f t="shared" si="376"/>
        <v>10</v>
      </c>
      <c r="J4793">
        <f t="shared" si="378"/>
        <v>-1200</v>
      </c>
    </row>
    <row r="4794" spans="1:10" ht="12.5" x14ac:dyDescent="0.25">
      <c r="A4794" s="1">
        <v>45957</v>
      </c>
      <c r="B4794" s="2" t="s">
        <v>8</v>
      </c>
      <c r="C4794" s="3">
        <v>21.49</v>
      </c>
      <c r="D4794" s="3">
        <v>8</v>
      </c>
      <c r="E4794" s="3">
        <v>171.92</v>
      </c>
      <c r="F4794" t="str">
        <f t="shared" si="374"/>
        <v>cogs</v>
      </c>
      <c r="G4794" s="7" t="str">
        <f t="shared" si="377"/>
        <v>product 2</v>
      </c>
      <c r="H4794">
        <f t="shared" si="375"/>
        <v>2025</v>
      </c>
      <c r="I4794">
        <f t="shared" si="376"/>
        <v>10</v>
      </c>
      <c r="J4794">
        <f t="shared" si="378"/>
        <v>-208.62</v>
      </c>
    </row>
    <row r="4795" spans="1:10" ht="12.5" x14ac:dyDescent="0.25">
      <c r="A4795" s="1">
        <v>45957</v>
      </c>
      <c r="B4795" s="2" t="s">
        <v>9</v>
      </c>
      <c r="C4795" s="3">
        <v>8.99</v>
      </c>
      <c r="D4795" s="3">
        <v>152</v>
      </c>
      <c r="E4795" s="3">
        <v>1366.48</v>
      </c>
      <c r="F4795" t="str">
        <f t="shared" si="374"/>
        <v>cogs</v>
      </c>
      <c r="G4795" s="7" t="str">
        <f t="shared" si="377"/>
        <v>product 3</v>
      </c>
      <c r="H4795">
        <f t="shared" si="375"/>
        <v>2025</v>
      </c>
      <c r="I4795">
        <f t="shared" si="376"/>
        <v>10</v>
      </c>
      <c r="J4795">
        <f t="shared" si="378"/>
        <v>-64.47</v>
      </c>
    </row>
    <row r="4796" spans="1:10" ht="12.5" x14ac:dyDescent="0.25">
      <c r="A4796" s="1">
        <v>45957</v>
      </c>
      <c r="B4796" s="2" t="s">
        <v>10</v>
      </c>
      <c r="C4796" s="2" t="s">
        <v>6</v>
      </c>
      <c r="D4796" s="2" t="s">
        <v>6</v>
      </c>
      <c r="E4796" s="3">
        <v>103.99000000000001</v>
      </c>
      <c r="F4796" t="str">
        <f t="shared" si="374"/>
        <v>marketing</v>
      </c>
      <c r="G4796" s="7" t="s">
        <v>6</v>
      </c>
      <c r="H4796">
        <f t="shared" si="375"/>
        <v>2025</v>
      </c>
      <c r="I4796">
        <f t="shared" si="376"/>
        <v>10</v>
      </c>
      <c r="J4796">
        <f t="shared" si="378"/>
        <v>-2004.77</v>
      </c>
    </row>
    <row r="4797" spans="1:10" ht="12.5" x14ac:dyDescent="0.25">
      <c r="A4797" s="1">
        <v>45957</v>
      </c>
      <c r="B4797" s="2" t="s">
        <v>11</v>
      </c>
      <c r="C4797" s="3">
        <v>9.99</v>
      </c>
      <c r="D4797" s="3">
        <v>91</v>
      </c>
      <c r="E4797" s="3">
        <v>909.09</v>
      </c>
      <c r="F4797" t="str">
        <f t="shared" si="374"/>
        <v>net sales</v>
      </c>
      <c r="G4797" s="7" t="str">
        <f t="shared" si="377"/>
        <v>product 1</v>
      </c>
      <c r="H4797">
        <f t="shared" si="375"/>
        <v>2025</v>
      </c>
      <c r="I4797">
        <f t="shared" si="376"/>
        <v>10</v>
      </c>
      <c r="J4797">
        <f t="shared" si="378"/>
        <v>-109.09</v>
      </c>
    </row>
    <row r="4798" spans="1:10" ht="12.5" x14ac:dyDescent="0.25">
      <c r="A4798" s="1">
        <v>45957</v>
      </c>
      <c r="B4798" s="2" t="s">
        <v>12</v>
      </c>
      <c r="C4798" s="3">
        <v>24.99</v>
      </c>
      <c r="D4798" s="3">
        <v>8</v>
      </c>
      <c r="E4798" s="3">
        <v>199.92</v>
      </c>
      <c r="F4798" t="str">
        <f t="shared" si="374"/>
        <v>net sales</v>
      </c>
      <c r="G4798" s="7" t="str">
        <f t="shared" si="377"/>
        <v>product 2</v>
      </c>
      <c r="H4798">
        <f t="shared" si="375"/>
        <v>2025</v>
      </c>
      <c r="I4798">
        <f t="shared" si="376"/>
        <v>10</v>
      </c>
      <c r="J4798">
        <f t="shared" si="378"/>
        <v>379.62</v>
      </c>
    </row>
    <row r="4799" spans="1:10" ht="12.5" x14ac:dyDescent="0.25">
      <c r="A4799" s="1">
        <v>45957</v>
      </c>
      <c r="B4799" s="2" t="s">
        <v>13</v>
      </c>
      <c r="C4799" s="3">
        <v>12.49</v>
      </c>
      <c r="D4799" s="3">
        <v>152</v>
      </c>
      <c r="E4799" s="3">
        <v>1898.48</v>
      </c>
      <c r="F4799" t="str">
        <f t="shared" si="374"/>
        <v>net sales</v>
      </c>
      <c r="G4799" s="7" t="str">
        <f t="shared" si="377"/>
        <v>product 3</v>
      </c>
      <c r="H4799">
        <f t="shared" si="375"/>
        <v>2025</v>
      </c>
      <c r="I4799">
        <f t="shared" si="376"/>
        <v>10</v>
      </c>
      <c r="J4799">
        <f t="shared" si="378"/>
        <v>74.97</v>
      </c>
    </row>
    <row r="4800" spans="1:10" ht="12.5" x14ac:dyDescent="0.25">
      <c r="A4800" s="1">
        <v>45958</v>
      </c>
      <c r="B4800" s="2" t="s">
        <v>7</v>
      </c>
      <c r="C4800" s="3">
        <v>5.49</v>
      </c>
      <c r="D4800" s="3">
        <v>46</v>
      </c>
      <c r="E4800" s="3">
        <v>252.54000000000002</v>
      </c>
      <c r="F4800" t="str">
        <f t="shared" si="374"/>
        <v>cogs</v>
      </c>
      <c r="G4800" s="7" t="str">
        <f t="shared" si="377"/>
        <v>product 1</v>
      </c>
      <c r="H4800">
        <f t="shared" si="375"/>
        <v>2025</v>
      </c>
      <c r="I4800">
        <f t="shared" si="376"/>
        <v>10</v>
      </c>
      <c r="J4800">
        <f t="shared" si="378"/>
        <v>2785.27</v>
      </c>
    </row>
    <row r="4801" spans="1:10" ht="12.5" x14ac:dyDescent="0.25">
      <c r="A4801" s="1">
        <v>45958</v>
      </c>
      <c r="B4801" s="2" t="s">
        <v>8</v>
      </c>
      <c r="C4801" s="3">
        <v>21.49</v>
      </c>
      <c r="D4801" s="3">
        <v>7</v>
      </c>
      <c r="E4801" s="3">
        <v>150.42999999999998</v>
      </c>
      <c r="F4801" t="str">
        <f t="shared" si="374"/>
        <v>cogs</v>
      </c>
      <c r="G4801" s="7" t="str">
        <f t="shared" si="377"/>
        <v>product 2</v>
      </c>
      <c r="H4801">
        <f t="shared" si="375"/>
        <v>2025</v>
      </c>
      <c r="I4801">
        <f t="shared" si="376"/>
        <v>10</v>
      </c>
      <c r="J4801">
        <f t="shared" si="378"/>
        <v>-203.13</v>
      </c>
    </row>
    <row r="4802" spans="1:10" ht="12.5" x14ac:dyDescent="0.25">
      <c r="A4802" s="1">
        <v>45958</v>
      </c>
      <c r="B4802" s="2" t="s">
        <v>9</v>
      </c>
      <c r="C4802" s="3">
        <v>8.99</v>
      </c>
      <c r="D4802" s="3">
        <v>248</v>
      </c>
      <c r="E4802" s="3">
        <v>2229.52</v>
      </c>
      <c r="F4802" t="str">
        <f t="shared" si="374"/>
        <v>cogs</v>
      </c>
      <c r="G4802" s="7" t="str">
        <f t="shared" si="377"/>
        <v>product 3</v>
      </c>
      <c r="H4802">
        <f t="shared" si="375"/>
        <v>2025</v>
      </c>
      <c r="I4802">
        <f t="shared" si="376"/>
        <v>10</v>
      </c>
      <c r="J4802">
        <f t="shared" si="378"/>
        <v>-171.92</v>
      </c>
    </row>
    <row r="4803" spans="1:10" ht="12.5" x14ac:dyDescent="0.25">
      <c r="A4803" s="1">
        <v>45958</v>
      </c>
      <c r="B4803" s="2" t="s">
        <v>10</v>
      </c>
      <c r="C4803" s="2" t="s">
        <v>6</v>
      </c>
      <c r="D4803" s="2" t="s">
        <v>6</v>
      </c>
      <c r="E4803" s="3">
        <v>104.92</v>
      </c>
      <c r="F4803" t="str">
        <f t="shared" ref="F4803:F4866" si="379">IFERROR(LEFT(B4803,FIND(":",B4803)-1),B4803)</f>
        <v>marketing</v>
      </c>
      <c r="G4803" s="7" t="s">
        <v>6</v>
      </c>
      <c r="H4803">
        <f t="shared" ref="H4803:H4866" si="380">YEAR(A4803)</f>
        <v>2025</v>
      </c>
      <c r="I4803">
        <f t="shared" ref="I4803:I4866" si="381">MONTH(A4803)</f>
        <v>10</v>
      </c>
      <c r="J4803">
        <f t="shared" si="378"/>
        <v>-899</v>
      </c>
    </row>
    <row r="4804" spans="1:10" ht="12.5" x14ac:dyDescent="0.25">
      <c r="A4804" s="1">
        <v>45958</v>
      </c>
      <c r="B4804" s="2" t="s">
        <v>11</v>
      </c>
      <c r="C4804" s="3">
        <v>9.99</v>
      </c>
      <c r="D4804" s="3">
        <v>46</v>
      </c>
      <c r="E4804" s="3">
        <v>459.54</v>
      </c>
      <c r="F4804" t="str">
        <f t="shared" si="379"/>
        <v>net sales</v>
      </c>
      <c r="G4804" s="7" t="str">
        <f t="shared" ref="G4804:G4866" si="382">IFERROR(RIGHT(B4804,LEN(B4804)-FIND(":",B4804)),"")</f>
        <v>product 1</v>
      </c>
      <c r="H4804">
        <f t="shared" si="380"/>
        <v>2025</v>
      </c>
      <c r="I4804">
        <f t="shared" si="381"/>
        <v>10</v>
      </c>
      <c r="J4804">
        <f t="shared" si="378"/>
        <v>-102.97</v>
      </c>
    </row>
    <row r="4805" spans="1:10" ht="12.5" x14ac:dyDescent="0.25">
      <c r="A4805" s="1">
        <v>45958</v>
      </c>
      <c r="B4805" s="2" t="s">
        <v>12</v>
      </c>
      <c r="C4805" s="3">
        <v>24.99</v>
      </c>
      <c r="D4805" s="3">
        <v>7</v>
      </c>
      <c r="E4805" s="3">
        <v>174.92999999999998</v>
      </c>
      <c r="F4805" t="str">
        <f t="shared" si="379"/>
        <v>net sales</v>
      </c>
      <c r="G4805" s="7" t="str">
        <f t="shared" si="382"/>
        <v>product 2</v>
      </c>
      <c r="H4805">
        <f t="shared" si="380"/>
        <v>2025</v>
      </c>
      <c r="I4805">
        <f t="shared" si="381"/>
        <v>10</v>
      </c>
      <c r="J4805">
        <f t="shared" si="378"/>
        <v>369.63</v>
      </c>
    </row>
    <row r="4806" spans="1:10" ht="12.5" x14ac:dyDescent="0.25">
      <c r="A4806" s="1">
        <v>45958</v>
      </c>
      <c r="B4806" s="2" t="s">
        <v>13</v>
      </c>
      <c r="C4806" s="3">
        <v>12.49</v>
      </c>
      <c r="D4806" s="3">
        <v>248</v>
      </c>
      <c r="E4806" s="3">
        <v>3097.52</v>
      </c>
      <c r="F4806" t="str">
        <f t="shared" si="379"/>
        <v>net sales</v>
      </c>
      <c r="G4806" s="7" t="str">
        <f t="shared" si="382"/>
        <v>product 3</v>
      </c>
      <c r="H4806">
        <f t="shared" si="380"/>
        <v>2025</v>
      </c>
      <c r="I4806">
        <f t="shared" si="381"/>
        <v>10</v>
      </c>
      <c r="J4806">
        <f t="shared" si="378"/>
        <v>199.92</v>
      </c>
    </row>
    <row r="4807" spans="1:10" ht="12.5" x14ac:dyDescent="0.25">
      <c r="A4807" s="1">
        <v>45959</v>
      </c>
      <c r="B4807" s="2" t="s">
        <v>7</v>
      </c>
      <c r="C4807" s="3">
        <v>5.49</v>
      </c>
      <c r="D4807" s="3">
        <v>97</v>
      </c>
      <c r="E4807" s="3">
        <v>532.53</v>
      </c>
      <c r="F4807" t="str">
        <f t="shared" si="379"/>
        <v>cogs</v>
      </c>
      <c r="G4807" s="7" t="str">
        <f t="shared" si="382"/>
        <v>product 1</v>
      </c>
      <c r="H4807">
        <f t="shared" si="380"/>
        <v>2025</v>
      </c>
      <c r="I4807">
        <f t="shared" si="381"/>
        <v>10</v>
      </c>
      <c r="J4807">
        <f t="shared" si="378"/>
        <v>1249</v>
      </c>
    </row>
    <row r="4808" spans="1:10" ht="12.5" x14ac:dyDescent="0.25">
      <c r="A4808" s="1">
        <v>45959</v>
      </c>
      <c r="B4808" s="2" t="s">
        <v>8</v>
      </c>
      <c r="C4808" s="3">
        <v>21.49</v>
      </c>
      <c r="D4808" s="3">
        <v>7</v>
      </c>
      <c r="E4808" s="3">
        <v>150.42999999999998</v>
      </c>
      <c r="F4808" t="str">
        <f t="shared" si="379"/>
        <v>cogs</v>
      </c>
      <c r="G4808" s="7" t="str">
        <f t="shared" si="382"/>
        <v>product 2</v>
      </c>
      <c r="H4808">
        <f t="shared" si="380"/>
        <v>2025</v>
      </c>
      <c r="I4808">
        <f t="shared" si="381"/>
        <v>10</v>
      </c>
      <c r="J4808">
        <f t="shared" si="378"/>
        <v>-483.12</v>
      </c>
    </row>
    <row r="4809" spans="1:10" ht="12.5" x14ac:dyDescent="0.25">
      <c r="A4809" s="1">
        <v>45959</v>
      </c>
      <c r="B4809" s="2" t="s">
        <v>9</v>
      </c>
      <c r="C4809" s="3">
        <v>8.99</v>
      </c>
      <c r="D4809" s="3">
        <v>114</v>
      </c>
      <c r="E4809" s="3">
        <v>1024.8600000000001</v>
      </c>
      <c r="F4809" t="str">
        <f t="shared" si="379"/>
        <v>cogs</v>
      </c>
      <c r="G4809" s="7" t="str">
        <f t="shared" si="382"/>
        <v>product 3</v>
      </c>
      <c r="H4809">
        <f t="shared" si="380"/>
        <v>2025</v>
      </c>
      <c r="I4809">
        <f t="shared" si="381"/>
        <v>10</v>
      </c>
      <c r="J4809">
        <f t="shared" si="378"/>
        <v>-21.49</v>
      </c>
    </row>
    <row r="4810" spans="1:10" ht="12.5" x14ac:dyDescent="0.25">
      <c r="A4810" s="1">
        <v>45959</v>
      </c>
      <c r="B4810" s="2" t="s">
        <v>10</v>
      </c>
      <c r="C4810" s="2" t="s">
        <v>6</v>
      </c>
      <c r="D4810" s="2" t="s">
        <v>6</v>
      </c>
      <c r="E4810" s="3">
        <v>114.10000000000001</v>
      </c>
      <c r="F4810" t="str">
        <f t="shared" si="379"/>
        <v>marketing</v>
      </c>
      <c r="G4810" s="7" t="s">
        <v>6</v>
      </c>
      <c r="H4810">
        <f t="shared" si="380"/>
        <v>2025</v>
      </c>
      <c r="I4810">
        <f t="shared" si="381"/>
        <v>10</v>
      </c>
      <c r="J4810">
        <f t="shared" si="378"/>
        <v>-809.1</v>
      </c>
    </row>
    <row r="4811" spans="1:10" ht="12.5" x14ac:dyDescent="0.25">
      <c r="A4811" s="1">
        <v>45959</v>
      </c>
      <c r="B4811" s="2" t="s">
        <v>11</v>
      </c>
      <c r="C4811" s="3">
        <v>9.99</v>
      </c>
      <c r="D4811" s="3">
        <v>97</v>
      </c>
      <c r="E4811" s="3">
        <v>969.03</v>
      </c>
      <c r="F4811" t="str">
        <f t="shared" si="379"/>
        <v>net sales</v>
      </c>
      <c r="G4811" s="7" t="str">
        <f t="shared" si="382"/>
        <v>product 1</v>
      </c>
      <c r="H4811">
        <f t="shared" si="380"/>
        <v>2025</v>
      </c>
      <c r="I4811">
        <f t="shared" si="381"/>
        <v>10</v>
      </c>
      <c r="J4811">
        <f t="shared" si="378"/>
        <v>-118.10000000000001</v>
      </c>
    </row>
    <row r="4812" spans="1:10" ht="12.5" x14ac:dyDescent="0.25">
      <c r="A4812" s="1">
        <v>45959</v>
      </c>
      <c r="B4812" s="2" t="s">
        <v>12</v>
      </c>
      <c r="C4812" s="3">
        <v>24.99</v>
      </c>
      <c r="D4812" s="3">
        <v>7</v>
      </c>
      <c r="E4812" s="3">
        <v>174.92999999999998</v>
      </c>
      <c r="F4812" t="str">
        <f t="shared" si="379"/>
        <v>net sales</v>
      </c>
      <c r="G4812" s="7" t="str">
        <f t="shared" si="382"/>
        <v>product 2</v>
      </c>
      <c r="H4812">
        <f t="shared" si="380"/>
        <v>2025</v>
      </c>
      <c r="I4812">
        <f t="shared" si="381"/>
        <v>10</v>
      </c>
      <c r="J4812">
        <f t="shared" si="378"/>
        <v>879.12</v>
      </c>
    </row>
    <row r="4813" spans="1:10" ht="12.5" x14ac:dyDescent="0.25">
      <c r="A4813" s="1">
        <v>45959</v>
      </c>
      <c r="B4813" s="2" t="s">
        <v>13</v>
      </c>
      <c r="C4813" s="3">
        <v>12.49</v>
      </c>
      <c r="D4813" s="3">
        <v>114</v>
      </c>
      <c r="E4813" s="3">
        <v>1423.8600000000001</v>
      </c>
      <c r="F4813" t="str">
        <f t="shared" si="379"/>
        <v>net sales</v>
      </c>
      <c r="G4813" s="7" t="str">
        <f t="shared" si="382"/>
        <v>product 3</v>
      </c>
      <c r="H4813">
        <f t="shared" si="380"/>
        <v>2025</v>
      </c>
      <c r="I4813">
        <f t="shared" si="381"/>
        <v>10</v>
      </c>
      <c r="J4813">
        <f t="shared" si="378"/>
        <v>24.99</v>
      </c>
    </row>
    <row r="4814" spans="1:10" ht="12.5" x14ac:dyDescent="0.25">
      <c r="A4814" s="1">
        <v>45960</v>
      </c>
      <c r="B4814" s="2" t="s">
        <v>7</v>
      </c>
      <c r="C4814" s="3">
        <v>5.49</v>
      </c>
      <c r="D4814" s="3">
        <v>74</v>
      </c>
      <c r="E4814" s="3">
        <v>406.26</v>
      </c>
      <c r="F4814" t="str">
        <f t="shared" si="379"/>
        <v>cogs</v>
      </c>
      <c r="G4814" s="7" t="str">
        <f t="shared" si="382"/>
        <v>product 1</v>
      </c>
      <c r="H4814">
        <f t="shared" si="380"/>
        <v>2025</v>
      </c>
      <c r="I4814">
        <f t="shared" si="381"/>
        <v>10</v>
      </c>
      <c r="J4814">
        <f t="shared" si="378"/>
        <v>1124.0999999999999</v>
      </c>
    </row>
    <row r="4815" spans="1:10" ht="12.5" x14ac:dyDescent="0.25">
      <c r="A4815" s="1">
        <v>45960</v>
      </c>
      <c r="B4815" s="2" t="s">
        <v>8</v>
      </c>
      <c r="C4815" s="3">
        <v>21.49</v>
      </c>
      <c r="D4815" s="3">
        <v>1</v>
      </c>
      <c r="E4815" s="3">
        <v>21.49</v>
      </c>
      <c r="F4815" t="str">
        <f t="shared" si="379"/>
        <v>cogs</v>
      </c>
      <c r="G4815" s="7" t="str">
        <f t="shared" si="382"/>
        <v>product 2</v>
      </c>
      <c r="H4815">
        <f t="shared" si="380"/>
        <v>2025</v>
      </c>
      <c r="I4815">
        <f t="shared" si="381"/>
        <v>10</v>
      </c>
      <c r="J4815">
        <f t="shared" si="378"/>
        <v>-186.66</v>
      </c>
    </row>
    <row r="4816" spans="1:10" ht="12.5" x14ac:dyDescent="0.25">
      <c r="A4816" s="1">
        <v>45960</v>
      </c>
      <c r="B4816" s="2" t="s">
        <v>9</v>
      </c>
      <c r="C4816" s="3">
        <v>8.99</v>
      </c>
      <c r="D4816" s="3">
        <v>247</v>
      </c>
      <c r="E4816" s="3">
        <v>2220.5300000000002</v>
      </c>
      <c r="F4816" t="str">
        <f t="shared" si="379"/>
        <v>cogs</v>
      </c>
      <c r="G4816" s="7" t="str">
        <f t="shared" si="382"/>
        <v>product 3</v>
      </c>
      <c r="H4816">
        <f t="shared" si="380"/>
        <v>2025</v>
      </c>
      <c r="I4816">
        <f t="shared" si="381"/>
        <v>10</v>
      </c>
      <c r="J4816">
        <f t="shared" si="378"/>
        <v>0</v>
      </c>
    </row>
    <row r="4817" spans="1:10" ht="12.5" x14ac:dyDescent="0.25">
      <c r="A4817" s="1">
        <v>45960</v>
      </c>
      <c r="B4817" s="2" t="s">
        <v>10</v>
      </c>
      <c r="C4817" s="2" t="s">
        <v>6</v>
      </c>
      <c r="D4817" s="2" t="s">
        <v>6</v>
      </c>
      <c r="E4817" s="3">
        <v>102.06</v>
      </c>
      <c r="F4817" t="str">
        <f t="shared" si="379"/>
        <v>marketing</v>
      </c>
      <c r="G4817" s="7" t="s">
        <v>6</v>
      </c>
      <c r="H4817">
        <f t="shared" si="380"/>
        <v>2025</v>
      </c>
      <c r="I4817">
        <f t="shared" si="381"/>
        <v>10</v>
      </c>
      <c r="J4817">
        <f t="shared" si="378"/>
        <v>-1654.16</v>
      </c>
    </row>
    <row r="4818" spans="1:10" ht="12.5" x14ac:dyDescent="0.25">
      <c r="A4818" s="1">
        <v>45960</v>
      </c>
      <c r="B4818" s="2" t="s">
        <v>11</v>
      </c>
      <c r="C4818" s="3">
        <v>9.99</v>
      </c>
      <c r="D4818" s="3">
        <v>74</v>
      </c>
      <c r="E4818" s="3">
        <v>739.26</v>
      </c>
      <c r="F4818" t="str">
        <f t="shared" si="379"/>
        <v>net sales</v>
      </c>
      <c r="G4818" s="7" t="str">
        <f t="shared" si="382"/>
        <v>product 1</v>
      </c>
      <c r="H4818">
        <f t="shared" si="380"/>
        <v>2025</v>
      </c>
      <c r="I4818">
        <f t="shared" si="381"/>
        <v>10</v>
      </c>
      <c r="J4818">
        <f t="shared" si="378"/>
        <v>-101.01</v>
      </c>
    </row>
    <row r="4819" spans="1:10" ht="12.5" x14ac:dyDescent="0.25">
      <c r="A4819" s="1">
        <v>45960</v>
      </c>
      <c r="B4819" s="2" t="s">
        <v>12</v>
      </c>
      <c r="C4819" s="3">
        <v>24.99</v>
      </c>
      <c r="D4819" s="3">
        <v>1</v>
      </c>
      <c r="E4819" s="3">
        <v>24.99</v>
      </c>
      <c r="F4819" t="str">
        <f t="shared" si="379"/>
        <v>net sales</v>
      </c>
      <c r="G4819" s="7" t="str">
        <f t="shared" si="382"/>
        <v>product 2</v>
      </c>
      <c r="H4819">
        <f t="shared" si="380"/>
        <v>2025</v>
      </c>
      <c r="I4819">
        <f t="shared" si="381"/>
        <v>10</v>
      </c>
      <c r="J4819">
        <f t="shared" si="378"/>
        <v>339.66</v>
      </c>
    </row>
    <row r="4820" spans="1:10" ht="12.5" x14ac:dyDescent="0.25">
      <c r="A4820" s="1">
        <v>45960</v>
      </c>
      <c r="B4820" s="2" t="s">
        <v>13</v>
      </c>
      <c r="C4820" s="3">
        <v>12.49</v>
      </c>
      <c r="D4820" s="3">
        <v>247</v>
      </c>
      <c r="E4820" s="3">
        <v>3085.03</v>
      </c>
      <c r="F4820" t="str">
        <f t="shared" si="379"/>
        <v>net sales</v>
      </c>
      <c r="G4820" s="7" t="str">
        <f t="shared" si="382"/>
        <v>product 3</v>
      </c>
      <c r="H4820">
        <f t="shared" si="380"/>
        <v>2025</v>
      </c>
      <c r="I4820">
        <f t="shared" si="381"/>
        <v>10</v>
      </c>
      <c r="J4820">
        <f t="shared" si="378"/>
        <v>0</v>
      </c>
    </row>
    <row r="4821" spans="1:10" ht="12.5" x14ac:dyDescent="0.25">
      <c r="A4821" s="1">
        <v>45961</v>
      </c>
      <c r="B4821" s="2" t="s">
        <v>7</v>
      </c>
      <c r="C4821" s="3">
        <v>5.49</v>
      </c>
      <c r="D4821" s="3">
        <v>78</v>
      </c>
      <c r="E4821" s="3">
        <v>428.22</v>
      </c>
      <c r="F4821" t="str">
        <f t="shared" si="379"/>
        <v>cogs</v>
      </c>
      <c r="G4821" s="7" t="str">
        <f t="shared" si="382"/>
        <v>product 1</v>
      </c>
      <c r="H4821">
        <f t="shared" si="380"/>
        <v>2025</v>
      </c>
      <c r="I4821">
        <f t="shared" si="381"/>
        <v>10</v>
      </c>
      <c r="J4821">
        <f t="shared" si="378"/>
        <v>2298.16</v>
      </c>
    </row>
    <row r="4822" spans="1:10" ht="12.5" x14ac:dyDescent="0.25">
      <c r="A4822" s="1">
        <v>45961</v>
      </c>
      <c r="B4822" s="2" t="s">
        <v>8</v>
      </c>
      <c r="C4822" s="3">
        <v>21.49</v>
      </c>
      <c r="D4822" s="3">
        <v>2</v>
      </c>
      <c r="E4822" s="3">
        <v>42.98</v>
      </c>
      <c r="F4822" t="str">
        <f t="shared" si="379"/>
        <v>cogs</v>
      </c>
      <c r="G4822" s="7" t="str">
        <f t="shared" si="382"/>
        <v>product 2</v>
      </c>
      <c r="H4822">
        <f t="shared" si="380"/>
        <v>2025</v>
      </c>
      <c r="I4822">
        <f t="shared" si="381"/>
        <v>10</v>
      </c>
      <c r="J4822">
        <f t="shared" si="378"/>
        <v>0</v>
      </c>
    </row>
    <row r="4823" spans="1:10" ht="12.5" x14ac:dyDescent="0.25">
      <c r="A4823" s="1">
        <v>45961</v>
      </c>
      <c r="B4823" s="2" t="s">
        <v>9</v>
      </c>
      <c r="C4823" s="3">
        <v>8.99</v>
      </c>
      <c r="D4823" s="3">
        <v>196</v>
      </c>
      <c r="E4823" s="3">
        <v>1762.04</v>
      </c>
      <c r="F4823" t="str">
        <f t="shared" si="379"/>
        <v>cogs</v>
      </c>
      <c r="G4823" s="7" t="str">
        <f t="shared" si="382"/>
        <v>product 3</v>
      </c>
      <c r="H4823">
        <f t="shared" si="380"/>
        <v>2025</v>
      </c>
      <c r="I4823">
        <f t="shared" si="381"/>
        <v>10</v>
      </c>
      <c r="J4823">
        <f t="shared" si="378"/>
        <v>-373.32</v>
      </c>
    </row>
    <row r="4824" spans="1:10" ht="12.5" x14ac:dyDescent="0.25">
      <c r="A4824" s="1">
        <v>45961</v>
      </c>
      <c r="B4824" s="2" t="s">
        <v>10</v>
      </c>
      <c r="C4824" s="2" t="s">
        <v>6</v>
      </c>
      <c r="D4824" s="2" t="s">
        <v>6</v>
      </c>
      <c r="E4824" s="3">
        <v>111.94</v>
      </c>
      <c r="F4824" t="str">
        <f t="shared" si="379"/>
        <v>marketing</v>
      </c>
      <c r="G4824" s="7" t="s">
        <v>6</v>
      </c>
      <c r="H4824">
        <f t="shared" si="380"/>
        <v>2025</v>
      </c>
      <c r="I4824">
        <f t="shared" si="381"/>
        <v>10</v>
      </c>
      <c r="J4824">
        <f t="shared" si="378"/>
        <v>-171.92</v>
      </c>
    </row>
    <row r="4825" spans="1:10" ht="12.5" x14ac:dyDescent="0.25">
      <c r="A4825" s="1">
        <v>45961</v>
      </c>
      <c r="B4825" s="2" t="s">
        <v>11</v>
      </c>
      <c r="C4825" s="3">
        <v>9.99</v>
      </c>
      <c r="D4825" s="3">
        <v>78</v>
      </c>
      <c r="E4825" s="3">
        <v>779.22</v>
      </c>
      <c r="F4825" t="str">
        <f t="shared" si="379"/>
        <v>net sales</v>
      </c>
      <c r="G4825" s="7" t="str">
        <f t="shared" si="382"/>
        <v>product 1</v>
      </c>
      <c r="H4825">
        <f t="shared" si="380"/>
        <v>2025</v>
      </c>
      <c r="I4825">
        <f t="shared" si="381"/>
        <v>10</v>
      </c>
      <c r="J4825">
        <f t="shared" si="378"/>
        <v>-1806.99</v>
      </c>
    </row>
    <row r="4826" spans="1:10" ht="12.5" x14ac:dyDescent="0.25">
      <c r="A4826" s="1">
        <v>45961</v>
      </c>
      <c r="B4826" s="2" t="s">
        <v>12</v>
      </c>
      <c r="C4826" s="3">
        <v>24.99</v>
      </c>
      <c r="D4826" s="3">
        <v>2</v>
      </c>
      <c r="E4826" s="3">
        <v>49.98</v>
      </c>
      <c r="F4826" t="str">
        <f t="shared" si="379"/>
        <v>net sales</v>
      </c>
      <c r="G4826" s="7" t="str">
        <f t="shared" si="382"/>
        <v>product 2</v>
      </c>
      <c r="H4826">
        <f t="shared" si="380"/>
        <v>2025</v>
      </c>
      <c r="I4826">
        <f t="shared" si="381"/>
        <v>10</v>
      </c>
      <c r="J4826">
        <f t="shared" si="378"/>
        <v>-106.03</v>
      </c>
    </row>
    <row r="4827" spans="1:10" ht="12.5" x14ac:dyDescent="0.25">
      <c r="A4827" s="1">
        <v>45961</v>
      </c>
      <c r="B4827" s="2" t="s">
        <v>13</v>
      </c>
      <c r="C4827" s="3">
        <v>12.49</v>
      </c>
      <c r="D4827" s="3">
        <v>196</v>
      </c>
      <c r="E4827" s="3">
        <v>2448.04</v>
      </c>
      <c r="F4827" t="str">
        <f t="shared" si="379"/>
        <v>net sales</v>
      </c>
      <c r="G4827" s="7" t="str">
        <f t="shared" si="382"/>
        <v>product 3</v>
      </c>
      <c r="H4827">
        <f t="shared" si="380"/>
        <v>2025</v>
      </c>
      <c r="I4827">
        <f t="shared" si="381"/>
        <v>10</v>
      </c>
      <c r="J4827">
        <f t="shared" si="378"/>
        <v>679.32</v>
      </c>
    </row>
    <row r="4828" spans="1:10" ht="12.5" x14ac:dyDescent="0.25">
      <c r="A4828" s="1">
        <v>45962</v>
      </c>
      <c r="B4828" s="2" t="s">
        <v>5</v>
      </c>
      <c r="C4828" s="2" t="s">
        <v>6</v>
      </c>
      <c r="D4828" s="2" t="s">
        <v>6</v>
      </c>
      <c r="E4828" s="3">
        <v>50</v>
      </c>
      <c r="F4828" t="str">
        <f t="shared" si="379"/>
        <v>amortization</v>
      </c>
      <c r="G4828" s="7" t="s">
        <v>6</v>
      </c>
      <c r="H4828">
        <f t="shared" si="380"/>
        <v>2025</v>
      </c>
      <c r="I4828">
        <f t="shared" si="381"/>
        <v>11</v>
      </c>
      <c r="J4828">
        <f t="shared" ref="J4828:J4891" si="383">IF(F4611="net sales",E4611,
IF(F4611="cogs",-E4611,
IF(OR(F4611="marketing",F4611="overhead",F4611="payroll",F4611="interest","amortization"),-E4611,0)))</f>
        <v>199.92</v>
      </c>
    </row>
    <row r="4829" spans="1:10" ht="12.5" x14ac:dyDescent="0.25">
      <c r="A4829" s="1">
        <v>45962</v>
      </c>
      <c r="B4829" s="2" t="s">
        <v>7</v>
      </c>
      <c r="C4829" s="3">
        <v>5.49</v>
      </c>
      <c r="D4829" s="3">
        <v>66</v>
      </c>
      <c r="E4829" s="3">
        <v>362.34000000000003</v>
      </c>
      <c r="F4829" t="str">
        <f t="shared" si="379"/>
        <v>cogs</v>
      </c>
      <c r="G4829" s="7" t="str">
        <f t="shared" si="382"/>
        <v>product 1</v>
      </c>
      <c r="H4829">
        <f t="shared" si="380"/>
        <v>2025</v>
      </c>
      <c r="I4829">
        <f t="shared" si="381"/>
        <v>11</v>
      </c>
      <c r="J4829">
        <f t="shared" si="383"/>
        <v>2510.4900000000002</v>
      </c>
    </row>
    <row r="4830" spans="1:10" ht="12.5" x14ac:dyDescent="0.25">
      <c r="A4830" s="1">
        <v>45962</v>
      </c>
      <c r="B4830" s="2" t="s">
        <v>8</v>
      </c>
      <c r="C4830" s="3">
        <v>21.49</v>
      </c>
      <c r="D4830" s="3">
        <v>7</v>
      </c>
      <c r="E4830" s="3">
        <v>150.42999999999998</v>
      </c>
      <c r="F4830" t="str">
        <f t="shared" si="379"/>
        <v>cogs</v>
      </c>
      <c r="G4830" s="7" t="str">
        <f t="shared" si="382"/>
        <v>product 2</v>
      </c>
      <c r="H4830">
        <f t="shared" si="380"/>
        <v>2025</v>
      </c>
      <c r="I4830">
        <f t="shared" si="381"/>
        <v>11</v>
      </c>
      <c r="J4830">
        <f t="shared" si="383"/>
        <v>-2000</v>
      </c>
    </row>
    <row r="4831" spans="1:10" ht="12.5" x14ac:dyDescent="0.25">
      <c r="A4831" s="1">
        <v>45962</v>
      </c>
      <c r="B4831" s="2" t="s">
        <v>9</v>
      </c>
      <c r="C4831" s="3">
        <v>8.99</v>
      </c>
      <c r="D4831" s="3">
        <v>193</v>
      </c>
      <c r="E4831" s="3">
        <v>1735.07</v>
      </c>
      <c r="F4831" t="str">
        <f t="shared" si="379"/>
        <v>cogs</v>
      </c>
      <c r="G4831" s="7" t="str">
        <f t="shared" si="382"/>
        <v>product 3</v>
      </c>
      <c r="H4831">
        <f t="shared" si="380"/>
        <v>2025</v>
      </c>
      <c r="I4831">
        <f t="shared" si="381"/>
        <v>11</v>
      </c>
      <c r="J4831">
        <f t="shared" si="383"/>
        <v>-499.59000000000003</v>
      </c>
    </row>
    <row r="4832" spans="1:10" ht="12.5" x14ac:dyDescent="0.25">
      <c r="A4832" s="1">
        <v>45962</v>
      </c>
      <c r="B4832" s="2" t="s">
        <v>10</v>
      </c>
      <c r="C4832" s="2" t="s">
        <v>6</v>
      </c>
      <c r="D4832" s="2" t="s">
        <v>6</v>
      </c>
      <c r="E4832" s="3">
        <v>100.93</v>
      </c>
      <c r="F4832" t="str">
        <f t="shared" si="379"/>
        <v>marketing</v>
      </c>
      <c r="G4832" s="7" t="s">
        <v>6</v>
      </c>
      <c r="H4832">
        <f t="shared" si="380"/>
        <v>2025</v>
      </c>
      <c r="I4832">
        <f t="shared" si="381"/>
        <v>11</v>
      </c>
      <c r="J4832">
        <f t="shared" si="383"/>
        <v>-21.49</v>
      </c>
    </row>
    <row r="4833" spans="1:10" ht="12.5" x14ac:dyDescent="0.25">
      <c r="A4833" s="1">
        <v>45962</v>
      </c>
      <c r="B4833" s="2" t="s">
        <v>11</v>
      </c>
      <c r="C4833" s="3">
        <v>9.99</v>
      </c>
      <c r="D4833" s="3">
        <v>66</v>
      </c>
      <c r="E4833" s="3">
        <v>659.34</v>
      </c>
      <c r="F4833" t="str">
        <f t="shared" si="379"/>
        <v>net sales</v>
      </c>
      <c r="G4833" s="7" t="str">
        <f t="shared" si="382"/>
        <v>product 1</v>
      </c>
      <c r="H4833">
        <f t="shared" si="380"/>
        <v>2025</v>
      </c>
      <c r="I4833">
        <f t="shared" si="381"/>
        <v>11</v>
      </c>
      <c r="J4833">
        <f t="shared" si="383"/>
        <v>-719.2</v>
      </c>
    </row>
    <row r="4834" spans="1:10" ht="12.5" x14ac:dyDescent="0.25">
      <c r="A4834" s="1">
        <v>45962</v>
      </c>
      <c r="B4834" s="2" t="s">
        <v>12</v>
      </c>
      <c r="C4834" s="3">
        <v>24.99</v>
      </c>
      <c r="D4834" s="3">
        <v>7</v>
      </c>
      <c r="E4834" s="3">
        <v>174.92999999999998</v>
      </c>
      <c r="F4834" t="str">
        <f t="shared" si="379"/>
        <v>net sales</v>
      </c>
      <c r="G4834" s="7" t="str">
        <f t="shared" si="382"/>
        <v>product 2</v>
      </c>
      <c r="H4834">
        <f t="shared" si="380"/>
        <v>2025</v>
      </c>
      <c r="I4834">
        <f t="shared" si="381"/>
        <v>11</v>
      </c>
      <c r="J4834">
        <f t="shared" si="383"/>
        <v>-105.05</v>
      </c>
    </row>
    <row r="4835" spans="1:10" ht="12.5" x14ac:dyDescent="0.25">
      <c r="A4835" s="1">
        <v>45962</v>
      </c>
      <c r="B4835" s="2" t="s">
        <v>13</v>
      </c>
      <c r="C4835" s="3">
        <v>12.49</v>
      </c>
      <c r="D4835" s="3">
        <v>193</v>
      </c>
      <c r="E4835" s="3">
        <v>2410.5700000000002</v>
      </c>
      <c r="F4835" t="str">
        <f t="shared" si="379"/>
        <v>net sales</v>
      </c>
      <c r="G4835" s="7" t="str">
        <f t="shared" si="382"/>
        <v>product 3</v>
      </c>
      <c r="H4835">
        <f t="shared" si="380"/>
        <v>2025</v>
      </c>
      <c r="I4835">
        <f t="shared" si="381"/>
        <v>11</v>
      </c>
      <c r="J4835">
        <f t="shared" si="383"/>
        <v>909.09</v>
      </c>
    </row>
    <row r="4836" spans="1:10" ht="12.5" x14ac:dyDescent="0.25">
      <c r="A4836" s="1">
        <v>45962</v>
      </c>
      <c r="B4836" s="2" t="s">
        <v>14</v>
      </c>
      <c r="C4836" s="2" t="s">
        <v>6</v>
      </c>
      <c r="D4836" s="2" t="s">
        <v>6</v>
      </c>
      <c r="E4836" s="3">
        <v>2000</v>
      </c>
      <c r="F4836" t="str">
        <f t="shared" si="379"/>
        <v>overhead</v>
      </c>
      <c r="G4836" s="7" t="s">
        <v>6</v>
      </c>
      <c r="H4836">
        <f t="shared" si="380"/>
        <v>2025</v>
      </c>
      <c r="I4836">
        <f t="shared" si="381"/>
        <v>11</v>
      </c>
      <c r="J4836">
        <f t="shared" si="383"/>
        <v>24.99</v>
      </c>
    </row>
    <row r="4837" spans="1:10" ht="12.5" x14ac:dyDescent="0.25">
      <c r="A4837" s="1">
        <v>45963</v>
      </c>
      <c r="B4837" s="2" t="s">
        <v>7</v>
      </c>
      <c r="C4837" s="3">
        <v>5.49</v>
      </c>
      <c r="D4837" s="3">
        <v>95</v>
      </c>
      <c r="E4837" s="3">
        <v>521.55000000000007</v>
      </c>
      <c r="F4837" t="str">
        <f t="shared" si="379"/>
        <v>cogs</v>
      </c>
      <c r="G4837" s="7" t="str">
        <f t="shared" si="382"/>
        <v>product 1</v>
      </c>
      <c r="H4837">
        <f t="shared" si="380"/>
        <v>2025</v>
      </c>
      <c r="I4837">
        <f t="shared" si="381"/>
        <v>11</v>
      </c>
      <c r="J4837">
        <f t="shared" si="383"/>
        <v>999.2</v>
      </c>
    </row>
    <row r="4838" spans="1:10" ht="12.5" x14ac:dyDescent="0.25">
      <c r="A4838" s="1">
        <v>45963</v>
      </c>
      <c r="B4838" s="2" t="s">
        <v>8</v>
      </c>
      <c r="C4838" s="3">
        <v>21.49</v>
      </c>
      <c r="D4838" s="3">
        <v>4</v>
      </c>
      <c r="E4838" s="3">
        <v>85.96</v>
      </c>
      <c r="F4838" t="str">
        <f t="shared" si="379"/>
        <v>cogs</v>
      </c>
      <c r="G4838" s="7" t="str">
        <f t="shared" si="382"/>
        <v>product 2</v>
      </c>
      <c r="H4838">
        <f t="shared" si="380"/>
        <v>2025</v>
      </c>
      <c r="I4838">
        <f t="shared" si="381"/>
        <v>11</v>
      </c>
      <c r="J4838">
        <f t="shared" si="383"/>
        <v>-285.48</v>
      </c>
    </row>
    <row r="4839" spans="1:10" ht="12.5" x14ac:dyDescent="0.25">
      <c r="A4839" s="1">
        <v>45963</v>
      </c>
      <c r="B4839" s="2" t="s">
        <v>9</v>
      </c>
      <c r="C4839" s="3">
        <v>8.99</v>
      </c>
      <c r="D4839" s="3">
        <v>110</v>
      </c>
      <c r="E4839" s="3">
        <v>988.9</v>
      </c>
      <c r="F4839" t="str">
        <f t="shared" si="379"/>
        <v>cogs</v>
      </c>
      <c r="G4839" s="7" t="str">
        <f t="shared" si="382"/>
        <v>product 3</v>
      </c>
      <c r="H4839">
        <f t="shared" si="380"/>
        <v>2025</v>
      </c>
      <c r="I4839">
        <f t="shared" si="381"/>
        <v>11</v>
      </c>
      <c r="J4839">
        <f t="shared" si="383"/>
        <v>-150.42999999999998</v>
      </c>
    </row>
    <row r="4840" spans="1:10" ht="12.5" x14ac:dyDescent="0.25">
      <c r="A4840" s="1">
        <v>45963</v>
      </c>
      <c r="B4840" s="2" t="s">
        <v>10</v>
      </c>
      <c r="C4840" s="2" t="s">
        <v>6</v>
      </c>
      <c r="D4840" s="2" t="s">
        <v>6</v>
      </c>
      <c r="E4840" s="3">
        <v>115.01</v>
      </c>
      <c r="F4840" t="str">
        <f t="shared" si="379"/>
        <v>marketing</v>
      </c>
      <c r="G4840" s="7" t="s">
        <v>6</v>
      </c>
      <c r="H4840">
        <f t="shared" si="380"/>
        <v>2025</v>
      </c>
      <c r="I4840">
        <f t="shared" si="381"/>
        <v>11</v>
      </c>
      <c r="J4840">
        <f t="shared" si="383"/>
        <v>-1528.3</v>
      </c>
    </row>
    <row r="4841" spans="1:10" ht="12.5" x14ac:dyDescent="0.25">
      <c r="A4841" s="1">
        <v>45963</v>
      </c>
      <c r="B4841" s="2" t="s">
        <v>11</v>
      </c>
      <c r="C4841" s="3">
        <v>9.99</v>
      </c>
      <c r="D4841" s="3">
        <v>95</v>
      </c>
      <c r="E4841" s="3">
        <v>949.05000000000007</v>
      </c>
      <c r="F4841" t="str">
        <f t="shared" si="379"/>
        <v>net sales</v>
      </c>
      <c r="G4841" s="7" t="str">
        <f t="shared" si="382"/>
        <v>product 1</v>
      </c>
      <c r="H4841">
        <f t="shared" si="380"/>
        <v>2025</v>
      </c>
      <c r="I4841">
        <f t="shared" si="381"/>
        <v>11</v>
      </c>
      <c r="J4841">
        <f t="shared" si="383"/>
        <v>-103.05</v>
      </c>
    </row>
    <row r="4842" spans="1:10" ht="12.5" x14ac:dyDescent="0.25">
      <c r="A4842" s="1">
        <v>45963</v>
      </c>
      <c r="B4842" s="2" t="s">
        <v>12</v>
      </c>
      <c r="C4842" s="3">
        <v>24.99</v>
      </c>
      <c r="D4842" s="3">
        <v>4</v>
      </c>
      <c r="E4842" s="3">
        <v>99.96</v>
      </c>
      <c r="F4842" t="str">
        <f t="shared" si="379"/>
        <v>net sales</v>
      </c>
      <c r="G4842" s="7" t="str">
        <f t="shared" si="382"/>
        <v>product 2</v>
      </c>
      <c r="H4842">
        <f t="shared" si="380"/>
        <v>2025</v>
      </c>
      <c r="I4842">
        <f t="shared" si="381"/>
        <v>11</v>
      </c>
      <c r="J4842">
        <f t="shared" si="383"/>
        <v>519.48</v>
      </c>
    </row>
    <row r="4843" spans="1:10" ht="12.5" x14ac:dyDescent="0.25">
      <c r="A4843" s="1">
        <v>45963</v>
      </c>
      <c r="B4843" s="2" t="s">
        <v>13</v>
      </c>
      <c r="C4843" s="3">
        <v>12.49</v>
      </c>
      <c r="D4843" s="3">
        <v>110</v>
      </c>
      <c r="E4843" s="3">
        <v>1373.9</v>
      </c>
      <c r="F4843" t="str">
        <f t="shared" si="379"/>
        <v>net sales</v>
      </c>
      <c r="G4843" s="7" t="str">
        <f t="shared" si="382"/>
        <v>product 3</v>
      </c>
      <c r="H4843">
        <f t="shared" si="380"/>
        <v>2025</v>
      </c>
      <c r="I4843">
        <f t="shared" si="381"/>
        <v>11</v>
      </c>
      <c r="J4843">
        <f t="shared" si="383"/>
        <v>174.92999999999998</v>
      </c>
    </row>
    <row r="4844" spans="1:10" ht="12.5" x14ac:dyDescent="0.25">
      <c r="A4844" s="1">
        <v>45964</v>
      </c>
      <c r="B4844" s="2" t="s">
        <v>7</v>
      </c>
      <c r="C4844" s="3">
        <v>5.49</v>
      </c>
      <c r="D4844" s="3">
        <v>9</v>
      </c>
      <c r="E4844" s="3">
        <v>49.410000000000004</v>
      </c>
      <c r="F4844" t="str">
        <f t="shared" si="379"/>
        <v>cogs</v>
      </c>
      <c r="G4844" s="7" t="str">
        <f t="shared" si="382"/>
        <v>product 1</v>
      </c>
      <c r="H4844">
        <f t="shared" si="380"/>
        <v>2025</v>
      </c>
      <c r="I4844">
        <f t="shared" si="381"/>
        <v>11</v>
      </c>
      <c r="J4844">
        <f t="shared" si="383"/>
        <v>2123.3000000000002</v>
      </c>
    </row>
    <row r="4845" spans="1:10" ht="12.5" x14ac:dyDescent="0.25">
      <c r="A4845" s="1">
        <v>45964</v>
      </c>
      <c r="B4845" s="2" t="s">
        <v>8</v>
      </c>
      <c r="C4845" s="3">
        <v>21.49</v>
      </c>
      <c r="D4845" s="3">
        <v>2</v>
      </c>
      <c r="E4845" s="3">
        <v>42.98</v>
      </c>
      <c r="F4845" t="str">
        <f t="shared" si="379"/>
        <v>cogs</v>
      </c>
      <c r="G4845" s="7" t="str">
        <f t="shared" si="382"/>
        <v>product 2</v>
      </c>
      <c r="H4845">
        <f t="shared" si="380"/>
        <v>2025</v>
      </c>
      <c r="I4845">
        <f t="shared" si="381"/>
        <v>11</v>
      </c>
      <c r="J4845">
        <f t="shared" si="383"/>
        <v>-455.67</v>
      </c>
    </row>
    <row r="4846" spans="1:10" ht="12.5" x14ac:dyDescent="0.25">
      <c r="A4846" s="1">
        <v>45964</v>
      </c>
      <c r="B4846" s="2" t="s">
        <v>9</v>
      </c>
      <c r="C4846" s="3">
        <v>8.99</v>
      </c>
      <c r="D4846" s="3">
        <v>133</v>
      </c>
      <c r="E4846" s="3">
        <v>1195.67</v>
      </c>
      <c r="F4846" t="str">
        <f t="shared" si="379"/>
        <v>cogs</v>
      </c>
      <c r="G4846" s="7" t="str">
        <f t="shared" si="382"/>
        <v>product 3</v>
      </c>
      <c r="H4846">
        <f t="shared" si="380"/>
        <v>2025</v>
      </c>
      <c r="I4846">
        <f t="shared" si="381"/>
        <v>11</v>
      </c>
      <c r="J4846">
        <f t="shared" si="383"/>
        <v>-171.92</v>
      </c>
    </row>
    <row r="4847" spans="1:10" ht="12.5" x14ac:dyDescent="0.25">
      <c r="A4847" s="1">
        <v>45964</v>
      </c>
      <c r="B4847" s="2" t="s">
        <v>10</v>
      </c>
      <c r="C4847" s="2" t="s">
        <v>6</v>
      </c>
      <c r="D4847" s="2" t="s">
        <v>6</v>
      </c>
      <c r="E4847" s="3">
        <v>107.03</v>
      </c>
      <c r="F4847" t="str">
        <f t="shared" si="379"/>
        <v>marketing</v>
      </c>
      <c r="G4847" s="7" t="s">
        <v>6</v>
      </c>
      <c r="H4847">
        <f t="shared" si="380"/>
        <v>2025</v>
      </c>
      <c r="I4847">
        <f t="shared" si="381"/>
        <v>11</v>
      </c>
      <c r="J4847">
        <f t="shared" si="383"/>
        <v>-323.64</v>
      </c>
    </row>
    <row r="4848" spans="1:10" ht="12.5" x14ac:dyDescent="0.25">
      <c r="A4848" s="1">
        <v>45964</v>
      </c>
      <c r="B4848" s="2" t="s">
        <v>11</v>
      </c>
      <c r="C4848" s="3">
        <v>9.99</v>
      </c>
      <c r="D4848" s="3">
        <v>9</v>
      </c>
      <c r="E4848" s="3">
        <v>89.91</v>
      </c>
      <c r="F4848" t="str">
        <f t="shared" si="379"/>
        <v>net sales</v>
      </c>
      <c r="G4848" s="7" t="str">
        <f t="shared" si="382"/>
        <v>product 1</v>
      </c>
      <c r="H4848">
        <f t="shared" si="380"/>
        <v>2025</v>
      </c>
      <c r="I4848">
        <f t="shared" si="381"/>
        <v>11</v>
      </c>
      <c r="J4848">
        <f t="shared" si="383"/>
        <v>-112.03</v>
      </c>
    </row>
    <row r="4849" spans="1:10" ht="12.5" x14ac:dyDescent="0.25">
      <c r="A4849" s="1">
        <v>45964</v>
      </c>
      <c r="B4849" s="2" t="s">
        <v>12</v>
      </c>
      <c r="C4849" s="3">
        <v>24.99</v>
      </c>
      <c r="D4849" s="3">
        <v>2</v>
      </c>
      <c r="E4849" s="3">
        <v>49.98</v>
      </c>
      <c r="F4849" t="str">
        <f t="shared" si="379"/>
        <v>net sales</v>
      </c>
      <c r="G4849" s="7" t="str">
        <f t="shared" si="382"/>
        <v>product 2</v>
      </c>
      <c r="H4849">
        <f t="shared" si="380"/>
        <v>2025</v>
      </c>
      <c r="I4849">
        <f t="shared" si="381"/>
        <v>11</v>
      </c>
      <c r="J4849">
        <f t="shared" si="383"/>
        <v>829.17000000000007</v>
      </c>
    </row>
    <row r="4850" spans="1:10" ht="12.5" x14ac:dyDescent="0.25">
      <c r="A4850" s="1">
        <v>45964</v>
      </c>
      <c r="B4850" s="2" t="s">
        <v>13</v>
      </c>
      <c r="C4850" s="3">
        <v>12.49</v>
      </c>
      <c r="D4850" s="3">
        <v>133</v>
      </c>
      <c r="E4850" s="3">
        <v>1661.17</v>
      </c>
      <c r="F4850" t="str">
        <f t="shared" si="379"/>
        <v>net sales</v>
      </c>
      <c r="G4850" s="7" t="str">
        <f t="shared" si="382"/>
        <v>product 3</v>
      </c>
      <c r="H4850">
        <f t="shared" si="380"/>
        <v>2025</v>
      </c>
      <c r="I4850">
        <f t="shared" si="381"/>
        <v>11</v>
      </c>
      <c r="J4850">
        <f t="shared" si="383"/>
        <v>199.92</v>
      </c>
    </row>
    <row r="4851" spans="1:10" ht="12.5" x14ac:dyDescent="0.25">
      <c r="A4851" s="1">
        <v>45965</v>
      </c>
      <c r="B4851" s="2" t="s">
        <v>7</v>
      </c>
      <c r="C4851" s="3">
        <v>5.49</v>
      </c>
      <c r="D4851" s="3">
        <v>92</v>
      </c>
      <c r="E4851" s="3">
        <v>505.08000000000004</v>
      </c>
      <c r="F4851" t="str">
        <f t="shared" si="379"/>
        <v>cogs</v>
      </c>
      <c r="G4851" s="7" t="str">
        <f t="shared" si="382"/>
        <v>product 1</v>
      </c>
      <c r="H4851">
        <f t="shared" si="380"/>
        <v>2025</v>
      </c>
      <c r="I4851">
        <f t="shared" si="381"/>
        <v>11</v>
      </c>
      <c r="J4851">
        <f t="shared" si="383"/>
        <v>449.64</v>
      </c>
    </row>
    <row r="4852" spans="1:10" ht="12.5" x14ac:dyDescent="0.25">
      <c r="A4852" s="1">
        <v>45965</v>
      </c>
      <c r="B4852" s="2" t="s">
        <v>8</v>
      </c>
      <c r="C4852" s="3">
        <v>21.49</v>
      </c>
      <c r="D4852" s="3">
        <v>7</v>
      </c>
      <c r="E4852" s="3">
        <v>150.42999999999998</v>
      </c>
      <c r="F4852" t="str">
        <f t="shared" si="379"/>
        <v>cogs</v>
      </c>
      <c r="G4852" s="7" t="str">
        <f t="shared" si="382"/>
        <v>product 2</v>
      </c>
      <c r="H4852">
        <f t="shared" si="380"/>
        <v>2025</v>
      </c>
      <c r="I4852">
        <f t="shared" si="381"/>
        <v>11</v>
      </c>
      <c r="J4852">
        <f t="shared" si="383"/>
        <v>-334.89</v>
      </c>
    </row>
    <row r="4853" spans="1:10" ht="12.5" x14ac:dyDescent="0.25">
      <c r="A4853" s="1">
        <v>45965</v>
      </c>
      <c r="B4853" s="2" t="s">
        <v>9</v>
      </c>
      <c r="C4853" s="3">
        <v>8.99</v>
      </c>
      <c r="D4853" s="3">
        <v>196</v>
      </c>
      <c r="E4853" s="3">
        <v>1762.04</v>
      </c>
      <c r="F4853" t="str">
        <f t="shared" si="379"/>
        <v>cogs</v>
      </c>
      <c r="G4853" s="7" t="str">
        <f t="shared" si="382"/>
        <v>product 3</v>
      </c>
      <c r="H4853">
        <f t="shared" si="380"/>
        <v>2025</v>
      </c>
      <c r="I4853">
        <f t="shared" si="381"/>
        <v>11</v>
      </c>
      <c r="J4853">
        <f t="shared" si="383"/>
        <v>-85.96</v>
      </c>
    </row>
    <row r="4854" spans="1:10" ht="12.5" x14ac:dyDescent="0.25">
      <c r="A4854" s="1">
        <v>45965</v>
      </c>
      <c r="B4854" s="2" t="s">
        <v>10</v>
      </c>
      <c r="C4854" s="2" t="s">
        <v>6</v>
      </c>
      <c r="D4854" s="2" t="s">
        <v>6</v>
      </c>
      <c r="E4854" s="3">
        <v>99.93</v>
      </c>
      <c r="F4854" t="str">
        <f t="shared" si="379"/>
        <v>marketing</v>
      </c>
      <c r="G4854" s="7" t="s">
        <v>6</v>
      </c>
      <c r="H4854">
        <f t="shared" si="380"/>
        <v>2025</v>
      </c>
      <c r="I4854">
        <f t="shared" si="381"/>
        <v>11</v>
      </c>
      <c r="J4854">
        <f t="shared" si="383"/>
        <v>-233.74</v>
      </c>
    </row>
    <row r="4855" spans="1:10" ht="12.5" x14ac:dyDescent="0.25">
      <c r="A4855" s="1">
        <v>45965</v>
      </c>
      <c r="B4855" s="2" t="s">
        <v>11</v>
      </c>
      <c r="C4855" s="3">
        <v>9.99</v>
      </c>
      <c r="D4855" s="3">
        <v>92</v>
      </c>
      <c r="E4855" s="3">
        <v>919.08</v>
      </c>
      <c r="F4855" t="str">
        <f t="shared" si="379"/>
        <v>net sales</v>
      </c>
      <c r="G4855" s="7" t="str">
        <f t="shared" si="382"/>
        <v>product 1</v>
      </c>
      <c r="H4855">
        <f t="shared" si="380"/>
        <v>2025</v>
      </c>
      <c r="I4855">
        <f t="shared" si="381"/>
        <v>11</v>
      </c>
      <c r="J4855">
        <f t="shared" si="383"/>
        <v>-106.04</v>
      </c>
    </row>
    <row r="4856" spans="1:10" ht="12.5" x14ac:dyDescent="0.25">
      <c r="A4856" s="1">
        <v>45965</v>
      </c>
      <c r="B4856" s="2" t="s">
        <v>12</v>
      </c>
      <c r="C4856" s="3">
        <v>24.99</v>
      </c>
      <c r="D4856" s="3">
        <v>7</v>
      </c>
      <c r="E4856" s="3">
        <v>174.92999999999998</v>
      </c>
      <c r="F4856" t="str">
        <f t="shared" si="379"/>
        <v>net sales</v>
      </c>
      <c r="G4856" s="7" t="str">
        <f t="shared" si="382"/>
        <v>product 2</v>
      </c>
      <c r="H4856">
        <f t="shared" si="380"/>
        <v>2025</v>
      </c>
      <c r="I4856">
        <f t="shared" si="381"/>
        <v>11</v>
      </c>
      <c r="J4856">
        <f t="shared" si="383"/>
        <v>609.39</v>
      </c>
    </row>
    <row r="4857" spans="1:10" ht="12.5" x14ac:dyDescent="0.25">
      <c r="A4857" s="1">
        <v>45965</v>
      </c>
      <c r="B4857" s="2" t="s">
        <v>13</v>
      </c>
      <c r="C4857" s="3">
        <v>12.49</v>
      </c>
      <c r="D4857" s="3">
        <v>196</v>
      </c>
      <c r="E4857" s="3">
        <v>2448.04</v>
      </c>
      <c r="F4857" t="str">
        <f t="shared" si="379"/>
        <v>net sales</v>
      </c>
      <c r="G4857" s="7" t="str">
        <f t="shared" si="382"/>
        <v>product 3</v>
      </c>
      <c r="H4857">
        <f t="shared" si="380"/>
        <v>2025</v>
      </c>
      <c r="I4857">
        <f t="shared" si="381"/>
        <v>11</v>
      </c>
      <c r="J4857">
        <f t="shared" si="383"/>
        <v>99.96</v>
      </c>
    </row>
    <row r="4858" spans="1:10" ht="12.5" x14ac:dyDescent="0.25">
      <c r="A4858" s="1">
        <v>45966</v>
      </c>
      <c r="B4858" s="2" t="s">
        <v>7</v>
      </c>
      <c r="C4858" s="3">
        <v>5.49</v>
      </c>
      <c r="D4858" s="3">
        <v>8</v>
      </c>
      <c r="E4858" s="3">
        <v>43.92</v>
      </c>
      <c r="F4858" t="str">
        <f t="shared" si="379"/>
        <v>cogs</v>
      </c>
      <c r="G4858" s="7" t="str">
        <f t="shared" si="382"/>
        <v>product 1</v>
      </c>
      <c r="H4858">
        <f t="shared" si="380"/>
        <v>2025</v>
      </c>
      <c r="I4858">
        <f t="shared" si="381"/>
        <v>11</v>
      </c>
      <c r="J4858">
        <f t="shared" si="383"/>
        <v>324.74</v>
      </c>
    </row>
    <row r="4859" spans="1:10" ht="12.5" x14ac:dyDescent="0.25">
      <c r="A4859" s="1">
        <v>45966</v>
      </c>
      <c r="B4859" s="2" t="s">
        <v>8</v>
      </c>
      <c r="C4859" s="3">
        <v>21.49</v>
      </c>
      <c r="D4859" s="3">
        <v>7</v>
      </c>
      <c r="E4859" s="3">
        <v>150.42999999999998</v>
      </c>
      <c r="F4859" t="str">
        <f t="shared" si="379"/>
        <v>cogs</v>
      </c>
      <c r="G4859" s="7" t="str">
        <f t="shared" si="382"/>
        <v>product 2</v>
      </c>
      <c r="H4859">
        <f t="shared" si="380"/>
        <v>2025</v>
      </c>
      <c r="I4859">
        <f t="shared" si="381"/>
        <v>11</v>
      </c>
      <c r="J4859">
        <f t="shared" si="383"/>
        <v>-186.66</v>
      </c>
    </row>
    <row r="4860" spans="1:10" ht="12.5" x14ac:dyDescent="0.25">
      <c r="A4860" s="1">
        <v>45966</v>
      </c>
      <c r="B4860" s="2" t="s">
        <v>9</v>
      </c>
      <c r="C4860" s="3">
        <v>8.99</v>
      </c>
      <c r="D4860" s="3">
        <v>206</v>
      </c>
      <c r="E4860" s="3">
        <v>1851.94</v>
      </c>
      <c r="F4860" t="str">
        <f t="shared" si="379"/>
        <v>cogs</v>
      </c>
      <c r="G4860" s="7" t="str">
        <f t="shared" si="382"/>
        <v>product 3</v>
      </c>
      <c r="H4860">
        <f t="shared" si="380"/>
        <v>2025</v>
      </c>
      <c r="I4860">
        <f t="shared" si="381"/>
        <v>11</v>
      </c>
      <c r="J4860">
        <f t="shared" si="383"/>
        <v>-42.98</v>
      </c>
    </row>
    <row r="4861" spans="1:10" ht="12.5" x14ac:dyDescent="0.25">
      <c r="A4861" s="1">
        <v>45966</v>
      </c>
      <c r="B4861" s="2" t="s">
        <v>10</v>
      </c>
      <c r="C4861" s="2" t="s">
        <v>6</v>
      </c>
      <c r="D4861" s="2" t="s">
        <v>6</v>
      </c>
      <c r="E4861" s="3">
        <v>100.9</v>
      </c>
      <c r="F4861" t="str">
        <f t="shared" si="379"/>
        <v>marketing</v>
      </c>
      <c r="G4861" s="7" t="s">
        <v>6</v>
      </c>
      <c r="H4861">
        <f t="shared" si="380"/>
        <v>2025</v>
      </c>
      <c r="I4861">
        <f t="shared" si="381"/>
        <v>11</v>
      </c>
      <c r="J4861">
        <f t="shared" si="383"/>
        <v>-53.94</v>
      </c>
    </row>
    <row r="4862" spans="1:10" ht="12.5" x14ac:dyDescent="0.25">
      <c r="A4862" s="1">
        <v>45966</v>
      </c>
      <c r="B4862" s="2" t="s">
        <v>11</v>
      </c>
      <c r="C4862" s="3">
        <v>9.99</v>
      </c>
      <c r="D4862" s="3">
        <v>8</v>
      </c>
      <c r="E4862" s="3">
        <v>79.92</v>
      </c>
      <c r="F4862" t="str">
        <f t="shared" si="379"/>
        <v>net sales</v>
      </c>
      <c r="G4862" s="7" t="str">
        <f t="shared" si="382"/>
        <v>product 1</v>
      </c>
      <c r="H4862">
        <f t="shared" si="380"/>
        <v>2025</v>
      </c>
      <c r="I4862">
        <f t="shared" si="381"/>
        <v>11</v>
      </c>
      <c r="J4862">
        <f t="shared" si="383"/>
        <v>-108.92</v>
      </c>
    </row>
    <row r="4863" spans="1:10" ht="12.5" x14ac:dyDescent="0.25">
      <c r="A4863" s="1">
        <v>45966</v>
      </c>
      <c r="B4863" s="2" t="s">
        <v>12</v>
      </c>
      <c r="C4863" s="3">
        <v>24.99</v>
      </c>
      <c r="D4863" s="3">
        <v>7</v>
      </c>
      <c r="E4863" s="3">
        <v>174.92999999999998</v>
      </c>
      <c r="F4863" t="str">
        <f t="shared" si="379"/>
        <v>net sales</v>
      </c>
      <c r="G4863" s="7" t="str">
        <f t="shared" si="382"/>
        <v>product 2</v>
      </c>
      <c r="H4863">
        <f t="shared" si="380"/>
        <v>2025</v>
      </c>
      <c r="I4863">
        <f t="shared" si="381"/>
        <v>11</v>
      </c>
      <c r="J4863">
        <f t="shared" si="383"/>
        <v>339.66</v>
      </c>
    </row>
    <row r="4864" spans="1:10" ht="12.5" x14ac:dyDescent="0.25">
      <c r="A4864" s="1">
        <v>45966</v>
      </c>
      <c r="B4864" s="2" t="s">
        <v>13</v>
      </c>
      <c r="C4864" s="3">
        <v>12.49</v>
      </c>
      <c r="D4864" s="3">
        <v>206</v>
      </c>
      <c r="E4864" s="3">
        <v>2572.94</v>
      </c>
      <c r="F4864" t="str">
        <f t="shared" si="379"/>
        <v>net sales</v>
      </c>
      <c r="G4864" s="7" t="str">
        <f t="shared" si="382"/>
        <v>product 3</v>
      </c>
      <c r="H4864">
        <f t="shared" si="380"/>
        <v>2025</v>
      </c>
      <c r="I4864">
        <f t="shared" si="381"/>
        <v>11</v>
      </c>
      <c r="J4864">
        <f t="shared" si="383"/>
        <v>49.98</v>
      </c>
    </row>
    <row r="4865" spans="1:10" ht="12.5" x14ac:dyDescent="0.25">
      <c r="A4865" s="1">
        <v>45967</v>
      </c>
      <c r="B4865" s="2" t="s">
        <v>7</v>
      </c>
      <c r="C4865" s="3">
        <v>5.49</v>
      </c>
      <c r="D4865" s="3">
        <v>70</v>
      </c>
      <c r="E4865" s="3">
        <v>384.3</v>
      </c>
      <c r="F4865" t="str">
        <f t="shared" si="379"/>
        <v>cogs</v>
      </c>
      <c r="G4865" s="7" t="str">
        <f t="shared" si="382"/>
        <v>product 1</v>
      </c>
      <c r="H4865">
        <f t="shared" si="380"/>
        <v>2025</v>
      </c>
      <c r="I4865">
        <f t="shared" si="381"/>
        <v>11</v>
      </c>
      <c r="J4865">
        <f t="shared" si="383"/>
        <v>74.94</v>
      </c>
    </row>
    <row r="4866" spans="1:10" ht="12.5" x14ac:dyDescent="0.25">
      <c r="A4866" s="1">
        <v>45967</v>
      </c>
      <c r="B4866" s="2" t="s">
        <v>8</v>
      </c>
      <c r="C4866" s="3">
        <v>21.49</v>
      </c>
      <c r="D4866" s="3">
        <v>6</v>
      </c>
      <c r="E4866" s="3">
        <v>128.94</v>
      </c>
      <c r="F4866" t="str">
        <f t="shared" si="379"/>
        <v>cogs</v>
      </c>
      <c r="G4866" s="7" t="str">
        <f t="shared" si="382"/>
        <v>product 2</v>
      </c>
      <c r="H4866">
        <f t="shared" si="380"/>
        <v>2025</v>
      </c>
      <c r="I4866">
        <f t="shared" si="381"/>
        <v>11</v>
      </c>
      <c r="J4866">
        <f t="shared" si="383"/>
        <v>-76.86</v>
      </c>
    </row>
    <row r="4867" spans="1:10" ht="12.5" x14ac:dyDescent="0.25">
      <c r="A4867" s="1">
        <v>45967</v>
      </c>
      <c r="B4867" s="2" t="s">
        <v>9</v>
      </c>
      <c r="C4867" s="3">
        <v>8.99</v>
      </c>
      <c r="D4867" s="3">
        <v>90</v>
      </c>
      <c r="E4867" s="3">
        <v>809.1</v>
      </c>
      <c r="F4867" t="str">
        <f t="shared" ref="F4867:F4930" si="384">IFERROR(LEFT(B4867,FIND(":",B4867)-1),B4867)</f>
        <v>cogs</v>
      </c>
      <c r="G4867" s="7" t="str">
        <f t="shared" ref="G4867:G4930" si="385">IFERROR(RIGHT(B4867,LEN(B4867)-FIND(":",B4867)),"")</f>
        <v>product 3</v>
      </c>
      <c r="H4867">
        <f t="shared" ref="H4867:H4930" si="386">YEAR(A4867)</f>
        <v>2025</v>
      </c>
      <c r="I4867">
        <f t="shared" ref="I4867:I4930" si="387">MONTH(A4867)</f>
        <v>11</v>
      </c>
      <c r="J4867">
        <f t="shared" si="383"/>
        <v>0</v>
      </c>
    </row>
    <row r="4868" spans="1:10" ht="12.5" x14ac:dyDescent="0.25">
      <c r="A4868" s="1">
        <v>45967</v>
      </c>
      <c r="B4868" s="2" t="s">
        <v>10</v>
      </c>
      <c r="C4868" s="2" t="s">
        <v>6</v>
      </c>
      <c r="D4868" s="2" t="s">
        <v>6</v>
      </c>
      <c r="E4868" s="3">
        <v>108.99000000000001</v>
      </c>
      <c r="F4868" t="str">
        <f t="shared" si="384"/>
        <v>marketing</v>
      </c>
      <c r="G4868" s="7" t="s">
        <v>6</v>
      </c>
      <c r="H4868">
        <f t="shared" si="386"/>
        <v>2025</v>
      </c>
      <c r="I4868">
        <f t="shared" si="387"/>
        <v>11</v>
      </c>
      <c r="J4868">
        <f t="shared" si="383"/>
        <v>-395.56</v>
      </c>
    </row>
    <row r="4869" spans="1:10" ht="12.5" x14ac:dyDescent="0.25">
      <c r="A4869" s="1">
        <v>45967</v>
      </c>
      <c r="B4869" s="2" t="s">
        <v>11</v>
      </c>
      <c r="C4869" s="3">
        <v>9.99</v>
      </c>
      <c r="D4869" s="3">
        <v>70</v>
      </c>
      <c r="E4869" s="3">
        <v>699.30000000000007</v>
      </c>
      <c r="F4869" t="str">
        <f t="shared" si="384"/>
        <v>net sales</v>
      </c>
      <c r="G4869" s="7" t="str">
        <f t="shared" si="385"/>
        <v>product 1</v>
      </c>
      <c r="H4869">
        <f t="shared" si="386"/>
        <v>2025</v>
      </c>
      <c r="I4869">
        <f t="shared" si="387"/>
        <v>11</v>
      </c>
      <c r="J4869">
        <f t="shared" si="383"/>
        <v>-119.05</v>
      </c>
    </row>
    <row r="4870" spans="1:10" ht="12.5" x14ac:dyDescent="0.25">
      <c r="A4870" s="1">
        <v>45967</v>
      </c>
      <c r="B4870" s="2" t="s">
        <v>12</v>
      </c>
      <c r="C4870" s="3">
        <v>24.99</v>
      </c>
      <c r="D4870" s="3">
        <v>6</v>
      </c>
      <c r="E4870" s="3">
        <v>149.94</v>
      </c>
      <c r="F4870" t="str">
        <f t="shared" si="384"/>
        <v>net sales</v>
      </c>
      <c r="G4870" s="7" t="str">
        <f t="shared" si="385"/>
        <v>product 2</v>
      </c>
      <c r="H4870">
        <f t="shared" si="386"/>
        <v>2025</v>
      </c>
      <c r="I4870">
        <f t="shared" si="387"/>
        <v>11</v>
      </c>
      <c r="J4870">
        <f t="shared" si="383"/>
        <v>139.86000000000001</v>
      </c>
    </row>
    <row r="4871" spans="1:10" ht="12.5" x14ac:dyDescent="0.25">
      <c r="A4871" s="1">
        <v>45967</v>
      </c>
      <c r="B4871" s="2" t="s">
        <v>13</v>
      </c>
      <c r="C4871" s="3">
        <v>12.49</v>
      </c>
      <c r="D4871" s="3">
        <v>90</v>
      </c>
      <c r="E4871" s="3">
        <v>1124.0999999999999</v>
      </c>
      <c r="F4871" t="str">
        <f t="shared" si="384"/>
        <v>net sales</v>
      </c>
      <c r="G4871" s="7" t="str">
        <f t="shared" si="385"/>
        <v>product 3</v>
      </c>
      <c r="H4871">
        <f t="shared" si="386"/>
        <v>2025</v>
      </c>
      <c r="I4871">
        <f t="shared" si="387"/>
        <v>11</v>
      </c>
      <c r="J4871">
        <f t="shared" si="383"/>
        <v>0</v>
      </c>
    </row>
    <row r="4872" spans="1:10" ht="12.5" x14ac:dyDescent="0.25">
      <c r="A4872" s="1">
        <v>45968</v>
      </c>
      <c r="B4872" s="2" t="s">
        <v>7</v>
      </c>
      <c r="C4872" s="3">
        <v>5.49</v>
      </c>
      <c r="D4872" s="3">
        <v>72</v>
      </c>
      <c r="E4872" s="3">
        <v>395.28000000000003</v>
      </c>
      <c r="F4872" t="str">
        <f t="shared" si="384"/>
        <v>cogs</v>
      </c>
      <c r="G4872" s="7" t="str">
        <f t="shared" si="385"/>
        <v>product 1</v>
      </c>
      <c r="H4872">
        <f t="shared" si="386"/>
        <v>2025</v>
      </c>
      <c r="I4872">
        <f t="shared" si="387"/>
        <v>11</v>
      </c>
      <c r="J4872">
        <f t="shared" si="383"/>
        <v>549.56000000000006</v>
      </c>
    </row>
    <row r="4873" spans="1:10" ht="12.5" x14ac:dyDescent="0.25">
      <c r="A4873" s="1">
        <v>45968</v>
      </c>
      <c r="B4873" s="2" t="s">
        <v>8</v>
      </c>
      <c r="C4873" s="3">
        <v>21.49</v>
      </c>
      <c r="D4873" s="3">
        <v>0</v>
      </c>
      <c r="E4873" s="2">
        <f>C4873*D4873</f>
        <v>0</v>
      </c>
      <c r="F4873" t="str">
        <f t="shared" si="384"/>
        <v>cogs</v>
      </c>
      <c r="G4873" s="7" t="str">
        <f t="shared" si="385"/>
        <v>product 2</v>
      </c>
      <c r="H4873">
        <f t="shared" si="386"/>
        <v>2025</v>
      </c>
      <c r="I4873">
        <f t="shared" si="387"/>
        <v>11</v>
      </c>
      <c r="J4873">
        <f t="shared" si="383"/>
        <v>-120.78</v>
      </c>
    </row>
    <row r="4874" spans="1:10" ht="12.5" x14ac:dyDescent="0.25">
      <c r="A4874" s="1">
        <v>45968</v>
      </c>
      <c r="B4874" s="2" t="s">
        <v>9</v>
      </c>
      <c r="C4874" s="3">
        <v>8.99</v>
      </c>
      <c r="D4874" s="3">
        <v>194</v>
      </c>
      <c r="E4874" s="3">
        <v>1744.06</v>
      </c>
      <c r="F4874" t="str">
        <f t="shared" si="384"/>
        <v>cogs</v>
      </c>
      <c r="G4874" s="7" t="str">
        <f t="shared" si="385"/>
        <v>product 3</v>
      </c>
      <c r="H4874">
        <f t="shared" si="386"/>
        <v>2025</v>
      </c>
      <c r="I4874">
        <f t="shared" si="387"/>
        <v>11</v>
      </c>
      <c r="J4874">
        <f t="shared" si="383"/>
        <v>-128.94</v>
      </c>
    </row>
    <row r="4875" spans="1:10" ht="12.5" x14ac:dyDescent="0.25">
      <c r="A4875" s="1">
        <v>45968</v>
      </c>
      <c r="B4875" s="2" t="s">
        <v>10</v>
      </c>
      <c r="C4875" s="2" t="s">
        <v>6</v>
      </c>
      <c r="D4875" s="2" t="s">
        <v>6</v>
      </c>
      <c r="E4875" s="3">
        <v>117.01</v>
      </c>
      <c r="F4875" t="str">
        <f t="shared" si="384"/>
        <v>marketing</v>
      </c>
      <c r="G4875" s="7" t="s">
        <v>6</v>
      </c>
      <c r="H4875">
        <f t="shared" si="386"/>
        <v>2025</v>
      </c>
      <c r="I4875">
        <f t="shared" si="387"/>
        <v>11</v>
      </c>
      <c r="J4875">
        <f t="shared" si="383"/>
        <v>-2157.6</v>
      </c>
    </row>
    <row r="4876" spans="1:10" ht="12.5" x14ac:dyDescent="0.25">
      <c r="A4876" s="1">
        <v>45968</v>
      </c>
      <c r="B4876" s="2" t="s">
        <v>11</v>
      </c>
      <c r="C4876" s="3">
        <v>9.99</v>
      </c>
      <c r="D4876" s="3">
        <v>72</v>
      </c>
      <c r="E4876" s="3">
        <v>719.28</v>
      </c>
      <c r="F4876" t="str">
        <f t="shared" si="384"/>
        <v>net sales</v>
      </c>
      <c r="G4876" s="7" t="str">
        <f t="shared" si="385"/>
        <v>product 1</v>
      </c>
      <c r="H4876">
        <f t="shared" si="386"/>
        <v>2025</v>
      </c>
      <c r="I4876">
        <f t="shared" si="387"/>
        <v>11</v>
      </c>
      <c r="J4876">
        <f t="shared" si="383"/>
        <v>-118.9</v>
      </c>
    </row>
    <row r="4877" spans="1:10" ht="12.5" x14ac:dyDescent="0.25">
      <c r="A4877" s="1">
        <v>45968</v>
      </c>
      <c r="B4877" s="2" t="s">
        <v>12</v>
      </c>
      <c r="C4877" s="3">
        <v>24.99</v>
      </c>
      <c r="D4877" s="3">
        <v>0</v>
      </c>
      <c r="E4877" s="2">
        <f>C4877*D4877</f>
        <v>0</v>
      </c>
      <c r="F4877" t="str">
        <f t="shared" si="384"/>
        <v>net sales</v>
      </c>
      <c r="G4877" s="7" t="str">
        <f t="shared" si="385"/>
        <v>product 2</v>
      </c>
      <c r="H4877">
        <f t="shared" si="386"/>
        <v>2025</v>
      </c>
      <c r="I4877">
        <f t="shared" si="387"/>
        <v>11</v>
      </c>
      <c r="J4877">
        <f t="shared" si="383"/>
        <v>219.78</v>
      </c>
    </row>
    <row r="4878" spans="1:10" ht="12.5" x14ac:dyDescent="0.25">
      <c r="A4878" s="1">
        <v>45968</v>
      </c>
      <c r="B4878" s="2" t="s">
        <v>13</v>
      </c>
      <c r="C4878" s="3">
        <v>12.49</v>
      </c>
      <c r="D4878" s="3">
        <v>194</v>
      </c>
      <c r="E4878" s="3">
        <v>2423.06</v>
      </c>
      <c r="F4878" t="str">
        <f t="shared" si="384"/>
        <v>net sales</v>
      </c>
      <c r="G4878" s="7" t="str">
        <f t="shared" si="385"/>
        <v>product 3</v>
      </c>
      <c r="H4878">
        <f t="shared" si="386"/>
        <v>2025</v>
      </c>
      <c r="I4878">
        <f t="shared" si="387"/>
        <v>11</v>
      </c>
      <c r="J4878">
        <f t="shared" si="383"/>
        <v>149.94</v>
      </c>
    </row>
    <row r="4879" spans="1:10" ht="12.5" x14ac:dyDescent="0.25">
      <c r="A4879" s="1">
        <v>45968</v>
      </c>
      <c r="B4879" s="2" t="s">
        <v>15</v>
      </c>
      <c r="C4879" s="2" t="s">
        <v>6</v>
      </c>
      <c r="D4879" s="2" t="s">
        <v>6</v>
      </c>
      <c r="E4879" s="3">
        <v>1200</v>
      </c>
      <c r="F4879" t="str">
        <f t="shared" si="384"/>
        <v>payroll</v>
      </c>
      <c r="G4879" s="7" t="s">
        <v>6</v>
      </c>
      <c r="H4879">
        <f t="shared" si="386"/>
        <v>2025</v>
      </c>
      <c r="I4879">
        <f t="shared" si="387"/>
        <v>11</v>
      </c>
      <c r="J4879">
        <f t="shared" si="383"/>
        <v>2997.6</v>
      </c>
    </row>
    <row r="4880" spans="1:10" ht="12.5" x14ac:dyDescent="0.25">
      <c r="A4880" s="1">
        <v>45969</v>
      </c>
      <c r="B4880" s="2" t="s">
        <v>7</v>
      </c>
      <c r="C4880" s="3">
        <v>5.49</v>
      </c>
      <c r="D4880" s="3">
        <v>3</v>
      </c>
      <c r="E4880" s="3">
        <v>16.47</v>
      </c>
      <c r="F4880" t="str">
        <f t="shared" si="384"/>
        <v>cogs</v>
      </c>
      <c r="G4880" s="7" t="str">
        <f t="shared" si="385"/>
        <v>product 1</v>
      </c>
      <c r="H4880">
        <f t="shared" si="386"/>
        <v>2025</v>
      </c>
      <c r="I4880">
        <f t="shared" si="387"/>
        <v>11</v>
      </c>
      <c r="J4880">
        <f t="shared" si="383"/>
        <v>-82.350000000000009</v>
      </c>
    </row>
    <row r="4881" spans="1:10" ht="12.5" x14ac:dyDescent="0.25">
      <c r="A4881" s="1">
        <v>45969</v>
      </c>
      <c r="B4881" s="2" t="s">
        <v>8</v>
      </c>
      <c r="C4881" s="3">
        <v>21.49</v>
      </c>
      <c r="D4881" s="3">
        <v>2</v>
      </c>
      <c r="E4881" s="3">
        <v>42.98</v>
      </c>
      <c r="F4881" t="str">
        <f t="shared" si="384"/>
        <v>cogs</v>
      </c>
      <c r="G4881" s="7" t="str">
        <f t="shared" si="385"/>
        <v>product 2</v>
      </c>
      <c r="H4881">
        <f t="shared" si="386"/>
        <v>2025</v>
      </c>
      <c r="I4881">
        <f t="shared" si="387"/>
        <v>11</v>
      </c>
      <c r="J4881">
        <f t="shared" si="383"/>
        <v>-64.47</v>
      </c>
    </row>
    <row r="4882" spans="1:10" ht="12.5" x14ac:dyDescent="0.25">
      <c r="A4882" s="1">
        <v>45969</v>
      </c>
      <c r="B4882" s="2" t="s">
        <v>9</v>
      </c>
      <c r="C4882" s="3">
        <v>8.99</v>
      </c>
      <c r="D4882" s="3">
        <v>107</v>
      </c>
      <c r="E4882" s="3">
        <v>961.93000000000006</v>
      </c>
      <c r="F4882" t="str">
        <f t="shared" si="384"/>
        <v>cogs</v>
      </c>
      <c r="G4882" s="7" t="str">
        <f t="shared" si="385"/>
        <v>product 3</v>
      </c>
      <c r="H4882">
        <f t="shared" si="386"/>
        <v>2025</v>
      </c>
      <c r="I4882">
        <f t="shared" si="387"/>
        <v>11</v>
      </c>
      <c r="J4882">
        <f t="shared" si="383"/>
        <v>-1887.9</v>
      </c>
    </row>
    <row r="4883" spans="1:10" ht="12.5" x14ac:dyDescent="0.25">
      <c r="A4883" s="1">
        <v>45969</v>
      </c>
      <c r="B4883" s="2" t="s">
        <v>10</v>
      </c>
      <c r="C4883" s="2" t="s">
        <v>6</v>
      </c>
      <c r="D4883" s="2" t="s">
        <v>6</v>
      </c>
      <c r="E4883" s="3">
        <v>105.09</v>
      </c>
      <c r="F4883" t="str">
        <f t="shared" si="384"/>
        <v>marketing</v>
      </c>
      <c r="G4883" s="7" t="s">
        <v>6</v>
      </c>
      <c r="H4883">
        <f t="shared" si="386"/>
        <v>2025</v>
      </c>
      <c r="I4883">
        <f t="shared" si="387"/>
        <v>11</v>
      </c>
      <c r="J4883">
        <f t="shared" si="383"/>
        <v>-115.95</v>
      </c>
    </row>
    <row r="4884" spans="1:10" ht="12.5" x14ac:dyDescent="0.25">
      <c r="A4884" s="1">
        <v>45969</v>
      </c>
      <c r="B4884" s="2" t="s">
        <v>11</v>
      </c>
      <c r="C4884" s="3">
        <v>9.99</v>
      </c>
      <c r="D4884" s="3">
        <v>3</v>
      </c>
      <c r="E4884" s="3">
        <v>29.97</v>
      </c>
      <c r="F4884" t="str">
        <f t="shared" si="384"/>
        <v>net sales</v>
      </c>
      <c r="G4884" s="7" t="str">
        <f t="shared" si="385"/>
        <v>product 1</v>
      </c>
      <c r="H4884">
        <f t="shared" si="386"/>
        <v>2025</v>
      </c>
      <c r="I4884">
        <f t="shared" si="387"/>
        <v>11</v>
      </c>
      <c r="J4884">
        <f t="shared" si="383"/>
        <v>149.85</v>
      </c>
    </row>
    <row r="4885" spans="1:10" ht="12.5" x14ac:dyDescent="0.25">
      <c r="A4885" s="1">
        <v>45969</v>
      </c>
      <c r="B4885" s="2" t="s">
        <v>12</v>
      </c>
      <c r="C4885" s="3">
        <v>24.99</v>
      </c>
      <c r="D4885" s="3">
        <v>2</v>
      </c>
      <c r="E4885" s="3">
        <v>49.98</v>
      </c>
      <c r="F4885" t="str">
        <f t="shared" si="384"/>
        <v>net sales</v>
      </c>
      <c r="G4885" s="7" t="str">
        <f t="shared" si="385"/>
        <v>product 2</v>
      </c>
      <c r="H4885">
        <f t="shared" si="386"/>
        <v>2025</v>
      </c>
      <c r="I4885">
        <f t="shared" si="387"/>
        <v>11</v>
      </c>
      <c r="J4885">
        <f t="shared" si="383"/>
        <v>74.97</v>
      </c>
    </row>
    <row r="4886" spans="1:10" ht="12.5" x14ac:dyDescent="0.25">
      <c r="A4886" s="1">
        <v>45969</v>
      </c>
      <c r="B4886" s="2" t="s">
        <v>13</v>
      </c>
      <c r="C4886" s="3">
        <v>12.49</v>
      </c>
      <c r="D4886" s="3">
        <v>107</v>
      </c>
      <c r="E4886" s="3">
        <v>1336.43</v>
      </c>
      <c r="F4886" t="str">
        <f t="shared" si="384"/>
        <v>net sales</v>
      </c>
      <c r="G4886" s="7" t="str">
        <f t="shared" si="385"/>
        <v>product 3</v>
      </c>
      <c r="H4886">
        <f t="shared" si="386"/>
        <v>2025</v>
      </c>
      <c r="I4886">
        <f t="shared" si="387"/>
        <v>11</v>
      </c>
      <c r="J4886">
        <f t="shared" si="383"/>
        <v>2622.9</v>
      </c>
    </row>
    <row r="4887" spans="1:10" ht="12.5" x14ac:dyDescent="0.25">
      <c r="A4887" s="1">
        <v>45970</v>
      </c>
      <c r="B4887" s="2" t="s">
        <v>7</v>
      </c>
      <c r="C4887" s="3">
        <v>5.49</v>
      </c>
      <c r="D4887" s="3">
        <v>16</v>
      </c>
      <c r="E4887" s="3">
        <v>87.84</v>
      </c>
      <c r="F4887" t="str">
        <f t="shared" si="384"/>
        <v>cogs</v>
      </c>
      <c r="G4887" s="7" t="str">
        <f t="shared" si="385"/>
        <v>product 1</v>
      </c>
      <c r="H4887">
        <f t="shared" si="386"/>
        <v>2025</v>
      </c>
      <c r="I4887">
        <f t="shared" si="387"/>
        <v>11</v>
      </c>
      <c r="J4887">
        <f t="shared" si="383"/>
        <v>-159.21</v>
      </c>
    </row>
    <row r="4888" spans="1:10" ht="12.5" x14ac:dyDescent="0.25">
      <c r="A4888" s="1">
        <v>45970</v>
      </c>
      <c r="B4888" s="2" t="s">
        <v>8</v>
      </c>
      <c r="C4888" s="3">
        <v>21.49</v>
      </c>
      <c r="D4888" s="3">
        <v>1</v>
      </c>
      <c r="E4888" s="3">
        <v>21.49</v>
      </c>
      <c r="F4888" t="str">
        <f t="shared" si="384"/>
        <v>cogs</v>
      </c>
      <c r="G4888" s="7" t="str">
        <f t="shared" si="385"/>
        <v>product 2</v>
      </c>
      <c r="H4888">
        <f t="shared" si="386"/>
        <v>2025</v>
      </c>
      <c r="I4888">
        <f t="shared" si="387"/>
        <v>11</v>
      </c>
      <c r="J4888">
        <f t="shared" si="383"/>
        <v>0</v>
      </c>
    </row>
    <row r="4889" spans="1:10" ht="12.5" x14ac:dyDescent="0.25">
      <c r="A4889" s="1">
        <v>45970</v>
      </c>
      <c r="B4889" s="2" t="s">
        <v>9</v>
      </c>
      <c r="C4889" s="3">
        <v>8.99</v>
      </c>
      <c r="D4889" s="3">
        <v>24</v>
      </c>
      <c r="E4889" s="3">
        <v>215.76</v>
      </c>
      <c r="F4889" t="str">
        <f t="shared" si="384"/>
        <v>cogs</v>
      </c>
      <c r="G4889" s="7" t="str">
        <f t="shared" si="385"/>
        <v>product 3</v>
      </c>
      <c r="H4889">
        <f t="shared" si="386"/>
        <v>2025</v>
      </c>
      <c r="I4889">
        <f t="shared" si="387"/>
        <v>11</v>
      </c>
      <c r="J4889">
        <f t="shared" si="383"/>
        <v>-1815.98</v>
      </c>
    </row>
    <row r="4890" spans="1:10" ht="12.5" x14ac:dyDescent="0.25">
      <c r="A4890" s="1">
        <v>45970</v>
      </c>
      <c r="B4890" s="2" t="s">
        <v>10</v>
      </c>
      <c r="C4890" s="2" t="s">
        <v>6</v>
      </c>
      <c r="D4890" s="2" t="s">
        <v>6</v>
      </c>
      <c r="E4890" s="3">
        <v>107.10000000000001</v>
      </c>
      <c r="F4890" t="str">
        <f t="shared" si="384"/>
        <v>marketing</v>
      </c>
      <c r="G4890" s="7" t="s">
        <v>6</v>
      </c>
      <c r="H4890">
        <f t="shared" si="386"/>
        <v>2025</v>
      </c>
      <c r="I4890">
        <f t="shared" si="387"/>
        <v>11</v>
      </c>
      <c r="J4890">
        <f t="shared" si="383"/>
        <v>-113.97</v>
      </c>
    </row>
    <row r="4891" spans="1:10" ht="12.5" x14ac:dyDescent="0.25">
      <c r="A4891" s="1">
        <v>45970</v>
      </c>
      <c r="B4891" s="2" t="s">
        <v>11</v>
      </c>
      <c r="C4891" s="3">
        <v>9.99</v>
      </c>
      <c r="D4891" s="3">
        <v>16</v>
      </c>
      <c r="E4891" s="3">
        <v>159.84</v>
      </c>
      <c r="F4891" t="str">
        <f t="shared" si="384"/>
        <v>net sales</v>
      </c>
      <c r="G4891" s="7" t="str">
        <f t="shared" si="385"/>
        <v>product 1</v>
      </c>
      <c r="H4891">
        <f t="shared" si="386"/>
        <v>2025</v>
      </c>
      <c r="I4891">
        <f t="shared" si="387"/>
        <v>11</v>
      </c>
      <c r="J4891">
        <f t="shared" si="383"/>
        <v>289.70999999999998</v>
      </c>
    </row>
    <row r="4892" spans="1:10" ht="12.5" x14ac:dyDescent="0.25">
      <c r="A4892" s="1">
        <v>45970</v>
      </c>
      <c r="B4892" s="2" t="s">
        <v>12</v>
      </c>
      <c r="C4892" s="3">
        <v>24.99</v>
      </c>
      <c r="D4892" s="3">
        <v>1</v>
      </c>
      <c r="E4892" s="3">
        <v>24.99</v>
      </c>
      <c r="F4892" t="str">
        <f t="shared" si="384"/>
        <v>net sales</v>
      </c>
      <c r="G4892" s="7" t="str">
        <f t="shared" si="385"/>
        <v>product 2</v>
      </c>
      <c r="H4892">
        <f t="shared" si="386"/>
        <v>2025</v>
      </c>
      <c r="I4892">
        <f t="shared" si="387"/>
        <v>11</v>
      </c>
      <c r="J4892">
        <f t="shared" ref="J4892:J4955" si="388">IF(F4675="net sales",E4675,
IF(F4675="cogs",-E4675,
IF(OR(F4675="marketing",F4675="overhead",F4675="payroll",F4675="interest","amortization"),-E4675,0)))</f>
        <v>0</v>
      </c>
    </row>
    <row r="4893" spans="1:10" ht="12.5" x14ac:dyDescent="0.25">
      <c r="A4893" s="1">
        <v>45970</v>
      </c>
      <c r="B4893" s="2" t="s">
        <v>13</v>
      </c>
      <c r="C4893" s="3">
        <v>12.49</v>
      </c>
      <c r="D4893" s="3">
        <v>24</v>
      </c>
      <c r="E4893" s="3">
        <v>299.76</v>
      </c>
      <c r="F4893" t="str">
        <f t="shared" si="384"/>
        <v>net sales</v>
      </c>
      <c r="G4893" s="7" t="str">
        <f t="shared" si="385"/>
        <v>product 3</v>
      </c>
      <c r="H4893">
        <f t="shared" si="386"/>
        <v>2025</v>
      </c>
      <c r="I4893">
        <f t="shared" si="387"/>
        <v>11</v>
      </c>
      <c r="J4893">
        <f t="shared" si="388"/>
        <v>2522.98</v>
      </c>
    </row>
    <row r="4894" spans="1:10" ht="12.5" x14ac:dyDescent="0.25">
      <c r="A4894" s="1">
        <v>45971</v>
      </c>
      <c r="B4894" s="2" t="s">
        <v>7</v>
      </c>
      <c r="C4894" s="3">
        <v>5.49</v>
      </c>
      <c r="D4894" s="3">
        <v>46</v>
      </c>
      <c r="E4894" s="3">
        <v>252.54000000000002</v>
      </c>
      <c r="F4894" t="str">
        <f t="shared" si="384"/>
        <v>cogs</v>
      </c>
      <c r="G4894" s="7" t="str">
        <f t="shared" si="385"/>
        <v>product 1</v>
      </c>
      <c r="H4894">
        <f t="shared" si="386"/>
        <v>2025</v>
      </c>
      <c r="I4894">
        <f t="shared" si="387"/>
        <v>11</v>
      </c>
      <c r="J4894">
        <f t="shared" si="388"/>
        <v>-1200</v>
      </c>
    </row>
    <row r="4895" spans="1:10" ht="12.5" x14ac:dyDescent="0.25">
      <c r="A4895" s="1">
        <v>45971</v>
      </c>
      <c r="B4895" s="2" t="s">
        <v>8</v>
      </c>
      <c r="C4895" s="3">
        <v>21.49</v>
      </c>
      <c r="D4895" s="3">
        <v>1</v>
      </c>
      <c r="E4895" s="3">
        <v>21.49</v>
      </c>
      <c r="F4895" t="str">
        <f t="shared" si="384"/>
        <v>cogs</v>
      </c>
      <c r="G4895" s="7" t="str">
        <f t="shared" si="385"/>
        <v>product 2</v>
      </c>
      <c r="H4895">
        <f t="shared" si="386"/>
        <v>2025</v>
      </c>
      <c r="I4895">
        <f t="shared" si="387"/>
        <v>11</v>
      </c>
      <c r="J4895">
        <f t="shared" si="388"/>
        <v>-411.75</v>
      </c>
    </row>
    <row r="4896" spans="1:10" ht="12.5" x14ac:dyDescent="0.25">
      <c r="A4896" s="1">
        <v>45971</v>
      </c>
      <c r="B4896" s="2" t="s">
        <v>9</v>
      </c>
      <c r="C4896" s="3">
        <v>8.99</v>
      </c>
      <c r="D4896" s="3">
        <v>138</v>
      </c>
      <c r="E4896" s="3">
        <v>1240.6200000000001</v>
      </c>
      <c r="F4896" t="str">
        <f t="shared" si="384"/>
        <v>cogs</v>
      </c>
      <c r="G4896" s="7" t="str">
        <f t="shared" si="385"/>
        <v>product 3</v>
      </c>
      <c r="H4896">
        <f t="shared" si="386"/>
        <v>2025</v>
      </c>
      <c r="I4896">
        <f t="shared" si="387"/>
        <v>11</v>
      </c>
      <c r="J4896">
        <f t="shared" si="388"/>
        <v>-21.49</v>
      </c>
    </row>
    <row r="4897" spans="1:10" ht="12.5" x14ac:dyDescent="0.25">
      <c r="A4897" s="1">
        <v>45971</v>
      </c>
      <c r="B4897" s="2" t="s">
        <v>10</v>
      </c>
      <c r="C4897" s="2" t="s">
        <v>6</v>
      </c>
      <c r="D4897" s="2" t="s">
        <v>6</v>
      </c>
      <c r="E4897" s="3">
        <v>114.94</v>
      </c>
      <c r="F4897" t="str">
        <f t="shared" si="384"/>
        <v>marketing</v>
      </c>
      <c r="G4897" s="7" t="s">
        <v>6</v>
      </c>
      <c r="H4897">
        <f t="shared" si="386"/>
        <v>2025</v>
      </c>
      <c r="I4897">
        <f t="shared" si="387"/>
        <v>11</v>
      </c>
      <c r="J4897">
        <f t="shared" si="388"/>
        <v>-467.48</v>
      </c>
    </row>
    <row r="4898" spans="1:10" ht="12.5" x14ac:dyDescent="0.25">
      <c r="A4898" s="1">
        <v>45971</v>
      </c>
      <c r="B4898" s="2" t="s">
        <v>11</v>
      </c>
      <c r="C4898" s="3">
        <v>9.99</v>
      </c>
      <c r="D4898" s="3">
        <v>46</v>
      </c>
      <c r="E4898" s="3">
        <v>459.54</v>
      </c>
      <c r="F4898" t="str">
        <f t="shared" si="384"/>
        <v>net sales</v>
      </c>
      <c r="G4898" s="7" t="str">
        <f t="shared" si="385"/>
        <v>product 1</v>
      </c>
      <c r="H4898">
        <f t="shared" si="386"/>
        <v>2025</v>
      </c>
      <c r="I4898">
        <f t="shared" si="387"/>
        <v>11</v>
      </c>
      <c r="J4898">
        <f t="shared" si="388"/>
        <v>-105.01</v>
      </c>
    </row>
    <row r="4899" spans="1:10" ht="12.5" x14ac:dyDescent="0.25">
      <c r="A4899" s="1">
        <v>45971</v>
      </c>
      <c r="B4899" s="2" t="s">
        <v>12</v>
      </c>
      <c r="C4899" s="3">
        <v>24.99</v>
      </c>
      <c r="D4899" s="3">
        <v>1</v>
      </c>
      <c r="E4899" s="3">
        <v>24.99</v>
      </c>
      <c r="F4899" t="str">
        <f t="shared" si="384"/>
        <v>net sales</v>
      </c>
      <c r="G4899" s="7" t="str">
        <f t="shared" si="385"/>
        <v>product 2</v>
      </c>
      <c r="H4899">
        <f t="shared" si="386"/>
        <v>2025</v>
      </c>
      <c r="I4899">
        <f t="shared" si="387"/>
        <v>11</v>
      </c>
      <c r="J4899">
        <f t="shared" si="388"/>
        <v>749.25</v>
      </c>
    </row>
    <row r="4900" spans="1:10" ht="12.5" x14ac:dyDescent="0.25">
      <c r="A4900" s="1">
        <v>45971</v>
      </c>
      <c r="B4900" s="2" t="s">
        <v>13</v>
      </c>
      <c r="C4900" s="3">
        <v>12.49</v>
      </c>
      <c r="D4900" s="3">
        <v>138</v>
      </c>
      <c r="E4900" s="3">
        <v>1723.6200000000001</v>
      </c>
      <c r="F4900" t="str">
        <f t="shared" si="384"/>
        <v>net sales</v>
      </c>
      <c r="G4900" s="7" t="str">
        <f t="shared" si="385"/>
        <v>product 3</v>
      </c>
      <c r="H4900">
        <f t="shared" si="386"/>
        <v>2025</v>
      </c>
      <c r="I4900">
        <f t="shared" si="387"/>
        <v>11</v>
      </c>
      <c r="J4900">
        <f t="shared" si="388"/>
        <v>24.99</v>
      </c>
    </row>
    <row r="4901" spans="1:10" ht="12.5" x14ac:dyDescent="0.25">
      <c r="A4901" s="1">
        <v>45972</v>
      </c>
      <c r="B4901" s="2" t="s">
        <v>7</v>
      </c>
      <c r="C4901" s="3">
        <v>5.49</v>
      </c>
      <c r="D4901" s="3">
        <v>10</v>
      </c>
      <c r="E4901" s="3">
        <v>54.900000000000006</v>
      </c>
      <c r="F4901" t="str">
        <f t="shared" si="384"/>
        <v>cogs</v>
      </c>
      <c r="G4901" s="7" t="str">
        <f t="shared" si="385"/>
        <v>product 1</v>
      </c>
      <c r="H4901">
        <f t="shared" si="386"/>
        <v>2025</v>
      </c>
      <c r="I4901">
        <f t="shared" si="387"/>
        <v>11</v>
      </c>
      <c r="J4901">
        <f t="shared" si="388"/>
        <v>649.48</v>
      </c>
    </row>
    <row r="4902" spans="1:10" ht="12.5" x14ac:dyDescent="0.25">
      <c r="A4902" s="1">
        <v>45972</v>
      </c>
      <c r="B4902" s="2" t="s">
        <v>8</v>
      </c>
      <c r="C4902" s="3">
        <v>21.49</v>
      </c>
      <c r="D4902" s="3">
        <v>2</v>
      </c>
      <c r="E4902" s="3">
        <v>42.98</v>
      </c>
      <c r="F4902" t="str">
        <f t="shared" si="384"/>
        <v>cogs</v>
      </c>
      <c r="G4902" s="7" t="str">
        <f t="shared" si="385"/>
        <v>product 2</v>
      </c>
      <c r="H4902">
        <f t="shared" si="386"/>
        <v>2025</v>
      </c>
      <c r="I4902">
        <f t="shared" si="387"/>
        <v>11</v>
      </c>
      <c r="J4902">
        <f t="shared" si="388"/>
        <v>-230.58</v>
      </c>
    </row>
    <row r="4903" spans="1:10" ht="12.5" x14ac:dyDescent="0.25">
      <c r="A4903" s="1">
        <v>45972</v>
      </c>
      <c r="B4903" s="2" t="s">
        <v>9</v>
      </c>
      <c r="C4903" s="3">
        <v>8.99</v>
      </c>
      <c r="D4903" s="3">
        <v>217</v>
      </c>
      <c r="E4903" s="3">
        <v>1950.8300000000002</v>
      </c>
      <c r="F4903" t="str">
        <f t="shared" si="384"/>
        <v>cogs</v>
      </c>
      <c r="G4903" s="7" t="str">
        <f t="shared" si="385"/>
        <v>product 3</v>
      </c>
      <c r="H4903">
        <f t="shared" si="386"/>
        <v>2025</v>
      </c>
      <c r="I4903">
        <f t="shared" si="387"/>
        <v>11</v>
      </c>
      <c r="J4903">
        <f t="shared" si="388"/>
        <v>-42.98</v>
      </c>
    </row>
    <row r="4904" spans="1:10" ht="12.5" x14ac:dyDescent="0.25">
      <c r="A4904" s="1">
        <v>45972</v>
      </c>
      <c r="B4904" s="2" t="s">
        <v>10</v>
      </c>
      <c r="C4904" s="2" t="s">
        <v>6</v>
      </c>
      <c r="D4904" s="2" t="s">
        <v>6</v>
      </c>
      <c r="E4904" s="3">
        <v>102.94</v>
      </c>
      <c r="F4904" t="str">
        <f t="shared" si="384"/>
        <v>marketing</v>
      </c>
      <c r="G4904" s="7" t="s">
        <v>6</v>
      </c>
      <c r="H4904">
        <f t="shared" si="386"/>
        <v>2025</v>
      </c>
      <c r="I4904">
        <f t="shared" si="387"/>
        <v>11</v>
      </c>
      <c r="J4904">
        <f t="shared" si="388"/>
        <v>-1240.6200000000001</v>
      </c>
    </row>
    <row r="4905" spans="1:10" ht="12.5" x14ac:dyDescent="0.25">
      <c r="A4905" s="1">
        <v>45972</v>
      </c>
      <c r="B4905" s="2" t="s">
        <v>11</v>
      </c>
      <c r="C4905" s="3">
        <v>9.99</v>
      </c>
      <c r="D4905" s="3">
        <v>10</v>
      </c>
      <c r="E4905" s="3">
        <v>99.9</v>
      </c>
      <c r="F4905" t="str">
        <f t="shared" si="384"/>
        <v>net sales</v>
      </c>
      <c r="G4905" s="7" t="str">
        <f t="shared" si="385"/>
        <v>product 1</v>
      </c>
      <c r="H4905">
        <f t="shared" si="386"/>
        <v>2025</v>
      </c>
      <c r="I4905">
        <f t="shared" si="387"/>
        <v>11</v>
      </c>
      <c r="J4905">
        <f t="shared" si="388"/>
        <v>-119.91</v>
      </c>
    </row>
    <row r="4906" spans="1:10" ht="12.5" x14ac:dyDescent="0.25">
      <c r="A4906" s="1">
        <v>45972</v>
      </c>
      <c r="B4906" s="2" t="s">
        <v>12</v>
      </c>
      <c r="C4906" s="3">
        <v>24.99</v>
      </c>
      <c r="D4906" s="3">
        <v>2</v>
      </c>
      <c r="E4906" s="3">
        <v>49.98</v>
      </c>
      <c r="F4906" t="str">
        <f t="shared" si="384"/>
        <v>net sales</v>
      </c>
      <c r="G4906" s="7" t="str">
        <f t="shared" si="385"/>
        <v>product 2</v>
      </c>
      <c r="H4906">
        <f t="shared" si="386"/>
        <v>2025</v>
      </c>
      <c r="I4906">
        <f t="shared" si="387"/>
        <v>11</v>
      </c>
      <c r="J4906">
        <f t="shared" si="388"/>
        <v>419.58</v>
      </c>
    </row>
    <row r="4907" spans="1:10" ht="12.5" x14ac:dyDescent="0.25">
      <c r="A4907" s="1">
        <v>45972</v>
      </c>
      <c r="B4907" s="2" t="s">
        <v>13</v>
      </c>
      <c r="C4907" s="3">
        <v>12.49</v>
      </c>
      <c r="D4907" s="3">
        <v>217</v>
      </c>
      <c r="E4907" s="3">
        <v>2710.33</v>
      </c>
      <c r="F4907" t="str">
        <f t="shared" si="384"/>
        <v>net sales</v>
      </c>
      <c r="G4907" s="7" t="str">
        <f t="shared" si="385"/>
        <v>product 3</v>
      </c>
      <c r="H4907">
        <f t="shared" si="386"/>
        <v>2025</v>
      </c>
      <c r="I4907">
        <f t="shared" si="387"/>
        <v>11</v>
      </c>
      <c r="J4907">
        <f t="shared" si="388"/>
        <v>49.98</v>
      </c>
    </row>
    <row r="4908" spans="1:10" ht="12.5" x14ac:dyDescent="0.25">
      <c r="A4908" s="1">
        <v>45973</v>
      </c>
      <c r="B4908" s="2" t="s">
        <v>7</v>
      </c>
      <c r="C4908" s="3">
        <v>5.49</v>
      </c>
      <c r="D4908" s="3">
        <v>72</v>
      </c>
      <c r="E4908" s="3">
        <v>395.28000000000003</v>
      </c>
      <c r="F4908" t="str">
        <f t="shared" si="384"/>
        <v>cogs</v>
      </c>
      <c r="G4908" s="7" t="str">
        <f t="shared" si="385"/>
        <v>product 1</v>
      </c>
      <c r="H4908">
        <f t="shared" si="386"/>
        <v>2025</v>
      </c>
      <c r="I4908">
        <f t="shared" si="387"/>
        <v>11</v>
      </c>
      <c r="J4908">
        <f t="shared" si="388"/>
        <v>1723.6200000000001</v>
      </c>
    </row>
    <row r="4909" spans="1:10" ht="12.5" x14ac:dyDescent="0.25">
      <c r="A4909" s="1">
        <v>45973</v>
      </c>
      <c r="B4909" s="2" t="s">
        <v>8</v>
      </c>
      <c r="C4909" s="3">
        <v>21.49</v>
      </c>
      <c r="D4909" s="3">
        <v>6</v>
      </c>
      <c r="E4909" s="3">
        <v>128.94</v>
      </c>
      <c r="F4909" t="str">
        <f t="shared" si="384"/>
        <v>cogs</v>
      </c>
      <c r="G4909" s="7" t="str">
        <f t="shared" si="385"/>
        <v>product 2</v>
      </c>
      <c r="H4909">
        <f t="shared" si="386"/>
        <v>2025</v>
      </c>
      <c r="I4909">
        <f t="shared" si="387"/>
        <v>11</v>
      </c>
      <c r="J4909">
        <f t="shared" si="388"/>
        <v>-433.71000000000004</v>
      </c>
    </row>
    <row r="4910" spans="1:10" ht="12.5" x14ac:dyDescent="0.25">
      <c r="A4910" s="1">
        <v>45973</v>
      </c>
      <c r="B4910" s="2" t="s">
        <v>9</v>
      </c>
      <c r="C4910" s="3">
        <v>8.99</v>
      </c>
      <c r="D4910" s="3">
        <v>86</v>
      </c>
      <c r="E4910" s="3">
        <v>773.14</v>
      </c>
      <c r="F4910" t="str">
        <f t="shared" si="384"/>
        <v>cogs</v>
      </c>
      <c r="G4910" s="7" t="str">
        <f t="shared" si="385"/>
        <v>product 3</v>
      </c>
      <c r="H4910">
        <f t="shared" si="386"/>
        <v>2025</v>
      </c>
      <c r="I4910">
        <f t="shared" si="387"/>
        <v>11</v>
      </c>
      <c r="J4910">
        <f t="shared" si="388"/>
        <v>-171.92</v>
      </c>
    </row>
    <row r="4911" spans="1:10" ht="12.5" x14ac:dyDescent="0.25">
      <c r="A4911" s="1">
        <v>45973</v>
      </c>
      <c r="B4911" s="2" t="s">
        <v>10</v>
      </c>
      <c r="C4911" s="2" t="s">
        <v>6</v>
      </c>
      <c r="D4911" s="2" t="s">
        <v>6</v>
      </c>
      <c r="E4911" s="3">
        <v>111.92</v>
      </c>
      <c r="F4911" t="str">
        <f t="shared" si="384"/>
        <v>marketing</v>
      </c>
      <c r="G4911" s="7" t="s">
        <v>6</v>
      </c>
      <c r="H4911">
        <f t="shared" si="386"/>
        <v>2025</v>
      </c>
      <c r="I4911">
        <f t="shared" si="387"/>
        <v>11</v>
      </c>
      <c r="J4911">
        <f t="shared" si="388"/>
        <v>-620.31000000000006</v>
      </c>
    </row>
    <row r="4912" spans="1:10" ht="12.5" x14ac:dyDescent="0.25">
      <c r="A4912" s="1">
        <v>45973</v>
      </c>
      <c r="B4912" s="2" t="s">
        <v>11</v>
      </c>
      <c r="C4912" s="3">
        <v>9.99</v>
      </c>
      <c r="D4912" s="3">
        <v>72</v>
      </c>
      <c r="E4912" s="3">
        <v>719.28</v>
      </c>
      <c r="F4912" t="str">
        <f t="shared" si="384"/>
        <v>net sales</v>
      </c>
      <c r="G4912" s="7" t="str">
        <f t="shared" si="385"/>
        <v>product 1</v>
      </c>
      <c r="H4912">
        <f t="shared" si="386"/>
        <v>2025</v>
      </c>
      <c r="I4912">
        <f t="shared" si="387"/>
        <v>11</v>
      </c>
      <c r="J4912">
        <f t="shared" si="388"/>
        <v>-119.99000000000001</v>
      </c>
    </row>
    <row r="4913" spans="1:10" ht="12.5" x14ac:dyDescent="0.25">
      <c r="A4913" s="1">
        <v>45973</v>
      </c>
      <c r="B4913" s="2" t="s">
        <v>12</v>
      </c>
      <c r="C4913" s="3">
        <v>24.99</v>
      </c>
      <c r="D4913" s="3">
        <v>6</v>
      </c>
      <c r="E4913" s="3">
        <v>149.94</v>
      </c>
      <c r="F4913" t="str">
        <f t="shared" si="384"/>
        <v>net sales</v>
      </c>
      <c r="G4913" s="7" t="str">
        <f t="shared" si="385"/>
        <v>product 2</v>
      </c>
      <c r="H4913">
        <f t="shared" si="386"/>
        <v>2025</v>
      </c>
      <c r="I4913">
        <f t="shared" si="387"/>
        <v>11</v>
      </c>
      <c r="J4913">
        <f t="shared" si="388"/>
        <v>789.21</v>
      </c>
    </row>
    <row r="4914" spans="1:10" ht="12.5" x14ac:dyDescent="0.25">
      <c r="A4914" s="1">
        <v>45973</v>
      </c>
      <c r="B4914" s="2" t="s">
        <v>13</v>
      </c>
      <c r="C4914" s="3">
        <v>12.49</v>
      </c>
      <c r="D4914" s="3">
        <v>86</v>
      </c>
      <c r="E4914" s="3">
        <v>1074.1400000000001</v>
      </c>
      <c r="F4914" t="str">
        <f t="shared" si="384"/>
        <v>net sales</v>
      </c>
      <c r="G4914" s="7" t="str">
        <f t="shared" si="385"/>
        <v>product 3</v>
      </c>
      <c r="H4914">
        <f t="shared" si="386"/>
        <v>2025</v>
      </c>
      <c r="I4914">
        <f t="shared" si="387"/>
        <v>11</v>
      </c>
      <c r="J4914">
        <f t="shared" si="388"/>
        <v>199.92</v>
      </c>
    </row>
    <row r="4915" spans="1:10" ht="12.5" x14ac:dyDescent="0.25">
      <c r="A4915" s="1">
        <v>45974</v>
      </c>
      <c r="B4915" s="2" t="s">
        <v>7</v>
      </c>
      <c r="C4915" s="3">
        <v>5.49</v>
      </c>
      <c r="D4915" s="3">
        <v>46</v>
      </c>
      <c r="E4915" s="3">
        <v>252.54000000000002</v>
      </c>
      <c r="F4915" t="str">
        <f t="shared" si="384"/>
        <v>cogs</v>
      </c>
      <c r="G4915" s="7" t="str">
        <f t="shared" si="385"/>
        <v>product 1</v>
      </c>
      <c r="H4915">
        <f t="shared" si="386"/>
        <v>2025</v>
      </c>
      <c r="I4915">
        <f t="shared" si="387"/>
        <v>11</v>
      </c>
      <c r="J4915">
        <f t="shared" si="388"/>
        <v>861.81000000000006</v>
      </c>
    </row>
    <row r="4916" spans="1:10" ht="12.5" x14ac:dyDescent="0.25">
      <c r="A4916" s="1">
        <v>45974</v>
      </c>
      <c r="B4916" s="2" t="s">
        <v>8</v>
      </c>
      <c r="C4916" s="3">
        <v>21.49</v>
      </c>
      <c r="D4916" s="3">
        <v>5</v>
      </c>
      <c r="E4916" s="3">
        <v>107.44999999999999</v>
      </c>
      <c r="F4916" t="str">
        <f t="shared" si="384"/>
        <v>cogs</v>
      </c>
      <c r="G4916" s="7" t="str">
        <f t="shared" si="385"/>
        <v>product 2</v>
      </c>
      <c r="H4916">
        <f t="shared" si="386"/>
        <v>2025</v>
      </c>
      <c r="I4916">
        <f t="shared" si="387"/>
        <v>11</v>
      </c>
      <c r="J4916">
        <f t="shared" si="388"/>
        <v>-433.71000000000004</v>
      </c>
    </row>
    <row r="4917" spans="1:10" ht="12.5" x14ac:dyDescent="0.25">
      <c r="A4917" s="1">
        <v>45974</v>
      </c>
      <c r="B4917" s="2" t="s">
        <v>9</v>
      </c>
      <c r="C4917" s="3">
        <v>8.99</v>
      </c>
      <c r="D4917" s="3">
        <v>104</v>
      </c>
      <c r="E4917" s="3">
        <v>934.96</v>
      </c>
      <c r="F4917" t="str">
        <f t="shared" si="384"/>
        <v>cogs</v>
      </c>
      <c r="G4917" s="7" t="str">
        <f t="shared" si="385"/>
        <v>product 3</v>
      </c>
      <c r="H4917">
        <f t="shared" si="386"/>
        <v>2025</v>
      </c>
      <c r="I4917">
        <f t="shared" si="387"/>
        <v>11</v>
      </c>
      <c r="J4917">
        <f t="shared" si="388"/>
        <v>-85.96</v>
      </c>
    </row>
    <row r="4918" spans="1:10" ht="12.5" x14ac:dyDescent="0.25">
      <c r="A4918" s="1">
        <v>45974</v>
      </c>
      <c r="B4918" s="2" t="s">
        <v>10</v>
      </c>
      <c r="C4918" s="2" t="s">
        <v>6</v>
      </c>
      <c r="D4918" s="2" t="s">
        <v>6</v>
      </c>
      <c r="E4918" s="3">
        <v>110.03</v>
      </c>
      <c r="F4918" t="str">
        <f t="shared" si="384"/>
        <v>marketing</v>
      </c>
      <c r="G4918" s="7" t="s">
        <v>6</v>
      </c>
      <c r="H4918">
        <f t="shared" si="386"/>
        <v>2025</v>
      </c>
      <c r="I4918">
        <f t="shared" si="387"/>
        <v>11</v>
      </c>
      <c r="J4918">
        <f t="shared" si="388"/>
        <v>-1681.13</v>
      </c>
    </row>
    <row r="4919" spans="1:10" ht="12.5" x14ac:dyDescent="0.25">
      <c r="A4919" s="1">
        <v>45974</v>
      </c>
      <c r="B4919" s="2" t="s">
        <v>11</v>
      </c>
      <c r="C4919" s="3">
        <v>9.99</v>
      </c>
      <c r="D4919" s="3">
        <v>46</v>
      </c>
      <c r="E4919" s="3">
        <v>459.54</v>
      </c>
      <c r="F4919" t="str">
        <f t="shared" si="384"/>
        <v>net sales</v>
      </c>
      <c r="G4919" s="7" t="str">
        <f t="shared" si="385"/>
        <v>product 1</v>
      </c>
      <c r="H4919">
        <f t="shared" si="386"/>
        <v>2025</v>
      </c>
      <c r="I4919">
        <f t="shared" si="387"/>
        <v>11</v>
      </c>
      <c r="J4919">
        <f t="shared" si="388"/>
        <v>-109.04</v>
      </c>
    </row>
    <row r="4920" spans="1:10" ht="12.5" x14ac:dyDescent="0.25">
      <c r="A4920" s="1">
        <v>45974</v>
      </c>
      <c r="B4920" s="2" t="s">
        <v>12</v>
      </c>
      <c r="C4920" s="3">
        <v>24.99</v>
      </c>
      <c r="D4920" s="3">
        <v>5</v>
      </c>
      <c r="E4920" s="3">
        <v>124.94999999999999</v>
      </c>
      <c r="F4920" t="str">
        <f t="shared" si="384"/>
        <v>net sales</v>
      </c>
      <c r="G4920" s="7" t="str">
        <f t="shared" si="385"/>
        <v>product 2</v>
      </c>
      <c r="H4920">
        <f t="shared" si="386"/>
        <v>2025</v>
      </c>
      <c r="I4920">
        <f t="shared" si="387"/>
        <v>11</v>
      </c>
      <c r="J4920">
        <f t="shared" si="388"/>
        <v>789.21</v>
      </c>
    </row>
    <row r="4921" spans="1:10" ht="12.5" x14ac:dyDescent="0.25">
      <c r="A4921" s="1">
        <v>45974</v>
      </c>
      <c r="B4921" s="2" t="s">
        <v>13</v>
      </c>
      <c r="C4921" s="3">
        <v>12.49</v>
      </c>
      <c r="D4921" s="3">
        <v>104</v>
      </c>
      <c r="E4921" s="3">
        <v>1298.96</v>
      </c>
      <c r="F4921" t="str">
        <f t="shared" si="384"/>
        <v>net sales</v>
      </c>
      <c r="G4921" s="7" t="str">
        <f t="shared" si="385"/>
        <v>product 3</v>
      </c>
      <c r="H4921">
        <f t="shared" si="386"/>
        <v>2025</v>
      </c>
      <c r="I4921">
        <f t="shared" si="387"/>
        <v>11</v>
      </c>
      <c r="J4921">
        <f t="shared" si="388"/>
        <v>99.96</v>
      </c>
    </row>
    <row r="4922" spans="1:10" ht="12.5" x14ac:dyDescent="0.25">
      <c r="A4922" s="1">
        <v>45975</v>
      </c>
      <c r="B4922" s="2" t="s">
        <v>7</v>
      </c>
      <c r="C4922" s="3">
        <v>5.49</v>
      </c>
      <c r="D4922" s="3">
        <v>43</v>
      </c>
      <c r="E4922" s="3">
        <v>236.07000000000002</v>
      </c>
      <c r="F4922" t="str">
        <f t="shared" si="384"/>
        <v>cogs</v>
      </c>
      <c r="G4922" s="7" t="str">
        <f t="shared" si="385"/>
        <v>product 1</v>
      </c>
      <c r="H4922">
        <f t="shared" si="386"/>
        <v>2025</v>
      </c>
      <c r="I4922">
        <f t="shared" si="387"/>
        <v>11</v>
      </c>
      <c r="J4922">
        <f t="shared" si="388"/>
        <v>2335.63</v>
      </c>
    </row>
    <row r="4923" spans="1:10" ht="12.5" x14ac:dyDescent="0.25">
      <c r="A4923" s="1">
        <v>45975</v>
      </c>
      <c r="B4923" s="2" t="s">
        <v>8</v>
      </c>
      <c r="C4923" s="3">
        <v>21.49</v>
      </c>
      <c r="D4923" s="3">
        <v>1</v>
      </c>
      <c r="E4923" s="3">
        <v>21.49</v>
      </c>
      <c r="F4923" t="str">
        <f t="shared" si="384"/>
        <v>cogs</v>
      </c>
      <c r="G4923" s="7" t="str">
        <f t="shared" si="385"/>
        <v>product 2</v>
      </c>
      <c r="H4923">
        <f t="shared" si="386"/>
        <v>2025</v>
      </c>
      <c r="I4923">
        <f t="shared" si="387"/>
        <v>11</v>
      </c>
      <c r="J4923">
        <f t="shared" si="388"/>
        <v>-444.69</v>
      </c>
    </row>
    <row r="4924" spans="1:10" ht="12.5" x14ac:dyDescent="0.25">
      <c r="A4924" s="1">
        <v>45975</v>
      </c>
      <c r="B4924" s="2" t="s">
        <v>9</v>
      </c>
      <c r="C4924" s="3">
        <v>8.99</v>
      </c>
      <c r="D4924" s="3">
        <v>23</v>
      </c>
      <c r="E4924" s="3">
        <v>206.77</v>
      </c>
      <c r="F4924" t="str">
        <f t="shared" si="384"/>
        <v>cogs</v>
      </c>
      <c r="G4924" s="7" t="str">
        <f t="shared" si="385"/>
        <v>product 3</v>
      </c>
      <c r="H4924">
        <f t="shared" si="386"/>
        <v>2025</v>
      </c>
      <c r="I4924">
        <f t="shared" si="387"/>
        <v>11</v>
      </c>
      <c r="J4924">
        <f t="shared" si="388"/>
        <v>-64.47</v>
      </c>
    </row>
    <row r="4925" spans="1:10" ht="12.5" x14ac:dyDescent="0.25">
      <c r="A4925" s="1">
        <v>45975</v>
      </c>
      <c r="B4925" s="2" t="s">
        <v>10</v>
      </c>
      <c r="C4925" s="2" t="s">
        <v>6</v>
      </c>
      <c r="D4925" s="2" t="s">
        <v>6</v>
      </c>
      <c r="E4925" s="3">
        <v>111.97</v>
      </c>
      <c r="F4925" t="str">
        <f t="shared" si="384"/>
        <v>marketing</v>
      </c>
      <c r="G4925" s="7" t="s">
        <v>6</v>
      </c>
      <c r="H4925">
        <f t="shared" si="386"/>
        <v>2025</v>
      </c>
      <c r="I4925">
        <f t="shared" si="387"/>
        <v>11</v>
      </c>
      <c r="J4925">
        <f t="shared" si="388"/>
        <v>-449.5</v>
      </c>
    </row>
    <row r="4926" spans="1:10" ht="12.5" x14ac:dyDescent="0.25">
      <c r="A4926" s="1">
        <v>45975</v>
      </c>
      <c r="B4926" s="2" t="s">
        <v>11</v>
      </c>
      <c r="C4926" s="3">
        <v>9.99</v>
      </c>
      <c r="D4926" s="3">
        <v>43</v>
      </c>
      <c r="E4926" s="3">
        <v>429.57</v>
      </c>
      <c r="F4926" t="str">
        <f t="shared" si="384"/>
        <v>net sales</v>
      </c>
      <c r="G4926" s="7" t="str">
        <f t="shared" si="385"/>
        <v>product 1</v>
      </c>
      <c r="H4926">
        <f t="shared" si="386"/>
        <v>2025</v>
      </c>
      <c r="I4926">
        <f t="shared" si="387"/>
        <v>11</v>
      </c>
      <c r="J4926">
        <f t="shared" si="388"/>
        <v>-1175.72</v>
      </c>
    </row>
    <row r="4927" spans="1:10" ht="12.5" x14ac:dyDescent="0.25">
      <c r="A4927" s="1">
        <v>45975</v>
      </c>
      <c r="B4927" s="2" t="s">
        <v>12</v>
      </c>
      <c r="C4927" s="3">
        <v>24.99</v>
      </c>
      <c r="D4927" s="3">
        <v>1</v>
      </c>
      <c r="E4927" s="3">
        <v>24.99</v>
      </c>
      <c r="F4927" t="str">
        <f t="shared" si="384"/>
        <v>net sales</v>
      </c>
      <c r="G4927" s="7" t="str">
        <f t="shared" si="385"/>
        <v>product 2</v>
      </c>
      <c r="H4927">
        <f t="shared" si="386"/>
        <v>2025</v>
      </c>
      <c r="I4927">
        <f t="shared" si="387"/>
        <v>11</v>
      </c>
      <c r="J4927">
        <f t="shared" si="388"/>
        <v>-117.04</v>
      </c>
    </row>
    <row r="4928" spans="1:10" ht="12.5" x14ac:dyDescent="0.25">
      <c r="A4928" s="1">
        <v>45975</v>
      </c>
      <c r="B4928" s="2" t="s">
        <v>13</v>
      </c>
      <c r="C4928" s="3">
        <v>12.49</v>
      </c>
      <c r="D4928" s="3">
        <v>23</v>
      </c>
      <c r="E4928" s="3">
        <v>287.27</v>
      </c>
      <c r="F4928" t="str">
        <f t="shared" si="384"/>
        <v>net sales</v>
      </c>
      <c r="G4928" s="7" t="str">
        <f t="shared" si="385"/>
        <v>product 3</v>
      </c>
      <c r="H4928">
        <f t="shared" si="386"/>
        <v>2025</v>
      </c>
      <c r="I4928">
        <f t="shared" si="387"/>
        <v>11</v>
      </c>
      <c r="J4928">
        <f t="shared" si="388"/>
        <v>809.19</v>
      </c>
    </row>
    <row r="4929" spans="1:10" ht="12.5" x14ac:dyDescent="0.25">
      <c r="A4929" s="1">
        <v>45976</v>
      </c>
      <c r="B4929" s="2" t="s">
        <v>7</v>
      </c>
      <c r="C4929" s="3">
        <v>5.49</v>
      </c>
      <c r="D4929" s="3">
        <v>34</v>
      </c>
      <c r="E4929" s="3">
        <v>186.66</v>
      </c>
      <c r="F4929" t="str">
        <f t="shared" si="384"/>
        <v>cogs</v>
      </c>
      <c r="G4929" s="7" t="str">
        <f t="shared" si="385"/>
        <v>product 1</v>
      </c>
      <c r="H4929">
        <f t="shared" si="386"/>
        <v>2025</v>
      </c>
      <c r="I4929">
        <f t="shared" si="387"/>
        <v>11</v>
      </c>
      <c r="J4929">
        <f t="shared" si="388"/>
        <v>74.97</v>
      </c>
    </row>
    <row r="4930" spans="1:10" ht="12.5" x14ac:dyDescent="0.25">
      <c r="A4930" s="1">
        <v>45976</v>
      </c>
      <c r="B4930" s="2" t="s">
        <v>8</v>
      </c>
      <c r="C4930" s="3">
        <v>21.49</v>
      </c>
      <c r="D4930" s="3">
        <v>7</v>
      </c>
      <c r="E4930" s="3">
        <v>150.42999999999998</v>
      </c>
      <c r="F4930" t="str">
        <f t="shared" si="384"/>
        <v>cogs</v>
      </c>
      <c r="G4930" s="7" t="str">
        <f t="shared" si="385"/>
        <v>product 2</v>
      </c>
      <c r="H4930">
        <f t="shared" si="386"/>
        <v>2025</v>
      </c>
      <c r="I4930">
        <f t="shared" si="387"/>
        <v>11</v>
      </c>
      <c r="J4930">
        <f t="shared" si="388"/>
        <v>624.5</v>
      </c>
    </row>
    <row r="4931" spans="1:10" ht="12.5" x14ac:dyDescent="0.25">
      <c r="A4931" s="1">
        <v>45976</v>
      </c>
      <c r="B4931" s="2" t="s">
        <v>9</v>
      </c>
      <c r="C4931" s="3">
        <v>8.99</v>
      </c>
      <c r="D4931" s="3">
        <v>133</v>
      </c>
      <c r="E4931" s="3">
        <v>1195.67</v>
      </c>
      <c r="F4931" t="str">
        <f t="shared" ref="F4931:F4994" si="389">IFERROR(LEFT(B4931,FIND(":",B4931)-1),B4931)</f>
        <v>cogs</v>
      </c>
      <c r="G4931" s="7" t="str">
        <f t="shared" ref="G4931:G4994" si="390">IFERROR(RIGHT(B4931,LEN(B4931)-FIND(":",B4931)),"")</f>
        <v>product 3</v>
      </c>
      <c r="H4931">
        <f t="shared" ref="H4931:H4994" si="391">YEAR(A4931)</f>
        <v>2025</v>
      </c>
      <c r="I4931">
        <f t="shared" ref="I4931:I4994" si="392">MONTH(A4931)</f>
        <v>11</v>
      </c>
      <c r="J4931">
        <f t="shared" si="388"/>
        <v>-322.66000000000003</v>
      </c>
    </row>
    <row r="4932" spans="1:10" ht="12.5" x14ac:dyDescent="0.25">
      <c r="A4932" s="1">
        <v>45976</v>
      </c>
      <c r="B4932" s="2" t="s">
        <v>16</v>
      </c>
      <c r="C4932" s="2" t="s">
        <v>6</v>
      </c>
      <c r="D4932" s="2" t="s">
        <v>6</v>
      </c>
      <c r="E4932" s="3">
        <v>1249.8399999999999</v>
      </c>
      <c r="F4932" t="str">
        <f t="shared" si="389"/>
        <v>interest</v>
      </c>
      <c r="G4932" s="7" t="s">
        <v>6</v>
      </c>
      <c r="H4932">
        <f t="shared" si="391"/>
        <v>2025</v>
      </c>
      <c r="I4932">
        <f t="shared" si="392"/>
        <v>11</v>
      </c>
      <c r="J4932">
        <f t="shared" si="388"/>
        <v>-483.12</v>
      </c>
    </row>
    <row r="4933" spans="1:10" ht="12.5" x14ac:dyDescent="0.25">
      <c r="A4933" s="1">
        <v>45976</v>
      </c>
      <c r="B4933" s="2" t="s">
        <v>10</v>
      </c>
      <c r="C4933" s="2" t="s">
        <v>6</v>
      </c>
      <c r="D4933" s="2" t="s">
        <v>6</v>
      </c>
      <c r="E4933" s="3">
        <v>103</v>
      </c>
      <c r="F4933" t="str">
        <f t="shared" si="389"/>
        <v>marketing</v>
      </c>
      <c r="G4933" s="7" t="s">
        <v>6</v>
      </c>
      <c r="H4933">
        <f t="shared" si="391"/>
        <v>2025</v>
      </c>
      <c r="I4933">
        <f t="shared" si="392"/>
        <v>11</v>
      </c>
      <c r="J4933">
        <f t="shared" si="388"/>
        <v>0</v>
      </c>
    </row>
    <row r="4934" spans="1:10" ht="12.5" x14ac:dyDescent="0.25">
      <c r="A4934" s="1">
        <v>45976</v>
      </c>
      <c r="B4934" s="2" t="s">
        <v>11</v>
      </c>
      <c r="C4934" s="3">
        <v>9.99</v>
      </c>
      <c r="D4934" s="3">
        <v>34</v>
      </c>
      <c r="E4934" s="3">
        <v>339.66</v>
      </c>
      <c r="F4934" t="str">
        <f t="shared" si="389"/>
        <v>net sales</v>
      </c>
      <c r="G4934" s="7" t="str">
        <f t="shared" si="390"/>
        <v>product 1</v>
      </c>
      <c r="H4934">
        <f t="shared" si="391"/>
        <v>2025</v>
      </c>
      <c r="I4934">
        <f t="shared" si="392"/>
        <v>11</v>
      </c>
      <c r="J4934">
        <f t="shared" si="388"/>
        <v>-827.08</v>
      </c>
    </row>
    <row r="4935" spans="1:10" ht="12.5" x14ac:dyDescent="0.25">
      <c r="A4935" s="1">
        <v>45976</v>
      </c>
      <c r="B4935" s="2" t="s">
        <v>12</v>
      </c>
      <c r="C4935" s="3">
        <v>24.99</v>
      </c>
      <c r="D4935" s="3">
        <v>7</v>
      </c>
      <c r="E4935" s="3">
        <v>174.92999999999998</v>
      </c>
      <c r="F4935" t="str">
        <f t="shared" si="389"/>
        <v>net sales</v>
      </c>
      <c r="G4935" s="7" t="str">
        <f t="shared" si="390"/>
        <v>product 2</v>
      </c>
      <c r="H4935">
        <f t="shared" si="391"/>
        <v>2025</v>
      </c>
      <c r="I4935">
        <f t="shared" si="392"/>
        <v>11</v>
      </c>
      <c r="J4935">
        <f t="shared" si="388"/>
        <v>-113.03</v>
      </c>
    </row>
    <row r="4936" spans="1:10" ht="12.5" x14ac:dyDescent="0.25">
      <c r="A4936" s="1">
        <v>45976</v>
      </c>
      <c r="B4936" s="2" t="s">
        <v>13</v>
      </c>
      <c r="C4936" s="3">
        <v>12.49</v>
      </c>
      <c r="D4936" s="3">
        <v>133</v>
      </c>
      <c r="E4936" s="3">
        <v>1661.17</v>
      </c>
      <c r="F4936" t="str">
        <f t="shared" si="389"/>
        <v>net sales</v>
      </c>
      <c r="G4936" s="7" t="str">
        <f t="shared" si="390"/>
        <v>product 3</v>
      </c>
      <c r="H4936">
        <f t="shared" si="391"/>
        <v>2025</v>
      </c>
      <c r="I4936">
        <f t="shared" si="392"/>
        <v>11</v>
      </c>
      <c r="J4936">
        <f t="shared" si="388"/>
        <v>879.12</v>
      </c>
    </row>
    <row r="4937" spans="1:10" ht="12.5" x14ac:dyDescent="0.25">
      <c r="A4937" s="1">
        <v>45976</v>
      </c>
      <c r="B4937" s="2" t="s">
        <v>14</v>
      </c>
      <c r="C4937" s="2" t="s">
        <v>6</v>
      </c>
      <c r="D4937" s="2" t="s">
        <v>6</v>
      </c>
      <c r="E4937" s="3">
        <v>312.45999999999998</v>
      </c>
      <c r="F4937" t="str">
        <f t="shared" si="389"/>
        <v>overhead</v>
      </c>
      <c r="G4937" s="7" t="s">
        <v>6</v>
      </c>
      <c r="H4937">
        <f t="shared" si="391"/>
        <v>2025</v>
      </c>
      <c r="I4937">
        <f t="shared" si="392"/>
        <v>11</v>
      </c>
      <c r="J4937">
        <f t="shared" si="388"/>
        <v>0</v>
      </c>
    </row>
    <row r="4938" spans="1:10" ht="12.5" x14ac:dyDescent="0.25">
      <c r="A4938" s="1">
        <v>45977</v>
      </c>
      <c r="B4938" s="2" t="s">
        <v>7</v>
      </c>
      <c r="C4938" s="3">
        <v>5.49</v>
      </c>
      <c r="D4938" s="3">
        <v>78</v>
      </c>
      <c r="E4938" s="3">
        <v>428.22</v>
      </c>
      <c r="F4938" t="str">
        <f t="shared" si="389"/>
        <v>cogs</v>
      </c>
      <c r="G4938" s="7" t="str">
        <f t="shared" si="390"/>
        <v>product 1</v>
      </c>
      <c r="H4938">
        <f t="shared" si="391"/>
        <v>2025</v>
      </c>
      <c r="I4938">
        <f t="shared" si="392"/>
        <v>11</v>
      </c>
      <c r="J4938">
        <f t="shared" si="388"/>
        <v>1149.08</v>
      </c>
    </row>
    <row r="4939" spans="1:10" ht="12.5" x14ac:dyDescent="0.25">
      <c r="A4939" s="1">
        <v>45977</v>
      </c>
      <c r="B4939" s="2" t="s">
        <v>8</v>
      </c>
      <c r="C4939" s="3">
        <v>21.49</v>
      </c>
      <c r="D4939" s="3">
        <v>4</v>
      </c>
      <c r="E4939" s="3">
        <v>85.96</v>
      </c>
      <c r="F4939" t="str">
        <f t="shared" si="389"/>
        <v>cogs</v>
      </c>
      <c r="G4939" s="7" t="str">
        <f t="shared" si="390"/>
        <v>product 2</v>
      </c>
      <c r="H4939">
        <f t="shared" si="391"/>
        <v>2025</v>
      </c>
      <c r="I4939">
        <f t="shared" si="392"/>
        <v>11</v>
      </c>
      <c r="J4939">
        <f t="shared" si="388"/>
        <v>-455.67</v>
      </c>
    </row>
    <row r="4940" spans="1:10" ht="12.5" x14ac:dyDescent="0.25">
      <c r="A4940" s="1">
        <v>45977</v>
      </c>
      <c r="B4940" s="2" t="s">
        <v>9</v>
      </c>
      <c r="C4940" s="3">
        <v>8.99</v>
      </c>
      <c r="D4940" s="3">
        <v>142</v>
      </c>
      <c r="E4940" s="3">
        <v>1276.58</v>
      </c>
      <c r="F4940" t="str">
        <f t="shared" si="389"/>
        <v>cogs</v>
      </c>
      <c r="G4940" s="7" t="str">
        <f t="shared" si="390"/>
        <v>product 3</v>
      </c>
      <c r="H4940">
        <f t="shared" si="391"/>
        <v>2025</v>
      </c>
      <c r="I4940">
        <f t="shared" si="392"/>
        <v>11</v>
      </c>
      <c r="J4940">
        <f t="shared" si="388"/>
        <v>-42.98</v>
      </c>
    </row>
    <row r="4941" spans="1:10" ht="12.5" x14ac:dyDescent="0.25">
      <c r="A4941" s="1">
        <v>45977</v>
      </c>
      <c r="B4941" s="2" t="s">
        <v>10</v>
      </c>
      <c r="C4941" s="2" t="s">
        <v>6</v>
      </c>
      <c r="D4941" s="2" t="s">
        <v>6</v>
      </c>
      <c r="E4941" s="3">
        <v>112.08</v>
      </c>
      <c r="F4941" t="str">
        <f t="shared" si="389"/>
        <v>marketing</v>
      </c>
      <c r="G4941" s="7" t="s">
        <v>6</v>
      </c>
      <c r="H4941">
        <f t="shared" si="391"/>
        <v>2025</v>
      </c>
      <c r="I4941">
        <f t="shared" si="392"/>
        <v>11</v>
      </c>
      <c r="J4941">
        <f t="shared" si="388"/>
        <v>-1024.8600000000001</v>
      </c>
    </row>
    <row r="4942" spans="1:10" ht="12.5" x14ac:dyDescent="0.25">
      <c r="A4942" s="1">
        <v>45977</v>
      </c>
      <c r="B4942" s="2" t="s">
        <v>11</v>
      </c>
      <c r="C4942" s="3">
        <v>9.99</v>
      </c>
      <c r="D4942" s="3">
        <v>78</v>
      </c>
      <c r="E4942" s="3">
        <v>779.22</v>
      </c>
      <c r="F4942" t="str">
        <f t="shared" si="389"/>
        <v>net sales</v>
      </c>
      <c r="G4942" s="7" t="str">
        <f t="shared" si="390"/>
        <v>product 1</v>
      </c>
      <c r="H4942">
        <f t="shared" si="391"/>
        <v>2025</v>
      </c>
      <c r="I4942">
        <f t="shared" si="392"/>
        <v>11</v>
      </c>
      <c r="J4942">
        <f t="shared" si="388"/>
        <v>-108.98</v>
      </c>
    </row>
    <row r="4943" spans="1:10" ht="12.5" x14ac:dyDescent="0.25">
      <c r="A4943" s="1">
        <v>45977</v>
      </c>
      <c r="B4943" s="2" t="s">
        <v>12</v>
      </c>
      <c r="C4943" s="3">
        <v>24.99</v>
      </c>
      <c r="D4943" s="3">
        <v>4</v>
      </c>
      <c r="E4943" s="3">
        <v>99.96</v>
      </c>
      <c r="F4943" t="str">
        <f t="shared" si="389"/>
        <v>net sales</v>
      </c>
      <c r="G4943" s="7" t="str">
        <f t="shared" si="390"/>
        <v>product 2</v>
      </c>
      <c r="H4943">
        <f t="shared" si="391"/>
        <v>2025</v>
      </c>
      <c r="I4943">
        <f t="shared" si="392"/>
        <v>11</v>
      </c>
      <c r="J4943">
        <f t="shared" si="388"/>
        <v>829.17000000000007</v>
      </c>
    </row>
    <row r="4944" spans="1:10" ht="12.5" x14ac:dyDescent="0.25">
      <c r="A4944" s="1">
        <v>45977</v>
      </c>
      <c r="B4944" s="2" t="s">
        <v>13</v>
      </c>
      <c r="C4944" s="3">
        <v>12.49</v>
      </c>
      <c r="D4944" s="3">
        <v>142</v>
      </c>
      <c r="E4944" s="3">
        <v>1773.58</v>
      </c>
      <c r="F4944" t="str">
        <f t="shared" si="389"/>
        <v>net sales</v>
      </c>
      <c r="G4944" s="7" t="str">
        <f t="shared" si="390"/>
        <v>product 3</v>
      </c>
      <c r="H4944">
        <f t="shared" si="391"/>
        <v>2025</v>
      </c>
      <c r="I4944">
        <f t="shared" si="392"/>
        <v>11</v>
      </c>
      <c r="J4944">
        <f t="shared" si="388"/>
        <v>49.98</v>
      </c>
    </row>
    <row r="4945" spans="1:10" ht="12.5" x14ac:dyDescent="0.25">
      <c r="A4945" s="1">
        <v>45978</v>
      </c>
      <c r="B4945" s="2" t="s">
        <v>7</v>
      </c>
      <c r="C4945" s="3">
        <v>5.49</v>
      </c>
      <c r="D4945" s="3">
        <v>85</v>
      </c>
      <c r="E4945" s="3">
        <v>466.65000000000003</v>
      </c>
      <c r="F4945" t="str">
        <f t="shared" si="389"/>
        <v>cogs</v>
      </c>
      <c r="G4945" s="7" t="str">
        <f t="shared" si="390"/>
        <v>product 1</v>
      </c>
      <c r="H4945">
        <f t="shared" si="391"/>
        <v>2025</v>
      </c>
      <c r="I4945">
        <f t="shared" si="392"/>
        <v>11</v>
      </c>
      <c r="J4945">
        <f t="shared" si="388"/>
        <v>1423.8600000000001</v>
      </c>
    </row>
    <row r="4946" spans="1:10" ht="12.5" x14ac:dyDescent="0.25">
      <c r="A4946" s="1">
        <v>45978</v>
      </c>
      <c r="B4946" s="2" t="s">
        <v>8</v>
      </c>
      <c r="C4946" s="3">
        <v>21.49</v>
      </c>
      <c r="D4946" s="3">
        <v>0</v>
      </c>
      <c r="E4946" s="2">
        <f>C4946*D4946</f>
        <v>0</v>
      </c>
      <c r="F4946" t="str">
        <f t="shared" si="389"/>
        <v>cogs</v>
      </c>
      <c r="G4946" s="7" t="str">
        <f t="shared" si="390"/>
        <v>product 2</v>
      </c>
      <c r="H4946">
        <f t="shared" si="391"/>
        <v>2025</v>
      </c>
      <c r="I4946">
        <f t="shared" si="392"/>
        <v>11</v>
      </c>
      <c r="J4946">
        <f t="shared" si="388"/>
        <v>-43.92</v>
      </c>
    </row>
    <row r="4947" spans="1:10" ht="12.5" x14ac:dyDescent="0.25">
      <c r="A4947" s="1">
        <v>45978</v>
      </c>
      <c r="B4947" s="2" t="s">
        <v>9</v>
      </c>
      <c r="C4947" s="3">
        <v>8.99</v>
      </c>
      <c r="D4947" s="3">
        <v>116</v>
      </c>
      <c r="E4947" s="3">
        <v>1042.8399999999999</v>
      </c>
      <c r="F4947" t="str">
        <f t="shared" si="389"/>
        <v>cogs</v>
      </c>
      <c r="G4947" s="7" t="str">
        <f t="shared" si="390"/>
        <v>product 3</v>
      </c>
      <c r="H4947">
        <f t="shared" si="391"/>
        <v>2025</v>
      </c>
      <c r="I4947">
        <f t="shared" si="392"/>
        <v>11</v>
      </c>
      <c r="J4947">
        <f t="shared" si="388"/>
        <v>0</v>
      </c>
    </row>
    <row r="4948" spans="1:10" ht="12.5" x14ac:dyDescent="0.25">
      <c r="A4948" s="1">
        <v>45978</v>
      </c>
      <c r="B4948" s="2" t="s">
        <v>10</v>
      </c>
      <c r="C4948" s="2" t="s">
        <v>6</v>
      </c>
      <c r="D4948" s="2" t="s">
        <v>6</v>
      </c>
      <c r="E4948" s="3">
        <v>105</v>
      </c>
      <c r="F4948" t="str">
        <f t="shared" si="389"/>
        <v>marketing</v>
      </c>
      <c r="G4948" s="7" t="s">
        <v>6</v>
      </c>
      <c r="H4948">
        <f t="shared" si="391"/>
        <v>2025</v>
      </c>
      <c r="I4948">
        <f t="shared" si="392"/>
        <v>11</v>
      </c>
      <c r="J4948">
        <f t="shared" si="388"/>
        <v>-1627.19</v>
      </c>
    </row>
    <row r="4949" spans="1:10" ht="12.5" x14ac:dyDescent="0.25">
      <c r="A4949" s="1">
        <v>45978</v>
      </c>
      <c r="B4949" s="2" t="s">
        <v>11</v>
      </c>
      <c r="C4949" s="3">
        <v>9.99</v>
      </c>
      <c r="D4949" s="3">
        <v>85</v>
      </c>
      <c r="E4949" s="3">
        <v>849.15</v>
      </c>
      <c r="F4949" t="str">
        <f t="shared" si="389"/>
        <v>net sales</v>
      </c>
      <c r="G4949" s="7" t="str">
        <f t="shared" si="390"/>
        <v>product 1</v>
      </c>
      <c r="H4949">
        <f t="shared" si="391"/>
        <v>2025</v>
      </c>
      <c r="I4949">
        <f t="shared" si="392"/>
        <v>11</v>
      </c>
      <c r="J4949">
        <f t="shared" si="388"/>
        <v>-116.92</v>
      </c>
    </row>
    <row r="4950" spans="1:10" ht="12.5" x14ac:dyDescent="0.25">
      <c r="A4950" s="1">
        <v>45978</v>
      </c>
      <c r="B4950" s="2" t="s">
        <v>12</v>
      </c>
      <c r="C4950" s="3">
        <v>24.99</v>
      </c>
      <c r="D4950" s="3">
        <v>0</v>
      </c>
      <c r="E4950" s="2">
        <f>C4950*D4950</f>
        <v>0</v>
      </c>
      <c r="F4950" t="str">
        <f t="shared" si="389"/>
        <v>net sales</v>
      </c>
      <c r="G4950" s="7" t="str">
        <f t="shared" si="390"/>
        <v>product 2</v>
      </c>
      <c r="H4950">
        <f t="shared" si="391"/>
        <v>2025</v>
      </c>
      <c r="I4950">
        <f t="shared" si="392"/>
        <v>11</v>
      </c>
      <c r="J4950">
        <f t="shared" si="388"/>
        <v>79.92</v>
      </c>
    </row>
    <row r="4951" spans="1:10" ht="12.5" x14ac:dyDescent="0.25">
      <c r="A4951" s="1">
        <v>45978</v>
      </c>
      <c r="B4951" s="2" t="s">
        <v>13</v>
      </c>
      <c r="C4951" s="3">
        <v>12.49</v>
      </c>
      <c r="D4951" s="3">
        <v>116</v>
      </c>
      <c r="E4951" s="3">
        <v>1448.84</v>
      </c>
      <c r="F4951" t="str">
        <f t="shared" si="389"/>
        <v>net sales</v>
      </c>
      <c r="G4951" s="7" t="str">
        <f t="shared" si="390"/>
        <v>product 3</v>
      </c>
      <c r="H4951">
        <f t="shared" si="391"/>
        <v>2025</v>
      </c>
      <c r="I4951">
        <f t="shared" si="392"/>
        <v>11</v>
      </c>
      <c r="J4951">
        <f t="shared" si="388"/>
        <v>0</v>
      </c>
    </row>
    <row r="4952" spans="1:10" ht="12.5" x14ac:dyDescent="0.25">
      <c r="A4952" s="1">
        <v>45979</v>
      </c>
      <c r="B4952" s="2" t="s">
        <v>7</v>
      </c>
      <c r="C4952" s="3">
        <v>5.49</v>
      </c>
      <c r="D4952" s="3">
        <v>74</v>
      </c>
      <c r="E4952" s="3">
        <v>406.26</v>
      </c>
      <c r="F4952" t="str">
        <f t="shared" si="389"/>
        <v>cogs</v>
      </c>
      <c r="G4952" s="7" t="str">
        <f t="shared" si="390"/>
        <v>product 1</v>
      </c>
      <c r="H4952">
        <f t="shared" si="391"/>
        <v>2025</v>
      </c>
      <c r="I4952">
        <f t="shared" si="392"/>
        <v>11</v>
      </c>
      <c r="J4952">
        <f t="shared" si="388"/>
        <v>2260.69</v>
      </c>
    </row>
    <row r="4953" spans="1:10" ht="12.5" x14ac:dyDescent="0.25">
      <c r="A4953" s="1">
        <v>45979</v>
      </c>
      <c r="B4953" s="2" t="s">
        <v>8</v>
      </c>
      <c r="C4953" s="3">
        <v>21.49</v>
      </c>
      <c r="D4953" s="3">
        <v>2</v>
      </c>
      <c r="E4953" s="3">
        <v>42.98</v>
      </c>
      <c r="F4953" t="str">
        <f t="shared" si="389"/>
        <v>cogs</v>
      </c>
      <c r="G4953" s="7" t="str">
        <f t="shared" si="390"/>
        <v>product 2</v>
      </c>
      <c r="H4953">
        <f t="shared" si="391"/>
        <v>2025</v>
      </c>
      <c r="I4953">
        <f t="shared" si="392"/>
        <v>11</v>
      </c>
      <c r="J4953">
        <f t="shared" si="388"/>
        <v>-329.40000000000003</v>
      </c>
    </row>
    <row r="4954" spans="1:10" ht="12.5" x14ac:dyDescent="0.25">
      <c r="A4954" s="1">
        <v>45979</v>
      </c>
      <c r="B4954" s="2" t="s">
        <v>9</v>
      </c>
      <c r="C4954" s="3">
        <v>8.99</v>
      </c>
      <c r="D4954" s="3">
        <v>243</v>
      </c>
      <c r="E4954" s="3">
        <v>2184.5700000000002</v>
      </c>
      <c r="F4954" t="str">
        <f t="shared" si="389"/>
        <v>cogs</v>
      </c>
      <c r="G4954" s="7" t="str">
        <f t="shared" si="390"/>
        <v>product 3</v>
      </c>
      <c r="H4954">
        <f t="shared" si="391"/>
        <v>2025</v>
      </c>
      <c r="I4954">
        <f t="shared" si="392"/>
        <v>11</v>
      </c>
      <c r="J4954">
        <f t="shared" si="388"/>
        <v>0</v>
      </c>
    </row>
    <row r="4955" spans="1:10" ht="12.5" x14ac:dyDescent="0.25">
      <c r="A4955" s="1">
        <v>45979</v>
      </c>
      <c r="B4955" s="2" t="s">
        <v>10</v>
      </c>
      <c r="C4955" s="2" t="s">
        <v>6</v>
      </c>
      <c r="D4955" s="2" t="s">
        <v>6</v>
      </c>
      <c r="E4955" s="3">
        <v>119</v>
      </c>
      <c r="F4955" t="str">
        <f t="shared" si="389"/>
        <v>marketing</v>
      </c>
      <c r="G4955" s="7" t="s">
        <v>6</v>
      </c>
      <c r="H4955">
        <f t="shared" si="391"/>
        <v>2025</v>
      </c>
      <c r="I4955">
        <f t="shared" si="392"/>
        <v>11</v>
      </c>
      <c r="J4955">
        <f t="shared" si="388"/>
        <v>-1123.75</v>
      </c>
    </row>
    <row r="4956" spans="1:10" ht="12.5" x14ac:dyDescent="0.25">
      <c r="A4956" s="1">
        <v>45979</v>
      </c>
      <c r="B4956" s="2" t="s">
        <v>11</v>
      </c>
      <c r="C4956" s="3">
        <v>9.99</v>
      </c>
      <c r="D4956" s="3">
        <v>74</v>
      </c>
      <c r="E4956" s="3">
        <v>739.26</v>
      </c>
      <c r="F4956" t="str">
        <f t="shared" si="389"/>
        <v>net sales</v>
      </c>
      <c r="G4956" s="7" t="str">
        <f t="shared" si="390"/>
        <v>product 1</v>
      </c>
      <c r="H4956">
        <f t="shared" si="391"/>
        <v>2025</v>
      </c>
      <c r="I4956">
        <f t="shared" si="392"/>
        <v>11</v>
      </c>
      <c r="J4956">
        <f t="shared" ref="J4956:J5019" si="393">IF(F4739="net sales",E4739,
IF(F4739="cogs",-E4739,
IF(OR(F4739="marketing",F4739="overhead",F4739="payroll",F4739="interest","amortization"),-E4739,0)))</f>
        <v>-118.02</v>
      </c>
    </row>
    <row r="4957" spans="1:10" ht="12.5" x14ac:dyDescent="0.25">
      <c r="A4957" s="1">
        <v>45979</v>
      </c>
      <c r="B4957" s="2" t="s">
        <v>12</v>
      </c>
      <c r="C4957" s="3">
        <v>24.99</v>
      </c>
      <c r="D4957" s="3">
        <v>2</v>
      </c>
      <c r="E4957" s="3">
        <v>49.98</v>
      </c>
      <c r="F4957" t="str">
        <f t="shared" si="389"/>
        <v>net sales</v>
      </c>
      <c r="G4957" s="7" t="str">
        <f t="shared" si="390"/>
        <v>product 2</v>
      </c>
      <c r="H4957">
        <f t="shared" si="391"/>
        <v>2025</v>
      </c>
      <c r="I4957">
        <f t="shared" si="392"/>
        <v>11</v>
      </c>
      <c r="J4957">
        <f t="shared" si="393"/>
        <v>599.4</v>
      </c>
    </row>
    <row r="4958" spans="1:10" ht="12.5" x14ac:dyDescent="0.25">
      <c r="A4958" s="1">
        <v>45979</v>
      </c>
      <c r="B4958" s="2" t="s">
        <v>13</v>
      </c>
      <c r="C4958" s="3">
        <v>12.49</v>
      </c>
      <c r="D4958" s="3">
        <v>243</v>
      </c>
      <c r="E4958" s="3">
        <v>3035.07</v>
      </c>
      <c r="F4958" t="str">
        <f t="shared" si="389"/>
        <v>net sales</v>
      </c>
      <c r="G4958" s="7" t="str">
        <f t="shared" si="390"/>
        <v>product 3</v>
      </c>
      <c r="H4958">
        <f t="shared" si="391"/>
        <v>2025</v>
      </c>
      <c r="I4958">
        <f t="shared" si="392"/>
        <v>11</v>
      </c>
      <c r="J4958">
        <f t="shared" si="393"/>
        <v>0</v>
      </c>
    </row>
    <row r="4959" spans="1:10" ht="12.5" x14ac:dyDescent="0.25">
      <c r="A4959" s="1">
        <v>45980</v>
      </c>
      <c r="B4959" s="2" t="s">
        <v>7</v>
      </c>
      <c r="C4959" s="3">
        <v>5.49</v>
      </c>
      <c r="D4959" s="3">
        <v>34</v>
      </c>
      <c r="E4959" s="3">
        <v>186.66</v>
      </c>
      <c r="F4959" t="str">
        <f t="shared" si="389"/>
        <v>cogs</v>
      </c>
      <c r="G4959" s="7" t="str">
        <f t="shared" si="390"/>
        <v>product 1</v>
      </c>
      <c r="H4959">
        <f t="shared" si="391"/>
        <v>2025</v>
      </c>
      <c r="I4959">
        <f t="shared" si="392"/>
        <v>11</v>
      </c>
      <c r="J4959">
        <f t="shared" si="393"/>
        <v>1561.25</v>
      </c>
    </row>
    <row r="4960" spans="1:10" ht="12.5" x14ac:dyDescent="0.25">
      <c r="A4960" s="1">
        <v>45980</v>
      </c>
      <c r="B4960" s="2" t="s">
        <v>8</v>
      </c>
      <c r="C4960" s="3">
        <v>21.49</v>
      </c>
      <c r="D4960" s="3">
        <v>2</v>
      </c>
      <c r="E4960" s="3">
        <v>42.98</v>
      </c>
      <c r="F4960" t="str">
        <f t="shared" si="389"/>
        <v>cogs</v>
      </c>
      <c r="G4960" s="7" t="str">
        <f t="shared" si="390"/>
        <v>product 2</v>
      </c>
      <c r="H4960">
        <f t="shared" si="391"/>
        <v>2025</v>
      </c>
      <c r="I4960">
        <f t="shared" si="392"/>
        <v>11</v>
      </c>
      <c r="J4960">
        <f t="shared" si="393"/>
        <v>-104.31</v>
      </c>
    </row>
    <row r="4961" spans="1:10" ht="12.5" x14ac:dyDescent="0.25">
      <c r="A4961" s="1">
        <v>45980</v>
      </c>
      <c r="B4961" s="2" t="s">
        <v>9</v>
      </c>
      <c r="C4961" s="3">
        <v>8.99</v>
      </c>
      <c r="D4961" s="3">
        <v>117</v>
      </c>
      <c r="E4961" s="3">
        <v>1051.83</v>
      </c>
      <c r="F4961" t="str">
        <f t="shared" si="389"/>
        <v>cogs</v>
      </c>
      <c r="G4961" s="7" t="str">
        <f t="shared" si="390"/>
        <v>product 3</v>
      </c>
      <c r="H4961">
        <f t="shared" si="391"/>
        <v>2025</v>
      </c>
      <c r="I4961">
        <f t="shared" si="392"/>
        <v>11</v>
      </c>
      <c r="J4961">
        <f t="shared" si="393"/>
        <v>-150.42999999999998</v>
      </c>
    </row>
    <row r="4962" spans="1:10" ht="12.5" x14ac:dyDescent="0.25">
      <c r="A4962" s="1">
        <v>45980</v>
      </c>
      <c r="B4962" s="2" t="s">
        <v>10</v>
      </c>
      <c r="C4962" s="2" t="s">
        <v>6</v>
      </c>
      <c r="D4962" s="2" t="s">
        <v>6</v>
      </c>
      <c r="E4962" s="3">
        <v>114.92</v>
      </c>
      <c r="F4962" t="str">
        <f t="shared" si="389"/>
        <v>marketing</v>
      </c>
      <c r="G4962" s="7" t="s">
        <v>6</v>
      </c>
      <c r="H4962">
        <f t="shared" si="391"/>
        <v>2025</v>
      </c>
      <c r="I4962">
        <f t="shared" si="392"/>
        <v>11</v>
      </c>
      <c r="J4962">
        <f t="shared" si="393"/>
        <v>0</v>
      </c>
    </row>
    <row r="4963" spans="1:10" ht="12.5" x14ac:dyDescent="0.25">
      <c r="A4963" s="1">
        <v>45980</v>
      </c>
      <c r="B4963" s="2" t="s">
        <v>11</v>
      </c>
      <c r="C4963" s="3">
        <v>9.99</v>
      </c>
      <c r="D4963" s="3">
        <v>34</v>
      </c>
      <c r="E4963" s="3">
        <v>339.66</v>
      </c>
      <c r="F4963" t="str">
        <f t="shared" si="389"/>
        <v>net sales</v>
      </c>
      <c r="G4963" s="7" t="str">
        <f t="shared" si="390"/>
        <v>product 1</v>
      </c>
      <c r="H4963">
        <f t="shared" si="391"/>
        <v>2025</v>
      </c>
      <c r="I4963">
        <f t="shared" si="392"/>
        <v>11</v>
      </c>
      <c r="J4963">
        <f t="shared" si="393"/>
        <v>-100.06</v>
      </c>
    </row>
    <row r="4964" spans="1:10" ht="12.5" x14ac:dyDescent="0.25">
      <c r="A4964" s="1">
        <v>45980</v>
      </c>
      <c r="B4964" s="2" t="s">
        <v>12</v>
      </c>
      <c r="C4964" s="3">
        <v>24.99</v>
      </c>
      <c r="D4964" s="3">
        <v>2</v>
      </c>
      <c r="E4964" s="3">
        <v>49.98</v>
      </c>
      <c r="F4964" t="str">
        <f t="shared" si="389"/>
        <v>net sales</v>
      </c>
      <c r="G4964" s="7" t="str">
        <f t="shared" si="390"/>
        <v>product 2</v>
      </c>
      <c r="H4964">
        <f t="shared" si="391"/>
        <v>2025</v>
      </c>
      <c r="I4964">
        <f t="shared" si="392"/>
        <v>11</v>
      </c>
      <c r="J4964">
        <f t="shared" si="393"/>
        <v>189.81</v>
      </c>
    </row>
    <row r="4965" spans="1:10" ht="12.5" x14ac:dyDescent="0.25">
      <c r="A4965" s="1">
        <v>45980</v>
      </c>
      <c r="B4965" s="2" t="s">
        <v>13</v>
      </c>
      <c r="C4965" s="3">
        <v>12.49</v>
      </c>
      <c r="D4965" s="3">
        <v>117</v>
      </c>
      <c r="E4965" s="3">
        <v>1461.33</v>
      </c>
      <c r="F4965" t="str">
        <f t="shared" si="389"/>
        <v>net sales</v>
      </c>
      <c r="G4965" s="7" t="str">
        <f t="shared" si="390"/>
        <v>product 3</v>
      </c>
      <c r="H4965">
        <f t="shared" si="391"/>
        <v>2025</v>
      </c>
      <c r="I4965">
        <f t="shared" si="392"/>
        <v>11</v>
      </c>
      <c r="J4965">
        <f t="shared" si="393"/>
        <v>174.92999999999998</v>
      </c>
    </row>
    <row r="4966" spans="1:10" ht="12.5" x14ac:dyDescent="0.25">
      <c r="A4966" s="1">
        <v>45981</v>
      </c>
      <c r="B4966" s="2" t="s">
        <v>7</v>
      </c>
      <c r="C4966" s="3">
        <v>5.49</v>
      </c>
      <c r="D4966" s="3">
        <v>3</v>
      </c>
      <c r="E4966" s="3">
        <v>16.47</v>
      </c>
      <c r="F4966" t="str">
        <f t="shared" si="389"/>
        <v>cogs</v>
      </c>
      <c r="G4966" s="7" t="str">
        <f t="shared" si="390"/>
        <v>product 1</v>
      </c>
      <c r="H4966">
        <f t="shared" si="391"/>
        <v>2025</v>
      </c>
      <c r="I4966">
        <f t="shared" si="392"/>
        <v>11</v>
      </c>
      <c r="J4966">
        <f t="shared" si="393"/>
        <v>0</v>
      </c>
    </row>
    <row r="4967" spans="1:10" ht="12.5" x14ac:dyDescent="0.25">
      <c r="A4967" s="1">
        <v>45981</v>
      </c>
      <c r="B4967" s="2" t="s">
        <v>8</v>
      </c>
      <c r="C4967" s="3">
        <v>21.49</v>
      </c>
      <c r="D4967" s="3">
        <v>0</v>
      </c>
      <c r="E4967" s="2">
        <f>C4967*D4967</f>
        <v>0</v>
      </c>
      <c r="F4967" t="str">
        <f t="shared" si="389"/>
        <v>cogs</v>
      </c>
      <c r="G4967" s="7" t="str">
        <f t="shared" si="390"/>
        <v>product 2</v>
      </c>
      <c r="H4967">
        <f t="shared" si="391"/>
        <v>2025</v>
      </c>
      <c r="I4967">
        <f t="shared" si="392"/>
        <v>11</v>
      </c>
      <c r="J4967">
        <f t="shared" si="393"/>
        <v>-450.18</v>
      </c>
    </row>
    <row r="4968" spans="1:10" ht="12.5" x14ac:dyDescent="0.25">
      <c r="A4968" s="1">
        <v>45981</v>
      </c>
      <c r="B4968" s="2" t="s">
        <v>9</v>
      </c>
      <c r="C4968" s="3">
        <v>8.99</v>
      </c>
      <c r="D4968" s="3">
        <v>96</v>
      </c>
      <c r="E4968" s="3">
        <v>863.04</v>
      </c>
      <c r="F4968" t="str">
        <f t="shared" si="389"/>
        <v>cogs</v>
      </c>
      <c r="G4968" s="7" t="str">
        <f t="shared" si="390"/>
        <v>product 3</v>
      </c>
      <c r="H4968">
        <f t="shared" si="391"/>
        <v>2025</v>
      </c>
      <c r="I4968">
        <f t="shared" si="392"/>
        <v>11</v>
      </c>
      <c r="J4968">
        <f t="shared" si="393"/>
        <v>-171.92</v>
      </c>
    </row>
    <row r="4969" spans="1:10" ht="12.5" x14ac:dyDescent="0.25">
      <c r="A4969" s="1">
        <v>45981</v>
      </c>
      <c r="B4969" s="2" t="s">
        <v>10</v>
      </c>
      <c r="C4969" s="2" t="s">
        <v>6</v>
      </c>
      <c r="D4969" s="2" t="s">
        <v>6</v>
      </c>
      <c r="E4969" s="3">
        <v>103.95</v>
      </c>
      <c r="F4969" t="str">
        <f t="shared" si="389"/>
        <v>marketing</v>
      </c>
      <c r="G4969" s="7" t="s">
        <v>6</v>
      </c>
      <c r="H4969">
        <f t="shared" si="391"/>
        <v>2025</v>
      </c>
      <c r="I4969">
        <f t="shared" si="392"/>
        <v>11</v>
      </c>
      <c r="J4969">
        <f t="shared" si="393"/>
        <v>-890.01</v>
      </c>
    </row>
    <row r="4970" spans="1:10" ht="12.5" x14ac:dyDescent="0.25">
      <c r="A4970" s="1">
        <v>45981</v>
      </c>
      <c r="B4970" s="2" t="s">
        <v>11</v>
      </c>
      <c r="C4970" s="3">
        <v>9.99</v>
      </c>
      <c r="D4970" s="3">
        <v>3</v>
      </c>
      <c r="E4970" s="3">
        <v>29.97</v>
      </c>
      <c r="F4970" t="str">
        <f t="shared" si="389"/>
        <v>net sales</v>
      </c>
      <c r="G4970" s="7" t="str">
        <f t="shared" si="390"/>
        <v>product 1</v>
      </c>
      <c r="H4970">
        <f t="shared" si="391"/>
        <v>2025</v>
      </c>
      <c r="I4970">
        <f t="shared" si="392"/>
        <v>11</v>
      </c>
      <c r="J4970">
        <f t="shared" si="393"/>
        <v>-115.93</v>
      </c>
    </row>
    <row r="4971" spans="1:10" ht="12.5" x14ac:dyDescent="0.25">
      <c r="A4971" s="1">
        <v>45981</v>
      </c>
      <c r="B4971" s="2" t="s">
        <v>12</v>
      </c>
      <c r="C4971" s="3">
        <v>24.99</v>
      </c>
      <c r="D4971" s="3">
        <v>0</v>
      </c>
      <c r="E4971" s="2">
        <f>C4971*D4971</f>
        <v>0</v>
      </c>
      <c r="F4971" t="str">
        <f t="shared" si="389"/>
        <v>net sales</v>
      </c>
      <c r="G4971" s="7" t="str">
        <f t="shared" si="390"/>
        <v>product 2</v>
      </c>
      <c r="H4971">
        <f t="shared" si="391"/>
        <v>2025</v>
      </c>
      <c r="I4971">
        <f t="shared" si="392"/>
        <v>11</v>
      </c>
      <c r="J4971">
        <f t="shared" si="393"/>
        <v>819.18000000000006</v>
      </c>
    </row>
    <row r="4972" spans="1:10" ht="12.5" x14ac:dyDescent="0.25">
      <c r="A4972" s="1">
        <v>45981</v>
      </c>
      <c r="B4972" s="2" t="s">
        <v>13</v>
      </c>
      <c r="C4972" s="3">
        <v>12.49</v>
      </c>
      <c r="D4972" s="3">
        <v>96</v>
      </c>
      <c r="E4972" s="3">
        <v>1199.04</v>
      </c>
      <c r="F4972" t="str">
        <f t="shared" si="389"/>
        <v>net sales</v>
      </c>
      <c r="G4972" s="7" t="str">
        <f t="shared" si="390"/>
        <v>product 3</v>
      </c>
      <c r="H4972">
        <f t="shared" si="391"/>
        <v>2025</v>
      </c>
      <c r="I4972">
        <f t="shared" si="392"/>
        <v>11</v>
      </c>
      <c r="J4972">
        <f t="shared" si="393"/>
        <v>199.92</v>
      </c>
    </row>
    <row r="4973" spans="1:10" ht="12.5" x14ac:dyDescent="0.25">
      <c r="A4973" s="1">
        <v>45982</v>
      </c>
      <c r="B4973" s="2" t="s">
        <v>7</v>
      </c>
      <c r="C4973" s="3">
        <v>5.49</v>
      </c>
      <c r="D4973" s="3">
        <v>47</v>
      </c>
      <c r="E4973" s="3">
        <v>258.03000000000003</v>
      </c>
      <c r="F4973" t="str">
        <f t="shared" si="389"/>
        <v>cogs</v>
      </c>
      <c r="G4973" s="7" t="str">
        <f t="shared" si="390"/>
        <v>product 1</v>
      </c>
      <c r="H4973">
        <f t="shared" si="391"/>
        <v>2025</v>
      </c>
      <c r="I4973">
        <f t="shared" si="392"/>
        <v>11</v>
      </c>
      <c r="J4973">
        <f t="shared" si="393"/>
        <v>1236.51</v>
      </c>
    </row>
    <row r="4974" spans="1:10" ht="12.5" x14ac:dyDescent="0.25">
      <c r="A4974" s="1">
        <v>45982</v>
      </c>
      <c r="B4974" s="2" t="s">
        <v>8</v>
      </c>
      <c r="C4974" s="3">
        <v>21.49</v>
      </c>
      <c r="D4974" s="3">
        <v>4</v>
      </c>
      <c r="E4974" s="3">
        <v>85.96</v>
      </c>
      <c r="F4974" t="str">
        <f t="shared" si="389"/>
        <v>cogs</v>
      </c>
      <c r="G4974" s="7" t="str">
        <f t="shared" si="390"/>
        <v>product 2</v>
      </c>
      <c r="H4974">
        <f t="shared" si="391"/>
        <v>2025</v>
      </c>
      <c r="I4974">
        <f t="shared" si="392"/>
        <v>11</v>
      </c>
      <c r="J4974">
        <f t="shared" si="393"/>
        <v>-538.02</v>
      </c>
    </row>
    <row r="4975" spans="1:10" ht="12.5" x14ac:dyDescent="0.25">
      <c r="A4975" s="1">
        <v>45982</v>
      </c>
      <c r="B4975" s="2" t="s">
        <v>9</v>
      </c>
      <c r="C4975" s="3">
        <v>8.99</v>
      </c>
      <c r="D4975" s="3">
        <v>193</v>
      </c>
      <c r="E4975" s="3">
        <v>1735.07</v>
      </c>
      <c r="F4975" t="str">
        <f t="shared" si="389"/>
        <v>cogs</v>
      </c>
      <c r="G4975" s="7" t="str">
        <f t="shared" si="390"/>
        <v>product 3</v>
      </c>
      <c r="H4975">
        <f t="shared" si="391"/>
        <v>2025</v>
      </c>
      <c r="I4975">
        <f t="shared" si="392"/>
        <v>11</v>
      </c>
      <c r="J4975">
        <f t="shared" si="393"/>
        <v>-85.96</v>
      </c>
    </row>
    <row r="4976" spans="1:10" ht="12.5" x14ac:dyDescent="0.25">
      <c r="A4976" s="1">
        <v>45982</v>
      </c>
      <c r="B4976" s="2" t="s">
        <v>10</v>
      </c>
      <c r="C4976" s="2" t="s">
        <v>6</v>
      </c>
      <c r="D4976" s="2" t="s">
        <v>6</v>
      </c>
      <c r="E4976" s="3">
        <v>119.06</v>
      </c>
      <c r="F4976" t="str">
        <f t="shared" si="389"/>
        <v>marketing</v>
      </c>
      <c r="G4976" s="7" t="s">
        <v>6</v>
      </c>
      <c r="H4976">
        <f t="shared" si="391"/>
        <v>2025</v>
      </c>
      <c r="I4976">
        <f t="shared" si="392"/>
        <v>11</v>
      </c>
      <c r="J4976">
        <f t="shared" si="393"/>
        <v>-2202.5500000000002</v>
      </c>
    </row>
    <row r="4977" spans="1:10" ht="12.5" x14ac:dyDescent="0.25">
      <c r="A4977" s="1">
        <v>45982</v>
      </c>
      <c r="B4977" s="2" t="s">
        <v>11</v>
      </c>
      <c r="C4977" s="3">
        <v>9.99</v>
      </c>
      <c r="D4977" s="3">
        <v>47</v>
      </c>
      <c r="E4977" s="3">
        <v>469.53000000000003</v>
      </c>
      <c r="F4977" t="str">
        <f t="shared" si="389"/>
        <v>net sales</v>
      </c>
      <c r="G4977" s="7" t="str">
        <f t="shared" si="390"/>
        <v>product 1</v>
      </c>
      <c r="H4977">
        <f t="shared" si="391"/>
        <v>2025</v>
      </c>
      <c r="I4977">
        <f t="shared" si="392"/>
        <v>11</v>
      </c>
      <c r="J4977">
        <f t="shared" si="393"/>
        <v>-103.04</v>
      </c>
    </row>
    <row r="4978" spans="1:10" ht="12.5" x14ac:dyDescent="0.25">
      <c r="A4978" s="1">
        <v>45982</v>
      </c>
      <c r="B4978" s="2" t="s">
        <v>12</v>
      </c>
      <c r="C4978" s="3">
        <v>24.99</v>
      </c>
      <c r="D4978" s="3">
        <v>4</v>
      </c>
      <c r="E4978" s="3">
        <v>99.96</v>
      </c>
      <c r="F4978" t="str">
        <f t="shared" si="389"/>
        <v>net sales</v>
      </c>
      <c r="G4978" s="7" t="str">
        <f t="shared" si="390"/>
        <v>product 2</v>
      </c>
      <c r="H4978">
        <f t="shared" si="391"/>
        <v>2025</v>
      </c>
      <c r="I4978">
        <f t="shared" si="392"/>
        <v>11</v>
      </c>
      <c r="J4978">
        <f t="shared" si="393"/>
        <v>979.02</v>
      </c>
    </row>
    <row r="4979" spans="1:10" ht="12.5" x14ac:dyDescent="0.25">
      <c r="A4979" s="1">
        <v>45982</v>
      </c>
      <c r="B4979" s="2" t="s">
        <v>13</v>
      </c>
      <c r="C4979" s="3">
        <v>12.49</v>
      </c>
      <c r="D4979" s="3">
        <v>193</v>
      </c>
      <c r="E4979" s="3">
        <v>2410.5700000000002</v>
      </c>
      <c r="F4979" t="str">
        <f t="shared" si="389"/>
        <v>net sales</v>
      </c>
      <c r="G4979" s="7" t="str">
        <f t="shared" si="390"/>
        <v>product 3</v>
      </c>
      <c r="H4979">
        <f t="shared" si="391"/>
        <v>2025</v>
      </c>
      <c r="I4979">
        <f t="shared" si="392"/>
        <v>11</v>
      </c>
      <c r="J4979">
        <f t="shared" si="393"/>
        <v>99.96</v>
      </c>
    </row>
    <row r="4980" spans="1:10" ht="12.5" x14ac:dyDescent="0.25">
      <c r="A4980" s="1">
        <v>45982</v>
      </c>
      <c r="B4980" s="2" t="s">
        <v>15</v>
      </c>
      <c r="C4980" s="2" t="s">
        <v>6</v>
      </c>
      <c r="D4980" s="2" t="s">
        <v>6</v>
      </c>
      <c r="E4980" s="3">
        <v>1200</v>
      </c>
      <c r="F4980" t="str">
        <f t="shared" si="389"/>
        <v>payroll</v>
      </c>
      <c r="G4980" s="7" t="s">
        <v>6</v>
      </c>
      <c r="H4980">
        <f t="shared" si="391"/>
        <v>2025</v>
      </c>
      <c r="I4980">
        <f t="shared" si="392"/>
        <v>11</v>
      </c>
      <c r="J4980">
        <f t="shared" si="393"/>
        <v>3060.05</v>
      </c>
    </row>
    <row r="4981" spans="1:10" ht="12.5" x14ac:dyDescent="0.25">
      <c r="A4981" s="1">
        <v>45983</v>
      </c>
      <c r="B4981" s="2" t="s">
        <v>7</v>
      </c>
      <c r="C4981" s="3">
        <v>5.49</v>
      </c>
      <c r="D4981" s="3">
        <v>62</v>
      </c>
      <c r="E4981" s="3">
        <v>340.38</v>
      </c>
      <c r="F4981" t="str">
        <f t="shared" si="389"/>
        <v>cogs</v>
      </c>
      <c r="G4981" s="7" t="str">
        <f t="shared" si="390"/>
        <v>product 1</v>
      </c>
      <c r="H4981">
        <f t="shared" si="391"/>
        <v>2025</v>
      </c>
      <c r="I4981">
        <f t="shared" si="392"/>
        <v>11</v>
      </c>
      <c r="J4981">
        <f t="shared" si="393"/>
        <v>-274.5</v>
      </c>
    </row>
    <row r="4982" spans="1:10" ht="12.5" x14ac:dyDescent="0.25">
      <c r="A4982" s="1">
        <v>45983</v>
      </c>
      <c r="B4982" s="2" t="s">
        <v>8</v>
      </c>
      <c r="C4982" s="3">
        <v>21.49</v>
      </c>
      <c r="D4982" s="3">
        <v>2</v>
      </c>
      <c r="E4982" s="3">
        <v>42.98</v>
      </c>
      <c r="F4982" t="str">
        <f t="shared" si="389"/>
        <v>cogs</v>
      </c>
      <c r="G4982" s="7" t="str">
        <f t="shared" si="390"/>
        <v>product 2</v>
      </c>
      <c r="H4982">
        <f t="shared" si="391"/>
        <v>2025</v>
      </c>
      <c r="I4982">
        <f t="shared" si="392"/>
        <v>11</v>
      </c>
      <c r="J4982">
        <f t="shared" si="393"/>
        <v>0</v>
      </c>
    </row>
    <row r="4983" spans="1:10" ht="12.5" x14ac:dyDescent="0.25">
      <c r="A4983" s="1">
        <v>45983</v>
      </c>
      <c r="B4983" s="2" t="s">
        <v>9</v>
      </c>
      <c r="C4983" s="3">
        <v>8.99</v>
      </c>
      <c r="D4983" s="3">
        <v>166</v>
      </c>
      <c r="E4983" s="3">
        <v>1492.3400000000001</v>
      </c>
      <c r="F4983" t="str">
        <f t="shared" si="389"/>
        <v>cogs</v>
      </c>
      <c r="G4983" s="7" t="str">
        <f t="shared" si="390"/>
        <v>product 3</v>
      </c>
      <c r="H4983">
        <f t="shared" si="391"/>
        <v>2025</v>
      </c>
      <c r="I4983">
        <f t="shared" si="392"/>
        <v>11</v>
      </c>
      <c r="J4983">
        <f t="shared" si="393"/>
        <v>-359.6</v>
      </c>
    </row>
    <row r="4984" spans="1:10" ht="12.5" x14ac:dyDescent="0.25">
      <c r="A4984" s="1">
        <v>45983</v>
      </c>
      <c r="B4984" s="2" t="s">
        <v>10</v>
      </c>
      <c r="C4984" s="2" t="s">
        <v>6</v>
      </c>
      <c r="D4984" s="2" t="s">
        <v>6</v>
      </c>
      <c r="E4984" s="3">
        <v>112.03</v>
      </c>
      <c r="F4984" t="str">
        <f t="shared" si="389"/>
        <v>marketing</v>
      </c>
      <c r="G4984" s="7" t="s">
        <v>6</v>
      </c>
      <c r="H4984">
        <f t="shared" si="391"/>
        <v>2025</v>
      </c>
      <c r="I4984">
        <f t="shared" si="392"/>
        <v>11</v>
      </c>
      <c r="J4984">
        <f t="shared" si="393"/>
        <v>-100.96000000000001</v>
      </c>
    </row>
    <row r="4985" spans="1:10" ht="12.5" x14ac:dyDescent="0.25">
      <c r="A4985" s="1">
        <v>45983</v>
      </c>
      <c r="B4985" s="2" t="s">
        <v>11</v>
      </c>
      <c r="C4985" s="3">
        <v>9.99</v>
      </c>
      <c r="D4985" s="3">
        <v>62</v>
      </c>
      <c r="E4985" s="3">
        <v>619.38</v>
      </c>
      <c r="F4985" t="str">
        <f t="shared" si="389"/>
        <v>net sales</v>
      </c>
      <c r="G4985" s="7" t="str">
        <f t="shared" si="390"/>
        <v>product 1</v>
      </c>
      <c r="H4985">
        <f t="shared" si="391"/>
        <v>2025</v>
      </c>
      <c r="I4985">
        <f t="shared" si="392"/>
        <v>11</v>
      </c>
      <c r="J4985">
        <f t="shared" si="393"/>
        <v>499.5</v>
      </c>
    </row>
    <row r="4986" spans="1:10" ht="12.5" x14ac:dyDescent="0.25">
      <c r="A4986" s="1">
        <v>45983</v>
      </c>
      <c r="B4986" s="2" t="s">
        <v>12</v>
      </c>
      <c r="C4986" s="3">
        <v>24.99</v>
      </c>
      <c r="D4986" s="3">
        <v>2</v>
      </c>
      <c r="E4986" s="3">
        <v>49.98</v>
      </c>
      <c r="F4986" t="str">
        <f t="shared" si="389"/>
        <v>net sales</v>
      </c>
      <c r="G4986" s="7" t="str">
        <f t="shared" si="390"/>
        <v>product 2</v>
      </c>
      <c r="H4986">
        <f t="shared" si="391"/>
        <v>2025</v>
      </c>
      <c r="I4986">
        <f t="shared" si="392"/>
        <v>11</v>
      </c>
      <c r="J4986">
        <f t="shared" si="393"/>
        <v>0</v>
      </c>
    </row>
    <row r="4987" spans="1:10" ht="12.5" x14ac:dyDescent="0.25">
      <c r="A4987" s="1">
        <v>45983</v>
      </c>
      <c r="B4987" s="2" t="s">
        <v>13</v>
      </c>
      <c r="C4987" s="3">
        <v>12.49</v>
      </c>
      <c r="D4987" s="3">
        <v>166</v>
      </c>
      <c r="E4987" s="3">
        <v>2073.34</v>
      </c>
      <c r="F4987" t="str">
        <f t="shared" si="389"/>
        <v>net sales</v>
      </c>
      <c r="G4987" s="7" t="str">
        <f t="shared" si="390"/>
        <v>product 3</v>
      </c>
      <c r="H4987">
        <f t="shared" si="391"/>
        <v>2025</v>
      </c>
      <c r="I4987">
        <f t="shared" si="392"/>
        <v>11</v>
      </c>
      <c r="J4987">
        <f t="shared" si="393"/>
        <v>499.6</v>
      </c>
    </row>
    <row r="4988" spans="1:10" ht="12.5" x14ac:dyDescent="0.25">
      <c r="A4988" s="1">
        <v>45984</v>
      </c>
      <c r="B4988" s="2" t="s">
        <v>7</v>
      </c>
      <c r="C4988" s="3">
        <v>5.49</v>
      </c>
      <c r="D4988" s="3">
        <v>85</v>
      </c>
      <c r="E4988" s="3">
        <v>466.65000000000003</v>
      </c>
      <c r="F4988" t="str">
        <f t="shared" si="389"/>
        <v>cogs</v>
      </c>
      <c r="G4988" s="7" t="str">
        <f t="shared" si="390"/>
        <v>product 1</v>
      </c>
      <c r="H4988">
        <f t="shared" si="391"/>
        <v>2025</v>
      </c>
      <c r="I4988">
        <f t="shared" si="392"/>
        <v>11</v>
      </c>
      <c r="J4988">
        <f t="shared" si="393"/>
        <v>-527.04</v>
      </c>
    </row>
    <row r="4989" spans="1:10" ht="12.5" x14ac:dyDescent="0.25">
      <c r="A4989" s="1">
        <v>45984</v>
      </c>
      <c r="B4989" s="2" t="s">
        <v>8</v>
      </c>
      <c r="C4989" s="3">
        <v>21.49</v>
      </c>
      <c r="D4989" s="3">
        <v>0</v>
      </c>
      <c r="E4989" s="2">
        <f>C4989*D4989</f>
        <v>0</v>
      </c>
      <c r="F4989" t="str">
        <f t="shared" si="389"/>
        <v>cogs</v>
      </c>
      <c r="G4989" s="7" t="str">
        <f t="shared" si="390"/>
        <v>product 2</v>
      </c>
      <c r="H4989">
        <f t="shared" si="391"/>
        <v>2025</v>
      </c>
      <c r="I4989">
        <f t="shared" si="392"/>
        <v>11</v>
      </c>
      <c r="J4989">
        <f t="shared" si="393"/>
        <v>-21.49</v>
      </c>
    </row>
    <row r="4990" spans="1:10" ht="12.5" x14ac:dyDescent="0.25">
      <c r="A4990" s="1">
        <v>45984</v>
      </c>
      <c r="B4990" s="2" t="s">
        <v>9</v>
      </c>
      <c r="C4990" s="3">
        <v>8.99</v>
      </c>
      <c r="D4990" s="3">
        <v>218</v>
      </c>
      <c r="E4990" s="3">
        <v>1959.82</v>
      </c>
      <c r="F4990" t="str">
        <f t="shared" si="389"/>
        <v>cogs</v>
      </c>
      <c r="G4990" s="7" t="str">
        <f t="shared" si="390"/>
        <v>product 3</v>
      </c>
      <c r="H4990">
        <f t="shared" si="391"/>
        <v>2025</v>
      </c>
      <c r="I4990">
        <f t="shared" si="392"/>
        <v>11</v>
      </c>
      <c r="J4990">
        <f t="shared" si="393"/>
        <v>-1771.03</v>
      </c>
    </row>
    <row r="4991" spans="1:10" ht="12.5" x14ac:dyDescent="0.25">
      <c r="A4991" s="1">
        <v>45984</v>
      </c>
      <c r="B4991" s="2" t="s">
        <v>10</v>
      </c>
      <c r="C4991" s="2" t="s">
        <v>6</v>
      </c>
      <c r="D4991" s="2" t="s">
        <v>6</v>
      </c>
      <c r="E4991" s="3">
        <v>107.94</v>
      </c>
      <c r="F4991" t="str">
        <f t="shared" si="389"/>
        <v>marketing</v>
      </c>
      <c r="G4991" s="7" t="s">
        <v>6</v>
      </c>
      <c r="H4991">
        <f t="shared" si="391"/>
        <v>2025</v>
      </c>
      <c r="I4991">
        <f t="shared" si="392"/>
        <v>11</v>
      </c>
      <c r="J4991">
        <f t="shared" si="393"/>
        <v>-113.09</v>
      </c>
    </row>
    <row r="4992" spans="1:10" ht="12.5" x14ac:dyDescent="0.25">
      <c r="A4992" s="1">
        <v>45984</v>
      </c>
      <c r="B4992" s="2" t="s">
        <v>11</v>
      </c>
      <c r="C4992" s="3">
        <v>9.99</v>
      </c>
      <c r="D4992" s="3">
        <v>85</v>
      </c>
      <c r="E4992" s="3">
        <v>849.15</v>
      </c>
      <c r="F4992" t="str">
        <f t="shared" si="389"/>
        <v>net sales</v>
      </c>
      <c r="G4992" s="7" t="str">
        <f t="shared" si="390"/>
        <v>product 1</v>
      </c>
      <c r="H4992">
        <f t="shared" si="391"/>
        <v>2025</v>
      </c>
      <c r="I4992">
        <f t="shared" si="392"/>
        <v>11</v>
      </c>
      <c r="J4992">
        <f t="shared" si="393"/>
        <v>959.04</v>
      </c>
    </row>
    <row r="4993" spans="1:10" ht="12.5" x14ac:dyDescent="0.25">
      <c r="A4993" s="1">
        <v>45984</v>
      </c>
      <c r="B4993" s="2" t="s">
        <v>12</v>
      </c>
      <c r="C4993" s="3">
        <v>24.99</v>
      </c>
      <c r="D4993" s="3">
        <v>0</v>
      </c>
      <c r="E4993" s="2">
        <f>C4993*D4993</f>
        <v>0</v>
      </c>
      <c r="F4993" t="str">
        <f t="shared" si="389"/>
        <v>net sales</v>
      </c>
      <c r="G4993" s="7" t="str">
        <f t="shared" si="390"/>
        <v>product 2</v>
      </c>
      <c r="H4993">
        <f t="shared" si="391"/>
        <v>2025</v>
      </c>
      <c r="I4993">
        <f t="shared" si="392"/>
        <v>11</v>
      </c>
      <c r="J4993">
        <f t="shared" si="393"/>
        <v>24.99</v>
      </c>
    </row>
    <row r="4994" spans="1:10" ht="12.5" x14ac:dyDescent="0.25">
      <c r="A4994" s="1">
        <v>45984</v>
      </c>
      <c r="B4994" s="2" t="s">
        <v>13</v>
      </c>
      <c r="C4994" s="3">
        <v>12.49</v>
      </c>
      <c r="D4994" s="3">
        <v>218</v>
      </c>
      <c r="E4994" s="3">
        <v>2722.82</v>
      </c>
      <c r="F4994" t="str">
        <f t="shared" si="389"/>
        <v>net sales</v>
      </c>
      <c r="G4994" s="7" t="str">
        <f t="shared" si="390"/>
        <v>product 3</v>
      </c>
      <c r="H4994">
        <f t="shared" si="391"/>
        <v>2025</v>
      </c>
      <c r="I4994">
        <f t="shared" si="392"/>
        <v>11</v>
      </c>
      <c r="J4994">
        <f t="shared" si="393"/>
        <v>2460.5300000000002</v>
      </c>
    </row>
    <row r="4995" spans="1:10" ht="12.5" x14ac:dyDescent="0.25">
      <c r="A4995" s="1">
        <v>45985</v>
      </c>
      <c r="B4995" s="2" t="s">
        <v>7</v>
      </c>
      <c r="C4995" s="3">
        <v>5.49</v>
      </c>
      <c r="D4995" s="3">
        <v>89</v>
      </c>
      <c r="E4995" s="3">
        <v>488.61</v>
      </c>
      <c r="F4995" t="str">
        <f t="shared" ref="F4995:F5058" si="394">IFERROR(LEFT(B4995,FIND(":",B4995)-1),B4995)</f>
        <v>cogs</v>
      </c>
      <c r="G4995" s="7" t="str">
        <f t="shared" ref="G4995:G5058" si="395">IFERROR(RIGHT(B4995,LEN(B4995)-FIND(":",B4995)),"")</f>
        <v>product 1</v>
      </c>
      <c r="H4995">
        <f t="shared" ref="H4995:H5058" si="396">YEAR(A4995)</f>
        <v>2025</v>
      </c>
      <c r="I4995">
        <f t="shared" ref="I4995:I5058" si="397">MONTH(A4995)</f>
        <v>11</v>
      </c>
      <c r="J4995">
        <f t="shared" si="393"/>
        <v>-1200</v>
      </c>
    </row>
    <row r="4996" spans="1:10" ht="12.5" x14ac:dyDescent="0.25">
      <c r="A4996" s="1">
        <v>45985</v>
      </c>
      <c r="B4996" s="2" t="s">
        <v>8</v>
      </c>
      <c r="C4996" s="3">
        <v>21.49</v>
      </c>
      <c r="D4996" s="3">
        <v>3</v>
      </c>
      <c r="E4996" s="3">
        <v>64.47</v>
      </c>
      <c r="F4996" t="str">
        <f t="shared" si="394"/>
        <v>cogs</v>
      </c>
      <c r="G4996" s="7" t="str">
        <f t="shared" si="395"/>
        <v>product 2</v>
      </c>
      <c r="H4996">
        <f t="shared" si="396"/>
        <v>2025</v>
      </c>
      <c r="I4996">
        <f t="shared" si="397"/>
        <v>11</v>
      </c>
      <c r="J4996">
        <f t="shared" si="393"/>
        <v>-455.67</v>
      </c>
    </row>
    <row r="4997" spans="1:10" ht="12.5" x14ac:dyDescent="0.25">
      <c r="A4997" s="1">
        <v>45985</v>
      </c>
      <c r="B4997" s="2" t="s">
        <v>9</v>
      </c>
      <c r="C4997" s="3">
        <v>8.99</v>
      </c>
      <c r="D4997" s="3">
        <v>134</v>
      </c>
      <c r="E4997" s="3">
        <v>1204.6600000000001</v>
      </c>
      <c r="F4997" t="str">
        <f t="shared" si="394"/>
        <v>cogs</v>
      </c>
      <c r="G4997" s="7" t="str">
        <f t="shared" si="395"/>
        <v>product 3</v>
      </c>
      <c r="H4997">
        <f t="shared" si="396"/>
        <v>2025</v>
      </c>
      <c r="I4997">
        <f t="shared" si="397"/>
        <v>11</v>
      </c>
      <c r="J4997">
        <f t="shared" si="393"/>
        <v>-21.49</v>
      </c>
    </row>
    <row r="4998" spans="1:10" ht="12.5" x14ac:dyDescent="0.25">
      <c r="A4998" s="1">
        <v>45985</v>
      </c>
      <c r="B4998" s="2" t="s">
        <v>10</v>
      </c>
      <c r="C4998" s="2" t="s">
        <v>6</v>
      </c>
      <c r="D4998" s="2" t="s">
        <v>6</v>
      </c>
      <c r="E4998" s="3">
        <v>116.92</v>
      </c>
      <c r="F4998" t="str">
        <f t="shared" si="394"/>
        <v>marketing</v>
      </c>
      <c r="G4998" s="7" t="s">
        <v>6</v>
      </c>
      <c r="H4998">
        <f t="shared" si="396"/>
        <v>2025</v>
      </c>
      <c r="I4998">
        <f t="shared" si="397"/>
        <v>11</v>
      </c>
      <c r="J4998">
        <f t="shared" si="393"/>
        <v>-620.31000000000006</v>
      </c>
    </row>
    <row r="4999" spans="1:10" ht="12.5" x14ac:dyDescent="0.25">
      <c r="A4999" s="1">
        <v>45985</v>
      </c>
      <c r="B4999" s="2" t="s">
        <v>11</v>
      </c>
      <c r="C4999" s="3">
        <v>9.99</v>
      </c>
      <c r="D4999" s="3">
        <v>89</v>
      </c>
      <c r="E4999" s="3">
        <v>889.11</v>
      </c>
      <c r="F4999" t="str">
        <f t="shared" si="394"/>
        <v>net sales</v>
      </c>
      <c r="G4999" s="7" t="str">
        <f t="shared" si="395"/>
        <v>product 1</v>
      </c>
      <c r="H4999">
        <f t="shared" si="396"/>
        <v>2025</v>
      </c>
      <c r="I4999">
        <f t="shared" si="397"/>
        <v>11</v>
      </c>
      <c r="J4999">
        <f t="shared" si="393"/>
        <v>-116.04</v>
      </c>
    </row>
    <row r="5000" spans="1:10" ht="12.5" x14ac:dyDescent="0.25">
      <c r="A5000" s="1">
        <v>45985</v>
      </c>
      <c r="B5000" s="2" t="s">
        <v>12</v>
      </c>
      <c r="C5000" s="3">
        <v>24.99</v>
      </c>
      <c r="D5000" s="3">
        <v>3</v>
      </c>
      <c r="E5000" s="3">
        <v>74.97</v>
      </c>
      <c r="F5000" t="str">
        <f t="shared" si="394"/>
        <v>net sales</v>
      </c>
      <c r="G5000" s="7" t="str">
        <f t="shared" si="395"/>
        <v>product 2</v>
      </c>
      <c r="H5000">
        <f t="shared" si="396"/>
        <v>2025</v>
      </c>
      <c r="I5000">
        <f t="shared" si="397"/>
        <v>11</v>
      </c>
      <c r="J5000">
        <f t="shared" si="393"/>
        <v>829.17000000000007</v>
      </c>
    </row>
    <row r="5001" spans="1:10" ht="12.5" x14ac:dyDescent="0.25">
      <c r="A5001" s="1">
        <v>45985</v>
      </c>
      <c r="B5001" s="2" t="s">
        <v>13</v>
      </c>
      <c r="C5001" s="3">
        <v>12.49</v>
      </c>
      <c r="D5001" s="3">
        <v>134</v>
      </c>
      <c r="E5001" s="3">
        <v>1673.66</v>
      </c>
      <c r="F5001" t="str">
        <f t="shared" si="394"/>
        <v>net sales</v>
      </c>
      <c r="G5001" s="7" t="str">
        <f t="shared" si="395"/>
        <v>product 3</v>
      </c>
      <c r="H5001">
        <f t="shared" si="396"/>
        <v>2025</v>
      </c>
      <c r="I5001">
        <f t="shared" si="397"/>
        <v>11</v>
      </c>
      <c r="J5001">
        <f t="shared" si="393"/>
        <v>24.99</v>
      </c>
    </row>
    <row r="5002" spans="1:10" ht="12.5" x14ac:dyDescent="0.25">
      <c r="A5002" s="1">
        <v>45986</v>
      </c>
      <c r="B5002" s="2" t="s">
        <v>7</v>
      </c>
      <c r="C5002" s="3">
        <v>5.49</v>
      </c>
      <c r="D5002" s="3">
        <v>84</v>
      </c>
      <c r="E5002" s="3">
        <v>461.16</v>
      </c>
      <c r="F5002" t="str">
        <f t="shared" si="394"/>
        <v>cogs</v>
      </c>
      <c r="G5002" s="7" t="str">
        <f t="shared" si="395"/>
        <v>product 1</v>
      </c>
      <c r="H5002">
        <f t="shared" si="396"/>
        <v>2025</v>
      </c>
      <c r="I5002">
        <f t="shared" si="397"/>
        <v>11</v>
      </c>
      <c r="J5002">
        <f t="shared" si="393"/>
        <v>861.81000000000006</v>
      </c>
    </row>
    <row r="5003" spans="1:10" ht="12.5" x14ac:dyDescent="0.25">
      <c r="A5003" s="1">
        <v>45986</v>
      </c>
      <c r="B5003" s="2" t="s">
        <v>8</v>
      </c>
      <c r="C5003" s="3">
        <v>21.49</v>
      </c>
      <c r="D5003" s="3">
        <v>6</v>
      </c>
      <c r="E5003" s="3">
        <v>128.94</v>
      </c>
      <c r="F5003" t="str">
        <f t="shared" si="394"/>
        <v>cogs</v>
      </c>
      <c r="G5003" s="7" t="str">
        <f t="shared" si="395"/>
        <v>product 2</v>
      </c>
      <c r="H5003">
        <f t="shared" si="396"/>
        <v>2025</v>
      </c>
      <c r="I5003">
        <f t="shared" si="397"/>
        <v>11</v>
      </c>
      <c r="J5003">
        <f t="shared" si="393"/>
        <v>-362.34000000000003</v>
      </c>
    </row>
    <row r="5004" spans="1:10" ht="12.5" x14ac:dyDescent="0.25">
      <c r="A5004" s="1">
        <v>45986</v>
      </c>
      <c r="B5004" s="2" t="s">
        <v>9</v>
      </c>
      <c r="C5004" s="3">
        <v>8.99</v>
      </c>
      <c r="D5004" s="3">
        <v>245</v>
      </c>
      <c r="E5004" s="3">
        <v>2202.5500000000002</v>
      </c>
      <c r="F5004" t="str">
        <f t="shared" si="394"/>
        <v>cogs</v>
      </c>
      <c r="G5004" s="7" t="str">
        <f t="shared" si="395"/>
        <v>product 3</v>
      </c>
      <c r="H5004">
        <f t="shared" si="396"/>
        <v>2025</v>
      </c>
      <c r="I5004">
        <f t="shared" si="397"/>
        <v>11</v>
      </c>
      <c r="J5004">
        <f t="shared" si="393"/>
        <v>-171.92</v>
      </c>
    </row>
    <row r="5005" spans="1:10" ht="12.5" x14ac:dyDescent="0.25">
      <c r="A5005" s="1">
        <v>45986</v>
      </c>
      <c r="B5005" s="2" t="s">
        <v>10</v>
      </c>
      <c r="C5005" s="2" t="s">
        <v>6</v>
      </c>
      <c r="D5005" s="2" t="s">
        <v>6</v>
      </c>
      <c r="E5005" s="3">
        <v>100.95</v>
      </c>
      <c r="F5005" t="str">
        <f t="shared" si="394"/>
        <v>marketing</v>
      </c>
      <c r="G5005" s="7" t="s">
        <v>6</v>
      </c>
      <c r="H5005">
        <f t="shared" si="396"/>
        <v>2025</v>
      </c>
      <c r="I5005">
        <f t="shared" si="397"/>
        <v>11</v>
      </c>
      <c r="J5005">
        <f t="shared" si="393"/>
        <v>-1771.03</v>
      </c>
    </row>
    <row r="5006" spans="1:10" ht="12.5" x14ac:dyDescent="0.25">
      <c r="A5006" s="1">
        <v>45986</v>
      </c>
      <c r="B5006" s="2" t="s">
        <v>11</v>
      </c>
      <c r="C5006" s="3">
        <v>9.99</v>
      </c>
      <c r="D5006" s="3">
        <v>84</v>
      </c>
      <c r="E5006" s="3">
        <v>839.16</v>
      </c>
      <c r="F5006" t="str">
        <f t="shared" si="394"/>
        <v>net sales</v>
      </c>
      <c r="G5006" s="7" t="str">
        <f t="shared" si="395"/>
        <v>product 1</v>
      </c>
      <c r="H5006">
        <f t="shared" si="396"/>
        <v>2025</v>
      </c>
      <c r="I5006">
        <f t="shared" si="397"/>
        <v>11</v>
      </c>
      <c r="J5006">
        <f t="shared" si="393"/>
        <v>-117</v>
      </c>
    </row>
    <row r="5007" spans="1:10" ht="12.5" x14ac:dyDescent="0.25">
      <c r="A5007" s="1">
        <v>45986</v>
      </c>
      <c r="B5007" s="2" t="s">
        <v>12</v>
      </c>
      <c r="C5007" s="3">
        <v>24.99</v>
      </c>
      <c r="D5007" s="3">
        <v>6</v>
      </c>
      <c r="E5007" s="3">
        <v>149.94</v>
      </c>
      <c r="F5007" t="str">
        <f t="shared" si="394"/>
        <v>net sales</v>
      </c>
      <c r="G5007" s="7" t="str">
        <f t="shared" si="395"/>
        <v>product 2</v>
      </c>
      <c r="H5007">
        <f t="shared" si="396"/>
        <v>2025</v>
      </c>
      <c r="I5007">
        <f t="shared" si="397"/>
        <v>11</v>
      </c>
      <c r="J5007">
        <f t="shared" si="393"/>
        <v>659.34</v>
      </c>
    </row>
    <row r="5008" spans="1:10" ht="12.5" x14ac:dyDescent="0.25">
      <c r="A5008" s="1">
        <v>45986</v>
      </c>
      <c r="B5008" s="2" t="s">
        <v>13</v>
      </c>
      <c r="C5008" s="3">
        <v>12.49</v>
      </c>
      <c r="D5008" s="3">
        <v>245</v>
      </c>
      <c r="E5008" s="3">
        <v>3060.05</v>
      </c>
      <c r="F5008" t="str">
        <f t="shared" si="394"/>
        <v>net sales</v>
      </c>
      <c r="G5008" s="7" t="str">
        <f t="shared" si="395"/>
        <v>product 3</v>
      </c>
      <c r="H5008">
        <f t="shared" si="396"/>
        <v>2025</v>
      </c>
      <c r="I5008">
        <f t="shared" si="397"/>
        <v>11</v>
      </c>
      <c r="J5008">
        <f t="shared" si="393"/>
        <v>199.92</v>
      </c>
    </row>
    <row r="5009" spans="1:10" ht="12.5" x14ac:dyDescent="0.25">
      <c r="A5009" s="1">
        <v>45987</v>
      </c>
      <c r="B5009" s="2" t="s">
        <v>7</v>
      </c>
      <c r="C5009" s="3">
        <v>5.49</v>
      </c>
      <c r="D5009" s="3">
        <v>42</v>
      </c>
      <c r="E5009" s="3">
        <v>230.58</v>
      </c>
      <c r="F5009" t="str">
        <f t="shared" si="394"/>
        <v>cogs</v>
      </c>
      <c r="G5009" s="7" t="str">
        <f t="shared" si="395"/>
        <v>product 1</v>
      </c>
      <c r="H5009">
        <f t="shared" si="396"/>
        <v>2025</v>
      </c>
      <c r="I5009">
        <f t="shared" si="397"/>
        <v>11</v>
      </c>
      <c r="J5009">
        <f t="shared" si="393"/>
        <v>2460.5300000000002</v>
      </c>
    </row>
    <row r="5010" spans="1:10" ht="12.5" x14ac:dyDescent="0.25">
      <c r="A5010" s="1">
        <v>45987</v>
      </c>
      <c r="B5010" s="2" t="s">
        <v>8</v>
      </c>
      <c r="C5010" s="3">
        <v>21.49</v>
      </c>
      <c r="D5010" s="3">
        <v>1</v>
      </c>
      <c r="E5010" s="3">
        <v>21.49</v>
      </c>
      <c r="F5010" t="str">
        <f t="shared" si="394"/>
        <v>cogs</v>
      </c>
      <c r="G5010" s="7" t="str">
        <f t="shared" si="395"/>
        <v>product 2</v>
      </c>
      <c r="H5010">
        <f t="shared" si="396"/>
        <v>2025</v>
      </c>
      <c r="I5010">
        <f t="shared" si="397"/>
        <v>11</v>
      </c>
      <c r="J5010">
        <f t="shared" si="393"/>
        <v>-499.59000000000003</v>
      </c>
    </row>
    <row r="5011" spans="1:10" ht="12.5" x14ac:dyDescent="0.25">
      <c r="A5011" s="1">
        <v>45987</v>
      </c>
      <c r="B5011" s="2" t="s">
        <v>9</v>
      </c>
      <c r="C5011" s="3">
        <v>8.99</v>
      </c>
      <c r="D5011" s="3">
        <v>143</v>
      </c>
      <c r="E5011" s="3">
        <v>1285.57</v>
      </c>
      <c r="F5011" t="str">
        <f t="shared" si="394"/>
        <v>cogs</v>
      </c>
      <c r="G5011" s="7" t="str">
        <f t="shared" si="395"/>
        <v>product 3</v>
      </c>
      <c r="H5011">
        <f t="shared" si="396"/>
        <v>2025</v>
      </c>
      <c r="I5011">
        <f t="shared" si="397"/>
        <v>11</v>
      </c>
      <c r="J5011">
        <f t="shared" si="393"/>
        <v>-171.92</v>
      </c>
    </row>
    <row r="5012" spans="1:10" ht="12.5" x14ac:dyDescent="0.25">
      <c r="A5012" s="1">
        <v>45987</v>
      </c>
      <c r="B5012" s="2" t="s">
        <v>10</v>
      </c>
      <c r="C5012" s="2" t="s">
        <v>6</v>
      </c>
      <c r="D5012" s="2" t="s">
        <v>6</v>
      </c>
      <c r="E5012" s="3">
        <v>102.07000000000001</v>
      </c>
      <c r="F5012" t="str">
        <f t="shared" si="394"/>
        <v>marketing</v>
      </c>
      <c r="G5012" s="7" t="s">
        <v>6</v>
      </c>
      <c r="H5012">
        <f t="shared" si="396"/>
        <v>2025</v>
      </c>
      <c r="I5012">
        <f t="shared" si="397"/>
        <v>11</v>
      </c>
      <c r="J5012">
        <f t="shared" si="393"/>
        <v>-1366.48</v>
      </c>
    </row>
    <row r="5013" spans="1:10" ht="12.5" x14ac:dyDescent="0.25">
      <c r="A5013" s="1">
        <v>45987</v>
      </c>
      <c r="B5013" s="2" t="s">
        <v>11</v>
      </c>
      <c r="C5013" s="3">
        <v>9.99</v>
      </c>
      <c r="D5013" s="3">
        <v>42</v>
      </c>
      <c r="E5013" s="3">
        <v>419.58</v>
      </c>
      <c r="F5013" t="str">
        <f t="shared" si="394"/>
        <v>net sales</v>
      </c>
      <c r="G5013" s="7" t="str">
        <f t="shared" si="395"/>
        <v>product 1</v>
      </c>
      <c r="H5013">
        <f t="shared" si="396"/>
        <v>2025</v>
      </c>
      <c r="I5013">
        <f t="shared" si="397"/>
        <v>11</v>
      </c>
      <c r="J5013">
        <f t="shared" si="393"/>
        <v>-103.99000000000001</v>
      </c>
    </row>
    <row r="5014" spans="1:10" ht="12.5" x14ac:dyDescent="0.25">
      <c r="A5014" s="1">
        <v>45987</v>
      </c>
      <c r="B5014" s="2" t="s">
        <v>12</v>
      </c>
      <c r="C5014" s="3">
        <v>24.99</v>
      </c>
      <c r="D5014" s="3">
        <v>1</v>
      </c>
      <c r="E5014" s="3">
        <v>24.99</v>
      </c>
      <c r="F5014" t="str">
        <f t="shared" si="394"/>
        <v>net sales</v>
      </c>
      <c r="G5014" s="7" t="str">
        <f t="shared" si="395"/>
        <v>product 2</v>
      </c>
      <c r="H5014">
        <f t="shared" si="396"/>
        <v>2025</v>
      </c>
      <c r="I5014">
        <f t="shared" si="397"/>
        <v>11</v>
      </c>
      <c r="J5014">
        <f t="shared" si="393"/>
        <v>909.09</v>
      </c>
    </row>
    <row r="5015" spans="1:10" ht="12.5" x14ac:dyDescent="0.25">
      <c r="A5015" s="1">
        <v>45987</v>
      </c>
      <c r="B5015" s="2" t="s">
        <v>13</v>
      </c>
      <c r="C5015" s="3">
        <v>12.49</v>
      </c>
      <c r="D5015" s="3">
        <v>143</v>
      </c>
      <c r="E5015" s="3">
        <v>1786.07</v>
      </c>
      <c r="F5015" t="str">
        <f t="shared" si="394"/>
        <v>net sales</v>
      </c>
      <c r="G5015" s="7" t="str">
        <f t="shared" si="395"/>
        <v>product 3</v>
      </c>
      <c r="H5015">
        <f t="shared" si="396"/>
        <v>2025</v>
      </c>
      <c r="I5015">
        <f t="shared" si="397"/>
        <v>11</v>
      </c>
      <c r="J5015">
        <f t="shared" si="393"/>
        <v>199.92</v>
      </c>
    </row>
    <row r="5016" spans="1:10" ht="12.5" x14ac:dyDescent="0.25">
      <c r="A5016" s="1">
        <v>45988</v>
      </c>
      <c r="B5016" s="2" t="s">
        <v>7</v>
      </c>
      <c r="C5016" s="3">
        <v>5.49</v>
      </c>
      <c r="D5016" s="3">
        <v>92</v>
      </c>
      <c r="E5016" s="3">
        <v>505.08000000000004</v>
      </c>
      <c r="F5016" t="str">
        <f t="shared" si="394"/>
        <v>cogs</v>
      </c>
      <c r="G5016" s="7" t="str">
        <f t="shared" si="395"/>
        <v>product 1</v>
      </c>
      <c r="H5016">
        <f t="shared" si="396"/>
        <v>2025</v>
      </c>
      <c r="I5016">
        <f t="shared" si="397"/>
        <v>11</v>
      </c>
      <c r="J5016">
        <f t="shared" si="393"/>
        <v>1898.48</v>
      </c>
    </row>
    <row r="5017" spans="1:10" ht="12.5" x14ac:dyDescent="0.25">
      <c r="A5017" s="1">
        <v>45988</v>
      </c>
      <c r="B5017" s="2" t="s">
        <v>8</v>
      </c>
      <c r="C5017" s="3">
        <v>21.49</v>
      </c>
      <c r="D5017" s="3">
        <v>0</v>
      </c>
      <c r="E5017" s="2">
        <f>C5017*D5017</f>
        <v>0</v>
      </c>
      <c r="F5017" t="str">
        <f t="shared" si="394"/>
        <v>cogs</v>
      </c>
      <c r="G5017" s="7" t="str">
        <f t="shared" si="395"/>
        <v>product 2</v>
      </c>
      <c r="H5017">
        <f t="shared" si="396"/>
        <v>2025</v>
      </c>
      <c r="I5017">
        <f t="shared" si="397"/>
        <v>11</v>
      </c>
      <c r="J5017">
        <f t="shared" si="393"/>
        <v>-252.54000000000002</v>
      </c>
    </row>
    <row r="5018" spans="1:10" ht="12.5" x14ac:dyDescent="0.25">
      <c r="A5018" s="1">
        <v>45988</v>
      </c>
      <c r="B5018" s="2" t="s">
        <v>9</v>
      </c>
      <c r="C5018" s="3">
        <v>8.99</v>
      </c>
      <c r="D5018" s="3">
        <v>190</v>
      </c>
      <c r="E5018" s="3">
        <v>1708.1000000000001</v>
      </c>
      <c r="F5018" t="str">
        <f t="shared" si="394"/>
        <v>cogs</v>
      </c>
      <c r="G5018" s="7" t="str">
        <f t="shared" si="395"/>
        <v>product 3</v>
      </c>
      <c r="H5018">
        <f t="shared" si="396"/>
        <v>2025</v>
      </c>
      <c r="I5018">
        <f t="shared" si="397"/>
        <v>11</v>
      </c>
      <c r="J5018">
        <f t="shared" si="393"/>
        <v>-150.42999999999998</v>
      </c>
    </row>
    <row r="5019" spans="1:10" ht="12.5" x14ac:dyDescent="0.25">
      <c r="A5019" s="1">
        <v>45988</v>
      </c>
      <c r="B5019" s="2" t="s">
        <v>10</v>
      </c>
      <c r="C5019" s="2" t="s">
        <v>6</v>
      </c>
      <c r="D5019" s="2" t="s">
        <v>6</v>
      </c>
      <c r="E5019" s="3">
        <v>100.07000000000001</v>
      </c>
      <c r="F5019" t="str">
        <f t="shared" si="394"/>
        <v>marketing</v>
      </c>
      <c r="G5019" s="7" t="s">
        <v>6</v>
      </c>
      <c r="H5019">
        <f t="shared" si="396"/>
        <v>2025</v>
      </c>
      <c r="I5019">
        <f t="shared" si="397"/>
        <v>11</v>
      </c>
      <c r="J5019">
        <f t="shared" si="393"/>
        <v>-2229.52</v>
      </c>
    </row>
    <row r="5020" spans="1:10" ht="12.5" x14ac:dyDescent="0.25">
      <c r="A5020" s="1">
        <v>45988</v>
      </c>
      <c r="B5020" s="2" t="s">
        <v>11</v>
      </c>
      <c r="C5020" s="3">
        <v>9.99</v>
      </c>
      <c r="D5020" s="3">
        <v>92</v>
      </c>
      <c r="E5020" s="3">
        <v>919.08</v>
      </c>
      <c r="F5020" t="str">
        <f t="shared" si="394"/>
        <v>net sales</v>
      </c>
      <c r="G5020" s="7" t="str">
        <f t="shared" si="395"/>
        <v>product 1</v>
      </c>
      <c r="H5020">
        <f t="shared" si="396"/>
        <v>2025</v>
      </c>
      <c r="I5020">
        <f t="shared" si="397"/>
        <v>11</v>
      </c>
      <c r="J5020">
        <f t="shared" ref="J5020:J5083" si="398">IF(F4803="net sales",E4803,
IF(F4803="cogs",-E4803,
IF(OR(F4803="marketing",F4803="overhead",F4803="payroll",F4803="interest","amortization"),-E4803,0)))</f>
        <v>-104.92</v>
      </c>
    </row>
    <row r="5021" spans="1:10" ht="12.5" x14ac:dyDescent="0.25">
      <c r="A5021" s="1">
        <v>45988</v>
      </c>
      <c r="B5021" s="2" t="s">
        <v>12</v>
      </c>
      <c r="C5021" s="3">
        <v>24.99</v>
      </c>
      <c r="D5021" s="3">
        <v>0</v>
      </c>
      <c r="E5021" s="2">
        <f>C5021*D5021</f>
        <v>0</v>
      </c>
      <c r="F5021" t="str">
        <f t="shared" si="394"/>
        <v>net sales</v>
      </c>
      <c r="G5021" s="7" t="str">
        <f t="shared" si="395"/>
        <v>product 2</v>
      </c>
      <c r="H5021">
        <f t="shared" si="396"/>
        <v>2025</v>
      </c>
      <c r="I5021">
        <f t="shared" si="397"/>
        <v>11</v>
      </c>
      <c r="J5021">
        <f t="shared" si="398"/>
        <v>459.54</v>
      </c>
    </row>
    <row r="5022" spans="1:10" ht="12.5" x14ac:dyDescent="0.25">
      <c r="A5022" s="1">
        <v>45988</v>
      </c>
      <c r="B5022" s="2" t="s">
        <v>13</v>
      </c>
      <c r="C5022" s="3">
        <v>12.49</v>
      </c>
      <c r="D5022" s="3">
        <v>190</v>
      </c>
      <c r="E5022" s="3">
        <v>2373.1</v>
      </c>
      <c r="F5022" t="str">
        <f t="shared" si="394"/>
        <v>net sales</v>
      </c>
      <c r="G5022" s="7" t="str">
        <f t="shared" si="395"/>
        <v>product 3</v>
      </c>
      <c r="H5022">
        <f t="shared" si="396"/>
        <v>2025</v>
      </c>
      <c r="I5022">
        <f t="shared" si="397"/>
        <v>11</v>
      </c>
      <c r="J5022">
        <f t="shared" si="398"/>
        <v>174.92999999999998</v>
      </c>
    </row>
    <row r="5023" spans="1:10" ht="12.5" x14ac:dyDescent="0.25">
      <c r="A5023" s="1">
        <v>45989</v>
      </c>
      <c r="B5023" s="2" t="s">
        <v>7</v>
      </c>
      <c r="C5023" s="3">
        <v>5.49</v>
      </c>
      <c r="D5023" s="3">
        <v>39</v>
      </c>
      <c r="E5023" s="3">
        <v>214.11</v>
      </c>
      <c r="F5023" t="str">
        <f t="shared" si="394"/>
        <v>cogs</v>
      </c>
      <c r="G5023" s="7" t="str">
        <f t="shared" si="395"/>
        <v>product 1</v>
      </c>
      <c r="H5023">
        <f t="shared" si="396"/>
        <v>2025</v>
      </c>
      <c r="I5023">
        <f t="shared" si="397"/>
        <v>11</v>
      </c>
      <c r="J5023">
        <f t="shared" si="398"/>
        <v>3097.52</v>
      </c>
    </row>
    <row r="5024" spans="1:10" ht="12.5" x14ac:dyDescent="0.25">
      <c r="A5024" s="1">
        <v>45989</v>
      </c>
      <c r="B5024" s="2" t="s">
        <v>8</v>
      </c>
      <c r="C5024" s="3">
        <v>21.49</v>
      </c>
      <c r="D5024" s="3">
        <v>5</v>
      </c>
      <c r="E5024" s="3">
        <v>107.44999999999999</v>
      </c>
      <c r="F5024" t="str">
        <f t="shared" si="394"/>
        <v>cogs</v>
      </c>
      <c r="G5024" s="7" t="str">
        <f t="shared" si="395"/>
        <v>product 2</v>
      </c>
      <c r="H5024">
        <f t="shared" si="396"/>
        <v>2025</v>
      </c>
      <c r="I5024">
        <f t="shared" si="397"/>
        <v>11</v>
      </c>
      <c r="J5024">
        <f t="shared" si="398"/>
        <v>-532.53</v>
      </c>
    </row>
    <row r="5025" spans="1:10" ht="12.5" x14ac:dyDescent="0.25">
      <c r="A5025" s="1">
        <v>45989</v>
      </c>
      <c r="B5025" s="2" t="s">
        <v>9</v>
      </c>
      <c r="C5025" s="3">
        <v>8.99</v>
      </c>
      <c r="D5025" s="3">
        <v>0</v>
      </c>
      <c r="E5025" s="2">
        <f>C5025*D5025</f>
        <v>0</v>
      </c>
      <c r="F5025" t="str">
        <f t="shared" si="394"/>
        <v>cogs</v>
      </c>
      <c r="G5025" s="7" t="str">
        <f t="shared" si="395"/>
        <v>product 3</v>
      </c>
      <c r="H5025">
        <f t="shared" si="396"/>
        <v>2025</v>
      </c>
      <c r="I5025">
        <f t="shared" si="397"/>
        <v>11</v>
      </c>
      <c r="J5025">
        <f t="shared" si="398"/>
        <v>-150.42999999999998</v>
      </c>
    </row>
    <row r="5026" spans="1:10" ht="12.5" x14ac:dyDescent="0.25">
      <c r="A5026" s="1">
        <v>45989</v>
      </c>
      <c r="B5026" s="2" t="s">
        <v>10</v>
      </c>
      <c r="C5026" s="2" t="s">
        <v>6</v>
      </c>
      <c r="D5026" s="2" t="s">
        <v>6</v>
      </c>
      <c r="E5026" s="3">
        <v>112.09</v>
      </c>
      <c r="F5026" t="str">
        <f t="shared" si="394"/>
        <v>marketing</v>
      </c>
      <c r="G5026" s="7" t="s">
        <v>6</v>
      </c>
      <c r="H5026">
        <f t="shared" si="396"/>
        <v>2025</v>
      </c>
      <c r="I5026">
        <f t="shared" si="397"/>
        <v>11</v>
      </c>
      <c r="J5026">
        <f t="shared" si="398"/>
        <v>-1024.8600000000001</v>
      </c>
    </row>
    <row r="5027" spans="1:10" ht="12.5" x14ac:dyDescent="0.25">
      <c r="A5027" s="1">
        <v>45989</v>
      </c>
      <c r="B5027" s="2" t="s">
        <v>11</v>
      </c>
      <c r="C5027" s="3">
        <v>9.99</v>
      </c>
      <c r="D5027" s="3">
        <v>39</v>
      </c>
      <c r="E5027" s="3">
        <v>389.61</v>
      </c>
      <c r="F5027" t="str">
        <f t="shared" si="394"/>
        <v>net sales</v>
      </c>
      <c r="G5027" s="7" t="str">
        <f t="shared" si="395"/>
        <v>product 1</v>
      </c>
      <c r="H5027">
        <f t="shared" si="396"/>
        <v>2025</v>
      </c>
      <c r="I5027">
        <f t="shared" si="397"/>
        <v>11</v>
      </c>
      <c r="J5027">
        <f t="shared" si="398"/>
        <v>-114.10000000000001</v>
      </c>
    </row>
    <row r="5028" spans="1:10" ht="12.5" x14ac:dyDescent="0.25">
      <c r="A5028" s="1">
        <v>45989</v>
      </c>
      <c r="B5028" s="2" t="s">
        <v>12</v>
      </c>
      <c r="C5028" s="3">
        <v>24.99</v>
      </c>
      <c r="D5028" s="3">
        <v>5</v>
      </c>
      <c r="E5028" s="3">
        <v>124.94999999999999</v>
      </c>
      <c r="F5028" t="str">
        <f t="shared" si="394"/>
        <v>net sales</v>
      </c>
      <c r="G5028" s="7" t="str">
        <f t="shared" si="395"/>
        <v>product 2</v>
      </c>
      <c r="H5028">
        <f t="shared" si="396"/>
        <v>2025</v>
      </c>
      <c r="I5028">
        <f t="shared" si="397"/>
        <v>11</v>
      </c>
      <c r="J5028">
        <f t="shared" si="398"/>
        <v>969.03</v>
      </c>
    </row>
    <row r="5029" spans="1:10" ht="12.5" x14ac:dyDescent="0.25">
      <c r="A5029" s="1">
        <v>45989</v>
      </c>
      <c r="B5029" s="2" t="s">
        <v>13</v>
      </c>
      <c r="C5029" s="3">
        <v>12.49</v>
      </c>
      <c r="D5029" s="3">
        <v>0</v>
      </c>
      <c r="E5029" s="2">
        <f>C5029*D5029</f>
        <v>0</v>
      </c>
      <c r="F5029" t="str">
        <f t="shared" si="394"/>
        <v>net sales</v>
      </c>
      <c r="G5029" s="7" t="str">
        <f t="shared" si="395"/>
        <v>product 3</v>
      </c>
      <c r="H5029">
        <f t="shared" si="396"/>
        <v>2025</v>
      </c>
      <c r="I5029">
        <f t="shared" si="397"/>
        <v>11</v>
      </c>
      <c r="J5029">
        <f t="shared" si="398"/>
        <v>174.92999999999998</v>
      </c>
    </row>
    <row r="5030" spans="1:10" ht="12.5" x14ac:dyDescent="0.25">
      <c r="A5030" s="1">
        <v>45990</v>
      </c>
      <c r="B5030" s="2" t="s">
        <v>7</v>
      </c>
      <c r="C5030" s="3">
        <v>5.49</v>
      </c>
      <c r="D5030" s="3">
        <v>96</v>
      </c>
      <c r="E5030" s="3">
        <v>527.04</v>
      </c>
      <c r="F5030" t="str">
        <f t="shared" si="394"/>
        <v>cogs</v>
      </c>
      <c r="G5030" s="7" t="str">
        <f t="shared" si="395"/>
        <v>product 1</v>
      </c>
      <c r="H5030">
        <f t="shared" si="396"/>
        <v>2025</v>
      </c>
      <c r="I5030">
        <f t="shared" si="397"/>
        <v>11</v>
      </c>
      <c r="J5030">
        <f t="shared" si="398"/>
        <v>1423.8600000000001</v>
      </c>
    </row>
    <row r="5031" spans="1:10" ht="12.5" x14ac:dyDescent="0.25">
      <c r="A5031" s="1">
        <v>45990</v>
      </c>
      <c r="B5031" s="2" t="s">
        <v>8</v>
      </c>
      <c r="C5031" s="3">
        <v>21.49</v>
      </c>
      <c r="D5031" s="3">
        <v>8</v>
      </c>
      <c r="E5031" s="3">
        <v>171.92</v>
      </c>
      <c r="F5031" t="str">
        <f t="shared" si="394"/>
        <v>cogs</v>
      </c>
      <c r="G5031" s="7" t="str">
        <f t="shared" si="395"/>
        <v>product 2</v>
      </c>
      <c r="H5031">
        <f t="shared" si="396"/>
        <v>2025</v>
      </c>
      <c r="I5031">
        <f t="shared" si="397"/>
        <v>11</v>
      </c>
      <c r="J5031">
        <f t="shared" si="398"/>
        <v>-406.26</v>
      </c>
    </row>
    <row r="5032" spans="1:10" ht="12.5" x14ac:dyDescent="0.25">
      <c r="A5032" s="1">
        <v>45990</v>
      </c>
      <c r="B5032" s="2" t="s">
        <v>9</v>
      </c>
      <c r="C5032" s="3">
        <v>8.99</v>
      </c>
      <c r="D5032" s="3">
        <v>238</v>
      </c>
      <c r="E5032" s="3">
        <v>2139.62</v>
      </c>
      <c r="F5032" t="str">
        <f t="shared" si="394"/>
        <v>cogs</v>
      </c>
      <c r="G5032" s="7" t="str">
        <f t="shared" si="395"/>
        <v>product 3</v>
      </c>
      <c r="H5032">
        <f t="shared" si="396"/>
        <v>2025</v>
      </c>
      <c r="I5032">
        <f t="shared" si="397"/>
        <v>11</v>
      </c>
      <c r="J5032">
        <f t="shared" si="398"/>
        <v>-21.49</v>
      </c>
    </row>
    <row r="5033" spans="1:10" ht="12.5" x14ac:dyDescent="0.25">
      <c r="A5033" s="1">
        <v>45990</v>
      </c>
      <c r="B5033" s="2" t="s">
        <v>10</v>
      </c>
      <c r="C5033" s="2" t="s">
        <v>6</v>
      </c>
      <c r="D5033" s="2" t="s">
        <v>6</v>
      </c>
      <c r="E5033" s="3">
        <v>112.99000000000001</v>
      </c>
      <c r="F5033" t="str">
        <f t="shared" si="394"/>
        <v>marketing</v>
      </c>
      <c r="G5033" s="7" t="s">
        <v>6</v>
      </c>
      <c r="H5033">
        <f t="shared" si="396"/>
        <v>2025</v>
      </c>
      <c r="I5033">
        <f t="shared" si="397"/>
        <v>11</v>
      </c>
      <c r="J5033">
        <f t="shared" si="398"/>
        <v>-2220.5300000000002</v>
      </c>
    </row>
    <row r="5034" spans="1:10" ht="12.5" x14ac:dyDescent="0.25">
      <c r="A5034" s="1">
        <v>45990</v>
      </c>
      <c r="B5034" s="2" t="s">
        <v>11</v>
      </c>
      <c r="C5034" s="3">
        <v>9.99</v>
      </c>
      <c r="D5034" s="3">
        <v>96</v>
      </c>
      <c r="E5034" s="3">
        <v>959.04</v>
      </c>
      <c r="F5034" t="str">
        <f t="shared" si="394"/>
        <v>net sales</v>
      </c>
      <c r="G5034" s="7" t="str">
        <f t="shared" si="395"/>
        <v>product 1</v>
      </c>
      <c r="H5034">
        <f t="shared" si="396"/>
        <v>2025</v>
      </c>
      <c r="I5034">
        <f t="shared" si="397"/>
        <v>11</v>
      </c>
      <c r="J5034">
        <f t="shared" si="398"/>
        <v>-102.06</v>
      </c>
    </row>
    <row r="5035" spans="1:10" ht="12.5" x14ac:dyDescent="0.25">
      <c r="A5035" s="1">
        <v>45990</v>
      </c>
      <c r="B5035" s="2" t="s">
        <v>12</v>
      </c>
      <c r="C5035" s="3">
        <v>24.99</v>
      </c>
      <c r="D5035" s="3">
        <v>8</v>
      </c>
      <c r="E5035" s="3">
        <v>199.92</v>
      </c>
      <c r="F5035" t="str">
        <f t="shared" si="394"/>
        <v>net sales</v>
      </c>
      <c r="G5035" s="7" t="str">
        <f t="shared" si="395"/>
        <v>product 2</v>
      </c>
      <c r="H5035">
        <f t="shared" si="396"/>
        <v>2025</v>
      </c>
      <c r="I5035">
        <f t="shared" si="397"/>
        <v>11</v>
      </c>
      <c r="J5035">
        <f t="shared" si="398"/>
        <v>739.26</v>
      </c>
    </row>
    <row r="5036" spans="1:10" ht="12.5" x14ac:dyDescent="0.25">
      <c r="A5036" s="1">
        <v>45990</v>
      </c>
      <c r="B5036" s="2" t="s">
        <v>13</v>
      </c>
      <c r="C5036" s="3">
        <v>12.49</v>
      </c>
      <c r="D5036" s="3">
        <v>238</v>
      </c>
      <c r="E5036" s="3">
        <v>2972.62</v>
      </c>
      <c r="F5036" t="str">
        <f t="shared" si="394"/>
        <v>net sales</v>
      </c>
      <c r="G5036" s="7" t="str">
        <f t="shared" si="395"/>
        <v>product 3</v>
      </c>
      <c r="H5036">
        <f t="shared" si="396"/>
        <v>2025</v>
      </c>
      <c r="I5036">
        <f t="shared" si="397"/>
        <v>11</v>
      </c>
      <c r="J5036">
        <f t="shared" si="398"/>
        <v>24.99</v>
      </c>
    </row>
    <row r="5037" spans="1:10" ht="12.5" x14ac:dyDescent="0.25">
      <c r="A5037" s="1">
        <v>45991</v>
      </c>
      <c r="B5037" s="2" t="s">
        <v>7</v>
      </c>
      <c r="C5037" s="3">
        <v>5.49</v>
      </c>
      <c r="D5037" s="3">
        <v>66</v>
      </c>
      <c r="E5037" s="3">
        <v>362.34000000000003</v>
      </c>
      <c r="F5037" t="str">
        <f t="shared" si="394"/>
        <v>cogs</v>
      </c>
      <c r="G5037" s="7" t="str">
        <f t="shared" si="395"/>
        <v>product 1</v>
      </c>
      <c r="H5037">
        <f t="shared" si="396"/>
        <v>2025</v>
      </c>
      <c r="I5037">
        <f t="shared" si="397"/>
        <v>11</v>
      </c>
      <c r="J5037">
        <f t="shared" si="398"/>
        <v>3085.03</v>
      </c>
    </row>
    <row r="5038" spans="1:10" ht="12.5" x14ac:dyDescent="0.25">
      <c r="A5038" s="1">
        <v>45991</v>
      </c>
      <c r="B5038" s="2" t="s">
        <v>8</v>
      </c>
      <c r="C5038" s="3">
        <v>21.49</v>
      </c>
      <c r="D5038" s="3">
        <v>3</v>
      </c>
      <c r="E5038" s="3">
        <v>64.47</v>
      </c>
      <c r="F5038" t="str">
        <f t="shared" si="394"/>
        <v>cogs</v>
      </c>
      <c r="G5038" s="7" t="str">
        <f t="shared" si="395"/>
        <v>product 2</v>
      </c>
      <c r="H5038">
        <f t="shared" si="396"/>
        <v>2025</v>
      </c>
      <c r="I5038">
        <f t="shared" si="397"/>
        <v>11</v>
      </c>
      <c r="J5038">
        <f t="shared" si="398"/>
        <v>-428.22</v>
      </c>
    </row>
    <row r="5039" spans="1:10" ht="12.5" x14ac:dyDescent="0.25">
      <c r="A5039" s="1">
        <v>45991</v>
      </c>
      <c r="B5039" s="2" t="s">
        <v>9</v>
      </c>
      <c r="C5039" s="3">
        <v>8.99</v>
      </c>
      <c r="D5039" s="3">
        <v>135</v>
      </c>
      <c r="E5039" s="3">
        <v>1213.6500000000001</v>
      </c>
      <c r="F5039" t="str">
        <f t="shared" si="394"/>
        <v>cogs</v>
      </c>
      <c r="G5039" s="7" t="str">
        <f t="shared" si="395"/>
        <v>product 3</v>
      </c>
      <c r="H5039">
        <f t="shared" si="396"/>
        <v>2025</v>
      </c>
      <c r="I5039">
        <f t="shared" si="397"/>
        <v>11</v>
      </c>
      <c r="J5039">
        <f t="shared" si="398"/>
        <v>-42.98</v>
      </c>
    </row>
    <row r="5040" spans="1:10" ht="12.5" x14ac:dyDescent="0.25">
      <c r="A5040" s="1">
        <v>45991</v>
      </c>
      <c r="B5040" s="2" t="s">
        <v>10</v>
      </c>
      <c r="C5040" s="2" t="s">
        <v>6</v>
      </c>
      <c r="D5040" s="2" t="s">
        <v>6</v>
      </c>
      <c r="E5040" s="3">
        <v>113.91</v>
      </c>
      <c r="F5040" t="str">
        <f t="shared" si="394"/>
        <v>marketing</v>
      </c>
      <c r="G5040" s="7" t="s">
        <v>6</v>
      </c>
      <c r="H5040">
        <f t="shared" si="396"/>
        <v>2025</v>
      </c>
      <c r="I5040">
        <f t="shared" si="397"/>
        <v>11</v>
      </c>
      <c r="J5040">
        <f t="shared" si="398"/>
        <v>-1762.04</v>
      </c>
    </row>
    <row r="5041" spans="1:10" ht="12.5" x14ac:dyDescent="0.25">
      <c r="A5041" s="1">
        <v>45991</v>
      </c>
      <c r="B5041" s="2" t="s">
        <v>11</v>
      </c>
      <c r="C5041" s="3">
        <v>9.99</v>
      </c>
      <c r="D5041" s="3">
        <v>66</v>
      </c>
      <c r="E5041" s="3">
        <v>659.34</v>
      </c>
      <c r="F5041" t="str">
        <f t="shared" si="394"/>
        <v>net sales</v>
      </c>
      <c r="G5041" s="7" t="str">
        <f t="shared" si="395"/>
        <v>product 1</v>
      </c>
      <c r="H5041">
        <f t="shared" si="396"/>
        <v>2025</v>
      </c>
      <c r="I5041">
        <f t="shared" si="397"/>
        <v>11</v>
      </c>
      <c r="J5041">
        <f t="shared" si="398"/>
        <v>-111.94</v>
      </c>
    </row>
    <row r="5042" spans="1:10" ht="12.5" x14ac:dyDescent="0.25">
      <c r="A5042" s="1">
        <v>45991</v>
      </c>
      <c r="B5042" s="2" t="s">
        <v>12</v>
      </c>
      <c r="C5042" s="3">
        <v>24.99</v>
      </c>
      <c r="D5042" s="3">
        <v>3</v>
      </c>
      <c r="E5042" s="3">
        <v>74.97</v>
      </c>
      <c r="F5042" t="str">
        <f t="shared" si="394"/>
        <v>net sales</v>
      </c>
      <c r="G5042" s="7" t="str">
        <f t="shared" si="395"/>
        <v>product 2</v>
      </c>
      <c r="H5042">
        <f t="shared" si="396"/>
        <v>2025</v>
      </c>
      <c r="I5042">
        <f t="shared" si="397"/>
        <v>11</v>
      </c>
      <c r="J5042">
        <f t="shared" si="398"/>
        <v>779.22</v>
      </c>
    </row>
    <row r="5043" spans="1:10" ht="12.5" x14ac:dyDescent="0.25">
      <c r="A5043" s="1">
        <v>45991</v>
      </c>
      <c r="B5043" s="2" t="s">
        <v>13</v>
      </c>
      <c r="C5043" s="3">
        <v>12.49</v>
      </c>
      <c r="D5043" s="3">
        <v>135</v>
      </c>
      <c r="E5043" s="3">
        <v>1686.15</v>
      </c>
      <c r="F5043" t="str">
        <f t="shared" si="394"/>
        <v>net sales</v>
      </c>
      <c r="G5043" s="7" t="str">
        <f t="shared" si="395"/>
        <v>product 3</v>
      </c>
      <c r="H5043">
        <f t="shared" si="396"/>
        <v>2025</v>
      </c>
      <c r="I5043">
        <f t="shared" si="397"/>
        <v>11</v>
      </c>
      <c r="J5043">
        <f t="shared" si="398"/>
        <v>49.98</v>
      </c>
    </row>
    <row r="5044" spans="1:10" ht="12.5" x14ac:dyDescent="0.25">
      <c r="A5044" s="1">
        <v>45992</v>
      </c>
      <c r="B5044" s="2" t="s">
        <v>5</v>
      </c>
      <c r="C5044" s="2" t="s">
        <v>6</v>
      </c>
      <c r="D5044" s="2" t="s">
        <v>6</v>
      </c>
      <c r="E5044" s="3">
        <v>50</v>
      </c>
      <c r="F5044" t="str">
        <f t="shared" si="394"/>
        <v>amortization</v>
      </c>
      <c r="G5044" s="7" t="s">
        <v>6</v>
      </c>
      <c r="H5044">
        <f t="shared" si="396"/>
        <v>2025</v>
      </c>
      <c r="I5044">
        <f t="shared" si="397"/>
        <v>12</v>
      </c>
      <c r="J5044">
        <f t="shared" si="398"/>
        <v>2448.04</v>
      </c>
    </row>
    <row r="5045" spans="1:10" ht="12.5" x14ac:dyDescent="0.25">
      <c r="A5045" s="1">
        <v>45992</v>
      </c>
      <c r="B5045" s="2" t="s">
        <v>7</v>
      </c>
      <c r="C5045" s="3">
        <v>5.49</v>
      </c>
      <c r="D5045" s="3">
        <v>1</v>
      </c>
      <c r="E5045" s="3">
        <v>5.49</v>
      </c>
      <c r="F5045" t="str">
        <f t="shared" si="394"/>
        <v>cogs</v>
      </c>
      <c r="G5045" s="7" t="str">
        <f t="shared" si="395"/>
        <v>product 1</v>
      </c>
      <c r="H5045">
        <f t="shared" si="396"/>
        <v>2025</v>
      </c>
      <c r="I5045">
        <f t="shared" si="397"/>
        <v>12</v>
      </c>
      <c r="J5045">
        <f t="shared" si="398"/>
        <v>0</v>
      </c>
    </row>
    <row r="5046" spans="1:10" ht="12.5" x14ac:dyDescent="0.25">
      <c r="A5046" s="1">
        <v>45992</v>
      </c>
      <c r="B5046" s="2" t="s">
        <v>8</v>
      </c>
      <c r="C5046" s="3">
        <v>21.49</v>
      </c>
      <c r="D5046" s="3">
        <v>3</v>
      </c>
      <c r="E5046" s="3">
        <v>64.47</v>
      </c>
      <c r="F5046" t="str">
        <f t="shared" si="394"/>
        <v>cogs</v>
      </c>
      <c r="G5046" s="7" t="str">
        <f t="shared" si="395"/>
        <v>product 2</v>
      </c>
      <c r="H5046">
        <f t="shared" si="396"/>
        <v>2025</v>
      </c>
      <c r="I5046">
        <f t="shared" si="397"/>
        <v>12</v>
      </c>
      <c r="J5046">
        <f t="shared" si="398"/>
        <v>-362.34000000000003</v>
      </c>
    </row>
    <row r="5047" spans="1:10" ht="12.5" x14ac:dyDescent="0.25">
      <c r="A5047" s="1">
        <v>45992</v>
      </c>
      <c r="B5047" s="2" t="s">
        <v>9</v>
      </c>
      <c r="C5047" s="3">
        <v>8.99</v>
      </c>
      <c r="D5047" s="3">
        <v>103</v>
      </c>
      <c r="E5047" s="3">
        <v>925.97</v>
      </c>
      <c r="F5047" t="str">
        <f t="shared" si="394"/>
        <v>cogs</v>
      </c>
      <c r="G5047" s="7" t="str">
        <f t="shared" si="395"/>
        <v>product 3</v>
      </c>
      <c r="H5047">
        <f t="shared" si="396"/>
        <v>2025</v>
      </c>
      <c r="I5047">
        <f t="shared" si="397"/>
        <v>12</v>
      </c>
      <c r="J5047">
        <f t="shared" si="398"/>
        <v>-150.42999999999998</v>
      </c>
    </row>
    <row r="5048" spans="1:10" ht="12.5" x14ac:dyDescent="0.25">
      <c r="A5048" s="1">
        <v>45992</v>
      </c>
      <c r="B5048" s="2" t="s">
        <v>10</v>
      </c>
      <c r="C5048" s="2" t="s">
        <v>6</v>
      </c>
      <c r="D5048" s="2" t="s">
        <v>6</v>
      </c>
      <c r="E5048" s="3">
        <v>105.05</v>
      </c>
      <c r="F5048" t="str">
        <f t="shared" si="394"/>
        <v>marketing</v>
      </c>
      <c r="G5048" s="7" t="s">
        <v>6</v>
      </c>
      <c r="H5048">
        <f t="shared" si="396"/>
        <v>2025</v>
      </c>
      <c r="I5048">
        <f t="shared" si="397"/>
        <v>12</v>
      </c>
      <c r="J5048">
        <f t="shared" si="398"/>
        <v>-1735.07</v>
      </c>
    </row>
    <row r="5049" spans="1:10" ht="12.5" x14ac:dyDescent="0.25">
      <c r="A5049" s="1">
        <v>45992</v>
      </c>
      <c r="B5049" s="2" t="s">
        <v>11</v>
      </c>
      <c r="C5049" s="3">
        <v>9.99</v>
      </c>
      <c r="D5049" s="3">
        <v>1</v>
      </c>
      <c r="E5049" s="3">
        <v>9.99</v>
      </c>
      <c r="F5049" t="str">
        <f t="shared" si="394"/>
        <v>net sales</v>
      </c>
      <c r="G5049" s="7" t="str">
        <f t="shared" si="395"/>
        <v>product 1</v>
      </c>
      <c r="H5049">
        <f t="shared" si="396"/>
        <v>2025</v>
      </c>
      <c r="I5049">
        <f t="shared" si="397"/>
        <v>12</v>
      </c>
      <c r="J5049">
        <f t="shared" si="398"/>
        <v>-100.93</v>
      </c>
    </row>
    <row r="5050" spans="1:10" ht="12.5" x14ac:dyDescent="0.25">
      <c r="A5050" s="1">
        <v>45992</v>
      </c>
      <c r="B5050" s="2" t="s">
        <v>12</v>
      </c>
      <c r="C5050" s="3">
        <v>24.99</v>
      </c>
      <c r="D5050" s="3">
        <v>3</v>
      </c>
      <c r="E5050" s="3">
        <v>74.97</v>
      </c>
      <c r="F5050" t="str">
        <f t="shared" si="394"/>
        <v>net sales</v>
      </c>
      <c r="G5050" s="7" t="str">
        <f t="shared" si="395"/>
        <v>product 2</v>
      </c>
      <c r="H5050">
        <f t="shared" si="396"/>
        <v>2025</v>
      </c>
      <c r="I5050">
        <f t="shared" si="397"/>
        <v>12</v>
      </c>
      <c r="J5050">
        <f t="shared" si="398"/>
        <v>659.34</v>
      </c>
    </row>
    <row r="5051" spans="1:10" ht="12.5" x14ac:dyDescent="0.25">
      <c r="A5051" s="1">
        <v>45992</v>
      </c>
      <c r="B5051" s="2" t="s">
        <v>13</v>
      </c>
      <c r="C5051" s="3">
        <v>12.49</v>
      </c>
      <c r="D5051" s="3">
        <v>103</v>
      </c>
      <c r="E5051" s="3">
        <v>1286.47</v>
      </c>
      <c r="F5051" t="str">
        <f t="shared" si="394"/>
        <v>net sales</v>
      </c>
      <c r="G5051" s="7" t="str">
        <f t="shared" si="395"/>
        <v>product 3</v>
      </c>
      <c r="H5051">
        <f t="shared" si="396"/>
        <v>2025</v>
      </c>
      <c r="I5051">
        <f t="shared" si="397"/>
        <v>12</v>
      </c>
      <c r="J5051">
        <f t="shared" si="398"/>
        <v>174.92999999999998</v>
      </c>
    </row>
    <row r="5052" spans="1:10" ht="12.5" x14ac:dyDescent="0.25">
      <c r="A5052" s="1">
        <v>45992</v>
      </c>
      <c r="B5052" s="2" t="s">
        <v>14</v>
      </c>
      <c r="C5052" s="2" t="s">
        <v>6</v>
      </c>
      <c r="D5052" s="2" t="s">
        <v>6</v>
      </c>
      <c r="E5052" s="3">
        <v>2000</v>
      </c>
      <c r="F5052" t="str">
        <f t="shared" si="394"/>
        <v>overhead</v>
      </c>
      <c r="G5052" s="7" t="s">
        <v>6</v>
      </c>
      <c r="H5052">
        <f t="shared" si="396"/>
        <v>2025</v>
      </c>
      <c r="I5052">
        <f t="shared" si="397"/>
        <v>12</v>
      </c>
      <c r="J5052">
        <f t="shared" si="398"/>
        <v>2410.5700000000002</v>
      </c>
    </row>
    <row r="5053" spans="1:10" ht="12.5" x14ac:dyDescent="0.25">
      <c r="A5053" s="1">
        <v>45993</v>
      </c>
      <c r="B5053" s="2" t="s">
        <v>7</v>
      </c>
      <c r="C5053" s="3">
        <v>5.49</v>
      </c>
      <c r="D5053" s="3">
        <v>66</v>
      </c>
      <c r="E5053" s="3">
        <v>362.34000000000003</v>
      </c>
      <c r="F5053" t="str">
        <f t="shared" si="394"/>
        <v>cogs</v>
      </c>
      <c r="G5053" s="7" t="str">
        <f t="shared" si="395"/>
        <v>product 1</v>
      </c>
      <c r="H5053">
        <f t="shared" si="396"/>
        <v>2025</v>
      </c>
      <c r="I5053">
        <f t="shared" si="397"/>
        <v>12</v>
      </c>
      <c r="J5053">
        <f t="shared" si="398"/>
        <v>-2000</v>
      </c>
    </row>
    <row r="5054" spans="1:10" ht="12.5" x14ac:dyDescent="0.25">
      <c r="A5054" s="1">
        <v>45993</v>
      </c>
      <c r="B5054" s="2" t="s">
        <v>8</v>
      </c>
      <c r="C5054" s="3">
        <v>21.49</v>
      </c>
      <c r="D5054" s="3">
        <v>8</v>
      </c>
      <c r="E5054" s="3">
        <v>171.92</v>
      </c>
      <c r="F5054" t="str">
        <f t="shared" si="394"/>
        <v>cogs</v>
      </c>
      <c r="G5054" s="7" t="str">
        <f t="shared" si="395"/>
        <v>product 2</v>
      </c>
      <c r="H5054">
        <f t="shared" si="396"/>
        <v>2025</v>
      </c>
      <c r="I5054">
        <f t="shared" si="397"/>
        <v>12</v>
      </c>
      <c r="J5054">
        <f t="shared" si="398"/>
        <v>-521.55000000000007</v>
      </c>
    </row>
    <row r="5055" spans="1:10" ht="12.5" x14ac:dyDescent="0.25">
      <c r="A5055" s="1">
        <v>45993</v>
      </c>
      <c r="B5055" s="2" t="s">
        <v>9</v>
      </c>
      <c r="C5055" s="3">
        <v>8.99</v>
      </c>
      <c r="D5055" s="3">
        <v>273</v>
      </c>
      <c r="E5055" s="3">
        <v>2454.27</v>
      </c>
      <c r="F5055" t="str">
        <f t="shared" si="394"/>
        <v>cogs</v>
      </c>
      <c r="G5055" s="7" t="str">
        <f t="shared" si="395"/>
        <v>product 3</v>
      </c>
      <c r="H5055">
        <f t="shared" si="396"/>
        <v>2025</v>
      </c>
      <c r="I5055">
        <f t="shared" si="397"/>
        <v>12</v>
      </c>
      <c r="J5055">
        <f t="shared" si="398"/>
        <v>-85.96</v>
      </c>
    </row>
    <row r="5056" spans="1:10" ht="12.5" x14ac:dyDescent="0.25">
      <c r="A5056" s="1">
        <v>45993</v>
      </c>
      <c r="B5056" s="2" t="s">
        <v>10</v>
      </c>
      <c r="C5056" s="2" t="s">
        <v>6</v>
      </c>
      <c r="D5056" s="2" t="s">
        <v>6</v>
      </c>
      <c r="E5056" s="3">
        <v>109.93</v>
      </c>
      <c r="F5056" t="str">
        <f t="shared" si="394"/>
        <v>marketing</v>
      </c>
      <c r="G5056" s="7" t="s">
        <v>6</v>
      </c>
      <c r="H5056">
        <f t="shared" si="396"/>
        <v>2025</v>
      </c>
      <c r="I5056">
        <f t="shared" si="397"/>
        <v>12</v>
      </c>
      <c r="J5056">
        <f t="shared" si="398"/>
        <v>-988.9</v>
      </c>
    </row>
    <row r="5057" spans="1:10" ht="12.5" x14ac:dyDescent="0.25">
      <c r="A5057" s="1">
        <v>45993</v>
      </c>
      <c r="B5057" s="2" t="s">
        <v>11</v>
      </c>
      <c r="C5057" s="3">
        <v>9.99</v>
      </c>
      <c r="D5057" s="3">
        <v>66</v>
      </c>
      <c r="E5057" s="3">
        <v>659.34</v>
      </c>
      <c r="F5057" t="str">
        <f t="shared" si="394"/>
        <v>net sales</v>
      </c>
      <c r="G5057" s="7" t="str">
        <f t="shared" si="395"/>
        <v>product 1</v>
      </c>
      <c r="H5057">
        <f t="shared" si="396"/>
        <v>2025</v>
      </c>
      <c r="I5057">
        <f t="shared" si="397"/>
        <v>12</v>
      </c>
      <c r="J5057">
        <f t="shared" si="398"/>
        <v>-115.01</v>
      </c>
    </row>
    <row r="5058" spans="1:10" ht="12.5" x14ac:dyDescent="0.25">
      <c r="A5058" s="1">
        <v>45993</v>
      </c>
      <c r="B5058" s="2" t="s">
        <v>12</v>
      </c>
      <c r="C5058" s="3">
        <v>24.99</v>
      </c>
      <c r="D5058" s="3">
        <v>8</v>
      </c>
      <c r="E5058" s="3">
        <v>199.92</v>
      </c>
      <c r="F5058" t="str">
        <f t="shared" si="394"/>
        <v>net sales</v>
      </c>
      <c r="G5058" s="7" t="str">
        <f t="shared" si="395"/>
        <v>product 2</v>
      </c>
      <c r="H5058">
        <f t="shared" si="396"/>
        <v>2025</v>
      </c>
      <c r="I5058">
        <f t="shared" si="397"/>
        <v>12</v>
      </c>
      <c r="J5058">
        <f t="shared" si="398"/>
        <v>949.05000000000007</v>
      </c>
    </row>
    <row r="5059" spans="1:10" ht="12.5" x14ac:dyDescent="0.25">
      <c r="A5059" s="1">
        <v>45993</v>
      </c>
      <c r="B5059" s="2" t="s">
        <v>13</v>
      </c>
      <c r="C5059" s="3">
        <v>12.49</v>
      </c>
      <c r="D5059" s="3">
        <v>273</v>
      </c>
      <c r="E5059" s="3">
        <v>3409.77</v>
      </c>
      <c r="F5059" t="str">
        <f t="shared" ref="F5059:F5122" si="399">IFERROR(LEFT(B5059,FIND(":",B5059)-1),B5059)</f>
        <v>net sales</v>
      </c>
      <c r="G5059" s="7" t="str">
        <f t="shared" ref="G5059:G5122" si="400">IFERROR(RIGHT(B5059,LEN(B5059)-FIND(":",B5059)),"")</f>
        <v>product 3</v>
      </c>
      <c r="H5059">
        <f t="shared" ref="H5059:H5122" si="401">YEAR(A5059)</f>
        <v>2025</v>
      </c>
      <c r="I5059">
        <f t="shared" ref="I5059:I5122" si="402">MONTH(A5059)</f>
        <v>12</v>
      </c>
      <c r="J5059">
        <f t="shared" si="398"/>
        <v>99.96</v>
      </c>
    </row>
    <row r="5060" spans="1:10" ht="12.5" x14ac:dyDescent="0.25">
      <c r="A5060" s="1">
        <v>45994</v>
      </c>
      <c r="B5060" s="2" t="s">
        <v>7</v>
      </c>
      <c r="C5060" s="3">
        <v>5.49</v>
      </c>
      <c r="D5060" s="3">
        <v>71</v>
      </c>
      <c r="E5060" s="3">
        <v>389.79</v>
      </c>
      <c r="F5060" t="str">
        <f t="shared" si="399"/>
        <v>cogs</v>
      </c>
      <c r="G5060" s="7" t="str">
        <f t="shared" si="400"/>
        <v>product 1</v>
      </c>
      <c r="H5060">
        <f t="shared" si="401"/>
        <v>2025</v>
      </c>
      <c r="I5060">
        <f t="shared" si="402"/>
        <v>12</v>
      </c>
      <c r="J5060">
        <f t="shared" si="398"/>
        <v>1373.9</v>
      </c>
    </row>
    <row r="5061" spans="1:10" ht="12.5" x14ac:dyDescent="0.25">
      <c r="A5061" s="1">
        <v>45994</v>
      </c>
      <c r="B5061" s="2" t="s">
        <v>8</v>
      </c>
      <c r="C5061" s="3">
        <v>21.49</v>
      </c>
      <c r="D5061" s="3">
        <v>0</v>
      </c>
      <c r="E5061" s="2">
        <f>C5061*D5061</f>
        <v>0</v>
      </c>
      <c r="F5061" t="str">
        <f t="shared" si="399"/>
        <v>cogs</v>
      </c>
      <c r="G5061" s="7" t="str">
        <f t="shared" si="400"/>
        <v>product 2</v>
      </c>
      <c r="H5061">
        <f t="shared" si="401"/>
        <v>2025</v>
      </c>
      <c r="I5061">
        <f t="shared" si="402"/>
        <v>12</v>
      </c>
      <c r="J5061">
        <f t="shared" si="398"/>
        <v>-49.410000000000004</v>
      </c>
    </row>
    <row r="5062" spans="1:10" ht="12.5" x14ac:dyDescent="0.25">
      <c r="A5062" s="1">
        <v>45994</v>
      </c>
      <c r="B5062" s="2" t="s">
        <v>9</v>
      </c>
      <c r="C5062" s="3">
        <v>8.99</v>
      </c>
      <c r="D5062" s="3">
        <v>42</v>
      </c>
      <c r="E5062" s="3">
        <v>377.58</v>
      </c>
      <c r="F5062" t="str">
        <f t="shared" si="399"/>
        <v>cogs</v>
      </c>
      <c r="G5062" s="7" t="str">
        <f t="shared" si="400"/>
        <v>product 3</v>
      </c>
      <c r="H5062">
        <f t="shared" si="401"/>
        <v>2025</v>
      </c>
      <c r="I5062">
        <f t="shared" si="402"/>
        <v>12</v>
      </c>
      <c r="J5062">
        <f t="shared" si="398"/>
        <v>-42.98</v>
      </c>
    </row>
    <row r="5063" spans="1:10" ht="12.5" x14ac:dyDescent="0.25">
      <c r="A5063" s="1">
        <v>45994</v>
      </c>
      <c r="B5063" s="2" t="s">
        <v>10</v>
      </c>
      <c r="C5063" s="2" t="s">
        <v>6</v>
      </c>
      <c r="D5063" s="2" t="s">
        <v>6</v>
      </c>
      <c r="E5063" s="3">
        <v>108.07000000000001</v>
      </c>
      <c r="F5063" t="str">
        <f t="shared" si="399"/>
        <v>marketing</v>
      </c>
      <c r="G5063" s="7" t="s">
        <v>6</v>
      </c>
      <c r="H5063">
        <f t="shared" si="401"/>
        <v>2025</v>
      </c>
      <c r="I5063">
        <f t="shared" si="402"/>
        <v>12</v>
      </c>
      <c r="J5063">
        <f t="shared" si="398"/>
        <v>-1195.67</v>
      </c>
    </row>
    <row r="5064" spans="1:10" ht="12.5" x14ac:dyDescent="0.25">
      <c r="A5064" s="1">
        <v>45994</v>
      </c>
      <c r="B5064" s="2" t="s">
        <v>11</v>
      </c>
      <c r="C5064" s="3">
        <v>9.99</v>
      </c>
      <c r="D5064" s="3">
        <v>71</v>
      </c>
      <c r="E5064" s="3">
        <v>709.29</v>
      </c>
      <c r="F5064" t="str">
        <f t="shared" si="399"/>
        <v>net sales</v>
      </c>
      <c r="G5064" s="7" t="str">
        <f t="shared" si="400"/>
        <v>product 1</v>
      </c>
      <c r="H5064">
        <f t="shared" si="401"/>
        <v>2025</v>
      </c>
      <c r="I5064">
        <f t="shared" si="402"/>
        <v>12</v>
      </c>
      <c r="J5064">
        <f t="shared" si="398"/>
        <v>-107.03</v>
      </c>
    </row>
    <row r="5065" spans="1:10" ht="12.5" x14ac:dyDescent="0.25">
      <c r="A5065" s="1">
        <v>45994</v>
      </c>
      <c r="B5065" s="2" t="s">
        <v>12</v>
      </c>
      <c r="C5065" s="3">
        <v>24.99</v>
      </c>
      <c r="D5065" s="3">
        <v>0</v>
      </c>
      <c r="E5065" s="2">
        <f>C5065*D5065</f>
        <v>0</v>
      </c>
      <c r="F5065" t="str">
        <f t="shared" si="399"/>
        <v>net sales</v>
      </c>
      <c r="G5065" s="7" t="str">
        <f t="shared" si="400"/>
        <v>product 2</v>
      </c>
      <c r="H5065">
        <f t="shared" si="401"/>
        <v>2025</v>
      </c>
      <c r="I5065">
        <f t="shared" si="402"/>
        <v>12</v>
      </c>
      <c r="J5065">
        <f t="shared" si="398"/>
        <v>89.91</v>
      </c>
    </row>
    <row r="5066" spans="1:10" ht="12.5" x14ac:dyDescent="0.25">
      <c r="A5066" s="1">
        <v>45994</v>
      </c>
      <c r="B5066" s="2" t="s">
        <v>13</v>
      </c>
      <c r="C5066" s="3">
        <v>12.49</v>
      </c>
      <c r="D5066" s="3">
        <v>42</v>
      </c>
      <c r="E5066" s="3">
        <v>524.58000000000004</v>
      </c>
      <c r="F5066" t="str">
        <f t="shared" si="399"/>
        <v>net sales</v>
      </c>
      <c r="G5066" s="7" t="str">
        <f t="shared" si="400"/>
        <v>product 3</v>
      </c>
      <c r="H5066">
        <f t="shared" si="401"/>
        <v>2025</v>
      </c>
      <c r="I5066">
        <f t="shared" si="402"/>
        <v>12</v>
      </c>
      <c r="J5066">
        <f t="shared" si="398"/>
        <v>49.98</v>
      </c>
    </row>
    <row r="5067" spans="1:10" ht="12.5" x14ac:dyDescent="0.25">
      <c r="A5067" s="1">
        <v>45995</v>
      </c>
      <c r="B5067" s="2" t="s">
        <v>7</v>
      </c>
      <c r="C5067" s="3">
        <v>5.49</v>
      </c>
      <c r="D5067" s="3">
        <v>46</v>
      </c>
      <c r="E5067" s="3">
        <v>252.54000000000002</v>
      </c>
      <c r="F5067" t="str">
        <f t="shared" si="399"/>
        <v>cogs</v>
      </c>
      <c r="G5067" s="7" t="str">
        <f t="shared" si="400"/>
        <v>product 1</v>
      </c>
      <c r="H5067">
        <f t="shared" si="401"/>
        <v>2025</v>
      </c>
      <c r="I5067">
        <f t="shared" si="402"/>
        <v>12</v>
      </c>
      <c r="J5067">
        <f t="shared" si="398"/>
        <v>1661.17</v>
      </c>
    </row>
    <row r="5068" spans="1:10" ht="12.5" x14ac:dyDescent="0.25">
      <c r="A5068" s="1">
        <v>45995</v>
      </c>
      <c r="B5068" s="2" t="s">
        <v>8</v>
      </c>
      <c r="C5068" s="3">
        <v>21.49</v>
      </c>
      <c r="D5068" s="3">
        <v>7</v>
      </c>
      <c r="E5068" s="3">
        <v>150.42999999999998</v>
      </c>
      <c r="F5068" t="str">
        <f t="shared" si="399"/>
        <v>cogs</v>
      </c>
      <c r="G5068" s="7" t="str">
        <f t="shared" si="400"/>
        <v>product 2</v>
      </c>
      <c r="H5068">
        <f t="shared" si="401"/>
        <v>2025</v>
      </c>
      <c r="I5068">
        <f t="shared" si="402"/>
        <v>12</v>
      </c>
      <c r="J5068">
        <f t="shared" si="398"/>
        <v>-505.08000000000004</v>
      </c>
    </row>
    <row r="5069" spans="1:10" ht="12.5" x14ac:dyDescent="0.25">
      <c r="A5069" s="1">
        <v>45995</v>
      </c>
      <c r="B5069" s="2" t="s">
        <v>9</v>
      </c>
      <c r="C5069" s="3">
        <v>8.99</v>
      </c>
      <c r="D5069" s="3">
        <v>91</v>
      </c>
      <c r="E5069" s="3">
        <v>818.09</v>
      </c>
      <c r="F5069" t="str">
        <f t="shared" si="399"/>
        <v>cogs</v>
      </c>
      <c r="G5069" s="7" t="str">
        <f t="shared" si="400"/>
        <v>product 3</v>
      </c>
      <c r="H5069">
        <f t="shared" si="401"/>
        <v>2025</v>
      </c>
      <c r="I5069">
        <f t="shared" si="402"/>
        <v>12</v>
      </c>
      <c r="J5069">
        <f t="shared" si="398"/>
        <v>-150.42999999999998</v>
      </c>
    </row>
    <row r="5070" spans="1:10" ht="12.5" x14ac:dyDescent="0.25">
      <c r="A5070" s="1">
        <v>45995</v>
      </c>
      <c r="B5070" s="2" t="s">
        <v>10</v>
      </c>
      <c r="C5070" s="2" t="s">
        <v>6</v>
      </c>
      <c r="D5070" s="2" t="s">
        <v>6</v>
      </c>
      <c r="E5070" s="3">
        <v>118.96000000000001</v>
      </c>
      <c r="F5070" t="str">
        <f t="shared" si="399"/>
        <v>marketing</v>
      </c>
      <c r="G5070" s="7" t="s">
        <v>6</v>
      </c>
      <c r="H5070">
        <f t="shared" si="401"/>
        <v>2025</v>
      </c>
      <c r="I5070">
        <f t="shared" si="402"/>
        <v>12</v>
      </c>
      <c r="J5070">
        <f t="shared" si="398"/>
        <v>-1762.04</v>
      </c>
    </row>
    <row r="5071" spans="1:10" ht="12.5" x14ac:dyDescent="0.25">
      <c r="A5071" s="1">
        <v>45995</v>
      </c>
      <c r="B5071" s="2" t="s">
        <v>11</v>
      </c>
      <c r="C5071" s="3">
        <v>9.99</v>
      </c>
      <c r="D5071" s="3">
        <v>46</v>
      </c>
      <c r="E5071" s="3">
        <v>459.54</v>
      </c>
      <c r="F5071" t="str">
        <f t="shared" si="399"/>
        <v>net sales</v>
      </c>
      <c r="G5071" s="7" t="str">
        <f t="shared" si="400"/>
        <v>product 1</v>
      </c>
      <c r="H5071">
        <f t="shared" si="401"/>
        <v>2025</v>
      </c>
      <c r="I5071">
        <f t="shared" si="402"/>
        <v>12</v>
      </c>
      <c r="J5071">
        <f t="shared" si="398"/>
        <v>-99.93</v>
      </c>
    </row>
    <row r="5072" spans="1:10" ht="12.5" x14ac:dyDescent="0.25">
      <c r="A5072" s="1">
        <v>45995</v>
      </c>
      <c r="B5072" s="2" t="s">
        <v>12</v>
      </c>
      <c r="C5072" s="3">
        <v>24.99</v>
      </c>
      <c r="D5072" s="3">
        <v>7</v>
      </c>
      <c r="E5072" s="3">
        <v>174.92999999999998</v>
      </c>
      <c r="F5072" t="str">
        <f t="shared" si="399"/>
        <v>net sales</v>
      </c>
      <c r="G5072" s="7" t="str">
        <f t="shared" si="400"/>
        <v>product 2</v>
      </c>
      <c r="H5072">
        <f t="shared" si="401"/>
        <v>2025</v>
      </c>
      <c r="I5072">
        <f t="shared" si="402"/>
        <v>12</v>
      </c>
      <c r="J5072">
        <f t="shared" si="398"/>
        <v>919.08</v>
      </c>
    </row>
    <row r="5073" spans="1:10" ht="12.5" x14ac:dyDescent="0.25">
      <c r="A5073" s="1">
        <v>45995</v>
      </c>
      <c r="B5073" s="2" t="s">
        <v>13</v>
      </c>
      <c r="C5073" s="3">
        <v>12.49</v>
      </c>
      <c r="D5073" s="3">
        <v>91</v>
      </c>
      <c r="E5073" s="3">
        <v>1136.5899999999999</v>
      </c>
      <c r="F5073" t="str">
        <f t="shared" si="399"/>
        <v>net sales</v>
      </c>
      <c r="G5073" s="7" t="str">
        <f t="shared" si="400"/>
        <v>product 3</v>
      </c>
      <c r="H5073">
        <f t="shared" si="401"/>
        <v>2025</v>
      </c>
      <c r="I5073">
        <f t="shared" si="402"/>
        <v>12</v>
      </c>
      <c r="J5073">
        <f t="shared" si="398"/>
        <v>174.92999999999998</v>
      </c>
    </row>
    <row r="5074" spans="1:10" ht="12.5" x14ac:dyDescent="0.25">
      <c r="A5074" s="1">
        <v>45996</v>
      </c>
      <c r="B5074" s="2" t="s">
        <v>7</v>
      </c>
      <c r="C5074" s="3">
        <v>5.49</v>
      </c>
      <c r="D5074" s="3">
        <v>14</v>
      </c>
      <c r="E5074" s="3">
        <v>76.86</v>
      </c>
      <c r="F5074" t="str">
        <f t="shared" si="399"/>
        <v>cogs</v>
      </c>
      <c r="G5074" s="7" t="str">
        <f t="shared" si="400"/>
        <v>product 1</v>
      </c>
      <c r="H5074">
        <f t="shared" si="401"/>
        <v>2025</v>
      </c>
      <c r="I5074">
        <f t="shared" si="402"/>
        <v>12</v>
      </c>
      <c r="J5074">
        <f t="shared" si="398"/>
        <v>2448.04</v>
      </c>
    </row>
    <row r="5075" spans="1:10" ht="12.5" x14ac:dyDescent="0.25">
      <c r="A5075" s="1">
        <v>45996</v>
      </c>
      <c r="B5075" s="2" t="s">
        <v>8</v>
      </c>
      <c r="C5075" s="3">
        <v>21.49</v>
      </c>
      <c r="D5075" s="3">
        <v>4</v>
      </c>
      <c r="E5075" s="3">
        <v>85.96</v>
      </c>
      <c r="F5075" t="str">
        <f t="shared" si="399"/>
        <v>cogs</v>
      </c>
      <c r="G5075" s="7" t="str">
        <f t="shared" si="400"/>
        <v>product 2</v>
      </c>
      <c r="H5075">
        <f t="shared" si="401"/>
        <v>2025</v>
      </c>
      <c r="I5075">
        <f t="shared" si="402"/>
        <v>12</v>
      </c>
      <c r="J5075">
        <f t="shared" si="398"/>
        <v>-43.92</v>
      </c>
    </row>
    <row r="5076" spans="1:10" ht="12.5" x14ac:dyDescent="0.25">
      <c r="A5076" s="1">
        <v>45996</v>
      </c>
      <c r="B5076" s="2" t="s">
        <v>9</v>
      </c>
      <c r="C5076" s="3">
        <v>8.99</v>
      </c>
      <c r="D5076" s="3">
        <v>189</v>
      </c>
      <c r="E5076" s="3">
        <v>1699.1100000000001</v>
      </c>
      <c r="F5076" t="str">
        <f t="shared" si="399"/>
        <v>cogs</v>
      </c>
      <c r="G5076" s="7" t="str">
        <f t="shared" si="400"/>
        <v>product 3</v>
      </c>
      <c r="H5076">
        <f t="shared" si="401"/>
        <v>2025</v>
      </c>
      <c r="I5076">
        <f t="shared" si="402"/>
        <v>12</v>
      </c>
      <c r="J5076">
        <f t="shared" si="398"/>
        <v>-150.42999999999998</v>
      </c>
    </row>
    <row r="5077" spans="1:10" ht="12.5" x14ac:dyDescent="0.25">
      <c r="A5077" s="1">
        <v>45996</v>
      </c>
      <c r="B5077" s="2" t="s">
        <v>10</v>
      </c>
      <c r="C5077" s="2" t="s">
        <v>6</v>
      </c>
      <c r="D5077" s="2" t="s">
        <v>6</v>
      </c>
      <c r="E5077" s="3">
        <v>111.95</v>
      </c>
      <c r="F5077" t="str">
        <f t="shared" si="399"/>
        <v>marketing</v>
      </c>
      <c r="G5077" s="7" t="s">
        <v>6</v>
      </c>
      <c r="H5077">
        <f t="shared" si="401"/>
        <v>2025</v>
      </c>
      <c r="I5077">
        <f t="shared" si="402"/>
        <v>12</v>
      </c>
      <c r="J5077">
        <f t="shared" si="398"/>
        <v>-1851.94</v>
      </c>
    </row>
    <row r="5078" spans="1:10" ht="12.5" x14ac:dyDescent="0.25">
      <c r="A5078" s="1">
        <v>45996</v>
      </c>
      <c r="B5078" s="2" t="s">
        <v>11</v>
      </c>
      <c r="C5078" s="3">
        <v>9.99</v>
      </c>
      <c r="D5078" s="3">
        <v>14</v>
      </c>
      <c r="E5078" s="3">
        <v>139.86000000000001</v>
      </c>
      <c r="F5078" t="str">
        <f t="shared" si="399"/>
        <v>net sales</v>
      </c>
      <c r="G5078" s="7" t="str">
        <f t="shared" si="400"/>
        <v>product 1</v>
      </c>
      <c r="H5078">
        <f t="shared" si="401"/>
        <v>2025</v>
      </c>
      <c r="I5078">
        <f t="shared" si="402"/>
        <v>12</v>
      </c>
      <c r="J5078">
        <f t="shared" si="398"/>
        <v>-100.9</v>
      </c>
    </row>
    <row r="5079" spans="1:10" ht="12.5" x14ac:dyDescent="0.25">
      <c r="A5079" s="1">
        <v>45996</v>
      </c>
      <c r="B5079" s="2" t="s">
        <v>12</v>
      </c>
      <c r="C5079" s="3">
        <v>24.99</v>
      </c>
      <c r="D5079" s="3">
        <v>4</v>
      </c>
      <c r="E5079" s="3">
        <v>99.96</v>
      </c>
      <c r="F5079" t="str">
        <f t="shared" si="399"/>
        <v>net sales</v>
      </c>
      <c r="G5079" s="7" t="str">
        <f t="shared" si="400"/>
        <v>product 2</v>
      </c>
      <c r="H5079">
        <f t="shared" si="401"/>
        <v>2025</v>
      </c>
      <c r="I5079">
        <f t="shared" si="402"/>
        <v>12</v>
      </c>
      <c r="J5079">
        <f t="shared" si="398"/>
        <v>79.92</v>
      </c>
    </row>
    <row r="5080" spans="1:10" ht="12.5" x14ac:dyDescent="0.25">
      <c r="A5080" s="1">
        <v>45996</v>
      </c>
      <c r="B5080" s="2" t="s">
        <v>13</v>
      </c>
      <c r="C5080" s="3">
        <v>12.49</v>
      </c>
      <c r="D5080" s="3">
        <v>189</v>
      </c>
      <c r="E5080" s="3">
        <v>2360.61</v>
      </c>
      <c r="F5080" t="str">
        <f t="shared" si="399"/>
        <v>net sales</v>
      </c>
      <c r="G5080" s="7" t="str">
        <f t="shared" si="400"/>
        <v>product 3</v>
      </c>
      <c r="H5080">
        <f t="shared" si="401"/>
        <v>2025</v>
      </c>
      <c r="I5080">
        <f t="shared" si="402"/>
        <v>12</v>
      </c>
      <c r="J5080">
        <f t="shared" si="398"/>
        <v>174.92999999999998</v>
      </c>
    </row>
    <row r="5081" spans="1:10" ht="12.5" x14ac:dyDescent="0.25">
      <c r="A5081" s="1">
        <v>45996</v>
      </c>
      <c r="B5081" s="2" t="s">
        <v>15</v>
      </c>
      <c r="C5081" s="2" t="s">
        <v>6</v>
      </c>
      <c r="D5081" s="2" t="s">
        <v>6</v>
      </c>
      <c r="E5081" s="3">
        <v>1200</v>
      </c>
      <c r="F5081" t="str">
        <f t="shared" si="399"/>
        <v>payroll</v>
      </c>
      <c r="G5081" s="7" t="s">
        <v>6</v>
      </c>
      <c r="H5081">
        <f t="shared" si="401"/>
        <v>2025</v>
      </c>
      <c r="I5081">
        <f t="shared" si="402"/>
        <v>12</v>
      </c>
      <c r="J5081">
        <f t="shared" si="398"/>
        <v>2572.94</v>
      </c>
    </row>
    <row r="5082" spans="1:10" ht="12.5" x14ac:dyDescent="0.25">
      <c r="A5082" s="1">
        <v>45997</v>
      </c>
      <c r="B5082" s="2" t="s">
        <v>7</v>
      </c>
      <c r="C5082" s="3">
        <v>5.49</v>
      </c>
      <c r="D5082" s="3">
        <v>38</v>
      </c>
      <c r="E5082" s="3">
        <v>208.62</v>
      </c>
      <c r="F5082" t="str">
        <f t="shared" si="399"/>
        <v>cogs</v>
      </c>
      <c r="G5082" s="7" t="str">
        <f t="shared" si="400"/>
        <v>product 1</v>
      </c>
      <c r="H5082">
        <f t="shared" si="401"/>
        <v>2025</v>
      </c>
      <c r="I5082">
        <f t="shared" si="402"/>
        <v>12</v>
      </c>
      <c r="J5082">
        <f t="shared" si="398"/>
        <v>-384.3</v>
      </c>
    </row>
    <row r="5083" spans="1:10" ht="12.5" x14ac:dyDescent="0.25">
      <c r="A5083" s="1">
        <v>45997</v>
      </c>
      <c r="B5083" s="2" t="s">
        <v>8</v>
      </c>
      <c r="C5083" s="3">
        <v>21.49</v>
      </c>
      <c r="D5083" s="3">
        <v>8</v>
      </c>
      <c r="E5083" s="3">
        <v>171.92</v>
      </c>
      <c r="F5083" t="str">
        <f t="shared" si="399"/>
        <v>cogs</v>
      </c>
      <c r="G5083" s="7" t="str">
        <f t="shared" si="400"/>
        <v>product 2</v>
      </c>
      <c r="H5083">
        <f t="shared" si="401"/>
        <v>2025</v>
      </c>
      <c r="I5083">
        <f t="shared" si="402"/>
        <v>12</v>
      </c>
      <c r="J5083">
        <f t="shared" si="398"/>
        <v>-128.94</v>
      </c>
    </row>
    <row r="5084" spans="1:10" ht="12.5" x14ac:dyDescent="0.25">
      <c r="A5084" s="1">
        <v>45997</v>
      </c>
      <c r="B5084" s="2" t="s">
        <v>9</v>
      </c>
      <c r="C5084" s="3">
        <v>8.99</v>
      </c>
      <c r="D5084" s="3">
        <v>0</v>
      </c>
      <c r="E5084" s="2">
        <f>C5084*D5084</f>
        <v>0</v>
      </c>
      <c r="F5084" t="str">
        <f t="shared" si="399"/>
        <v>cogs</v>
      </c>
      <c r="G5084" s="7" t="str">
        <f t="shared" si="400"/>
        <v>product 3</v>
      </c>
      <c r="H5084">
        <f t="shared" si="401"/>
        <v>2025</v>
      </c>
      <c r="I5084">
        <f t="shared" si="402"/>
        <v>12</v>
      </c>
      <c r="J5084">
        <f t="shared" ref="J5084:J5147" si="403">IF(F4867="net sales",E4867,
IF(F4867="cogs",-E4867,
IF(OR(F4867="marketing",F4867="overhead",F4867="payroll",F4867="interest","amortization"),-E4867,0)))</f>
        <v>-809.1</v>
      </c>
    </row>
    <row r="5085" spans="1:10" ht="12.5" x14ac:dyDescent="0.25">
      <c r="A5085" s="1">
        <v>45997</v>
      </c>
      <c r="B5085" s="2" t="s">
        <v>10</v>
      </c>
      <c r="C5085" s="2" t="s">
        <v>6</v>
      </c>
      <c r="D5085" s="2" t="s">
        <v>6</v>
      </c>
      <c r="E5085" s="3">
        <v>101.94</v>
      </c>
      <c r="F5085" t="str">
        <f t="shared" si="399"/>
        <v>marketing</v>
      </c>
      <c r="G5085" s="7" t="s">
        <v>6</v>
      </c>
      <c r="H5085">
        <f t="shared" si="401"/>
        <v>2025</v>
      </c>
      <c r="I5085">
        <f t="shared" si="402"/>
        <v>12</v>
      </c>
      <c r="J5085">
        <f t="shared" si="403"/>
        <v>-108.99000000000001</v>
      </c>
    </row>
    <row r="5086" spans="1:10" ht="12.5" x14ac:dyDescent="0.25">
      <c r="A5086" s="1">
        <v>45997</v>
      </c>
      <c r="B5086" s="2" t="s">
        <v>11</v>
      </c>
      <c r="C5086" s="3">
        <v>9.99</v>
      </c>
      <c r="D5086" s="3">
        <v>38</v>
      </c>
      <c r="E5086" s="3">
        <v>379.62</v>
      </c>
      <c r="F5086" t="str">
        <f t="shared" si="399"/>
        <v>net sales</v>
      </c>
      <c r="G5086" s="7" t="str">
        <f t="shared" si="400"/>
        <v>product 1</v>
      </c>
      <c r="H5086">
        <f t="shared" si="401"/>
        <v>2025</v>
      </c>
      <c r="I5086">
        <f t="shared" si="402"/>
        <v>12</v>
      </c>
      <c r="J5086">
        <f t="shared" si="403"/>
        <v>699.30000000000007</v>
      </c>
    </row>
    <row r="5087" spans="1:10" ht="12.5" x14ac:dyDescent="0.25">
      <c r="A5087" s="1">
        <v>45997</v>
      </c>
      <c r="B5087" s="2" t="s">
        <v>12</v>
      </c>
      <c r="C5087" s="3">
        <v>24.99</v>
      </c>
      <c r="D5087" s="3">
        <v>8</v>
      </c>
      <c r="E5087" s="3">
        <v>199.92</v>
      </c>
      <c r="F5087" t="str">
        <f t="shared" si="399"/>
        <v>net sales</v>
      </c>
      <c r="G5087" s="7" t="str">
        <f t="shared" si="400"/>
        <v>product 2</v>
      </c>
      <c r="H5087">
        <f t="shared" si="401"/>
        <v>2025</v>
      </c>
      <c r="I5087">
        <f t="shared" si="402"/>
        <v>12</v>
      </c>
      <c r="J5087">
        <f t="shared" si="403"/>
        <v>149.94</v>
      </c>
    </row>
    <row r="5088" spans="1:10" ht="12.5" x14ac:dyDescent="0.25">
      <c r="A5088" s="1">
        <v>45997</v>
      </c>
      <c r="B5088" s="2" t="s">
        <v>13</v>
      </c>
      <c r="C5088" s="3">
        <v>12.49</v>
      </c>
      <c r="D5088" s="3">
        <v>0</v>
      </c>
      <c r="E5088" s="2">
        <f>C5088*D5088</f>
        <v>0</v>
      </c>
      <c r="F5088" t="str">
        <f t="shared" si="399"/>
        <v>net sales</v>
      </c>
      <c r="G5088" s="7" t="str">
        <f t="shared" si="400"/>
        <v>product 3</v>
      </c>
      <c r="H5088">
        <f t="shared" si="401"/>
        <v>2025</v>
      </c>
      <c r="I5088">
        <f t="shared" si="402"/>
        <v>12</v>
      </c>
      <c r="J5088">
        <f t="shared" si="403"/>
        <v>1124.0999999999999</v>
      </c>
    </row>
    <row r="5089" spans="1:10" ht="12.5" x14ac:dyDescent="0.25">
      <c r="A5089" s="1">
        <v>45998</v>
      </c>
      <c r="B5089" s="2" t="s">
        <v>7</v>
      </c>
      <c r="C5089" s="3">
        <v>5.49</v>
      </c>
      <c r="D5089" s="3">
        <v>84</v>
      </c>
      <c r="E5089" s="3">
        <v>461.16</v>
      </c>
      <c r="F5089" t="str">
        <f t="shared" si="399"/>
        <v>cogs</v>
      </c>
      <c r="G5089" s="7" t="str">
        <f t="shared" si="400"/>
        <v>product 1</v>
      </c>
      <c r="H5089">
        <f t="shared" si="401"/>
        <v>2025</v>
      </c>
      <c r="I5089">
        <f t="shared" si="402"/>
        <v>12</v>
      </c>
      <c r="J5089">
        <f t="shared" si="403"/>
        <v>-395.28000000000003</v>
      </c>
    </row>
    <row r="5090" spans="1:10" ht="12.5" x14ac:dyDescent="0.25">
      <c r="A5090" s="1">
        <v>45998</v>
      </c>
      <c r="B5090" s="2" t="s">
        <v>8</v>
      </c>
      <c r="C5090" s="3">
        <v>21.49</v>
      </c>
      <c r="D5090" s="3">
        <v>4</v>
      </c>
      <c r="E5090" s="3">
        <v>85.96</v>
      </c>
      <c r="F5090" t="str">
        <f t="shared" si="399"/>
        <v>cogs</v>
      </c>
      <c r="G5090" s="7" t="str">
        <f t="shared" si="400"/>
        <v>product 2</v>
      </c>
      <c r="H5090">
        <f t="shared" si="401"/>
        <v>2025</v>
      </c>
      <c r="I5090">
        <f t="shared" si="402"/>
        <v>12</v>
      </c>
      <c r="J5090">
        <f t="shared" si="403"/>
        <v>0</v>
      </c>
    </row>
    <row r="5091" spans="1:10" ht="12.5" x14ac:dyDescent="0.25">
      <c r="A5091" s="1">
        <v>45998</v>
      </c>
      <c r="B5091" s="2" t="s">
        <v>9</v>
      </c>
      <c r="C5091" s="3">
        <v>8.99</v>
      </c>
      <c r="D5091" s="3">
        <v>125</v>
      </c>
      <c r="E5091" s="3">
        <v>1123.75</v>
      </c>
      <c r="F5091" t="str">
        <f t="shared" si="399"/>
        <v>cogs</v>
      </c>
      <c r="G5091" s="7" t="str">
        <f t="shared" si="400"/>
        <v>product 3</v>
      </c>
      <c r="H5091">
        <f t="shared" si="401"/>
        <v>2025</v>
      </c>
      <c r="I5091">
        <f t="shared" si="402"/>
        <v>12</v>
      </c>
      <c r="J5091">
        <f t="shared" si="403"/>
        <v>-1744.06</v>
      </c>
    </row>
    <row r="5092" spans="1:10" ht="12.5" x14ac:dyDescent="0.25">
      <c r="A5092" s="1">
        <v>45998</v>
      </c>
      <c r="B5092" s="2" t="s">
        <v>10</v>
      </c>
      <c r="C5092" s="2" t="s">
        <v>6</v>
      </c>
      <c r="D5092" s="2" t="s">
        <v>6</v>
      </c>
      <c r="E5092" s="3">
        <v>102.09</v>
      </c>
      <c r="F5092" t="str">
        <f t="shared" si="399"/>
        <v>marketing</v>
      </c>
      <c r="G5092" s="7" t="s">
        <v>6</v>
      </c>
      <c r="H5092">
        <f t="shared" si="401"/>
        <v>2025</v>
      </c>
      <c r="I5092">
        <f t="shared" si="402"/>
        <v>12</v>
      </c>
      <c r="J5092">
        <f t="shared" si="403"/>
        <v>-117.01</v>
      </c>
    </row>
    <row r="5093" spans="1:10" ht="12.5" x14ac:dyDescent="0.25">
      <c r="A5093" s="1">
        <v>45998</v>
      </c>
      <c r="B5093" s="2" t="s">
        <v>11</v>
      </c>
      <c r="C5093" s="3">
        <v>9.99</v>
      </c>
      <c r="D5093" s="3">
        <v>84</v>
      </c>
      <c r="E5093" s="3">
        <v>839.16</v>
      </c>
      <c r="F5093" t="str">
        <f t="shared" si="399"/>
        <v>net sales</v>
      </c>
      <c r="G5093" s="7" t="str">
        <f t="shared" si="400"/>
        <v>product 1</v>
      </c>
      <c r="H5093">
        <f t="shared" si="401"/>
        <v>2025</v>
      </c>
      <c r="I5093">
        <f t="shared" si="402"/>
        <v>12</v>
      </c>
      <c r="J5093">
        <f t="shared" si="403"/>
        <v>719.28</v>
      </c>
    </row>
    <row r="5094" spans="1:10" ht="12.5" x14ac:dyDescent="0.25">
      <c r="A5094" s="1">
        <v>45998</v>
      </c>
      <c r="B5094" s="2" t="s">
        <v>12</v>
      </c>
      <c r="C5094" s="3">
        <v>24.99</v>
      </c>
      <c r="D5094" s="3">
        <v>4</v>
      </c>
      <c r="E5094" s="3">
        <v>99.96</v>
      </c>
      <c r="F5094" t="str">
        <f t="shared" si="399"/>
        <v>net sales</v>
      </c>
      <c r="G5094" s="7" t="str">
        <f t="shared" si="400"/>
        <v>product 2</v>
      </c>
      <c r="H5094">
        <f t="shared" si="401"/>
        <v>2025</v>
      </c>
      <c r="I5094">
        <f t="shared" si="402"/>
        <v>12</v>
      </c>
      <c r="J5094">
        <f t="shared" si="403"/>
        <v>0</v>
      </c>
    </row>
    <row r="5095" spans="1:10" ht="12.5" x14ac:dyDescent="0.25">
      <c r="A5095" s="1">
        <v>45998</v>
      </c>
      <c r="B5095" s="2" t="s">
        <v>13</v>
      </c>
      <c r="C5095" s="3">
        <v>12.49</v>
      </c>
      <c r="D5095" s="3">
        <v>125</v>
      </c>
      <c r="E5095" s="3">
        <v>1561.25</v>
      </c>
      <c r="F5095" t="str">
        <f t="shared" si="399"/>
        <v>net sales</v>
      </c>
      <c r="G5095" s="7" t="str">
        <f t="shared" si="400"/>
        <v>product 3</v>
      </c>
      <c r="H5095">
        <f t="shared" si="401"/>
        <v>2025</v>
      </c>
      <c r="I5095">
        <f t="shared" si="402"/>
        <v>12</v>
      </c>
      <c r="J5095">
        <f t="shared" si="403"/>
        <v>2423.06</v>
      </c>
    </row>
    <row r="5096" spans="1:10" ht="12.5" x14ac:dyDescent="0.25">
      <c r="A5096" s="1">
        <v>45999</v>
      </c>
      <c r="B5096" s="2" t="s">
        <v>7</v>
      </c>
      <c r="C5096" s="3">
        <v>5.49</v>
      </c>
      <c r="D5096" s="3">
        <v>37</v>
      </c>
      <c r="E5096" s="3">
        <v>203.13</v>
      </c>
      <c r="F5096" t="str">
        <f t="shared" si="399"/>
        <v>cogs</v>
      </c>
      <c r="G5096" s="7" t="str">
        <f t="shared" si="400"/>
        <v>product 1</v>
      </c>
      <c r="H5096">
        <f t="shared" si="401"/>
        <v>2025</v>
      </c>
      <c r="I5096">
        <f t="shared" si="402"/>
        <v>12</v>
      </c>
      <c r="J5096">
        <f t="shared" si="403"/>
        <v>-1200</v>
      </c>
    </row>
    <row r="5097" spans="1:10" ht="12.5" x14ac:dyDescent="0.25">
      <c r="A5097" s="1">
        <v>45999</v>
      </c>
      <c r="B5097" s="2" t="s">
        <v>8</v>
      </c>
      <c r="C5097" s="3">
        <v>21.49</v>
      </c>
      <c r="D5097" s="3">
        <v>3</v>
      </c>
      <c r="E5097" s="3">
        <v>64.47</v>
      </c>
      <c r="F5097" t="str">
        <f t="shared" si="399"/>
        <v>cogs</v>
      </c>
      <c r="G5097" s="7" t="str">
        <f t="shared" si="400"/>
        <v>product 2</v>
      </c>
      <c r="H5097">
        <f t="shared" si="401"/>
        <v>2025</v>
      </c>
      <c r="I5097">
        <f t="shared" si="402"/>
        <v>12</v>
      </c>
      <c r="J5097">
        <f t="shared" si="403"/>
        <v>-16.47</v>
      </c>
    </row>
    <row r="5098" spans="1:10" ht="12.5" x14ac:dyDescent="0.25">
      <c r="A5098" s="1">
        <v>45999</v>
      </c>
      <c r="B5098" s="2" t="s">
        <v>9</v>
      </c>
      <c r="C5098" s="3">
        <v>8.99</v>
      </c>
      <c r="D5098" s="3">
        <v>150</v>
      </c>
      <c r="E5098" s="3">
        <v>1348.5</v>
      </c>
      <c r="F5098" t="str">
        <f t="shared" si="399"/>
        <v>cogs</v>
      </c>
      <c r="G5098" s="7" t="str">
        <f t="shared" si="400"/>
        <v>product 3</v>
      </c>
      <c r="H5098">
        <f t="shared" si="401"/>
        <v>2025</v>
      </c>
      <c r="I5098">
        <f t="shared" si="402"/>
        <v>12</v>
      </c>
      <c r="J5098">
        <f t="shared" si="403"/>
        <v>-42.98</v>
      </c>
    </row>
    <row r="5099" spans="1:10" ht="12.5" x14ac:dyDescent="0.25">
      <c r="A5099" s="1">
        <v>45999</v>
      </c>
      <c r="B5099" s="2" t="s">
        <v>10</v>
      </c>
      <c r="C5099" s="2" t="s">
        <v>6</v>
      </c>
      <c r="D5099" s="2" t="s">
        <v>6</v>
      </c>
      <c r="E5099" s="3">
        <v>115.94</v>
      </c>
      <c r="F5099" t="str">
        <f t="shared" si="399"/>
        <v>marketing</v>
      </c>
      <c r="G5099" s="7" t="s">
        <v>6</v>
      </c>
      <c r="H5099">
        <f t="shared" si="401"/>
        <v>2025</v>
      </c>
      <c r="I5099">
        <f t="shared" si="402"/>
        <v>12</v>
      </c>
      <c r="J5099">
        <f t="shared" si="403"/>
        <v>-961.93000000000006</v>
      </c>
    </row>
    <row r="5100" spans="1:10" ht="12.5" x14ac:dyDescent="0.25">
      <c r="A5100" s="1">
        <v>45999</v>
      </c>
      <c r="B5100" s="2" t="s">
        <v>11</v>
      </c>
      <c r="C5100" s="3">
        <v>9.99</v>
      </c>
      <c r="D5100" s="3">
        <v>37</v>
      </c>
      <c r="E5100" s="3">
        <v>369.63</v>
      </c>
      <c r="F5100" t="str">
        <f t="shared" si="399"/>
        <v>net sales</v>
      </c>
      <c r="G5100" s="7" t="str">
        <f t="shared" si="400"/>
        <v>product 1</v>
      </c>
      <c r="H5100">
        <f t="shared" si="401"/>
        <v>2025</v>
      </c>
      <c r="I5100">
        <f t="shared" si="402"/>
        <v>12</v>
      </c>
      <c r="J5100">
        <f t="shared" si="403"/>
        <v>-105.09</v>
      </c>
    </row>
    <row r="5101" spans="1:10" ht="12.5" x14ac:dyDescent="0.25">
      <c r="A5101" s="1">
        <v>45999</v>
      </c>
      <c r="B5101" s="2" t="s">
        <v>12</v>
      </c>
      <c r="C5101" s="3">
        <v>24.99</v>
      </c>
      <c r="D5101" s="3">
        <v>3</v>
      </c>
      <c r="E5101" s="3">
        <v>74.97</v>
      </c>
      <c r="F5101" t="str">
        <f t="shared" si="399"/>
        <v>net sales</v>
      </c>
      <c r="G5101" s="7" t="str">
        <f t="shared" si="400"/>
        <v>product 2</v>
      </c>
      <c r="H5101">
        <f t="shared" si="401"/>
        <v>2025</v>
      </c>
      <c r="I5101">
        <f t="shared" si="402"/>
        <v>12</v>
      </c>
      <c r="J5101">
        <f t="shared" si="403"/>
        <v>29.97</v>
      </c>
    </row>
    <row r="5102" spans="1:10" ht="12.5" x14ac:dyDescent="0.25">
      <c r="A5102" s="1">
        <v>45999</v>
      </c>
      <c r="B5102" s="2" t="s">
        <v>13</v>
      </c>
      <c r="C5102" s="3">
        <v>12.49</v>
      </c>
      <c r="D5102" s="3">
        <v>150</v>
      </c>
      <c r="E5102" s="3">
        <v>1873.5</v>
      </c>
      <c r="F5102" t="str">
        <f t="shared" si="399"/>
        <v>net sales</v>
      </c>
      <c r="G5102" s="7" t="str">
        <f t="shared" si="400"/>
        <v>product 3</v>
      </c>
      <c r="H5102">
        <f t="shared" si="401"/>
        <v>2025</v>
      </c>
      <c r="I5102">
        <f t="shared" si="402"/>
        <v>12</v>
      </c>
      <c r="J5102">
        <f t="shared" si="403"/>
        <v>49.98</v>
      </c>
    </row>
    <row r="5103" spans="1:10" ht="12.5" x14ac:dyDescent="0.25">
      <c r="A5103" s="1">
        <v>46000</v>
      </c>
      <c r="B5103" s="2" t="s">
        <v>7</v>
      </c>
      <c r="C5103" s="3">
        <v>5.49</v>
      </c>
      <c r="D5103" s="3">
        <v>16</v>
      </c>
      <c r="E5103" s="3">
        <v>87.84</v>
      </c>
      <c r="F5103" t="str">
        <f t="shared" si="399"/>
        <v>cogs</v>
      </c>
      <c r="G5103" s="7" t="str">
        <f t="shared" si="400"/>
        <v>product 1</v>
      </c>
      <c r="H5103">
        <f t="shared" si="401"/>
        <v>2025</v>
      </c>
      <c r="I5103">
        <f t="shared" si="402"/>
        <v>12</v>
      </c>
      <c r="J5103">
        <f t="shared" si="403"/>
        <v>1336.43</v>
      </c>
    </row>
    <row r="5104" spans="1:10" ht="12.5" x14ac:dyDescent="0.25">
      <c r="A5104" s="1">
        <v>46000</v>
      </c>
      <c r="B5104" s="2" t="s">
        <v>8</v>
      </c>
      <c r="C5104" s="3">
        <v>21.49</v>
      </c>
      <c r="D5104" s="3">
        <v>0</v>
      </c>
      <c r="E5104" s="2">
        <f>C5104*D5104</f>
        <v>0</v>
      </c>
      <c r="F5104" t="str">
        <f t="shared" si="399"/>
        <v>cogs</v>
      </c>
      <c r="G5104" s="7" t="str">
        <f t="shared" si="400"/>
        <v>product 2</v>
      </c>
      <c r="H5104">
        <f t="shared" si="401"/>
        <v>2025</v>
      </c>
      <c r="I5104">
        <f t="shared" si="402"/>
        <v>12</v>
      </c>
      <c r="J5104">
        <f t="shared" si="403"/>
        <v>-87.84</v>
      </c>
    </row>
    <row r="5105" spans="1:10" ht="12.5" x14ac:dyDescent="0.25">
      <c r="A5105" s="1">
        <v>46000</v>
      </c>
      <c r="B5105" s="2" t="s">
        <v>9</v>
      </c>
      <c r="C5105" s="3">
        <v>8.99</v>
      </c>
      <c r="D5105" s="3">
        <v>106</v>
      </c>
      <c r="E5105" s="3">
        <v>952.94</v>
      </c>
      <c r="F5105" t="str">
        <f t="shared" si="399"/>
        <v>cogs</v>
      </c>
      <c r="G5105" s="7" t="str">
        <f t="shared" si="400"/>
        <v>product 3</v>
      </c>
      <c r="H5105">
        <f t="shared" si="401"/>
        <v>2025</v>
      </c>
      <c r="I5105">
        <f t="shared" si="402"/>
        <v>12</v>
      </c>
      <c r="J5105">
        <f t="shared" si="403"/>
        <v>-21.49</v>
      </c>
    </row>
    <row r="5106" spans="1:10" ht="12.5" x14ac:dyDescent="0.25">
      <c r="A5106" s="1">
        <v>46000</v>
      </c>
      <c r="B5106" s="2" t="s">
        <v>10</v>
      </c>
      <c r="C5106" s="2" t="s">
        <v>6</v>
      </c>
      <c r="D5106" s="2" t="s">
        <v>6</v>
      </c>
      <c r="E5106" s="3">
        <v>112.93</v>
      </c>
      <c r="F5106" t="str">
        <f t="shared" si="399"/>
        <v>marketing</v>
      </c>
      <c r="G5106" s="7" t="s">
        <v>6</v>
      </c>
      <c r="H5106">
        <f t="shared" si="401"/>
        <v>2025</v>
      </c>
      <c r="I5106">
        <f t="shared" si="402"/>
        <v>12</v>
      </c>
      <c r="J5106">
        <f t="shared" si="403"/>
        <v>-215.76</v>
      </c>
    </row>
    <row r="5107" spans="1:10" ht="12.5" x14ac:dyDescent="0.25">
      <c r="A5107" s="1">
        <v>46000</v>
      </c>
      <c r="B5107" s="2" t="s">
        <v>11</v>
      </c>
      <c r="C5107" s="3">
        <v>9.99</v>
      </c>
      <c r="D5107" s="3">
        <v>16</v>
      </c>
      <c r="E5107" s="3">
        <v>159.84</v>
      </c>
      <c r="F5107" t="str">
        <f t="shared" si="399"/>
        <v>net sales</v>
      </c>
      <c r="G5107" s="7" t="str">
        <f t="shared" si="400"/>
        <v>product 1</v>
      </c>
      <c r="H5107">
        <f t="shared" si="401"/>
        <v>2025</v>
      </c>
      <c r="I5107">
        <f t="shared" si="402"/>
        <v>12</v>
      </c>
      <c r="J5107">
        <f t="shared" si="403"/>
        <v>-107.10000000000001</v>
      </c>
    </row>
    <row r="5108" spans="1:10" ht="12.5" x14ac:dyDescent="0.25">
      <c r="A5108" s="1">
        <v>46000</v>
      </c>
      <c r="B5108" s="2" t="s">
        <v>12</v>
      </c>
      <c r="C5108" s="3">
        <v>24.99</v>
      </c>
      <c r="D5108" s="3">
        <v>0</v>
      </c>
      <c r="E5108" s="2">
        <f>C5108*D5108</f>
        <v>0</v>
      </c>
      <c r="F5108" t="str">
        <f t="shared" si="399"/>
        <v>net sales</v>
      </c>
      <c r="G5108" s="7" t="str">
        <f t="shared" si="400"/>
        <v>product 2</v>
      </c>
      <c r="H5108">
        <f t="shared" si="401"/>
        <v>2025</v>
      </c>
      <c r="I5108">
        <f t="shared" si="402"/>
        <v>12</v>
      </c>
      <c r="J5108">
        <f t="shared" si="403"/>
        <v>159.84</v>
      </c>
    </row>
    <row r="5109" spans="1:10" ht="12.5" x14ac:dyDescent="0.25">
      <c r="A5109" s="1">
        <v>46000</v>
      </c>
      <c r="B5109" s="2" t="s">
        <v>13</v>
      </c>
      <c r="C5109" s="3">
        <v>12.49</v>
      </c>
      <c r="D5109" s="3">
        <v>106</v>
      </c>
      <c r="E5109" s="3">
        <v>1323.94</v>
      </c>
      <c r="F5109" t="str">
        <f t="shared" si="399"/>
        <v>net sales</v>
      </c>
      <c r="G5109" s="7" t="str">
        <f t="shared" si="400"/>
        <v>product 3</v>
      </c>
      <c r="H5109">
        <f t="shared" si="401"/>
        <v>2025</v>
      </c>
      <c r="I5109">
        <f t="shared" si="402"/>
        <v>12</v>
      </c>
      <c r="J5109">
        <f t="shared" si="403"/>
        <v>24.99</v>
      </c>
    </row>
    <row r="5110" spans="1:10" ht="12.5" x14ac:dyDescent="0.25">
      <c r="A5110" s="1">
        <v>46001</v>
      </c>
      <c r="B5110" s="2" t="s">
        <v>7</v>
      </c>
      <c r="C5110" s="3">
        <v>5.49</v>
      </c>
      <c r="D5110" s="3">
        <v>82</v>
      </c>
      <c r="E5110" s="3">
        <v>450.18</v>
      </c>
      <c r="F5110" t="str">
        <f t="shared" si="399"/>
        <v>cogs</v>
      </c>
      <c r="G5110" s="7" t="str">
        <f t="shared" si="400"/>
        <v>product 1</v>
      </c>
      <c r="H5110">
        <f t="shared" si="401"/>
        <v>2025</v>
      </c>
      <c r="I5110">
        <f t="shared" si="402"/>
        <v>12</v>
      </c>
      <c r="J5110">
        <f t="shared" si="403"/>
        <v>299.76</v>
      </c>
    </row>
    <row r="5111" spans="1:10" ht="12.5" x14ac:dyDescent="0.25">
      <c r="A5111" s="1">
        <v>46001</v>
      </c>
      <c r="B5111" s="2" t="s">
        <v>8</v>
      </c>
      <c r="C5111" s="3">
        <v>21.49</v>
      </c>
      <c r="D5111" s="3">
        <v>1</v>
      </c>
      <c r="E5111" s="3">
        <v>21.49</v>
      </c>
      <c r="F5111" t="str">
        <f t="shared" si="399"/>
        <v>cogs</v>
      </c>
      <c r="G5111" s="7" t="str">
        <f t="shared" si="400"/>
        <v>product 2</v>
      </c>
      <c r="H5111">
        <f t="shared" si="401"/>
        <v>2025</v>
      </c>
      <c r="I5111">
        <f t="shared" si="402"/>
        <v>12</v>
      </c>
      <c r="J5111">
        <f t="shared" si="403"/>
        <v>-252.54000000000002</v>
      </c>
    </row>
    <row r="5112" spans="1:10" ht="12.5" x14ac:dyDescent="0.25">
      <c r="A5112" s="1">
        <v>46001</v>
      </c>
      <c r="B5112" s="2" t="s">
        <v>9</v>
      </c>
      <c r="C5112" s="3">
        <v>8.99</v>
      </c>
      <c r="D5112" s="3">
        <v>246</v>
      </c>
      <c r="E5112" s="3">
        <v>2211.54</v>
      </c>
      <c r="F5112" t="str">
        <f t="shared" si="399"/>
        <v>cogs</v>
      </c>
      <c r="G5112" s="7" t="str">
        <f t="shared" si="400"/>
        <v>product 3</v>
      </c>
      <c r="H5112">
        <f t="shared" si="401"/>
        <v>2025</v>
      </c>
      <c r="I5112">
        <f t="shared" si="402"/>
        <v>12</v>
      </c>
      <c r="J5112">
        <f t="shared" si="403"/>
        <v>-21.49</v>
      </c>
    </row>
    <row r="5113" spans="1:10" ht="12.5" x14ac:dyDescent="0.25">
      <c r="A5113" s="1">
        <v>46001</v>
      </c>
      <c r="B5113" s="2" t="s">
        <v>10</v>
      </c>
      <c r="C5113" s="2" t="s">
        <v>6</v>
      </c>
      <c r="D5113" s="2" t="s">
        <v>6</v>
      </c>
      <c r="E5113" s="3">
        <v>119.05</v>
      </c>
      <c r="F5113" t="str">
        <f t="shared" si="399"/>
        <v>marketing</v>
      </c>
      <c r="G5113" s="7" t="s">
        <v>6</v>
      </c>
      <c r="H5113">
        <f t="shared" si="401"/>
        <v>2025</v>
      </c>
      <c r="I5113">
        <f t="shared" si="402"/>
        <v>12</v>
      </c>
      <c r="J5113">
        <f t="shared" si="403"/>
        <v>-1240.6200000000001</v>
      </c>
    </row>
    <row r="5114" spans="1:10" ht="12.5" x14ac:dyDescent="0.25">
      <c r="A5114" s="1">
        <v>46001</v>
      </c>
      <c r="B5114" s="2" t="s">
        <v>11</v>
      </c>
      <c r="C5114" s="3">
        <v>9.99</v>
      </c>
      <c r="D5114" s="3">
        <v>82</v>
      </c>
      <c r="E5114" s="3">
        <v>819.18000000000006</v>
      </c>
      <c r="F5114" t="str">
        <f t="shared" si="399"/>
        <v>net sales</v>
      </c>
      <c r="G5114" s="7" t="str">
        <f t="shared" si="400"/>
        <v>product 1</v>
      </c>
      <c r="H5114">
        <f t="shared" si="401"/>
        <v>2025</v>
      </c>
      <c r="I5114">
        <f t="shared" si="402"/>
        <v>12</v>
      </c>
      <c r="J5114">
        <f t="shared" si="403"/>
        <v>-114.94</v>
      </c>
    </row>
    <row r="5115" spans="1:10" ht="12.5" x14ac:dyDescent="0.25">
      <c r="A5115" s="1">
        <v>46001</v>
      </c>
      <c r="B5115" s="2" t="s">
        <v>12</v>
      </c>
      <c r="C5115" s="3">
        <v>24.99</v>
      </c>
      <c r="D5115" s="3">
        <v>1</v>
      </c>
      <c r="E5115" s="3">
        <v>24.99</v>
      </c>
      <c r="F5115" t="str">
        <f t="shared" si="399"/>
        <v>net sales</v>
      </c>
      <c r="G5115" s="7" t="str">
        <f t="shared" si="400"/>
        <v>product 2</v>
      </c>
      <c r="H5115">
        <f t="shared" si="401"/>
        <v>2025</v>
      </c>
      <c r="I5115">
        <f t="shared" si="402"/>
        <v>12</v>
      </c>
      <c r="J5115">
        <f t="shared" si="403"/>
        <v>459.54</v>
      </c>
    </row>
    <row r="5116" spans="1:10" ht="12.5" x14ac:dyDescent="0.25">
      <c r="A5116" s="1">
        <v>46001</v>
      </c>
      <c r="B5116" s="2" t="s">
        <v>13</v>
      </c>
      <c r="C5116" s="3">
        <v>12.49</v>
      </c>
      <c r="D5116" s="3">
        <v>246</v>
      </c>
      <c r="E5116" s="3">
        <v>3072.54</v>
      </c>
      <c r="F5116" t="str">
        <f t="shared" si="399"/>
        <v>net sales</v>
      </c>
      <c r="G5116" s="7" t="str">
        <f t="shared" si="400"/>
        <v>product 3</v>
      </c>
      <c r="H5116">
        <f t="shared" si="401"/>
        <v>2025</v>
      </c>
      <c r="I5116">
        <f t="shared" si="402"/>
        <v>12</v>
      </c>
      <c r="J5116">
        <f t="shared" si="403"/>
        <v>24.99</v>
      </c>
    </row>
    <row r="5117" spans="1:10" ht="12.5" x14ac:dyDescent="0.25">
      <c r="A5117" s="1">
        <v>46002</v>
      </c>
      <c r="B5117" s="2" t="s">
        <v>7</v>
      </c>
      <c r="C5117" s="3">
        <v>5.49</v>
      </c>
      <c r="D5117" s="3">
        <v>53</v>
      </c>
      <c r="E5117" s="3">
        <v>290.97000000000003</v>
      </c>
      <c r="F5117" t="str">
        <f t="shared" si="399"/>
        <v>cogs</v>
      </c>
      <c r="G5117" s="7" t="str">
        <f t="shared" si="400"/>
        <v>product 1</v>
      </c>
      <c r="H5117">
        <f t="shared" si="401"/>
        <v>2025</v>
      </c>
      <c r="I5117">
        <f t="shared" si="402"/>
        <v>12</v>
      </c>
      <c r="J5117">
        <f t="shared" si="403"/>
        <v>1723.6200000000001</v>
      </c>
    </row>
    <row r="5118" spans="1:10" ht="12.5" x14ac:dyDescent="0.25">
      <c r="A5118" s="1">
        <v>46002</v>
      </c>
      <c r="B5118" s="2" t="s">
        <v>8</v>
      </c>
      <c r="C5118" s="3">
        <v>21.49</v>
      </c>
      <c r="D5118" s="3">
        <v>2</v>
      </c>
      <c r="E5118" s="3">
        <v>42.98</v>
      </c>
      <c r="F5118" t="str">
        <f t="shared" si="399"/>
        <v>cogs</v>
      </c>
      <c r="G5118" s="7" t="str">
        <f t="shared" si="400"/>
        <v>product 2</v>
      </c>
      <c r="H5118">
        <f t="shared" si="401"/>
        <v>2025</v>
      </c>
      <c r="I5118">
        <f t="shared" si="402"/>
        <v>12</v>
      </c>
      <c r="J5118">
        <f t="shared" si="403"/>
        <v>-54.900000000000006</v>
      </c>
    </row>
    <row r="5119" spans="1:10" ht="12.5" x14ac:dyDescent="0.25">
      <c r="A5119" s="1">
        <v>46002</v>
      </c>
      <c r="B5119" s="2" t="s">
        <v>9</v>
      </c>
      <c r="C5119" s="3">
        <v>8.99</v>
      </c>
      <c r="D5119" s="3">
        <v>175</v>
      </c>
      <c r="E5119" s="3">
        <v>1573.25</v>
      </c>
      <c r="F5119" t="str">
        <f t="shared" si="399"/>
        <v>cogs</v>
      </c>
      <c r="G5119" s="7" t="str">
        <f t="shared" si="400"/>
        <v>product 3</v>
      </c>
      <c r="H5119">
        <f t="shared" si="401"/>
        <v>2025</v>
      </c>
      <c r="I5119">
        <f t="shared" si="402"/>
        <v>12</v>
      </c>
      <c r="J5119">
        <f t="shared" si="403"/>
        <v>-42.98</v>
      </c>
    </row>
    <row r="5120" spans="1:10" ht="12.5" x14ac:dyDescent="0.25">
      <c r="A5120" s="1">
        <v>46002</v>
      </c>
      <c r="B5120" s="2" t="s">
        <v>10</v>
      </c>
      <c r="C5120" s="2" t="s">
        <v>6</v>
      </c>
      <c r="D5120" s="2" t="s">
        <v>6</v>
      </c>
      <c r="E5120" s="3">
        <v>113.94</v>
      </c>
      <c r="F5120" t="str">
        <f t="shared" si="399"/>
        <v>marketing</v>
      </c>
      <c r="G5120" s="7" t="s">
        <v>6</v>
      </c>
      <c r="H5120">
        <f t="shared" si="401"/>
        <v>2025</v>
      </c>
      <c r="I5120">
        <f t="shared" si="402"/>
        <v>12</v>
      </c>
      <c r="J5120">
        <f t="shared" si="403"/>
        <v>-1950.8300000000002</v>
      </c>
    </row>
    <row r="5121" spans="1:10" ht="12.5" x14ac:dyDescent="0.25">
      <c r="A5121" s="1">
        <v>46002</v>
      </c>
      <c r="B5121" s="2" t="s">
        <v>11</v>
      </c>
      <c r="C5121" s="3">
        <v>9.99</v>
      </c>
      <c r="D5121" s="3">
        <v>53</v>
      </c>
      <c r="E5121" s="3">
        <v>529.47</v>
      </c>
      <c r="F5121" t="str">
        <f t="shared" si="399"/>
        <v>net sales</v>
      </c>
      <c r="G5121" s="7" t="str">
        <f t="shared" si="400"/>
        <v>product 1</v>
      </c>
      <c r="H5121">
        <f t="shared" si="401"/>
        <v>2025</v>
      </c>
      <c r="I5121">
        <f t="shared" si="402"/>
        <v>12</v>
      </c>
      <c r="J5121">
        <f t="shared" si="403"/>
        <v>-102.94</v>
      </c>
    </row>
    <row r="5122" spans="1:10" ht="12.5" x14ac:dyDescent="0.25">
      <c r="A5122" s="1">
        <v>46002</v>
      </c>
      <c r="B5122" s="2" t="s">
        <v>12</v>
      </c>
      <c r="C5122" s="3">
        <v>24.99</v>
      </c>
      <c r="D5122" s="3">
        <v>2</v>
      </c>
      <c r="E5122" s="3">
        <v>49.98</v>
      </c>
      <c r="F5122" t="str">
        <f t="shared" si="399"/>
        <v>net sales</v>
      </c>
      <c r="G5122" s="7" t="str">
        <f t="shared" si="400"/>
        <v>product 2</v>
      </c>
      <c r="H5122">
        <f t="shared" si="401"/>
        <v>2025</v>
      </c>
      <c r="I5122">
        <f t="shared" si="402"/>
        <v>12</v>
      </c>
      <c r="J5122">
        <f t="shared" si="403"/>
        <v>99.9</v>
      </c>
    </row>
    <row r="5123" spans="1:10" ht="12.5" x14ac:dyDescent="0.25">
      <c r="A5123" s="1">
        <v>46002</v>
      </c>
      <c r="B5123" s="2" t="s">
        <v>13</v>
      </c>
      <c r="C5123" s="3">
        <v>12.49</v>
      </c>
      <c r="D5123" s="3">
        <v>175</v>
      </c>
      <c r="E5123" s="3">
        <v>2185.75</v>
      </c>
      <c r="F5123" t="str">
        <f t="shared" ref="F5123:F5186" si="404">IFERROR(LEFT(B5123,FIND(":",B5123)-1),B5123)</f>
        <v>net sales</v>
      </c>
      <c r="G5123" s="7" t="str">
        <f t="shared" ref="G5123:G5185" si="405">IFERROR(RIGHT(B5123,LEN(B5123)-FIND(":",B5123)),"")</f>
        <v>product 3</v>
      </c>
      <c r="H5123">
        <f t="shared" ref="H5123:H5186" si="406">YEAR(A5123)</f>
        <v>2025</v>
      </c>
      <c r="I5123">
        <f t="shared" ref="I5123:I5186" si="407">MONTH(A5123)</f>
        <v>12</v>
      </c>
      <c r="J5123">
        <f t="shared" si="403"/>
        <v>49.98</v>
      </c>
    </row>
    <row r="5124" spans="1:10" ht="12.5" x14ac:dyDescent="0.25">
      <c r="A5124" s="1">
        <v>46003</v>
      </c>
      <c r="B5124" s="2" t="s">
        <v>7</v>
      </c>
      <c r="C5124" s="3">
        <v>5.49</v>
      </c>
      <c r="D5124" s="3">
        <v>30</v>
      </c>
      <c r="E5124" s="3">
        <v>164.70000000000002</v>
      </c>
      <c r="F5124" t="str">
        <f t="shared" si="404"/>
        <v>cogs</v>
      </c>
      <c r="G5124" s="7" t="str">
        <f t="shared" si="405"/>
        <v>product 1</v>
      </c>
      <c r="H5124">
        <f t="shared" si="406"/>
        <v>2025</v>
      </c>
      <c r="I5124">
        <f t="shared" si="407"/>
        <v>12</v>
      </c>
      <c r="J5124">
        <f t="shared" si="403"/>
        <v>2710.33</v>
      </c>
    </row>
    <row r="5125" spans="1:10" ht="12.5" x14ac:dyDescent="0.25">
      <c r="A5125" s="1">
        <v>46003</v>
      </c>
      <c r="B5125" s="2" t="s">
        <v>8</v>
      </c>
      <c r="C5125" s="3">
        <v>21.49</v>
      </c>
      <c r="D5125" s="3">
        <v>6</v>
      </c>
      <c r="E5125" s="3">
        <v>128.94</v>
      </c>
      <c r="F5125" t="str">
        <f t="shared" si="404"/>
        <v>cogs</v>
      </c>
      <c r="G5125" s="7" t="str">
        <f t="shared" si="405"/>
        <v>product 2</v>
      </c>
      <c r="H5125">
        <f t="shared" si="406"/>
        <v>2025</v>
      </c>
      <c r="I5125">
        <f t="shared" si="407"/>
        <v>12</v>
      </c>
      <c r="J5125">
        <f t="shared" si="403"/>
        <v>-395.28000000000003</v>
      </c>
    </row>
    <row r="5126" spans="1:10" ht="12.5" x14ac:dyDescent="0.25">
      <c r="A5126" s="1">
        <v>46003</v>
      </c>
      <c r="B5126" s="2" t="s">
        <v>9</v>
      </c>
      <c r="C5126" s="3">
        <v>8.99</v>
      </c>
      <c r="D5126" s="3">
        <v>145</v>
      </c>
      <c r="E5126" s="3">
        <v>1303.55</v>
      </c>
      <c r="F5126" t="str">
        <f t="shared" si="404"/>
        <v>cogs</v>
      </c>
      <c r="G5126" s="7" t="str">
        <f t="shared" si="405"/>
        <v>product 3</v>
      </c>
      <c r="H5126">
        <f t="shared" si="406"/>
        <v>2025</v>
      </c>
      <c r="I5126">
        <f t="shared" si="407"/>
        <v>12</v>
      </c>
      <c r="J5126">
        <f t="shared" si="403"/>
        <v>-128.94</v>
      </c>
    </row>
    <row r="5127" spans="1:10" ht="12.5" x14ac:dyDescent="0.25">
      <c r="A5127" s="1">
        <v>46003</v>
      </c>
      <c r="B5127" s="2" t="s">
        <v>10</v>
      </c>
      <c r="C5127" s="2" t="s">
        <v>6</v>
      </c>
      <c r="D5127" s="2" t="s">
        <v>6</v>
      </c>
      <c r="E5127" s="3">
        <v>120.05</v>
      </c>
      <c r="F5127" t="str">
        <f t="shared" si="404"/>
        <v>marketing</v>
      </c>
      <c r="G5127" s="7" t="s">
        <v>6</v>
      </c>
      <c r="H5127">
        <f t="shared" si="406"/>
        <v>2025</v>
      </c>
      <c r="I5127">
        <f t="shared" si="407"/>
        <v>12</v>
      </c>
      <c r="J5127">
        <f t="shared" si="403"/>
        <v>-773.14</v>
      </c>
    </row>
    <row r="5128" spans="1:10" ht="12.5" x14ac:dyDescent="0.25">
      <c r="A5128" s="1">
        <v>46003</v>
      </c>
      <c r="B5128" s="2" t="s">
        <v>11</v>
      </c>
      <c r="C5128" s="3">
        <v>9.99</v>
      </c>
      <c r="D5128" s="3">
        <v>30</v>
      </c>
      <c r="E5128" s="3">
        <v>299.7</v>
      </c>
      <c r="F5128" t="str">
        <f t="shared" si="404"/>
        <v>net sales</v>
      </c>
      <c r="G5128" s="7" t="str">
        <f t="shared" si="405"/>
        <v>product 1</v>
      </c>
      <c r="H5128">
        <f t="shared" si="406"/>
        <v>2025</v>
      </c>
      <c r="I5128">
        <f t="shared" si="407"/>
        <v>12</v>
      </c>
      <c r="J5128">
        <f t="shared" si="403"/>
        <v>-111.92</v>
      </c>
    </row>
    <row r="5129" spans="1:10" ht="12.5" x14ac:dyDescent="0.25">
      <c r="A5129" s="1">
        <v>46003</v>
      </c>
      <c r="B5129" s="2" t="s">
        <v>12</v>
      </c>
      <c r="C5129" s="3">
        <v>24.99</v>
      </c>
      <c r="D5129" s="3">
        <v>6</v>
      </c>
      <c r="E5129" s="3">
        <v>149.94</v>
      </c>
      <c r="F5129" t="str">
        <f t="shared" si="404"/>
        <v>net sales</v>
      </c>
      <c r="G5129" s="7" t="str">
        <f t="shared" si="405"/>
        <v>product 2</v>
      </c>
      <c r="H5129">
        <f t="shared" si="406"/>
        <v>2025</v>
      </c>
      <c r="I5129">
        <f t="shared" si="407"/>
        <v>12</v>
      </c>
      <c r="J5129">
        <f t="shared" si="403"/>
        <v>719.28</v>
      </c>
    </row>
    <row r="5130" spans="1:10" ht="12.5" x14ac:dyDescent="0.25">
      <c r="A5130" s="1">
        <v>46003</v>
      </c>
      <c r="B5130" s="2" t="s">
        <v>13</v>
      </c>
      <c r="C5130" s="3">
        <v>12.49</v>
      </c>
      <c r="D5130" s="3">
        <v>145</v>
      </c>
      <c r="E5130" s="3">
        <v>1811.05</v>
      </c>
      <c r="F5130" t="str">
        <f t="shared" si="404"/>
        <v>net sales</v>
      </c>
      <c r="G5130" s="7" t="str">
        <f t="shared" si="405"/>
        <v>product 3</v>
      </c>
      <c r="H5130">
        <f t="shared" si="406"/>
        <v>2025</v>
      </c>
      <c r="I5130">
        <f t="shared" si="407"/>
        <v>12</v>
      </c>
      <c r="J5130">
        <f t="shared" si="403"/>
        <v>149.94</v>
      </c>
    </row>
    <row r="5131" spans="1:10" ht="12.5" x14ac:dyDescent="0.25">
      <c r="A5131" s="1">
        <v>46004</v>
      </c>
      <c r="B5131" s="2" t="s">
        <v>7</v>
      </c>
      <c r="C5131" s="3">
        <v>5.49</v>
      </c>
      <c r="D5131" s="3">
        <v>19</v>
      </c>
      <c r="E5131" s="3">
        <v>104.31</v>
      </c>
      <c r="F5131" t="str">
        <f t="shared" si="404"/>
        <v>cogs</v>
      </c>
      <c r="G5131" s="7" t="str">
        <f t="shared" si="405"/>
        <v>product 1</v>
      </c>
      <c r="H5131">
        <f t="shared" si="406"/>
        <v>2025</v>
      </c>
      <c r="I5131">
        <f t="shared" si="407"/>
        <v>12</v>
      </c>
      <c r="J5131">
        <f t="shared" si="403"/>
        <v>1074.1400000000001</v>
      </c>
    </row>
    <row r="5132" spans="1:10" ht="12.5" x14ac:dyDescent="0.25">
      <c r="A5132" s="1">
        <v>46004</v>
      </c>
      <c r="B5132" s="2" t="s">
        <v>8</v>
      </c>
      <c r="C5132" s="3">
        <v>21.49</v>
      </c>
      <c r="D5132" s="3">
        <v>0</v>
      </c>
      <c r="E5132" s="2">
        <f>C5132*D5132</f>
        <v>0</v>
      </c>
      <c r="F5132" t="str">
        <f t="shared" si="404"/>
        <v>cogs</v>
      </c>
      <c r="G5132" s="7" t="str">
        <f t="shared" si="405"/>
        <v>product 2</v>
      </c>
      <c r="H5132">
        <f t="shared" si="406"/>
        <v>2025</v>
      </c>
      <c r="I5132">
        <f t="shared" si="407"/>
        <v>12</v>
      </c>
      <c r="J5132">
        <f t="shared" si="403"/>
        <v>-252.54000000000002</v>
      </c>
    </row>
    <row r="5133" spans="1:10" ht="12.5" x14ac:dyDescent="0.25">
      <c r="A5133" s="1">
        <v>46004</v>
      </c>
      <c r="B5133" s="2" t="s">
        <v>9</v>
      </c>
      <c r="C5133" s="3">
        <v>8.99</v>
      </c>
      <c r="D5133" s="3">
        <v>16</v>
      </c>
      <c r="E5133" s="3">
        <v>143.84</v>
      </c>
      <c r="F5133" t="str">
        <f t="shared" si="404"/>
        <v>cogs</v>
      </c>
      <c r="G5133" s="7" t="str">
        <f t="shared" si="405"/>
        <v>product 3</v>
      </c>
      <c r="H5133">
        <f t="shared" si="406"/>
        <v>2025</v>
      </c>
      <c r="I5133">
        <f t="shared" si="407"/>
        <v>12</v>
      </c>
      <c r="J5133">
        <f t="shared" si="403"/>
        <v>-107.44999999999999</v>
      </c>
    </row>
    <row r="5134" spans="1:10" ht="12.5" x14ac:dyDescent="0.25">
      <c r="A5134" s="1">
        <v>46004</v>
      </c>
      <c r="B5134" s="2" t="s">
        <v>10</v>
      </c>
      <c r="C5134" s="2" t="s">
        <v>6</v>
      </c>
      <c r="D5134" s="2" t="s">
        <v>6</v>
      </c>
      <c r="E5134" s="3">
        <v>110.97</v>
      </c>
      <c r="F5134" t="str">
        <f t="shared" si="404"/>
        <v>marketing</v>
      </c>
      <c r="G5134" s="7" t="s">
        <v>6</v>
      </c>
      <c r="H5134">
        <f t="shared" si="406"/>
        <v>2025</v>
      </c>
      <c r="I5134">
        <f t="shared" si="407"/>
        <v>12</v>
      </c>
      <c r="J5134">
        <f t="shared" si="403"/>
        <v>-934.96</v>
      </c>
    </row>
    <row r="5135" spans="1:10" ht="12.5" x14ac:dyDescent="0.25">
      <c r="A5135" s="1">
        <v>46004</v>
      </c>
      <c r="B5135" s="2" t="s">
        <v>11</v>
      </c>
      <c r="C5135" s="3">
        <v>9.99</v>
      </c>
      <c r="D5135" s="3">
        <v>19</v>
      </c>
      <c r="E5135" s="3">
        <v>189.81</v>
      </c>
      <c r="F5135" t="str">
        <f t="shared" si="404"/>
        <v>net sales</v>
      </c>
      <c r="G5135" s="7" t="str">
        <f t="shared" si="405"/>
        <v>product 1</v>
      </c>
      <c r="H5135">
        <f t="shared" si="406"/>
        <v>2025</v>
      </c>
      <c r="I5135">
        <f t="shared" si="407"/>
        <v>12</v>
      </c>
      <c r="J5135">
        <f t="shared" si="403"/>
        <v>-110.03</v>
      </c>
    </row>
    <row r="5136" spans="1:10" ht="12.5" x14ac:dyDescent="0.25">
      <c r="A5136" s="1">
        <v>46004</v>
      </c>
      <c r="B5136" s="2" t="s">
        <v>12</v>
      </c>
      <c r="C5136" s="3">
        <v>24.99</v>
      </c>
      <c r="D5136" s="3">
        <v>0</v>
      </c>
      <c r="E5136" s="2">
        <f>C5136*D5136</f>
        <v>0</v>
      </c>
      <c r="F5136" t="str">
        <f t="shared" si="404"/>
        <v>net sales</v>
      </c>
      <c r="G5136" s="7" t="str">
        <f t="shared" si="405"/>
        <v>product 2</v>
      </c>
      <c r="H5136">
        <f t="shared" si="406"/>
        <v>2025</v>
      </c>
      <c r="I5136">
        <f t="shared" si="407"/>
        <v>12</v>
      </c>
      <c r="J5136">
        <f t="shared" si="403"/>
        <v>459.54</v>
      </c>
    </row>
    <row r="5137" spans="1:10" ht="12.5" x14ac:dyDescent="0.25">
      <c r="A5137" s="1">
        <v>46004</v>
      </c>
      <c r="B5137" s="2" t="s">
        <v>13</v>
      </c>
      <c r="C5137" s="3">
        <v>12.49</v>
      </c>
      <c r="D5137" s="3">
        <v>16</v>
      </c>
      <c r="E5137" s="3">
        <v>199.84</v>
      </c>
      <c r="F5137" t="str">
        <f t="shared" si="404"/>
        <v>net sales</v>
      </c>
      <c r="G5137" s="7" t="str">
        <f t="shared" si="405"/>
        <v>product 3</v>
      </c>
      <c r="H5137">
        <f t="shared" si="406"/>
        <v>2025</v>
      </c>
      <c r="I5137">
        <f t="shared" si="407"/>
        <v>12</v>
      </c>
      <c r="J5137">
        <f t="shared" si="403"/>
        <v>124.94999999999999</v>
      </c>
    </row>
    <row r="5138" spans="1:10" ht="12.5" x14ac:dyDescent="0.25">
      <c r="A5138" s="1">
        <v>46005</v>
      </c>
      <c r="B5138" s="2" t="s">
        <v>7</v>
      </c>
      <c r="C5138" s="3">
        <v>5.49</v>
      </c>
      <c r="D5138" s="3">
        <v>45</v>
      </c>
      <c r="E5138" s="3">
        <v>247.05</v>
      </c>
      <c r="F5138" t="str">
        <f t="shared" si="404"/>
        <v>cogs</v>
      </c>
      <c r="G5138" s="7" t="str">
        <f t="shared" si="405"/>
        <v>product 1</v>
      </c>
      <c r="H5138">
        <f t="shared" si="406"/>
        <v>2025</v>
      </c>
      <c r="I5138">
        <f t="shared" si="407"/>
        <v>12</v>
      </c>
      <c r="J5138">
        <f t="shared" si="403"/>
        <v>1298.96</v>
      </c>
    </row>
    <row r="5139" spans="1:10" ht="12.5" x14ac:dyDescent="0.25">
      <c r="A5139" s="1">
        <v>46005</v>
      </c>
      <c r="B5139" s="2" t="s">
        <v>8</v>
      </c>
      <c r="C5139" s="3">
        <v>21.49</v>
      </c>
      <c r="D5139" s="3">
        <v>5</v>
      </c>
      <c r="E5139" s="3">
        <v>107.44999999999999</v>
      </c>
      <c r="F5139" t="str">
        <f t="shared" si="404"/>
        <v>cogs</v>
      </c>
      <c r="G5139" s="7" t="str">
        <f t="shared" si="405"/>
        <v>product 2</v>
      </c>
      <c r="H5139">
        <f t="shared" si="406"/>
        <v>2025</v>
      </c>
      <c r="I5139">
        <f t="shared" si="407"/>
        <v>12</v>
      </c>
      <c r="J5139">
        <f t="shared" si="403"/>
        <v>-236.07000000000002</v>
      </c>
    </row>
    <row r="5140" spans="1:10" ht="12.5" x14ac:dyDescent="0.25">
      <c r="A5140" s="1">
        <v>46005</v>
      </c>
      <c r="B5140" s="2" t="s">
        <v>9</v>
      </c>
      <c r="C5140" s="3">
        <v>8.99</v>
      </c>
      <c r="D5140" s="3">
        <v>41</v>
      </c>
      <c r="E5140" s="3">
        <v>368.59000000000003</v>
      </c>
      <c r="F5140" t="str">
        <f t="shared" si="404"/>
        <v>cogs</v>
      </c>
      <c r="G5140" s="7" t="str">
        <f t="shared" si="405"/>
        <v>product 3</v>
      </c>
      <c r="H5140">
        <f t="shared" si="406"/>
        <v>2025</v>
      </c>
      <c r="I5140">
        <f t="shared" si="407"/>
        <v>12</v>
      </c>
      <c r="J5140">
        <f t="shared" si="403"/>
        <v>-21.49</v>
      </c>
    </row>
    <row r="5141" spans="1:10" ht="12.5" x14ac:dyDescent="0.25">
      <c r="A5141" s="1">
        <v>46005</v>
      </c>
      <c r="B5141" s="2" t="s">
        <v>10</v>
      </c>
      <c r="C5141" s="2" t="s">
        <v>6</v>
      </c>
      <c r="D5141" s="2" t="s">
        <v>6</v>
      </c>
      <c r="E5141" s="3">
        <v>107.93</v>
      </c>
      <c r="F5141" t="str">
        <f t="shared" si="404"/>
        <v>marketing</v>
      </c>
      <c r="G5141" s="7" t="s">
        <v>6</v>
      </c>
      <c r="H5141">
        <f t="shared" si="406"/>
        <v>2025</v>
      </c>
      <c r="I5141">
        <f t="shared" si="407"/>
        <v>12</v>
      </c>
      <c r="J5141">
        <f t="shared" si="403"/>
        <v>-206.77</v>
      </c>
    </row>
    <row r="5142" spans="1:10" ht="12.5" x14ac:dyDescent="0.25">
      <c r="A5142" s="1">
        <v>46005</v>
      </c>
      <c r="B5142" s="2" t="s">
        <v>11</v>
      </c>
      <c r="C5142" s="3">
        <v>9.99</v>
      </c>
      <c r="D5142" s="3">
        <v>45</v>
      </c>
      <c r="E5142" s="3">
        <v>449.55</v>
      </c>
      <c r="F5142" t="str">
        <f t="shared" si="404"/>
        <v>net sales</v>
      </c>
      <c r="G5142" s="7" t="str">
        <f t="shared" si="405"/>
        <v>product 1</v>
      </c>
      <c r="H5142">
        <f t="shared" si="406"/>
        <v>2025</v>
      </c>
      <c r="I5142">
        <f t="shared" si="407"/>
        <v>12</v>
      </c>
      <c r="J5142">
        <f t="shared" si="403"/>
        <v>-111.97</v>
      </c>
    </row>
    <row r="5143" spans="1:10" ht="12.5" x14ac:dyDescent="0.25">
      <c r="A5143" s="1">
        <v>46005</v>
      </c>
      <c r="B5143" s="2" t="s">
        <v>12</v>
      </c>
      <c r="C5143" s="3">
        <v>24.99</v>
      </c>
      <c r="D5143" s="3">
        <v>5</v>
      </c>
      <c r="E5143" s="3">
        <v>124.94999999999999</v>
      </c>
      <c r="F5143" t="str">
        <f t="shared" si="404"/>
        <v>net sales</v>
      </c>
      <c r="G5143" s="7" t="str">
        <f t="shared" si="405"/>
        <v>product 2</v>
      </c>
      <c r="H5143">
        <f t="shared" si="406"/>
        <v>2025</v>
      </c>
      <c r="I5143">
        <f t="shared" si="407"/>
        <v>12</v>
      </c>
      <c r="J5143">
        <f t="shared" si="403"/>
        <v>429.57</v>
      </c>
    </row>
    <row r="5144" spans="1:10" ht="12.5" x14ac:dyDescent="0.25">
      <c r="A5144" s="1">
        <v>46005</v>
      </c>
      <c r="B5144" s="2" t="s">
        <v>13</v>
      </c>
      <c r="C5144" s="3">
        <v>12.49</v>
      </c>
      <c r="D5144" s="3">
        <v>41</v>
      </c>
      <c r="E5144" s="3">
        <v>512.09</v>
      </c>
      <c r="F5144" t="str">
        <f t="shared" si="404"/>
        <v>net sales</v>
      </c>
      <c r="G5144" s="7" t="str">
        <f t="shared" si="405"/>
        <v>product 3</v>
      </c>
      <c r="H5144">
        <f t="shared" si="406"/>
        <v>2025</v>
      </c>
      <c r="I5144">
        <f t="shared" si="407"/>
        <v>12</v>
      </c>
      <c r="J5144">
        <f t="shared" si="403"/>
        <v>24.99</v>
      </c>
    </row>
    <row r="5145" spans="1:10" ht="12.5" x14ac:dyDescent="0.25">
      <c r="A5145" s="1">
        <v>46006</v>
      </c>
      <c r="B5145" s="2" t="s">
        <v>7</v>
      </c>
      <c r="C5145" s="3">
        <v>5.49</v>
      </c>
      <c r="D5145" s="3">
        <v>7</v>
      </c>
      <c r="E5145" s="3">
        <v>38.43</v>
      </c>
      <c r="F5145" t="str">
        <f t="shared" si="404"/>
        <v>cogs</v>
      </c>
      <c r="G5145" s="7" t="str">
        <f t="shared" si="405"/>
        <v>product 1</v>
      </c>
      <c r="H5145">
        <f t="shared" si="406"/>
        <v>2025</v>
      </c>
      <c r="I5145">
        <f t="shared" si="407"/>
        <v>12</v>
      </c>
      <c r="J5145">
        <f t="shared" si="403"/>
        <v>287.27</v>
      </c>
    </row>
    <row r="5146" spans="1:10" ht="12.5" x14ac:dyDescent="0.25">
      <c r="A5146" s="1">
        <v>46006</v>
      </c>
      <c r="B5146" s="2" t="s">
        <v>8</v>
      </c>
      <c r="C5146" s="3">
        <v>21.49</v>
      </c>
      <c r="D5146" s="3">
        <v>8</v>
      </c>
      <c r="E5146" s="3">
        <v>171.92</v>
      </c>
      <c r="F5146" t="str">
        <f t="shared" si="404"/>
        <v>cogs</v>
      </c>
      <c r="G5146" s="7" t="str">
        <f t="shared" si="405"/>
        <v>product 2</v>
      </c>
      <c r="H5146">
        <f t="shared" si="406"/>
        <v>2025</v>
      </c>
      <c r="I5146">
        <f t="shared" si="407"/>
        <v>12</v>
      </c>
      <c r="J5146">
        <f t="shared" si="403"/>
        <v>-186.66</v>
      </c>
    </row>
    <row r="5147" spans="1:10" ht="12.5" x14ac:dyDescent="0.25">
      <c r="A5147" s="1">
        <v>46006</v>
      </c>
      <c r="B5147" s="2" t="s">
        <v>9</v>
      </c>
      <c r="C5147" s="3">
        <v>8.99</v>
      </c>
      <c r="D5147" s="3">
        <v>195</v>
      </c>
      <c r="E5147" s="3">
        <v>1753.05</v>
      </c>
      <c r="F5147" t="str">
        <f t="shared" si="404"/>
        <v>cogs</v>
      </c>
      <c r="G5147" s="7" t="str">
        <f t="shared" si="405"/>
        <v>product 3</v>
      </c>
      <c r="H5147">
        <f t="shared" si="406"/>
        <v>2025</v>
      </c>
      <c r="I5147">
        <f t="shared" si="407"/>
        <v>12</v>
      </c>
      <c r="J5147">
        <f t="shared" si="403"/>
        <v>-150.42999999999998</v>
      </c>
    </row>
    <row r="5148" spans="1:10" ht="12.5" x14ac:dyDescent="0.25">
      <c r="A5148" s="1">
        <v>46006</v>
      </c>
      <c r="B5148" s="2" t="s">
        <v>16</v>
      </c>
      <c r="C5148" s="2" t="s">
        <v>6</v>
      </c>
      <c r="D5148" s="2" t="s">
        <v>6</v>
      </c>
      <c r="E5148" s="3">
        <v>1222.24</v>
      </c>
      <c r="F5148" t="str">
        <f t="shared" si="404"/>
        <v>interest</v>
      </c>
      <c r="G5148" s="7" t="s">
        <v>6</v>
      </c>
      <c r="H5148">
        <f t="shared" si="406"/>
        <v>2025</v>
      </c>
      <c r="I5148">
        <f t="shared" si="407"/>
        <v>12</v>
      </c>
      <c r="J5148">
        <f t="shared" ref="J5148:J5211" si="408">IF(F4931="net sales",E4931,
IF(F4931="cogs",-E4931,
IF(OR(F4931="marketing",F4931="overhead",F4931="payroll",F4931="interest","amortization"),-E4931,0)))</f>
        <v>-1195.67</v>
      </c>
    </row>
    <row r="5149" spans="1:10" ht="12.5" x14ac:dyDescent="0.25">
      <c r="A5149" s="1">
        <v>46006</v>
      </c>
      <c r="B5149" s="2" t="s">
        <v>10</v>
      </c>
      <c r="C5149" s="2" t="s">
        <v>6</v>
      </c>
      <c r="D5149" s="2" t="s">
        <v>6</v>
      </c>
      <c r="E5149" s="3">
        <v>111.01</v>
      </c>
      <c r="F5149" t="str">
        <f t="shared" si="404"/>
        <v>marketing</v>
      </c>
      <c r="G5149" s="7" t="s">
        <v>6</v>
      </c>
      <c r="H5149">
        <f t="shared" si="406"/>
        <v>2025</v>
      </c>
      <c r="I5149">
        <f t="shared" si="407"/>
        <v>12</v>
      </c>
      <c r="J5149">
        <f t="shared" si="408"/>
        <v>-1249.8399999999999</v>
      </c>
    </row>
    <row r="5150" spans="1:10" ht="12.5" x14ac:dyDescent="0.25">
      <c r="A5150" s="1">
        <v>46006</v>
      </c>
      <c r="B5150" s="2" t="s">
        <v>11</v>
      </c>
      <c r="C5150" s="3">
        <v>9.99</v>
      </c>
      <c r="D5150" s="3">
        <v>7</v>
      </c>
      <c r="E5150" s="3">
        <v>69.930000000000007</v>
      </c>
      <c r="F5150" t="str">
        <f t="shared" si="404"/>
        <v>net sales</v>
      </c>
      <c r="G5150" s="7" t="str">
        <f t="shared" si="405"/>
        <v>product 1</v>
      </c>
      <c r="H5150">
        <f t="shared" si="406"/>
        <v>2025</v>
      </c>
      <c r="I5150">
        <f t="shared" si="407"/>
        <v>12</v>
      </c>
      <c r="J5150">
        <f t="shared" si="408"/>
        <v>-103</v>
      </c>
    </row>
    <row r="5151" spans="1:10" ht="12.5" x14ac:dyDescent="0.25">
      <c r="A5151" s="1">
        <v>46006</v>
      </c>
      <c r="B5151" s="2" t="s">
        <v>12</v>
      </c>
      <c r="C5151" s="3">
        <v>24.99</v>
      </c>
      <c r="D5151" s="3">
        <v>8</v>
      </c>
      <c r="E5151" s="3">
        <v>199.92</v>
      </c>
      <c r="F5151" t="str">
        <f t="shared" si="404"/>
        <v>net sales</v>
      </c>
      <c r="G5151" s="7" t="str">
        <f t="shared" si="405"/>
        <v>product 2</v>
      </c>
      <c r="H5151">
        <f t="shared" si="406"/>
        <v>2025</v>
      </c>
      <c r="I5151">
        <f t="shared" si="407"/>
        <v>12</v>
      </c>
      <c r="J5151">
        <f t="shared" si="408"/>
        <v>339.66</v>
      </c>
    </row>
    <row r="5152" spans="1:10" ht="12.5" x14ac:dyDescent="0.25">
      <c r="A5152" s="1">
        <v>46006</v>
      </c>
      <c r="B5152" s="2" t="s">
        <v>13</v>
      </c>
      <c r="C5152" s="3">
        <v>12.49</v>
      </c>
      <c r="D5152" s="3">
        <v>195</v>
      </c>
      <c r="E5152" s="3">
        <v>2435.5500000000002</v>
      </c>
      <c r="F5152" t="str">
        <f t="shared" si="404"/>
        <v>net sales</v>
      </c>
      <c r="G5152" s="7" t="str">
        <f t="shared" si="405"/>
        <v>product 3</v>
      </c>
      <c r="H5152">
        <f t="shared" si="406"/>
        <v>2025</v>
      </c>
      <c r="I5152">
        <f t="shared" si="407"/>
        <v>12</v>
      </c>
      <c r="J5152">
        <f t="shared" si="408"/>
        <v>174.92999999999998</v>
      </c>
    </row>
    <row r="5153" spans="1:10" ht="12.5" x14ac:dyDescent="0.25">
      <c r="A5153" s="1">
        <v>46006</v>
      </c>
      <c r="B5153" s="2" t="s">
        <v>14</v>
      </c>
      <c r="C5153" s="2" t="s">
        <v>6</v>
      </c>
      <c r="D5153" s="2" t="s">
        <v>6</v>
      </c>
      <c r="E5153" s="3">
        <v>310.64</v>
      </c>
      <c r="F5153" t="str">
        <f t="shared" si="404"/>
        <v>overhead</v>
      </c>
      <c r="G5153" s="7" t="s">
        <v>6</v>
      </c>
      <c r="H5153">
        <f t="shared" si="406"/>
        <v>2025</v>
      </c>
      <c r="I5153">
        <f t="shared" si="407"/>
        <v>12</v>
      </c>
      <c r="J5153">
        <f t="shared" si="408"/>
        <v>1661.17</v>
      </c>
    </row>
    <row r="5154" spans="1:10" ht="12.5" x14ac:dyDescent="0.25">
      <c r="A5154" s="1">
        <v>46007</v>
      </c>
      <c r="B5154" s="2" t="s">
        <v>7</v>
      </c>
      <c r="C5154" s="3">
        <v>5.49</v>
      </c>
      <c r="D5154" s="3">
        <v>3</v>
      </c>
      <c r="E5154" s="3">
        <v>16.47</v>
      </c>
      <c r="F5154" t="str">
        <f t="shared" si="404"/>
        <v>cogs</v>
      </c>
      <c r="G5154" s="7" t="str">
        <f t="shared" si="405"/>
        <v>product 1</v>
      </c>
      <c r="H5154">
        <f t="shared" si="406"/>
        <v>2025</v>
      </c>
      <c r="I5154">
        <f t="shared" si="407"/>
        <v>12</v>
      </c>
      <c r="J5154">
        <f t="shared" si="408"/>
        <v>-312.45999999999998</v>
      </c>
    </row>
    <row r="5155" spans="1:10" ht="12.5" x14ac:dyDescent="0.25">
      <c r="A5155" s="1">
        <v>46007</v>
      </c>
      <c r="B5155" s="2" t="s">
        <v>8</v>
      </c>
      <c r="C5155" s="3">
        <v>21.49</v>
      </c>
      <c r="D5155" s="3">
        <v>5</v>
      </c>
      <c r="E5155" s="3">
        <v>107.44999999999999</v>
      </c>
      <c r="F5155" t="str">
        <f t="shared" si="404"/>
        <v>cogs</v>
      </c>
      <c r="G5155" s="7" t="str">
        <f t="shared" si="405"/>
        <v>product 2</v>
      </c>
      <c r="H5155">
        <f t="shared" si="406"/>
        <v>2025</v>
      </c>
      <c r="I5155">
        <f t="shared" si="407"/>
        <v>12</v>
      </c>
      <c r="J5155">
        <f t="shared" si="408"/>
        <v>-428.22</v>
      </c>
    </row>
    <row r="5156" spans="1:10" ht="12.5" x14ac:dyDescent="0.25">
      <c r="A5156" s="1">
        <v>46007</v>
      </c>
      <c r="B5156" s="2" t="s">
        <v>9</v>
      </c>
      <c r="C5156" s="3">
        <v>8.99</v>
      </c>
      <c r="D5156" s="3">
        <v>197</v>
      </c>
      <c r="E5156" s="3">
        <v>1771.03</v>
      </c>
      <c r="F5156" t="str">
        <f t="shared" si="404"/>
        <v>cogs</v>
      </c>
      <c r="G5156" s="7" t="str">
        <f t="shared" si="405"/>
        <v>product 3</v>
      </c>
      <c r="H5156">
        <f t="shared" si="406"/>
        <v>2025</v>
      </c>
      <c r="I5156">
        <f t="shared" si="407"/>
        <v>12</v>
      </c>
      <c r="J5156">
        <f t="shared" si="408"/>
        <v>-85.96</v>
      </c>
    </row>
    <row r="5157" spans="1:10" ht="12.5" x14ac:dyDescent="0.25">
      <c r="A5157" s="1">
        <v>46007</v>
      </c>
      <c r="B5157" s="2" t="s">
        <v>10</v>
      </c>
      <c r="C5157" s="2" t="s">
        <v>6</v>
      </c>
      <c r="D5157" s="2" t="s">
        <v>6</v>
      </c>
      <c r="E5157" s="3">
        <v>109.93</v>
      </c>
      <c r="F5157" t="str">
        <f t="shared" si="404"/>
        <v>marketing</v>
      </c>
      <c r="G5157" s="7" t="s">
        <v>6</v>
      </c>
      <c r="H5157">
        <f t="shared" si="406"/>
        <v>2025</v>
      </c>
      <c r="I5157">
        <f t="shared" si="407"/>
        <v>12</v>
      </c>
      <c r="J5157">
        <f t="shared" si="408"/>
        <v>-1276.58</v>
      </c>
    </row>
    <row r="5158" spans="1:10" ht="12.5" x14ac:dyDescent="0.25">
      <c r="A5158" s="1">
        <v>46007</v>
      </c>
      <c r="B5158" s="2" t="s">
        <v>11</v>
      </c>
      <c r="C5158" s="3">
        <v>9.99</v>
      </c>
      <c r="D5158" s="3">
        <v>3</v>
      </c>
      <c r="E5158" s="3">
        <v>29.97</v>
      </c>
      <c r="F5158" t="str">
        <f t="shared" si="404"/>
        <v>net sales</v>
      </c>
      <c r="G5158" s="7" t="str">
        <f t="shared" si="405"/>
        <v>product 1</v>
      </c>
      <c r="H5158">
        <f t="shared" si="406"/>
        <v>2025</v>
      </c>
      <c r="I5158">
        <f t="shared" si="407"/>
        <v>12</v>
      </c>
      <c r="J5158">
        <f t="shared" si="408"/>
        <v>-112.08</v>
      </c>
    </row>
    <row r="5159" spans="1:10" ht="12.5" x14ac:dyDescent="0.25">
      <c r="A5159" s="1">
        <v>46007</v>
      </c>
      <c r="B5159" s="2" t="s">
        <v>12</v>
      </c>
      <c r="C5159" s="3">
        <v>24.99</v>
      </c>
      <c r="D5159" s="3">
        <v>5</v>
      </c>
      <c r="E5159" s="3">
        <v>124.94999999999999</v>
      </c>
      <c r="F5159" t="str">
        <f t="shared" si="404"/>
        <v>net sales</v>
      </c>
      <c r="G5159" s="7" t="str">
        <f t="shared" si="405"/>
        <v>product 2</v>
      </c>
      <c r="H5159">
        <f t="shared" si="406"/>
        <v>2025</v>
      </c>
      <c r="I5159">
        <f t="shared" si="407"/>
        <v>12</v>
      </c>
      <c r="J5159">
        <f t="shared" si="408"/>
        <v>779.22</v>
      </c>
    </row>
    <row r="5160" spans="1:10" ht="12.5" x14ac:dyDescent="0.25">
      <c r="A5160" s="1">
        <v>46007</v>
      </c>
      <c r="B5160" s="2" t="s">
        <v>13</v>
      </c>
      <c r="C5160" s="3">
        <v>12.49</v>
      </c>
      <c r="D5160" s="3">
        <v>197</v>
      </c>
      <c r="E5160" s="3">
        <v>2460.5300000000002</v>
      </c>
      <c r="F5160" t="str">
        <f t="shared" si="404"/>
        <v>net sales</v>
      </c>
      <c r="G5160" s="7" t="str">
        <f t="shared" si="405"/>
        <v>product 3</v>
      </c>
      <c r="H5160">
        <f t="shared" si="406"/>
        <v>2025</v>
      </c>
      <c r="I5160">
        <f t="shared" si="407"/>
        <v>12</v>
      </c>
      <c r="J5160">
        <f t="shared" si="408"/>
        <v>99.96</v>
      </c>
    </row>
    <row r="5161" spans="1:10" ht="12.5" x14ac:dyDescent="0.25">
      <c r="A5161" s="1">
        <v>46008</v>
      </c>
      <c r="B5161" s="2" t="s">
        <v>7</v>
      </c>
      <c r="C5161" s="3">
        <v>5.49</v>
      </c>
      <c r="D5161" s="3">
        <v>80</v>
      </c>
      <c r="E5161" s="3">
        <v>439.20000000000005</v>
      </c>
      <c r="F5161" t="str">
        <f t="shared" si="404"/>
        <v>cogs</v>
      </c>
      <c r="G5161" s="7" t="str">
        <f t="shared" si="405"/>
        <v>product 1</v>
      </c>
      <c r="H5161">
        <f t="shared" si="406"/>
        <v>2025</v>
      </c>
      <c r="I5161">
        <f t="shared" si="407"/>
        <v>12</v>
      </c>
      <c r="J5161">
        <f t="shared" si="408"/>
        <v>1773.58</v>
      </c>
    </row>
    <row r="5162" spans="1:10" ht="12.5" x14ac:dyDescent="0.25">
      <c r="A5162" s="1">
        <v>46008</v>
      </c>
      <c r="B5162" s="2" t="s">
        <v>8</v>
      </c>
      <c r="C5162" s="3">
        <v>21.49</v>
      </c>
      <c r="D5162" s="3">
        <v>5</v>
      </c>
      <c r="E5162" s="3">
        <v>107.44999999999999</v>
      </c>
      <c r="F5162" t="str">
        <f t="shared" si="404"/>
        <v>cogs</v>
      </c>
      <c r="G5162" s="7" t="str">
        <f t="shared" si="405"/>
        <v>product 2</v>
      </c>
      <c r="H5162">
        <f t="shared" si="406"/>
        <v>2025</v>
      </c>
      <c r="I5162">
        <f t="shared" si="407"/>
        <v>12</v>
      </c>
      <c r="J5162">
        <f t="shared" si="408"/>
        <v>-466.65000000000003</v>
      </c>
    </row>
    <row r="5163" spans="1:10" ht="12.5" x14ac:dyDescent="0.25">
      <c r="A5163" s="1">
        <v>46008</v>
      </c>
      <c r="B5163" s="2" t="s">
        <v>9</v>
      </c>
      <c r="C5163" s="3">
        <v>8.99</v>
      </c>
      <c r="D5163" s="3">
        <v>160</v>
      </c>
      <c r="E5163" s="3">
        <v>1438.4</v>
      </c>
      <c r="F5163" t="str">
        <f t="shared" si="404"/>
        <v>cogs</v>
      </c>
      <c r="G5163" s="7" t="str">
        <f t="shared" si="405"/>
        <v>product 3</v>
      </c>
      <c r="H5163">
        <f t="shared" si="406"/>
        <v>2025</v>
      </c>
      <c r="I5163">
        <f t="shared" si="407"/>
        <v>12</v>
      </c>
      <c r="J5163">
        <f t="shared" si="408"/>
        <v>0</v>
      </c>
    </row>
    <row r="5164" spans="1:10" ht="12.5" x14ac:dyDescent="0.25">
      <c r="A5164" s="1">
        <v>46008</v>
      </c>
      <c r="B5164" s="2" t="s">
        <v>10</v>
      </c>
      <c r="C5164" s="2" t="s">
        <v>6</v>
      </c>
      <c r="D5164" s="2" t="s">
        <v>6</v>
      </c>
      <c r="E5164" s="3">
        <v>112.97</v>
      </c>
      <c r="F5164" t="str">
        <f t="shared" si="404"/>
        <v>marketing</v>
      </c>
      <c r="G5164" s="7" t="s">
        <v>6</v>
      </c>
      <c r="H5164">
        <f t="shared" si="406"/>
        <v>2025</v>
      </c>
      <c r="I5164">
        <f t="shared" si="407"/>
        <v>12</v>
      </c>
      <c r="J5164">
        <f t="shared" si="408"/>
        <v>-1042.8399999999999</v>
      </c>
    </row>
    <row r="5165" spans="1:10" ht="12.5" x14ac:dyDescent="0.25">
      <c r="A5165" s="1">
        <v>46008</v>
      </c>
      <c r="B5165" s="2" t="s">
        <v>11</v>
      </c>
      <c r="C5165" s="3">
        <v>9.99</v>
      </c>
      <c r="D5165" s="3">
        <v>80</v>
      </c>
      <c r="E5165" s="3">
        <v>799.2</v>
      </c>
      <c r="F5165" t="str">
        <f t="shared" si="404"/>
        <v>net sales</v>
      </c>
      <c r="G5165" s="7" t="str">
        <f t="shared" si="405"/>
        <v>product 1</v>
      </c>
      <c r="H5165">
        <f t="shared" si="406"/>
        <v>2025</v>
      </c>
      <c r="I5165">
        <f t="shared" si="407"/>
        <v>12</v>
      </c>
      <c r="J5165">
        <f t="shared" si="408"/>
        <v>-105</v>
      </c>
    </row>
    <row r="5166" spans="1:10" ht="12.5" x14ac:dyDescent="0.25">
      <c r="A5166" s="1">
        <v>46008</v>
      </c>
      <c r="B5166" s="2" t="s">
        <v>12</v>
      </c>
      <c r="C5166" s="3">
        <v>24.99</v>
      </c>
      <c r="D5166" s="3">
        <v>5</v>
      </c>
      <c r="E5166" s="3">
        <v>124.94999999999999</v>
      </c>
      <c r="F5166" t="str">
        <f t="shared" si="404"/>
        <v>net sales</v>
      </c>
      <c r="G5166" s="7" t="str">
        <f t="shared" si="405"/>
        <v>product 2</v>
      </c>
      <c r="H5166">
        <f t="shared" si="406"/>
        <v>2025</v>
      </c>
      <c r="I5166">
        <f t="shared" si="407"/>
        <v>12</v>
      </c>
      <c r="J5166">
        <f t="shared" si="408"/>
        <v>849.15</v>
      </c>
    </row>
    <row r="5167" spans="1:10" ht="12.5" x14ac:dyDescent="0.25">
      <c r="A5167" s="1">
        <v>46008</v>
      </c>
      <c r="B5167" s="2" t="s">
        <v>13</v>
      </c>
      <c r="C5167" s="3">
        <v>12.49</v>
      </c>
      <c r="D5167" s="3">
        <v>160</v>
      </c>
      <c r="E5167" s="3">
        <v>1998.4</v>
      </c>
      <c r="F5167" t="str">
        <f t="shared" si="404"/>
        <v>net sales</v>
      </c>
      <c r="G5167" s="7" t="str">
        <f t="shared" si="405"/>
        <v>product 3</v>
      </c>
      <c r="H5167">
        <f t="shared" si="406"/>
        <v>2025</v>
      </c>
      <c r="I5167">
        <f t="shared" si="407"/>
        <v>12</v>
      </c>
      <c r="J5167">
        <f t="shared" si="408"/>
        <v>0</v>
      </c>
    </row>
    <row r="5168" spans="1:10" ht="12.5" x14ac:dyDescent="0.25">
      <c r="A5168" s="1">
        <v>46009</v>
      </c>
      <c r="B5168" s="2" t="s">
        <v>7</v>
      </c>
      <c r="C5168" s="3">
        <v>5.49</v>
      </c>
      <c r="D5168" s="3">
        <v>75</v>
      </c>
      <c r="E5168" s="3">
        <v>411.75</v>
      </c>
      <c r="F5168" t="str">
        <f t="shared" si="404"/>
        <v>cogs</v>
      </c>
      <c r="G5168" s="7" t="str">
        <f t="shared" si="405"/>
        <v>product 1</v>
      </c>
      <c r="H5168">
        <f t="shared" si="406"/>
        <v>2025</v>
      </c>
      <c r="I5168">
        <f t="shared" si="407"/>
        <v>12</v>
      </c>
      <c r="J5168">
        <f t="shared" si="408"/>
        <v>1448.84</v>
      </c>
    </row>
    <row r="5169" spans="1:10" ht="12.5" x14ac:dyDescent="0.25">
      <c r="A5169" s="1">
        <v>46009</v>
      </c>
      <c r="B5169" s="2" t="s">
        <v>8</v>
      </c>
      <c r="C5169" s="3">
        <v>21.49</v>
      </c>
      <c r="D5169" s="3">
        <v>7</v>
      </c>
      <c r="E5169" s="3">
        <v>150.42999999999998</v>
      </c>
      <c r="F5169" t="str">
        <f t="shared" si="404"/>
        <v>cogs</v>
      </c>
      <c r="G5169" s="7" t="str">
        <f t="shared" si="405"/>
        <v>product 2</v>
      </c>
      <c r="H5169">
        <f t="shared" si="406"/>
        <v>2025</v>
      </c>
      <c r="I5169">
        <f t="shared" si="407"/>
        <v>12</v>
      </c>
      <c r="J5169">
        <f t="shared" si="408"/>
        <v>-406.26</v>
      </c>
    </row>
    <row r="5170" spans="1:10" ht="12.5" x14ac:dyDescent="0.25">
      <c r="A5170" s="1">
        <v>46009</v>
      </c>
      <c r="B5170" s="2" t="s">
        <v>9</v>
      </c>
      <c r="C5170" s="3">
        <v>8.99</v>
      </c>
      <c r="D5170" s="3">
        <v>142</v>
      </c>
      <c r="E5170" s="3">
        <v>1276.58</v>
      </c>
      <c r="F5170" t="str">
        <f t="shared" si="404"/>
        <v>cogs</v>
      </c>
      <c r="G5170" s="7" t="str">
        <f t="shared" si="405"/>
        <v>product 3</v>
      </c>
      <c r="H5170">
        <f t="shared" si="406"/>
        <v>2025</v>
      </c>
      <c r="I5170">
        <f t="shared" si="407"/>
        <v>12</v>
      </c>
      <c r="J5170">
        <f t="shared" si="408"/>
        <v>-42.98</v>
      </c>
    </row>
    <row r="5171" spans="1:10" ht="12.5" x14ac:dyDescent="0.25">
      <c r="A5171" s="1">
        <v>46009</v>
      </c>
      <c r="B5171" s="2" t="s">
        <v>10</v>
      </c>
      <c r="C5171" s="2" t="s">
        <v>6</v>
      </c>
      <c r="D5171" s="2" t="s">
        <v>6</v>
      </c>
      <c r="E5171" s="3">
        <v>117.08</v>
      </c>
      <c r="F5171" t="str">
        <f t="shared" si="404"/>
        <v>marketing</v>
      </c>
      <c r="G5171" s="7" t="s">
        <v>6</v>
      </c>
      <c r="H5171">
        <f t="shared" si="406"/>
        <v>2025</v>
      </c>
      <c r="I5171">
        <f t="shared" si="407"/>
        <v>12</v>
      </c>
      <c r="J5171">
        <f t="shared" si="408"/>
        <v>-2184.5700000000002</v>
      </c>
    </row>
    <row r="5172" spans="1:10" ht="12.5" x14ac:dyDescent="0.25">
      <c r="A5172" s="1">
        <v>46009</v>
      </c>
      <c r="B5172" s="2" t="s">
        <v>11</v>
      </c>
      <c r="C5172" s="3">
        <v>9.99</v>
      </c>
      <c r="D5172" s="3">
        <v>75</v>
      </c>
      <c r="E5172" s="3">
        <v>749.25</v>
      </c>
      <c r="F5172" t="str">
        <f t="shared" si="404"/>
        <v>net sales</v>
      </c>
      <c r="G5172" s="7" t="str">
        <f t="shared" si="405"/>
        <v>product 1</v>
      </c>
      <c r="H5172">
        <f t="shared" si="406"/>
        <v>2025</v>
      </c>
      <c r="I5172">
        <f t="shared" si="407"/>
        <v>12</v>
      </c>
      <c r="J5172">
        <f t="shared" si="408"/>
        <v>-119</v>
      </c>
    </row>
    <row r="5173" spans="1:10" ht="12.5" x14ac:dyDescent="0.25">
      <c r="A5173" s="1">
        <v>46009</v>
      </c>
      <c r="B5173" s="2" t="s">
        <v>12</v>
      </c>
      <c r="C5173" s="3">
        <v>24.99</v>
      </c>
      <c r="D5173" s="3">
        <v>7</v>
      </c>
      <c r="E5173" s="3">
        <v>174.92999999999998</v>
      </c>
      <c r="F5173" t="str">
        <f t="shared" si="404"/>
        <v>net sales</v>
      </c>
      <c r="G5173" s="7" t="str">
        <f t="shared" si="405"/>
        <v>product 2</v>
      </c>
      <c r="H5173">
        <f t="shared" si="406"/>
        <v>2025</v>
      </c>
      <c r="I5173">
        <f t="shared" si="407"/>
        <v>12</v>
      </c>
      <c r="J5173">
        <f t="shared" si="408"/>
        <v>739.26</v>
      </c>
    </row>
    <row r="5174" spans="1:10" ht="12.5" x14ac:dyDescent="0.25">
      <c r="A5174" s="1">
        <v>46009</v>
      </c>
      <c r="B5174" s="2" t="s">
        <v>13</v>
      </c>
      <c r="C5174" s="3">
        <v>12.49</v>
      </c>
      <c r="D5174" s="3">
        <v>142</v>
      </c>
      <c r="E5174" s="3">
        <v>1773.58</v>
      </c>
      <c r="F5174" t="str">
        <f t="shared" si="404"/>
        <v>net sales</v>
      </c>
      <c r="G5174" s="7" t="str">
        <f t="shared" si="405"/>
        <v>product 3</v>
      </c>
      <c r="H5174">
        <f t="shared" si="406"/>
        <v>2025</v>
      </c>
      <c r="I5174">
        <f t="shared" si="407"/>
        <v>12</v>
      </c>
      <c r="J5174">
        <f t="shared" si="408"/>
        <v>49.98</v>
      </c>
    </row>
    <row r="5175" spans="1:10" ht="12.5" x14ac:dyDescent="0.25">
      <c r="A5175" s="1">
        <v>46010</v>
      </c>
      <c r="B5175" s="2" t="s">
        <v>7</v>
      </c>
      <c r="C5175" s="3">
        <v>5.49</v>
      </c>
      <c r="D5175" s="3">
        <v>66</v>
      </c>
      <c r="E5175" s="3">
        <v>362.34000000000003</v>
      </c>
      <c r="F5175" t="str">
        <f t="shared" si="404"/>
        <v>cogs</v>
      </c>
      <c r="G5175" s="7" t="str">
        <f t="shared" si="405"/>
        <v>product 1</v>
      </c>
      <c r="H5175">
        <f t="shared" si="406"/>
        <v>2025</v>
      </c>
      <c r="I5175">
        <f t="shared" si="407"/>
        <v>12</v>
      </c>
      <c r="J5175">
        <f t="shared" si="408"/>
        <v>3035.07</v>
      </c>
    </row>
    <row r="5176" spans="1:10" ht="12.5" x14ac:dyDescent="0.25">
      <c r="A5176" s="1">
        <v>46010</v>
      </c>
      <c r="B5176" s="2" t="s">
        <v>8</v>
      </c>
      <c r="C5176" s="3">
        <v>21.49</v>
      </c>
      <c r="D5176" s="3">
        <v>4</v>
      </c>
      <c r="E5176" s="3">
        <v>85.96</v>
      </c>
      <c r="F5176" t="str">
        <f t="shared" si="404"/>
        <v>cogs</v>
      </c>
      <c r="G5176" s="7" t="str">
        <f t="shared" si="405"/>
        <v>product 2</v>
      </c>
      <c r="H5176">
        <f t="shared" si="406"/>
        <v>2025</v>
      </c>
      <c r="I5176">
        <f t="shared" si="407"/>
        <v>12</v>
      </c>
      <c r="J5176">
        <f t="shared" si="408"/>
        <v>-186.66</v>
      </c>
    </row>
    <row r="5177" spans="1:10" ht="12.5" x14ac:dyDescent="0.25">
      <c r="A5177" s="1">
        <v>46010</v>
      </c>
      <c r="B5177" s="2" t="s">
        <v>9</v>
      </c>
      <c r="C5177" s="3">
        <v>8.99</v>
      </c>
      <c r="D5177" s="3">
        <v>29</v>
      </c>
      <c r="E5177" s="3">
        <v>260.70999999999998</v>
      </c>
      <c r="F5177" t="str">
        <f t="shared" si="404"/>
        <v>cogs</v>
      </c>
      <c r="G5177" s="7" t="str">
        <f t="shared" si="405"/>
        <v>product 3</v>
      </c>
      <c r="H5177">
        <f t="shared" si="406"/>
        <v>2025</v>
      </c>
      <c r="I5177">
        <f t="shared" si="407"/>
        <v>12</v>
      </c>
      <c r="J5177">
        <f t="shared" si="408"/>
        <v>-42.98</v>
      </c>
    </row>
    <row r="5178" spans="1:10" ht="12.5" x14ac:dyDescent="0.25">
      <c r="A5178" s="1">
        <v>46010</v>
      </c>
      <c r="B5178" s="2" t="s">
        <v>10</v>
      </c>
      <c r="C5178" s="2" t="s">
        <v>6</v>
      </c>
      <c r="D5178" s="2" t="s">
        <v>6</v>
      </c>
      <c r="E5178" s="3">
        <v>116.94</v>
      </c>
      <c r="F5178" t="str">
        <f t="shared" si="404"/>
        <v>marketing</v>
      </c>
      <c r="G5178" s="7" t="s">
        <v>6</v>
      </c>
      <c r="H5178">
        <f t="shared" si="406"/>
        <v>2025</v>
      </c>
      <c r="I5178">
        <f t="shared" si="407"/>
        <v>12</v>
      </c>
      <c r="J5178">
        <f t="shared" si="408"/>
        <v>-1051.83</v>
      </c>
    </row>
    <row r="5179" spans="1:10" ht="12.5" x14ac:dyDescent="0.25">
      <c r="A5179" s="1">
        <v>46010</v>
      </c>
      <c r="B5179" s="2" t="s">
        <v>11</v>
      </c>
      <c r="C5179" s="3">
        <v>9.99</v>
      </c>
      <c r="D5179" s="3">
        <v>66</v>
      </c>
      <c r="E5179" s="3">
        <v>659.34</v>
      </c>
      <c r="F5179" t="str">
        <f t="shared" si="404"/>
        <v>net sales</v>
      </c>
      <c r="G5179" s="7" t="str">
        <f t="shared" si="405"/>
        <v>product 1</v>
      </c>
      <c r="H5179">
        <f t="shared" si="406"/>
        <v>2025</v>
      </c>
      <c r="I5179">
        <f t="shared" si="407"/>
        <v>12</v>
      </c>
      <c r="J5179">
        <f t="shared" si="408"/>
        <v>-114.92</v>
      </c>
    </row>
    <row r="5180" spans="1:10" ht="12.5" x14ac:dyDescent="0.25">
      <c r="A5180" s="1">
        <v>46010</v>
      </c>
      <c r="B5180" s="2" t="s">
        <v>12</v>
      </c>
      <c r="C5180" s="3">
        <v>24.99</v>
      </c>
      <c r="D5180" s="3">
        <v>4</v>
      </c>
      <c r="E5180" s="3">
        <v>99.96</v>
      </c>
      <c r="F5180" t="str">
        <f t="shared" si="404"/>
        <v>net sales</v>
      </c>
      <c r="G5180" s="7" t="str">
        <f t="shared" si="405"/>
        <v>product 2</v>
      </c>
      <c r="H5180">
        <f t="shared" si="406"/>
        <v>2025</v>
      </c>
      <c r="I5180">
        <f t="shared" si="407"/>
        <v>12</v>
      </c>
      <c r="J5180">
        <f t="shared" si="408"/>
        <v>339.66</v>
      </c>
    </row>
    <row r="5181" spans="1:10" ht="12.5" x14ac:dyDescent="0.25">
      <c r="A5181" s="1">
        <v>46010</v>
      </c>
      <c r="B5181" s="2" t="s">
        <v>13</v>
      </c>
      <c r="C5181" s="3">
        <v>12.49</v>
      </c>
      <c r="D5181" s="3">
        <v>29</v>
      </c>
      <c r="E5181" s="3">
        <v>362.21</v>
      </c>
      <c r="F5181" t="str">
        <f t="shared" si="404"/>
        <v>net sales</v>
      </c>
      <c r="G5181" s="7" t="str">
        <f t="shared" si="405"/>
        <v>product 3</v>
      </c>
      <c r="H5181">
        <f t="shared" si="406"/>
        <v>2025</v>
      </c>
      <c r="I5181">
        <f t="shared" si="407"/>
        <v>12</v>
      </c>
      <c r="J5181">
        <f t="shared" si="408"/>
        <v>49.98</v>
      </c>
    </row>
    <row r="5182" spans="1:10" ht="12.5" x14ac:dyDescent="0.25">
      <c r="A5182" s="1">
        <v>46010</v>
      </c>
      <c r="B5182" s="2" t="s">
        <v>15</v>
      </c>
      <c r="C5182" s="2" t="s">
        <v>6</v>
      </c>
      <c r="D5182" s="2" t="s">
        <v>6</v>
      </c>
      <c r="E5182" s="3">
        <v>1200</v>
      </c>
      <c r="F5182" t="str">
        <f t="shared" si="404"/>
        <v>payroll</v>
      </c>
      <c r="G5182" s="7" t="s">
        <v>6</v>
      </c>
      <c r="H5182">
        <f t="shared" si="406"/>
        <v>2025</v>
      </c>
      <c r="I5182">
        <f t="shared" si="407"/>
        <v>12</v>
      </c>
      <c r="J5182">
        <f t="shared" si="408"/>
        <v>1461.33</v>
      </c>
    </row>
    <row r="5183" spans="1:10" ht="12.5" x14ac:dyDescent="0.25">
      <c r="A5183" s="1">
        <v>46011</v>
      </c>
      <c r="B5183" s="2" t="s">
        <v>7</v>
      </c>
      <c r="C5183" s="3">
        <v>5.49</v>
      </c>
      <c r="D5183" s="3">
        <v>91</v>
      </c>
      <c r="E5183" s="3">
        <v>499.59000000000003</v>
      </c>
      <c r="F5183" t="str">
        <f t="shared" si="404"/>
        <v>cogs</v>
      </c>
      <c r="G5183" s="7" t="str">
        <f t="shared" si="405"/>
        <v>product 1</v>
      </c>
      <c r="H5183">
        <f t="shared" si="406"/>
        <v>2025</v>
      </c>
      <c r="I5183">
        <f t="shared" si="407"/>
        <v>12</v>
      </c>
      <c r="J5183">
        <f t="shared" si="408"/>
        <v>-16.47</v>
      </c>
    </row>
    <row r="5184" spans="1:10" ht="12.5" x14ac:dyDescent="0.25">
      <c r="A5184" s="1">
        <v>46011</v>
      </c>
      <c r="B5184" s="2" t="s">
        <v>8</v>
      </c>
      <c r="C5184" s="3">
        <v>21.49</v>
      </c>
      <c r="D5184" s="3">
        <v>1</v>
      </c>
      <c r="E5184" s="3">
        <v>21.49</v>
      </c>
      <c r="F5184" t="str">
        <f t="shared" si="404"/>
        <v>cogs</v>
      </c>
      <c r="G5184" s="7" t="str">
        <f t="shared" si="405"/>
        <v>product 2</v>
      </c>
      <c r="H5184">
        <f t="shared" si="406"/>
        <v>2025</v>
      </c>
      <c r="I5184">
        <f t="shared" si="407"/>
        <v>12</v>
      </c>
      <c r="J5184">
        <f t="shared" si="408"/>
        <v>0</v>
      </c>
    </row>
    <row r="5185" spans="1:10" ht="12.5" x14ac:dyDescent="0.25">
      <c r="A5185" s="1">
        <v>46011</v>
      </c>
      <c r="B5185" s="2" t="s">
        <v>9</v>
      </c>
      <c r="C5185" s="3">
        <v>8.99</v>
      </c>
      <c r="D5185" s="3">
        <v>9</v>
      </c>
      <c r="E5185" s="3">
        <v>80.91</v>
      </c>
      <c r="F5185" t="str">
        <f t="shared" si="404"/>
        <v>cogs</v>
      </c>
      <c r="G5185" s="7" t="str">
        <f t="shared" si="405"/>
        <v>product 3</v>
      </c>
      <c r="H5185">
        <f t="shared" si="406"/>
        <v>2025</v>
      </c>
      <c r="I5185">
        <f t="shared" si="407"/>
        <v>12</v>
      </c>
      <c r="J5185">
        <f t="shared" si="408"/>
        <v>-863.04</v>
      </c>
    </row>
    <row r="5186" spans="1:10" ht="12.5" x14ac:dyDescent="0.25">
      <c r="A5186" s="1">
        <v>46011</v>
      </c>
      <c r="B5186" s="2" t="s">
        <v>10</v>
      </c>
      <c r="C5186" s="2" t="s">
        <v>6</v>
      </c>
      <c r="D5186" s="2" t="s">
        <v>6</v>
      </c>
      <c r="E5186" s="3">
        <v>113.98</v>
      </c>
      <c r="F5186" t="str">
        <f t="shared" si="404"/>
        <v>marketing</v>
      </c>
      <c r="G5186" s="7" t="s">
        <v>6</v>
      </c>
      <c r="H5186">
        <f t="shared" si="406"/>
        <v>2025</v>
      </c>
      <c r="I5186">
        <f t="shared" si="407"/>
        <v>12</v>
      </c>
      <c r="J5186">
        <f t="shared" si="408"/>
        <v>-103.95</v>
      </c>
    </row>
    <row r="5187" spans="1:10" ht="12.5" x14ac:dyDescent="0.25">
      <c r="A5187" s="1">
        <v>46011</v>
      </c>
      <c r="B5187" s="2" t="s">
        <v>11</v>
      </c>
      <c r="C5187" s="3">
        <v>9.99</v>
      </c>
      <c r="D5187" s="3">
        <v>91</v>
      </c>
      <c r="E5187" s="3">
        <v>909.09</v>
      </c>
      <c r="F5187" t="str">
        <f t="shared" ref="F5187:F5250" si="409">IFERROR(LEFT(B5187,FIND(":",B5187)-1),B5187)</f>
        <v>net sales</v>
      </c>
      <c r="G5187" s="7" t="str">
        <f t="shared" ref="G5187:G5250" si="410">IFERROR(RIGHT(B5187,LEN(B5187)-FIND(":",B5187)),"")</f>
        <v>product 1</v>
      </c>
      <c r="H5187">
        <f t="shared" ref="H5187:H5250" si="411">YEAR(A5187)</f>
        <v>2025</v>
      </c>
      <c r="I5187">
        <f t="shared" ref="I5187:I5250" si="412">MONTH(A5187)</f>
        <v>12</v>
      </c>
      <c r="J5187">
        <f t="shared" si="408"/>
        <v>29.97</v>
      </c>
    </row>
    <row r="5188" spans="1:10" ht="12.5" x14ac:dyDescent="0.25">
      <c r="A5188" s="1">
        <v>46011</v>
      </c>
      <c r="B5188" s="2" t="s">
        <v>12</v>
      </c>
      <c r="C5188" s="3">
        <v>24.99</v>
      </c>
      <c r="D5188" s="3">
        <v>1</v>
      </c>
      <c r="E5188" s="3">
        <v>24.99</v>
      </c>
      <c r="F5188" t="str">
        <f t="shared" si="409"/>
        <v>net sales</v>
      </c>
      <c r="G5188" s="7" t="str">
        <f t="shared" si="410"/>
        <v>product 2</v>
      </c>
      <c r="H5188">
        <f t="shared" si="411"/>
        <v>2025</v>
      </c>
      <c r="I5188">
        <f t="shared" si="412"/>
        <v>12</v>
      </c>
      <c r="J5188">
        <f t="shared" si="408"/>
        <v>0</v>
      </c>
    </row>
    <row r="5189" spans="1:10" ht="12.5" x14ac:dyDescent="0.25">
      <c r="A5189" s="1">
        <v>46011</v>
      </c>
      <c r="B5189" s="2" t="s">
        <v>13</v>
      </c>
      <c r="C5189" s="3">
        <v>12.49</v>
      </c>
      <c r="D5189" s="3">
        <v>9</v>
      </c>
      <c r="E5189" s="3">
        <v>112.41</v>
      </c>
      <c r="F5189" t="str">
        <f t="shared" si="409"/>
        <v>net sales</v>
      </c>
      <c r="G5189" s="7" t="str">
        <f t="shared" si="410"/>
        <v>product 3</v>
      </c>
      <c r="H5189">
        <f t="shared" si="411"/>
        <v>2025</v>
      </c>
      <c r="I5189">
        <f t="shared" si="412"/>
        <v>12</v>
      </c>
      <c r="J5189">
        <f t="shared" si="408"/>
        <v>1199.04</v>
      </c>
    </row>
    <row r="5190" spans="1:10" ht="12.5" x14ac:dyDescent="0.25">
      <c r="A5190" s="1">
        <v>46012</v>
      </c>
      <c r="B5190" s="2" t="s">
        <v>7</v>
      </c>
      <c r="C5190" s="3">
        <v>5.49</v>
      </c>
      <c r="D5190" s="3">
        <v>18</v>
      </c>
      <c r="E5190" s="3">
        <v>98.820000000000007</v>
      </c>
      <c r="F5190" t="str">
        <f t="shared" si="409"/>
        <v>cogs</v>
      </c>
      <c r="G5190" s="7" t="str">
        <f t="shared" si="410"/>
        <v>product 1</v>
      </c>
      <c r="H5190">
        <f t="shared" si="411"/>
        <v>2025</v>
      </c>
      <c r="I5190">
        <f t="shared" si="412"/>
        <v>12</v>
      </c>
      <c r="J5190">
        <f t="shared" si="408"/>
        <v>-258.03000000000003</v>
      </c>
    </row>
    <row r="5191" spans="1:10" ht="12.5" x14ac:dyDescent="0.25">
      <c r="A5191" s="1">
        <v>46012</v>
      </c>
      <c r="B5191" s="2" t="s">
        <v>8</v>
      </c>
      <c r="C5191" s="3">
        <v>21.49</v>
      </c>
      <c r="D5191" s="3">
        <v>0</v>
      </c>
      <c r="E5191" s="2">
        <f>C5191*D5191</f>
        <v>0</v>
      </c>
      <c r="F5191" t="str">
        <f t="shared" si="409"/>
        <v>cogs</v>
      </c>
      <c r="G5191" s="7" t="str">
        <f t="shared" si="410"/>
        <v>product 2</v>
      </c>
      <c r="H5191">
        <f t="shared" si="411"/>
        <v>2025</v>
      </c>
      <c r="I5191">
        <f t="shared" si="412"/>
        <v>12</v>
      </c>
      <c r="J5191">
        <f t="shared" si="408"/>
        <v>-85.96</v>
      </c>
    </row>
    <row r="5192" spans="1:10" ht="12.5" x14ac:dyDescent="0.25">
      <c r="A5192" s="1">
        <v>46012</v>
      </c>
      <c r="B5192" s="2" t="s">
        <v>9</v>
      </c>
      <c r="C5192" s="3">
        <v>8.99</v>
      </c>
      <c r="D5192" s="3">
        <v>190</v>
      </c>
      <c r="E5192" s="3">
        <v>1708.1000000000001</v>
      </c>
      <c r="F5192" t="str">
        <f t="shared" si="409"/>
        <v>cogs</v>
      </c>
      <c r="G5192" s="7" t="str">
        <f t="shared" si="410"/>
        <v>product 3</v>
      </c>
      <c r="H5192">
        <f t="shared" si="411"/>
        <v>2025</v>
      </c>
      <c r="I5192">
        <f t="shared" si="412"/>
        <v>12</v>
      </c>
      <c r="J5192">
        <f t="shared" si="408"/>
        <v>-1735.07</v>
      </c>
    </row>
    <row r="5193" spans="1:10" ht="12.5" x14ac:dyDescent="0.25">
      <c r="A5193" s="1">
        <v>46012</v>
      </c>
      <c r="B5193" s="2" t="s">
        <v>10</v>
      </c>
      <c r="C5193" s="2" t="s">
        <v>6</v>
      </c>
      <c r="D5193" s="2" t="s">
        <v>6</v>
      </c>
      <c r="E5193" s="3">
        <v>105.98</v>
      </c>
      <c r="F5193" t="str">
        <f t="shared" si="409"/>
        <v>marketing</v>
      </c>
      <c r="G5193" s="7" t="s">
        <v>6</v>
      </c>
      <c r="H5193">
        <f t="shared" si="411"/>
        <v>2025</v>
      </c>
      <c r="I5193">
        <f t="shared" si="412"/>
        <v>12</v>
      </c>
      <c r="J5193">
        <f t="shared" si="408"/>
        <v>-119.06</v>
      </c>
    </row>
    <row r="5194" spans="1:10" ht="12.5" x14ac:dyDescent="0.25">
      <c r="A5194" s="1">
        <v>46012</v>
      </c>
      <c r="B5194" s="2" t="s">
        <v>11</v>
      </c>
      <c r="C5194" s="3">
        <v>9.99</v>
      </c>
      <c r="D5194" s="3">
        <v>18</v>
      </c>
      <c r="E5194" s="3">
        <v>179.82</v>
      </c>
      <c r="F5194" t="str">
        <f t="shared" si="409"/>
        <v>net sales</v>
      </c>
      <c r="G5194" s="7" t="str">
        <f t="shared" si="410"/>
        <v>product 1</v>
      </c>
      <c r="H5194">
        <f t="shared" si="411"/>
        <v>2025</v>
      </c>
      <c r="I5194">
        <f t="shared" si="412"/>
        <v>12</v>
      </c>
      <c r="J5194">
        <f t="shared" si="408"/>
        <v>469.53000000000003</v>
      </c>
    </row>
    <row r="5195" spans="1:10" ht="12.5" x14ac:dyDescent="0.25">
      <c r="A5195" s="1">
        <v>46012</v>
      </c>
      <c r="B5195" s="2" t="s">
        <v>12</v>
      </c>
      <c r="C5195" s="3">
        <v>24.99</v>
      </c>
      <c r="D5195" s="3">
        <v>0</v>
      </c>
      <c r="E5195" s="2">
        <f>C5195*D5195</f>
        <v>0</v>
      </c>
      <c r="F5195" t="str">
        <f t="shared" si="409"/>
        <v>net sales</v>
      </c>
      <c r="G5195" s="7" t="str">
        <f t="shared" si="410"/>
        <v>product 2</v>
      </c>
      <c r="H5195">
        <f t="shared" si="411"/>
        <v>2025</v>
      </c>
      <c r="I5195">
        <f t="shared" si="412"/>
        <v>12</v>
      </c>
      <c r="J5195">
        <f t="shared" si="408"/>
        <v>99.96</v>
      </c>
    </row>
    <row r="5196" spans="1:10" ht="12.5" x14ac:dyDescent="0.25">
      <c r="A5196" s="1">
        <v>46012</v>
      </c>
      <c r="B5196" s="2" t="s">
        <v>13</v>
      </c>
      <c r="C5196" s="3">
        <v>12.49</v>
      </c>
      <c r="D5196" s="3">
        <v>190</v>
      </c>
      <c r="E5196" s="3">
        <v>2373.1</v>
      </c>
      <c r="F5196" t="str">
        <f t="shared" si="409"/>
        <v>net sales</v>
      </c>
      <c r="G5196" s="7" t="str">
        <f t="shared" si="410"/>
        <v>product 3</v>
      </c>
      <c r="H5196">
        <f t="shared" si="411"/>
        <v>2025</v>
      </c>
      <c r="I5196">
        <f t="shared" si="412"/>
        <v>12</v>
      </c>
      <c r="J5196">
        <f t="shared" si="408"/>
        <v>2410.5700000000002</v>
      </c>
    </row>
    <row r="5197" spans="1:10" ht="12.5" x14ac:dyDescent="0.25">
      <c r="A5197" s="1">
        <v>46013</v>
      </c>
      <c r="B5197" s="2" t="s">
        <v>7</v>
      </c>
      <c r="C5197" s="3">
        <v>5.49</v>
      </c>
      <c r="D5197" s="3">
        <v>46</v>
      </c>
      <c r="E5197" s="3">
        <v>252.54000000000002</v>
      </c>
      <c r="F5197" t="str">
        <f t="shared" si="409"/>
        <v>cogs</v>
      </c>
      <c r="G5197" s="7" t="str">
        <f t="shared" si="410"/>
        <v>product 1</v>
      </c>
      <c r="H5197">
        <f t="shared" si="411"/>
        <v>2025</v>
      </c>
      <c r="I5197">
        <f t="shared" si="412"/>
        <v>12</v>
      </c>
      <c r="J5197">
        <f t="shared" si="408"/>
        <v>-1200</v>
      </c>
    </row>
    <row r="5198" spans="1:10" ht="12.5" x14ac:dyDescent="0.25">
      <c r="A5198" s="1">
        <v>46013</v>
      </c>
      <c r="B5198" s="2" t="s">
        <v>8</v>
      </c>
      <c r="C5198" s="3">
        <v>21.49</v>
      </c>
      <c r="D5198" s="3">
        <v>3</v>
      </c>
      <c r="E5198" s="3">
        <v>64.47</v>
      </c>
      <c r="F5198" t="str">
        <f t="shared" si="409"/>
        <v>cogs</v>
      </c>
      <c r="G5198" s="7" t="str">
        <f t="shared" si="410"/>
        <v>product 2</v>
      </c>
      <c r="H5198">
        <f t="shared" si="411"/>
        <v>2025</v>
      </c>
      <c r="I5198">
        <f t="shared" si="412"/>
        <v>12</v>
      </c>
      <c r="J5198">
        <f t="shared" si="408"/>
        <v>-340.38</v>
      </c>
    </row>
    <row r="5199" spans="1:10" ht="12.5" x14ac:dyDescent="0.25">
      <c r="A5199" s="1">
        <v>46013</v>
      </c>
      <c r="B5199" s="2" t="s">
        <v>9</v>
      </c>
      <c r="C5199" s="3">
        <v>8.99</v>
      </c>
      <c r="D5199" s="3">
        <v>218</v>
      </c>
      <c r="E5199" s="3">
        <v>1959.82</v>
      </c>
      <c r="F5199" t="str">
        <f t="shared" si="409"/>
        <v>cogs</v>
      </c>
      <c r="G5199" s="7" t="str">
        <f t="shared" si="410"/>
        <v>product 3</v>
      </c>
      <c r="H5199">
        <f t="shared" si="411"/>
        <v>2025</v>
      </c>
      <c r="I5199">
        <f t="shared" si="412"/>
        <v>12</v>
      </c>
      <c r="J5199">
        <f t="shared" si="408"/>
        <v>-42.98</v>
      </c>
    </row>
    <row r="5200" spans="1:10" ht="12.5" x14ac:dyDescent="0.25">
      <c r="A5200" s="1">
        <v>46013</v>
      </c>
      <c r="B5200" s="2" t="s">
        <v>10</v>
      </c>
      <c r="C5200" s="2" t="s">
        <v>6</v>
      </c>
      <c r="D5200" s="2" t="s">
        <v>6</v>
      </c>
      <c r="E5200" s="3">
        <v>111.91</v>
      </c>
      <c r="F5200" t="str">
        <f t="shared" si="409"/>
        <v>marketing</v>
      </c>
      <c r="G5200" s="7" t="s">
        <v>6</v>
      </c>
      <c r="H5200">
        <f t="shared" si="411"/>
        <v>2025</v>
      </c>
      <c r="I5200">
        <f t="shared" si="412"/>
        <v>12</v>
      </c>
      <c r="J5200">
        <f t="shared" si="408"/>
        <v>-1492.3400000000001</v>
      </c>
    </row>
    <row r="5201" spans="1:10" ht="12.5" x14ac:dyDescent="0.25">
      <c r="A5201" s="1">
        <v>46013</v>
      </c>
      <c r="B5201" s="2" t="s">
        <v>11</v>
      </c>
      <c r="C5201" s="3">
        <v>9.99</v>
      </c>
      <c r="D5201" s="3">
        <v>46</v>
      </c>
      <c r="E5201" s="3">
        <v>459.54</v>
      </c>
      <c r="F5201" t="str">
        <f t="shared" si="409"/>
        <v>net sales</v>
      </c>
      <c r="G5201" s="7" t="str">
        <f t="shared" si="410"/>
        <v>product 1</v>
      </c>
      <c r="H5201">
        <f t="shared" si="411"/>
        <v>2025</v>
      </c>
      <c r="I5201">
        <f t="shared" si="412"/>
        <v>12</v>
      </c>
      <c r="J5201">
        <f t="shared" si="408"/>
        <v>-112.03</v>
      </c>
    </row>
    <row r="5202" spans="1:10" ht="12.5" x14ac:dyDescent="0.25">
      <c r="A5202" s="1">
        <v>46013</v>
      </c>
      <c r="B5202" s="2" t="s">
        <v>12</v>
      </c>
      <c r="C5202" s="3">
        <v>24.99</v>
      </c>
      <c r="D5202" s="3">
        <v>3</v>
      </c>
      <c r="E5202" s="3">
        <v>74.97</v>
      </c>
      <c r="F5202" t="str">
        <f t="shared" si="409"/>
        <v>net sales</v>
      </c>
      <c r="G5202" s="7" t="str">
        <f t="shared" si="410"/>
        <v>product 2</v>
      </c>
      <c r="H5202">
        <f t="shared" si="411"/>
        <v>2025</v>
      </c>
      <c r="I5202">
        <f t="shared" si="412"/>
        <v>12</v>
      </c>
      <c r="J5202">
        <f t="shared" si="408"/>
        <v>619.38</v>
      </c>
    </row>
    <row r="5203" spans="1:10" ht="12.5" x14ac:dyDescent="0.25">
      <c r="A5203" s="1">
        <v>46013</v>
      </c>
      <c r="B5203" s="2" t="s">
        <v>13</v>
      </c>
      <c r="C5203" s="3">
        <v>12.49</v>
      </c>
      <c r="D5203" s="3">
        <v>218</v>
      </c>
      <c r="E5203" s="3">
        <v>2722.82</v>
      </c>
      <c r="F5203" t="str">
        <f t="shared" si="409"/>
        <v>net sales</v>
      </c>
      <c r="G5203" s="7" t="str">
        <f t="shared" si="410"/>
        <v>product 3</v>
      </c>
      <c r="H5203">
        <f t="shared" si="411"/>
        <v>2025</v>
      </c>
      <c r="I5203">
        <f t="shared" si="412"/>
        <v>12</v>
      </c>
      <c r="J5203">
        <f t="shared" si="408"/>
        <v>49.98</v>
      </c>
    </row>
    <row r="5204" spans="1:10" ht="12.5" x14ac:dyDescent="0.25">
      <c r="A5204" s="1">
        <v>46014</v>
      </c>
      <c r="B5204" s="2" t="s">
        <v>7</v>
      </c>
      <c r="C5204" s="3">
        <v>5.49</v>
      </c>
      <c r="D5204" s="3">
        <v>92</v>
      </c>
      <c r="E5204" s="3">
        <v>505.08000000000004</v>
      </c>
      <c r="F5204" t="str">
        <f t="shared" si="409"/>
        <v>cogs</v>
      </c>
      <c r="G5204" s="7" t="str">
        <f t="shared" si="410"/>
        <v>product 1</v>
      </c>
      <c r="H5204">
        <f t="shared" si="411"/>
        <v>2025</v>
      </c>
      <c r="I5204">
        <f t="shared" si="412"/>
        <v>12</v>
      </c>
      <c r="J5204">
        <f t="shared" si="408"/>
        <v>2073.34</v>
      </c>
    </row>
    <row r="5205" spans="1:10" ht="12.5" x14ac:dyDescent="0.25">
      <c r="A5205" s="1">
        <v>46014</v>
      </c>
      <c r="B5205" s="2" t="s">
        <v>8</v>
      </c>
      <c r="C5205" s="3">
        <v>21.49</v>
      </c>
      <c r="D5205" s="3">
        <v>2</v>
      </c>
      <c r="E5205" s="3">
        <v>42.98</v>
      </c>
      <c r="F5205" t="str">
        <f t="shared" si="409"/>
        <v>cogs</v>
      </c>
      <c r="G5205" s="7" t="str">
        <f t="shared" si="410"/>
        <v>product 2</v>
      </c>
      <c r="H5205">
        <f t="shared" si="411"/>
        <v>2025</v>
      </c>
      <c r="I5205">
        <f t="shared" si="412"/>
        <v>12</v>
      </c>
      <c r="J5205">
        <f t="shared" si="408"/>
        <v>-466.65000000000003</v>
      </c>
    </row>
    <row r="5206" spans="1:10" ht="12.5" x14ac:dyDescent="0.25">
      <c r="A5206" s="1">
        <v>46014</v>
      </c>
      <c r="B5206" s="2" t="s">
        <v>9</v>
      </c>
      <c r="C5206" s="3">
        <v>8.99</v>
      </c>
      <c r="D5206" s="3">
        <v>56</v>
      </c>
      <c r="E5206" s="3">
        <v>503.44</v>
      </c>
      <c r="F5206" t="str">
        <f t="shared" si="409"/>
        <v>cogs</v>
      </c>
      <c r="G5206" s="7" t="str">
        <f t="shared" si="410"/>
        <v>product 3</v>
      </c>
      <c r="H5206">
        <f t="shared" si="411"/>
        <v>2025</v>
      </c>
      <c r="I5206">
        <f t="shared" si="412"/>
        <v>12</v>
      </c>
      <c r="J5206">
        <f t="shared" si="408"/>
        <v>0</v>
      </c>
    </row>
    <row r="5207" spans="1:10" ht="12.5" x14ac:dyDescent="0.25">
      <c r="A5207" s="1">
        <v>46014</v>
      </c>
      <c r="B5207" s="2" t="s">
        <v>10</v>
      </c>
      <c r="C5207" s="2" t="s">
        <v>6</v>
      </c>
      <c r="D5207" s="2" t="s">
        <v>6</v>
      </c>
      <c r="E5207" s="3">
        <v>118.91</v>
      </c>
      <c r="F5207" t="str">
        <f t="shared" si="409"/>
        <v>marketing</v>
      </c>
      <c r="G5207" s="7" t="s">
        <v>6</v>
      </c>
      <c r="H5207">
        <f t="shared" si="411"/>
        <v>2025</v>
      </c>
      <c r="I5207">
        <f t="shared" si="412"/>
        <v>12</v>
      </c>
      <c r="J5207">
        <f t="shared" si="408"/>
        <v>-1959.82</v>
      </c>
    </row>
    <row r="5208" spans="1:10" ht="12.5" x14ac:dyDescent="0.25">
      <c r="A5208" s="1">
        <v>46014</v>
      </c>
      <c r="B5208" s="2" t="s">
        <v>11</v>
      </c>
      <c r="C5208" s="3">
        <v>9.99</v>
      </c>
      <c r="D5208" s="3">
        <v>92</v>
      </c>
      <c r="E5208" s="3">
        <v>919.08</v>
      </c>
      <c r="F5208" t="str">
        <f t="shared" si="409"/>
        <v>net sales</v>
      </c>
      <c r="G5208" s="7" t="str">
        <f t="shared" si="410"/>
        <v>product 1</v>
      </c>
      <c r="H5208">
        <f t="shared" si="411"/>
        <v>2025</v>
      </c>
      <c r="I5208">
        <f t="shared" si="412"/>
        <v>12</v>
      </c>
      <c r="J5208">
        <f t="shared" si="408"/>
        <v>-107.94</v>
      </c>
    </row>
    <row r="5209" spans="1:10" ht="12.5" x14ac:dyDescent="0.25">
      <c r="A5209" s="1">
        <v>46014</v>
      </c>
      <c r="B5209" s="2" t="s">
        <v>12</v>
      </c>
      <c r="C5209" s="3">
        <v>24.99</v>
      </c>
      <c r="D5209" s="3">
        <v>2</v>
      </c>
      <c r="E5209" s="3">
        <v>49.98</v>
      </c>
      <c r="F5209" t="str">
        <f t="shared" si="409"/>
        <v>net sales</v>
      </c>
      <c r="G5209" s="7" t="str">
        <f t="shared" si="410"/>
        <v>product 2</v>
      </c>
      <c r="H5209">
        <f t="shared" si="411"/>
        <v>2025</v>
      </c>
      <c r="I5209">
        <f t="shared" si="412"/>
        <v>12</v>
      </c>
      <c r="J5209">
        <f t="shared" si="408"/>
        <v>849.15</v>
      </c>
    </row>
    <row r="5210" spans="1:10" ht="12.5" x14ac:dyDescent="0.25">
      <c r="A5210" s="1">
        <v>46014</v>
      </c>
      <c r="B5210" s="2" t="s">
        <v>13</v>
      </c>
      <c r="C5210" s="3">
        <v>12.49</v>
      </c>
      <c r="D5210" s="3">
        <v>56</v>
      </c>
      <c r="E5210" s="3">
        <v>699.44</v>
      </c>
      <c r="F5210" t="str">
        <f t="shared" si="409"/>
        <v>net sales</v>
      </c>
      <c r="G5210" s="7" t="str">
        <f t="shared" si="410"/>
        <v>product 3</v>
      </c>
      <c r="H5210">
        <f t="shared" si="411"/>
        <v>2025</v>
      </c>
      <c r="I5210">
        <f t="shared" si="412"/>
        <v>12</v>
      </c>
      <c r="J5210">
        <f t="shared" si="408"/>
        <v>0</v>
      </c>
    </row>
    <row r="5211" spans="1:10" ht="12.5" x14ac:dyDescent="0.25">
      <c r="A5211" s="1">
        <v>46015</v>
      </c>
      <c r="B5211" s="2" t="s">
        <v>7</v>
      </c>
      <c r="C5211" s="3">
        <v>5.49</v>
      </c>
      <c r="D5211" s="3">
        <v>37</v>
      </c>
      <c r="E5211" s="3">
        <v>203.13</v>
      </c>
      <c r="F5211" t="str">
        <f t="shared" si="409"/>
        <v>cogs</v>
      </c>
      <c r="G5211" s="7" t="str">
        <f t="shared" si="410"/>
        <v>product 1</v>
      </c>
      <c r="H5211">
        <f t="shared" si="411"/>
        <v>2025</v>
      </c>
      <c r="I5211">
        <f t="shared" si="412"/>
        <v>12</v>
      </c>
      <c r="J5211">
        <f t="shared" si="408"/>
        <v>2722.82</v>
      </c>
    </row>
    <row r="5212" spans="1:10" ht="12.5" x14ac:dyDescent="0.25">
      <c r="A5212" s="1">
        <v>46015</v>
      </c>
      <c r="B5212" s="2" t="s">
        <v>8</v>
      </c>
      <c r="C5212" s="3">
        <v>21.49</v>
      </c>
      <c r="D5212" s="3">
        <v>0</v>
      </c>
      <c r="E5212" s="2">
        <f>C5212*D5212</f>
        <v>0</v>
      </c>
      <c r="F5212" t="str">
        <f t="shared" si="409"/>
        <v>cogs</v>
      </c>
      <c r="G5212" s="7" t="str">
        <f t="shared" si="410"/>
        <v>product 2</v>
      </c>
      <c r="H5212">
        <f t="shared" si="411"/>
        <v>2025</v>
      </c>
      <c r="I5212">
        <f t="shared" si="412"/>
        <v>12</v>
      </c>
      <c r="J5212">
        <f t="shared" ref="J5212:J5266" si="413">IF(F4995="net sales",E4995,
IF(F4995="cogs",-E4995,
IF(OR(F4995="marketing",F4995="overhead",F4995="payroll",F4995="interest","amortization"),-E4995,0)))</f>
        <v>-488.61</v>
      </c>
    </row>
    <row r="5213" spans="1:10" ht="12.5" x14ac:dyDescent="0.25">
      <c r="A5213" s="1">
        <v>46015</v>
      </c>
      <c r="B5213" s="2" t="s">
        <v>9</v>
      </c>
      <c r="C5213" s="3">
        <v>8.99</v>
      </c>
      <c r="D5213" s="3">
        <v>5</v>
      </c>
      <c r="E5213" s="3">
        <v>44.95</v>
      </c>
      <c r="F5213" t="str">
        <f t="shared" si="409"/>
        <v>cogs</v>
      </c>
      <c r="G5213" s="7" t="str">
        <f t="shared" si="410"/>
        <v>product 3</v>
      </c>
      <c r="H5213">
        <f t="shared" si="411"/>
        <v>2025</v>
      </c>
      <c r="I5213">
        <f t="shared" si="412"/>
        <v>12</v>
      </c>
      <c r="J5213">
        <f t="shared" si="413"/>
        <v>-64.47</v>
      </c>
    </row>
    <row r="5214" spans="1:10" ht="12.5" x14ac:dyDescent="0.25">
      <c r="A5214" s="1">
        <v>46015</v>
      </c>
      <c r="B5214" s="2" t="s">
        <v>10</v>
      </c>
      <c r="C5214" s="2" t="s">
        <v>6</v>
      </c>
      <c r="D5214" s="2" t="s">
        <v>6</v>
      </c>
      <c r="E5214" s="3">
        <v>118.9</v>
      </c>
      <c r="F5214" t="str">
        <f t="shared" si="409"/>
        <v>marketing</v>
      </c>
      <c r="G5214" s="7" t="s">
        <v>6</v>
      </c>
      <c r="H5214">
        <f t="shared" si="411"/>
        <v>2025</v>
      </c>
      <c r="I5214">
        <f t="shared" si="412"/>
        <v>12</v>
      </c>
      <c r="J5214">
        <f t="shared" si="413"/>
        <v>-1204.6600000000001</v>
      </c>
    </row>
    <row r="5215" spans="1:10" ht="12.5" x14ac:dyDescent="0.25">
      <c r="A5215" s="1">
        <v>46015</v>
      </c>
      <c r="B5215" s="2" t="s">
        <v>11</v>
      </c>
      <c r="C5215" s="3">
        <v>9.99</v>
      </c>
      <c r="D5215" s="3">
        <v>37</v>
      </c>
      <c r="E5215" s="3">
        <v>369.63</v>
      </c>
      <c r="F5215" t="str">
        <f t="shared" si="409"/>
        <v>net sales</v>
      </c>
      <c r="G5215" s="7" t="str">
        <f t="shared" si="410"/>
        <v>product 1</v>
      </c>
      <c r="H5215">
        <f t="shared" si="411"/>
        <v>2025</v>
      </c>
      <c r="I5215">
        <f t="shared" si="412"/>
        <v>12</v>
      </c>
      <c r="J5215">
        <f t="shared" si="413"/>
        <v>-116.92</v>
      </c>
    </row>
    <row r="5216" spans="1:10" ht="12.5" x14ac:dyDescent="0.25">
      <c r="A5216" s="1">
        <v>46015</v>
      </c>
      <c r="B5216" s="2" t="s">
        <v>12</v>
      </c>
      <c r="C5216" s="3">
        <v>24.99</v>
      </c>
      <c r="D5216" s="3">
        <v>0</v>
      </c>
      <c r="E5216" s="2">
        <f>C5216*D5216</f>
        <v>0</v>
      </c>
      <c r="F5216" t="str">
        <f t="shared" si="409"/>
        <v>net sales</v>
      </c>
      <c r="G5216" s="7" t="str">
        <f t="shared" si="410"/>
        <v>product 2</v>
      </c>
      <c r="H5216">
        <f t="shared" si="411"/>
        <v>2025</v>
      </c>
      <c r="I5216">
        <f t="shared" si="412"/>
        <v>12</v>
      </c>
      <c r="J5216">
        <f t="shared" si="413"/>
        <v>889.11</v>
      </c>
    </row>
    <row r="5217" spans="1:10" ht="12.5" x14ac:dyDescent="0.25">
      <c r="A5217" s="1">
        <v>46015</v>
      </c>
      <c r="B5217" s="2" t="s">
        <v>13</v>
      </c>
      <c r="C5217" s="3">
        <v>12.49</v>
      </c>
      <c r="D5217" s="3">
        <v>5</v>
      </c>
      <c r="E5217" s="3">
        <v>62.45</v>
      </c>
      <c r="F5217" t="str">
        <f t="shared" si="409"/>
        <v>net sales</v>
      </c>
      <c r="G5217" s="7" t="str">
        <f t="shared" si="410"/>
        <v>product 3</v>
      </c>
      <c r="H5217">
        <f t="shared" si="411"/>
        <v>2025</v>
      </c>
      <c r="I5217">
        <f t="shared" si="412"/>
        <v>12</v>
      </c>
      <c r="J5217">
        <f t="shared" si="413"/>
        <v>74.97</v>
      </c>
    </row>
    <row r="5218" spans="1:10" ht="12.5" x14ac:dyDescent="0.25">
      <c r="A5218" s="1">
        <v>46016</v>
      </c>
      <c r="B5218" s="2" t="s">
        <v>7</v>
      </c>
      <c r="C5218" s="3">
        <v>5.49</v>
      </c>
      <c r="D5218" s="3">
        <v>91</v>
      </c>
      <c r="E5218" s="3">
        <v>499.59000000000003</v>
      </c>
      <c r="F5218" t="str">
        <f t="shared" si="409"/>
        <v>cogs</v>
      </c>
      <c r="G5218" s="7" t="str">
        <f t="shared" si="410"/>
        <v>product 1</v>
      </c>
      <c r="H5218">
        <f t="shared" si="411"/>
        <v>2025</v>
      </c>
      <c r="I5218">
        <f t="shared" si="412"/>
        <v>12</v>
      </c>
      <c r="J5218">
        <f t="shared" si="413"/>
        <v>1673.66</v>
      </c>
    </row>
    <row r="5219" spans="1:10" ht="12.5" x14ac:dyDescent="0.25">
      <c r="A5219" s="1">
        <v>46016</v>
      </c>
      <c r="B5219" s="2" t="s">
        <v>8</v>
      </c>
      <c r="C5219" s="3">
        <v>21.49</v>
      </c>
      <c r="D5219" s="3">
        <v>0</v>
      </c>
      <c r="E5219" s="2">
        <f>C5219*D5219</f>
        <v>0</v>
      </c>
      <c r="F5219" t="str">
        <f t="shared" si="409"/>
        <v>cogs</v>
      </c>
      <c r="G5219" s="7" t="str">
        <f t="shared" si="410"/>
        <v>product 2</v>
      </c>
      <c r="H5219">
        <f t="shared" si="411"/>
        <v>2025</v>
      </c>
      <c r="I5219">
        <f t="shared" si="412"/>
        <v>12</v>
      </c>
      <c r="J5219">
        <f t="shared" si="413"/>
        <v>-461.16</v>
      </c>
    </row>
    <row r="5220" spans="1:10" ht="12.5" x14ac:dyDescent="0.25">
      <c r="A5220" s="1">
        <v>46016</v>
      </c>
      <c r="B5220" s="2" t="s">
        <v>9</v>
      </c>
      <c r="C5220" s="3">
        <v>8.99</v>
      </c>
      <c r="D5220" s="3">
        <v>97</v>
      </c>
      <c r="E5220" s="3">
        <v>872.03</v>
      </c>
      <c r="F5220" t="str">
        <f t="shared" si="409"/>
        <v>cogs</v>
      </c>
      <c r="G5220" s="7" t="str">
        <f t="shared" si="410"/>
        <v>product 3</v>
      </c>
      <c r="H5220">
        <f t="shared" si="411"/>
        <v>2025</v>
      </c>
      <c r="I5220">
        <f t="shared" si="412"/>
        <v>12</v>
      </c>
      <c r="J5220">
        <f t="shared" si="413"/>
        <v>-128.94</v>
      </c>
    </row>
    <row r="5221" spans="1:10" ht="12.5" x14ac:dyDescent="0.25">
      <c r="A5221" s="1">
        <v>46016</v>
      </c>
      <c r="B5221" s="2" t="s">
        <v>10</v>
      </c>
      <c r="C5221" s="2" t="s">
        <v>6</v>
      </c>
      <c r="D5221" s="2" t="s">
        <v>6</v>
      </c>
      <c r="E5221" s="3">
        <v>114.07000000000001</v>
      </c>
      <c r="F5221" t="str">
        <f t="shared" si="409"/>
        <v>marketing</v>
      </c>
      <c r="G5221" s="7" t="s">
        <v>6</v>
      </c>
      <c r="H5221">
        <f t="shared" si="411"/>
        <v>2025</v>
      </c>
      <c r="I5221">
        <f t="shared" si="412"/>
        <v>12</v>
      </c>
      <c r="J5221">
        <f t="shared" si="413"/>
        <v>-2202.5500000000002</v>
      </c>
    </row>
    <row r="5222" spans="1:10" ht="12.5" x14ac:dyDescent="0.25">
      <c r="A5222" s="1">
        <v>46016</v>
      </c>
      <c r="B5222" s="2" t="s">
        <v>11</v>
      </c>
      <c r="C5222" s="3">
        <v>9.99</v>
      </c>
      <c r="D5222" s="3">
        <v>91</v>
      </c>
      <c r="E5222" s="3">
        <v>909.09</v>
      </c>
      <c r="F5222" t="str">
        <f t="shared" si="409"/>
        <v>net sales</v>
      </c>
      <c r="G5222" s="7" t="str">
        <f t="shared" si="410"/>
        <v>product 1</v>
      </c>
      <c r="H5222">
        <f t="shared" si="411"/>
        <v>2025</v>
      </c>
      <c r="I5222">
        <f t="shared" si="412"/>
        <v>12</v>
      </c>
      <c r="J5222">
        <f t="shared" si="413"/>
        <v>-100.95</v>
      </c>
    </row>
    <row r="5223" spans="1:10" ht="12.5" x14ac:dyDescent="0.25">
      <c r="A5223" s="1">
        <v>46016</v>
      </c>
      <c r="B5223" s="2" t="s">
        <v>12</v>
      </c>
      <c r="C5223" s="3">
        <v>24.99</v>
      </c>
      <c r="D5223" s="3">
        <v>0</v>
      </c>
      <c r="E5223" s="2">
        <f>C5223*D5223</f>
        <v>0</v>
      </c>
      <c r="F5223" t="str">
        <f t="shared" si="409"/>
        <v>net sales</v>
      </c>
      <c r="G5223" s="7" t="str">
        <f t="shared" si="410"/>
        <v>product 2</v>
      </c>
      <c r="H5223">
        <f t="shared" si="411"/>
        <v>2025</v>
      </c>
      <c r="I5223">
        <f t="shared" si="412"/>
        <v>12</v>
      </c>
      <c r="J5223">
        <f t="shared" si="413"/>
        <v>839.16</v>
      </c>
    </row>
    <row r="5224" spans="1:10" ht="12.5" x14ac:dyDescent="0.25">
      <c r="A5224" s="1">
        <v>46016</v>
      </c>
      <c r="B5224" s="2" t="s">
        <v>13</v>
      </c>
      <c r="C5224" s="3">
        <v>12.49</v>
      </c>
      <c r="D5224" s="3">
        <v>97</v>
      </c>
      <c r="E5224" s="3">
        <v>1211.53</v>
      </c>
      <c r="F5224" t="str">
        <f t="shared" si="409"/>
        <v>net sales</v>
      </c>
      <c r="G5224" s="7" t="str">
        <f t="shared" si="410"/>
        <v>product 3</v>
      </c>
      <c r="H5224">
        <f t="shared" si="411"/>
        <v>2025</v>
      </c>
      <c r="I5224">
        <f t="shared" si="412"/>
        <v>12</v>
      </c>
      <c r="J5224">
        <f t="shared" si="413"/>
        <v>149.94</v>
      </c>
    </row>
    <row r="5225" spans="1:10" ht="12.5" x14ac:dyDescent="0.25">
      <c r="A5225" s="1">
        <v>46017</v>
      </c>
      <c r="B5225" s="2" t="s">
        <v>7</v>
      </c>
      <c r="C5225" s="3">
        <v>5.49</v>
      </c>
      <c r="D5225" s="3">
        <v>53</v>
      </c>
      <c r="E5225" s="3">
        <v>290.97000000000003</v>
      </c>
      <c r="F5225" t="str">
        <f t="shared" si="409"/>
        <v>cogs</v>
      </c>
      <c r="G5225" s="7" t="str">
        <f t="shared" si="410"/>
        <v>product 1</v>
      </c>
      <c r="H5225">
        <f t="shared" si="411"/>
        <v>2025</v>
      </c>
      <c r="I5225">
        <f t="shared" si="412"/>
        <v>12</v>
      </c>
      <c r="J5225">
        <f t="shared" si="413"/>
        <v>3060.05</v>
      </c>
    </row>
    <row r="5226" spans="1:10" ht="12.5" x14ac:dyDescent="0.25">
      <c r="A5226" s="1">
        <v>46017</v>
      </c>
      <c r="B5226" s="2" t="s">
        <v>8</v>
      </c>
      <c r="C5226" s="3">
        <v>21.49</v>
      </c>
      <c r="D5226" s="3">
        <v>5</v>
      </c>
      <c r="E5226" s="3">
        <v>107.44999999999999</v>
      </c>
      <c r="F5226" t="str">
        <f t="shared" si="409"/>
        <v>cogs</v>
      </c>
      <c r="G5226" s="7" t="str">
        <f t="shared" si="410"/>
        <v>product 2</v>
      </c>
      <c r="H5226">
        <f t="shared" si="411"/>
        <v>2025</v>
      </c>
      <c r="I5226">
        <f t="shared" si="412"/>
        <v>12</v>
      </c>
      <c r="J5226">
        <f t="shared" si="413"/>
        <v>-230.58</v>
      </c>
    </row>
    <row r="5227" spans="1:10" ht="12.5" x14ac:dyDescent="0.25">
      <c r="A5227" s="1">
        <v>46017</v>
      </c>
      <c r="B5227" s="2" t="s">
        <v>9</v>
      </c>
      <c r="C5227" s="3">
        <v>8.99</v>
      </c>
      <c r="D5227" s="3">
        <v>0</v>
      </c>
      <c r="E5227" s="2">
        <f>C5227*D5227</f>
        <v>0</v>
      </c>
      <c r="F5227" t="str">
        <f t="shared" si="409"/>
        <v>cogs</v>
      </c>
      <c r="G5227" s="7" t="str">
        <f t="shared" si="410"/>
        <v>product 3</v>
      </c>
      <c r="H5227">
        <f t="shared" si="411"/>
        <v>2025</v>
      </c>
      <c r="I5227">
        <f t="shared" si="412"/>
        <v>12</v>
      </c>
      <c r="J5227">
        <f t="shared" si="413"/>
        <v>-21.49</v>
      </c>
    </row>
    <row r="5228" spans="1:10" ht="12.5" x14ac:dyDescent="0.25">
      <c r="A5228" s="1">
        <v>46017</v>
      </c>
      <c r="B5228" s="2" t="s">
        <v>10</v>
      </c>
      <c r="C5228" s="2" t="s">
        <v>6</v>
      </c>
      <c r="D5228" s="2" t="s">
        <v>6</v>
      </c>
      <c r="E5228" s="3">
        <v>109.99000000000001</v>
      </c>
      <c r="F5228" t="str">
        <f t="shared" si="409"/>
        <v>marketing</v>
      </c>
      <c r="G5228" s="7" t="s">
        <v>6</v>
      </c>
      <c r="H5228">
        <f t="shared" si="411"/>
        <v>2025</v>
      </c>
      <c r="I5228">
        <f t="shared" si="412"/>
        <v>12</v>
      </c>
      <c r="J5228">
        <f t="shared" si="413"/>
        <v>-1285.57</v>
      </c>
    </row>
    <row r="5229" spans="1:10" ht="12.5" x14ac:dyDescent="0.25">
      <c r="A5229" s="1">
        <v>46017</v>
      </c>
      <c r="B5229" s="2" t="s">
        <v>11</v>
      </c>
      <c r="C5229" s="3">
        <v>9.99</v>
      </c>
      <c r="D5229" s="3">
        <v>53</v>
      </c>
      <c r="E5229" s="3">
        <v>529.47</v>
      </c>
      <c r="F5229" t="str">
        <f t="shared" si="409"/>
        <v>net sales</v>
      </c>
      <c r="G5229" s="7" t="str">
        <f t="shared" si="410"/>
        <v>product 1</v>
      </c>
      <c r="H5229">
        <f t="shared" si="411"/>
        <v>2025</v>
      </c>
      <c r="I5229">
        <f t="shared" si="412"/>
        <v>12</v>
      </c>
      <c r="J5229">
        <f t="shared" si="413"/>
        <v>-102.07000000000001</v>
      </c>
    </row>
    <row r="5230" spans="1:10" ht="12.5" x14ac:dyDescent="0.25">
      <c r="A5230" s="1">
        <v>46017</v>
      </c>
      <c r="B5230" s="2" t="s">
        <v>12</v>
      </c>
      <c r="C5230" s="3">
        <v>24.99</v>
      </c>
      <c r="D5230" s="3">
        <v>5</v>
      </c>
      <c r="E5230" s="3">
        <v>124.94999999999999</v>
      </c>
      <c r="F5230" t="str">
        <f t="shared" si="409"/>
        <v>net sales</v>
      </c>
      <c r="G5230" s="7" t="str">
        <f t="shared" si="410"/>
        <v>product 2</v>
      </c>
      <c r="H5230">
        <f t="shared" si="411"/>
        <v>2025</v>
      </c>
      <c r="I5230">
        <f t="shared" si="412"/>
        <v>12</v>
      </c>
      <c r="J5230">
        <f t="shared" si="413"/>
        <v>419.58</v>
      </c>
    </row>
    <row r="5231" spans="1:10" ht="12.5" x14ac:dyDescent="0.25">
      <c r="A5231" s="1">
        <v>46017</v>
      </c>
      <c r="B5231" s="2" t="s">
        <v>13</v>
      </c>
      <c r="C5231" s="3">
        <v>12.49</v>
      </c>
      <c r="D5231" s="3">
        <v>0</v>
      </c>
      <c r="E5231" s="2">
        <f>C5231*D5231</f>
        <v>0</v>
      </c>
      <c r="F5231" t="str">
        <f t="shared" si="409"/>
        <v>net sales</v>
      </c>
      <c r="G5231" s="7" t="str">
        <f t="shared" si="410"/>
        <v>product 3</v>
      </c>
      <c r="H5231">
        <f t="shared" si="411"/>
        <v>2025</v>
      </c>
      <c r="I5231">
        <f t="shared" si="412"/>
        <v>12</v>
      </c>
      <c r="J5231">
        <f t="shared" si="413"/>
        <v>24.99</v>
      </c>
    </row>
    <row r="5232" spans="1:10" ht="12.5" x14ac:dyDescent="0.25">
      <c r="A5232" s="1">
        <v>46018</v>
      </c>
      <c r="B5232" s="2" t="s">
        <v>7</v>
      </c>
      <c r="C5232" s="3">
        <v>5.49</v>
      </c>
      <c r="D5232" s="3">
        <v>68</v>
      </c>
      <c r="E5232" s="3">
        <v>373.32</v>
      </c>
      <c r="F5232" t="str">
        <f t="shared" si="409"/>
        <v>cogs</v>
      </c>
      <c r="G5232" s="7" t="str">
        <f t="shared" si="410"/>
        <v>product 1</v>
      </c>
      <c r="H5232">
        <f t="shared" si="411"/>
        <v>2025</v>
      </c>
      <c r="I5232">
        <f t="shared" si="412"/>
        <v>12</v>
      </c>
      <c r="J5232">
        <f t="shared" si="413"/>
        <v>1786.07</v>
      </c>
    </row>
    <row r="5233" spans="1:10" ht="12.5" x14ac:dyDescent="0.25">
      <c r="A5233" s="1">
        <v>46018</v>
      </c>
      <c r="B5233" s="2" t="s">
        <v>8</v>
      </c>
      <c r="C5233" s="3">
        <v>21.49</v>
      </c>
      <c r="D5233" s="3">
        <v>1</v>
      </c>
      <c r="E5233" s="3">
        <v>21.49</v>
      </c>
      <c r="F5233" t="str">
        <f t="shared" si="409"/>
        <v>cogs</v>
      </c>
      <c r="G5233" s="7" t="str">
        <f t="shared" si="410"/>
        <v>product 2</v>
      </c>
      <c r="H5233">
        <f t="shared" si="411"/>
        <v>2025</v>
      </c>
      <c r="I5233">
        <f t="shared" si="412"/>
        <v>12</v>
      </c>
      <c r="J5233">
        <f t="shared" si="413"/>
        <v>-505.08000000000004</v>
      </c>
    </row>
    <row r="5234" spans="1:10" ht="12.5" x14ac:dyDescent="0.25">
      <c r="A5234" s="1">
        <v>46018</v>
      </c>
      <c r="B5234" s="2" t="s">
        <v>9</v>
      </c>
      <c r="C5234" s="3">
        <v>8.99</v>
      </c>
      <c r="D5234" s="3">
        <v>31</v>
      </c>
      <c r="E5234" s="3">
        <v>278.69</v>
      </c>
      <c r="F5234" t="str">
        <f t="shared" si="409"/>
        <v>cogs</v>
      </c>
      <c r="G5234" s="7" t="str">
        <f t="shared" si="410"/>
        <v>product 3</v>
      </c>
      <c r="H5234">
        <f t="shared" si="411"/>
        <v>2025</v>
      </c>
      <c r="I5234">
        <f t="shared" si="412"/>
        <v>12</v>
      </c>
      <c r="J5234">
        <f t="shared" si="413"/>
        <v>0</v>
      </c>
    </row>
    <row r="5235" spans="1:10" ht="12.5" x14ac:dyDescent="0.25">
      <c r="A5235" s="1">
        <v>46018</v>
      </c>
      <c r="B5235" s="2" t="s">
        <v>10</v>
      </c>
      <c r="C5235" s="2" t="s">
        <v>6</v>
      </c>
      <c r="D5235" s="2" t="s">
        <v>6</v>
      </c>
      <c r="E5235" s="3">
        <v>99.990000000000009</v>
      </c>
      <c r="F5235" t="str">
        <f t="shared" si="409"/>
        <v>marketing</v>
      </c>
      <c r="G5235" s="7" t="s">
        <v>6</v>
      </c>
      <c r="H5235">
        <f t="shared" si="411"/>
        <v>2025</v>
      </c>
      <c r="I5235">
        <f t="shared" si="412"/>
        <v>12</v>
      </c>
      <c r="J5235">
        <f t="shared" si="413"/>
        <v>-1708.1000000000001</v>
      </c>
    </row>
    <row r="5236" spans="1:10" ht="12.5" x14ac:dyDescent="0.25">
      <c r="A5236" s="1">
        <v>46018</v>
      </c>
      <c r="B5236" s="2" t="s">
        <v>11</v>
      </c>
      <c r="C5236" s="3">
        <v>9.99</v>
      </c>
      <c r="D5236" s="3">
        <v>68</v>
      </c>
      <c r="E5236" s="3">
        <v>679.32</v>
      </c>
      <c r="F5236" t="str">
        <f t="shared" si="409"/>
        <v>net sales</v>
      </c>
      <c r="G5236" s="7" t="str">
        <f t="shared" si="410"/>
        <v>product 1</v>
      </c>
      <c r="H5236">
        <f t="shared" si="411"/>
        <v>2025</v>
      </c>
      <c r="I5236">
        <f t="shared" si="412"/>
        <v>12</v>
      </c>
      <c r="J5236">
        <f t="shared" si="413"/>
        <v>-100.07000000000001</v>
      </c>
    </row>
    <row r="5237" spans="1:10" ht="12.5" x14ac:dyDescent="0.25">
      <c r="A5237" s="1">
        <v>46018</v>
      </c>
      <c r="B5237" s="2" t="s">
        <v>12</v>
      </c>
      <c r="C5237" s="3">
        <v>24.99</v>
      </c>
      <c r="D5237" s="3">
        <v>1</v>
      </c>
      <c r="E5237" s="3">
        <v>24.99</v>
      </c>
      <c r="F5237" t="str">
        <f t="shared" si="409"/>
        <v>net sales</v>
      </c>
      <c r="G5237" s="7" t="str">
        <f t="shared" si="410"/>
        <v>product 2</v>
      </c>
      <c r="H5237">
        <f t="shared" si="411"/>
        <v>2025</v>
      </c>
      <c r="I5237">
        <f t="shared" si="412"/>
        <v>12</v>
      </c>
      <c r="J5237">
        <f t="shared" si="413"/>
        <v>919.08</v>
      </c>
    </row>
    <row r="5238" spans="1:10" ht="12.5" x14ac:dyDescent="0.25">
      <c r="A5238" s="1">
        <v>46018</v>
      </c>
      <c r="B5238" s="2" t="s">
        <v>13</v>
      </c>
      <c r="C5238" s="3">
        <v>12.49</v>
      </c>
      <c r="D5238" s="3">
        <v>31</v>
      </c>
      <c r="E5238" s="3">
        <v>387.19</v>
      </c>
      <c r="F5238" t="str">
        <f t="shared" si="409"/>
        <v>net sales</v>
      </c>
      <c r="G5238" s="7" t="str">
        <f t="shared" si="410"/>
        <v>product 3</v>
      </c>
      <c r="H5238">
        <f t="shared" si="411"/>
        <v>2025</v>
      </c>
      <c r="I5238">
        <f t="shared" si="412"/>
        <v>12</v>
      </c>
      <c r="J5238">
        <f t="shared" si="413"/>
        <v>0</v>
      </c>
    </row>
    <row r="5239" spans="1:10" ht="12.5" x14ac:dyDescent="0.25">
      <c r="A5239" s="1">
        <v>46019</v>
      </c>
      <c r="B5239" s="2" t="s">
        <v>7</v>
      </c>
      <c r="C5239" s="3">
        <v>5.49</v>
      </c>
      <c r="D5239" s="3">
        <v>48</v>
      </c>
      <c r="E5239" s="3">
        <v>263.52</v>
      </c>
      <c r="F5239" t="str">
        <f t="shared" si="409"/>
        <v>cogs</v>
      </c>
      <c r="G5239" s="7" t="str">
        <f t="shared" si="410"/>
        <v>product 1</v>
      </c>
      <c r="H5239">
        <f t="shared" si="411"/>
        <v>2025</v>
      </c>
      <c r="I5239">
        <f t="shared" si="412"/>
        <v>12</v>
      </c>
      <c r="J5239">
        <f t="shared" si="413"/>
        <v>2373.1</v>
      </c>
    </row>
    <row r="5240" spans="1:10" ht="12.5" x14ac:dyDescent="0.25">
      <c r="A5240" s="1">
        <v>46019</v>
      </c>
      <c r="B5240" s="2" t="s">
        <v>8</v>
      </c>
      <c r="C5240" s="3">
        <v>21.49</v>
      </c>
      <c r="D5240" s="3">
        <v>1</v>
      </c>
      <c r="E5240" s="3">
        <v>21.49</v>
      </c>
      <c r="F5240" t="str">
        <f t="shared" si="409"/>
        <v>cogs</v>
      </c>
      <c r="G5240" s="7" t="str">
        <f t="shared" si="410"/>
        <v>product 2</v>
      </c>
      <c r="H5240">
        <f t="shared" si="411"/>
        <v>2025</v>
      </c>
      <c r="I5240">
        <f t="shared" si="412"/>
        <v>12</v>
      </c>
      <c r="J5240">
        <f t="shared" si="413"/>
        <v>-214.11</v>
      </c>
    </row>
    <row r="5241" spans="1:10" ht="12.5" x14ac:dyDescent="0.25">
      <c r="A5241" s="1">
        <v>46019</v>
      </c>
      <c r="B5241" s="2" t="s">
        <v>9</v>
      </c>
      <c r="C5241" s="3">
        <v>8.99</v>
      </c>
      <c r="D5241" s="3">
        <v>245</v>
      </c>
      <c r="E5241" s="3">
        <v>2202.5500000000002</v>
      </c>
      <c r="F5241" t="str">
        <f t="shared" si="409"/>
        <v>cogs</v>
      </c>
      <c r="G5241" s="7" t="str">
        <f t="shared" si="410"/>
        <v>product 3</v>
      </c>
      <c r="H5241">
        <f t="shared" si="411"/>
        <v>2025</v>
      </c>
      <c r="I5241">
        <f t="shared" si="412"/>
        <v>12</v>
      </c>
      <c r="J5241">
        <f t="shared" si="413"/>
        <v>-107.44999999999999</v>
      </c>
    </row>
    <row r="5242" spans="1:10" ht="12.5" x14ac:dyDescent="0.25">
      <c r="A5242" s="1">
        <v>46019</v>
      </c>
      <c r="B5242" s="2" t="s">
        <v>10</v>
      </c>
      <c r="C5242" s="2" t="s">
        <v>6</v>
      </c>
      <c r="D5242" s="2" t="s">
        <v>6</v>
      </c>
      <c r="E5242" s="3">
        <v>109.95</v>
      </c>
      <c r="F5242" t="str">
        <f t="shared" si="409"/>
        <v>marketing</v>
      </c>
      <c r="G5242" s="7" t="s">
        <v>6</v>
      </c>
      <c r="H5242">
        <f t="shared" si="411"/>
        <v>2025</v>
      </c>
      <c r="I5242">
        <f t="shared" si="412"/>
        <v>12</v>
      </c>
      <c r="J5242">
        <f t="shared" si="413"/>
        <v>0</v>
      </c>
    </row>
    <row r="5243" spans="1:10" ht="12.5" x14ac:dyDescent="0.25">
      <c r="A5243" s="1">
        <v>46019</v>
      </c>
      <c r="B5243" s="2" t="s">
        <v>11</v>
      </c>
      <c r="C5243" s="3">
        <v>9.99</v>
      </c>
      <c r="D5243" s="3">
        <v>48</v>
      </c>
      <c r="E5243" s="3">
        <v>479.52</v>
      </c>
      <c r="F5243" t="str">
        <f t="shared" si="409"/>
        <v>net sales</v>
      </c>
      <c r="G5243" s="7" t="str">
        <f t="shared" si="410"/>
        <v>product 1</v>
      </c>
      <c r="H5243">
        <f t="shared" si="411"/>
        <v>2025</v>
      </c>
      <c r="I5243">
        <f t="shared" si="412"/>
        <v>12</v>
      </c>
      <c r="J5243">
        <f t="shared" si="413"/>
        <v>-112.09</v>
      </c>
    </row>
    <row r="5244" spans="1:10" ht="12.5" x14ac:dyDescent="0.25">
      <c r="A5244" s="1">
        <v>46019</v>
      </c>
      <c r="B5244" s="2" t="s">
        <v>12</v>
      </c>
      <c r="C5244" s="3">
        <v>24.99</v>
      </c>
      <c r="D5244" s="3">
        <v>1</v>
      </c>
      <c r="E5244" s="3">
        <v>24.99</v>
      </c>
      <c r="F5244" t="str">
        <f t="shared" si="409"/>
        <v>net sales</v>
      </c>
      <c r="G5244" s="7" t="str">
        <f t="shared" si="410"/>
        <v>product 2</v>
      </c>
      <c r="H5244">
        <f t="shared" si="411"/>
        <v>2025</v>
      </c>
      <c r="I5244">
        <f t="shared" si="412"/>
        <v>12</v>
      </c>
      <c r="J5244">
        <f t="shared" si="413"/>
        <v>389.61</v>
      </c>
    </row>
    <row r="5245" spans="1:10" ht="12.5" x14ac:dyDescent="0.25">
      <c r="A5245" s="1">
        <v>46019</v>
      </c>
      <c r="B5245" s="2" t="s">
        <v>13</v>
      </c>
      <c r="C5245" s="3">
        <v>12.49</v>
      </c>
      <c r="D5245" s="3">
        <v>245</v>
      </c>
      <c r="E5245" s="3">
        <v>3060.05</v>
      </c>
      <c r="F5245" t="str">
        <f t="shared" si="409"/>
        <v>net sales</v>
      </c>
      <c r="G5245" s="7" t="str">
        <f t="shared" si="410"/>
        <v>product 3</v>
      </c>
      <c r="H5245">
        <f t="shared" si="411"/>
        <v>2025</v>
      </c>
      <c r="I5245">
        <f t="shared" si="412"/>
        <v>12</v>
      </c>
      <c r="J5245">
        <f t="shared" si="413"/>
        <v>124.94999999999999</v>
      </c>
    </row>
    <row r="5246" spans="1:10" ht="12.5" x14ac:dyDescent="0.25">
      <c r="A5246" s="1">
        <v>46020</v>
      </c>
      <c r="B5246" s="2" t="s">
        <v>7</v>
      </c>
      <c r="C5246" s="3">
        <v>5.49</v>
      </c>
      <c r="D5246" s="3">
        <v>60</v>
      </c>
      <c r="E5246" s="3">
        <v>329.40000000000003</v>
      </c>
      <c r="F5246" t="str">
        <f t="shared" si="409"/>
        <v>cogs</v>
      </c>
      <c r="G5246" s="7" t="str">
        <f t="shared" si="410"/>
        <v>product 1</v>
      </c>
      <c r="H5246">
        <f t="shared" si="411"/>
        <v>2025</v>
      </c>
      <c r="I5246">
        <f t="shared" si="412"/>
        <v>12</v>
      </c>
      <c r="J5246">
        <f t="shared" si="413"/>
        <v>0</v>
      </c>
    </row>
    <row r="5247" spans="1:10" ht="12.5" x14ac:dyDescent="0.25">
      <c r="A5247" s="1">
        <v>46020</v>
      </c>
      <c r="B5247" s="2" t="s">
        <v>8</v>
      </c>
      <c r="C5247" s="3">
        <v>21.49</v>
      </c>
      <c r="D5247" s="3">
        <v>6</v>
      </c>
      <c r="E5247" s="3">
        <v>128.94</v>
      </c>
      <c r="F5247" t="str">
        <f t="shared" si="409"/>
        <v>cogs</v>
      </c>
      <c r="G5247" s="7" t="str">
        <f t="shared" si="410"/>
        <v>product 2</v>
      </c>
      <c r="H5247">
        <f t="shared" si="411"/>
        <v>2025</v>
      </c>
      <c r="I5247">
        <f t="shared" si="412"/>
        <v>12</v>
      </c>
      <c r="J5247">
        <f t="shared" si="413"/>
        <v>-527.04</v>
      </c>
    </row>
    <row r="5248" spans="1:10" ht="12.5" x14ac:dyDescent="0.25">
      <c r="A5248" s="1">
        <v>46020</v>
      </c>
      <c r="B5248" s="2" t="s">
        <v>9</v>
      </c>
      <c r="C5248" s="3">
        <v>8.99</v>
      </c>
      <c r="D5248" s="3">
        <v>245</v>
      </c>
      <c r="E5248" s="3">
        <v>2202.5500000000002</v>
      </c>
      <c r="F5248" t="str">
        <f t="shared" si="409"/>
        <v>cogs</v>
      </c>
      <c r="G5248" s="7" t="str">
        <f t="shared" si="410"/>
        <v>product 3</v>
      </c>
      <c r="H5248">
        <f t="shared" si="411"/>
        <v>2025</v>
      </c>
      <c r="I5248">
        <f t="shared" si="412"/>
        <v>12</v>
      </c>
      <c r="J5248">
        <f t="shared" si="413"/>
        <v>-171.92</v>
      </c>
    </row>
    <row r="5249" spans="1:10" ht="12.5" x14ac:dyDescent="0.25">
      <c r="A5249" s="1">
        <v>46020</v>
      </c>
      <c r="B5249" s="2" t="s">
        <v>10</v>
      </c>
      <c r="C5249" s="2" t="s">
        <v>6</v>
      </c>
      <c r="D5249" s="2" t="s">
        <v>6</v>
      </c>
      <c r="E5249" s="3">
        <v>103.92</v>
      </c>
      <c r="F5249" t="str">
        <f t="shared" si="409"/>
        <v>marketing</v>
      </c>
      <c r="G5249" s="7" t="s">
        <v>6</v>
      </c>
      <c r="H5249">
        <f t="shared" si="411"/>
        <v>2025</v>
      </c>
      <c r="I5249">
        <f t="shared" si="412"/>
        <v>12</v>
      </c>
      <c r="J5249">
        <f t="shared" si="413"/>
        <v>-2139.62</v>
      </c>
    </row>
    <row r="5250" spans="1:10" ht="12.5" x14ac:dyDescent="0.25">
      <c r="A5250" s="1">
        <v>46020</v>
      </c>
      <c r="B5250" s="2" t="s">
        <v>11</v>
      </c>
      <c r="C5250" s="3">
        <v>9.99</v>
      </c>
      <c r="D5250" s="3">
        <v>60</v>
      </c>
      <c r="E5250" s="3">
        <v>599.4</v>
      </c>
      <c r="F5250" t="str">
        <f t="shared" si="409"/>
        <v>net sales</v>
      </c>
      <c r="G5250" s="7" t="str">
        <f t="shared" si="410"/>
        <v>product 1</v>
      </c>
      <c r="H5250">
        <f t="shared" si="411"/>
        <v>2025</v>
      </c>
      <c r="I5250">
        <f t="shared" si="412"/>
        <v>12</v>
      </c>
      <c r="J5250">
        <f t="shared" si="413"/>
        <v>-112.99000000000001</v>
      </c>
    </row>
    <row r="5251" spans="1:10" ht="12.5" x14ac:dyDescent="0.25">
      <c r="A5251" s="1">
        <v>46020</v>
      </c>
      <c r="B5251" s="2" t="s">
        <v>12</v>
      </c>
      <c r="C5251" s="3">
        <v>24.99</v>
      </c>
      <c r="D5251" s="3">
        <v>6</v>
      </c>
      <c r="E5251" s="3">
        <v>149.94</v>
      </c>
      <c r="F5251" t="str">
        <f t="shared" ref="F5251:F5266" si="414">IFERROR(LEFT(B5251,FIND(":",B5251)-1),B5251)</f>
        <v>net sales</v>
      </c>
      <c r="G5251" s="7" t="str">
        <f t="shared" ref="G5251:G5266" si="415">IFERROR(RIGHT(B5251,LEN(B5251)-FIND(":",B5251)),"")</f>
        <v>product 2</v>
      </c>
      <c r="H5251">
        <f t="shared" ref="H5251:H5266" si="416">YEAR(A5251)</f>
        <v>2025</v>
      </c>
      <c r="I5251">
        <f t="shared" ref="I5251:I5266" si="417">MONTH(A5251)</f>
        <v>12</v>
      </c>
      <c r="J5251">
        <f t="shared" si="413"/>
        <v>959.04</v>
      </c>
    </row>
    <row r="5252" spans="1:10" ht="12.5" x14ac:dyDescent="0.25">
      <c r="A5252" s="1">
        <v>46020</v>
      </c>
      <c r="B5252" s="2" t="s">
        <v>13</v>
      </c>
      <c r="C5252" s="3">
        <v>12.49</v>
      </c>
      <c r="D5252" s="3">
        <v>245</v>
      </c>
      <c r="E5252" s="3">
        <v>3060.05</v>
      </c>
      <c r="F5252" t="str">
        <f t="shared" si="414"/>
        <v>net sales</v>
      </c>
      <c r="G5252" s="7" t="str">
        <f t="shared" si="415"/>
        <v>product 3</v>
      </c>
      <c r="H5252">
        <f t="shared" si="416"/>
        <v>2025</v>
      </c>
      <c r="I5252">
        <f t="shared" si="417"/>
        <v>12</v>
      </c>
      <c r="J5252">
        <f t="shared" si="413"/>
        <v>199.92</v>
      </c>
    </row>
    <row r="5253" spans="1:10" ht="12.5" x14ac:dyDescent="0.25">
      <c r="A5253" s="1">
        <v>46021</v>
      </c>
      <c r="B5253" s="2" t="s">
        <v>7</v>
      </c>
      <c r="C5253" s="3">
        <v>5.49</v>
      </c>
      <c r="D5253" s="3">
        <v>92</v>
      </c>
      <c r="E5253" s="3">
        <v>505.08000000000004</v>
      </c>
      <c r="F5253" t="str">
        <f t="shared" si="414"/>
        <v>cogs</v>
      </c>
      <c r="G5253" s="7" t="str">
        <f t="shared" si="415"/>
        <v>product 1</v>
      </c>
      <c r="H5253">
        <f t="shared" si="416"/>
        <v>2025</v>
      </c>
      <c r="I5253">
        <f t="shared" si="417"/>
        <v>12</v>
      </c>
      <c r="J5253">
        <f t="shared" si="413"/>
        <v>2972.62</v>
      </c>
    </row>
    <row r="5254" spans="1:10" ht="12.5" x14ac:dyDescent="0.25">
      <c r="A5254" s="1">
        <v>46021</v>
      </c>
      <c r="B5254" s="2" t="s">
        <v>8</v>
      </c>
      <c r="C5254" s="3">
        <v>21.49</v>
      </c>
      <c r="D5254" s="3">
        <v>7</v>
      </c>
      <c r="E5254" s="3">
        <v>150.42999999999998</v>
      </c>
      <c r="F5254" t="str">
        <f t="shared" si="414"/>
        <v>cogs</v>
      </c>
      <c r="G5254" s="7" t="str">
        <f t="shared" si="415"/>
        <v>product 2</v>
      </c>
      <c r="H5254">
        <f t="shared" si="416"/>
        <v>2025</v>
      </c>
      <c r="I5254">
        <f t="shared" si="417"/>
        <v>12</v>
      </c>
      <c r="J5254">
        <f t="shared" si="413"/>
        <v>-362.34000000000003</v>
      </c>
    </row>
    <row r="5255" spans="1:10" ht="12.5" x14ac:dyDescent="0.25">
      <c r="A5255" s="1">
        <v>46021</v>
      </c>
      <c r="B5255" s="2" t="s">
        <v>9</v>
      </c>
      <c r="C5255" s="3">
        <v>8.99</v>
      </c>
      <c r="D5255" s="3">
        <v>190</v>
      </c>
      <c r="E5255" s="3">
        <v>1708.1000000000001</v>
      </c>
      <c r="F5255" t="str">
        <f t="shared" si="414"/>
        <v>cogs</v>
      </c>
      <c r="G5255" s="7" t="str">
        <f t="shared" si="415"/>
        <v>product 3</v>
      </c>
      <c r="H5255">
        <f t="shared" si="416"/>
        <v>2025</v>
      </c>
      <c r="I5255">
        <f t="shared" si="417"/>
        <v>12</v>
      </c>
      <c r="J5255">
        <f t="shared" si="413"/>
        <v>-64.47</v>
      </c>
    </row>
    <row r="5256" spans="1:10" ht="12.5" x14ac:dyDescent="0.25">
      <c r="A5256" s="1">
        <v>46021</v>
      </c>
      <c r="B5256" s="2" t="s">
        <v>10</v>
      </c>
      <c r="C5256" s="2" t="s">
        <v>6</v>
      </c>
      <c r="D5256" s="2" t="s">
        <v>6</v>
      </c>
      <c r="E5256" s="3">
        <v>104.93</v>
      </c>
      <c r="F5256" t="str">
        <f t="shared" si="414"/>
        <v>marketing</v>
      </c>
      <c r="G5256" s="7" t="s">
        <v>6</v>
      </c>
      <c r="H5256">
        <f t="shared" si="416"/>
        <v>2025</v>
      </c>
      <c r="I5256">
        <f t="shared" si="417"/>
        <v>12</v>
      </c>
      <c r="J5256">
        <f t="shared" si="413"/>
        <v>-1213.6500000000001</v>
      </c>
    </row>
    <row r="5257" spans="1:10" ht="12.5" x14ac:dyDescent="0.25">
      <c r="A5257" s="1">
        <v>46021</v>
      </c>
      <c r="B5257" s="2" t="s">
        <v>11</v>
      </c>
      <c r="C5257" s="3">
        <v>9.99</v>
      </c>
      <c r="D5257" s="3">
        <v>92</v>
      </c>
      <c r="E5257" s="3">
        <v>919.08</v>
      </c>
      <c r="F5257" t="str">
        <f t="shared" si="414"/>
        <v>net sales</v>
      </c>
      <c r="G5257" s="7" t="str">
        <f t="shared" si="415"/>
        <v>product 1</v>
      </c>
      <c r="H5257">
        <f t="shared" si="416"/>
        <v>2025</v>
      </c>
      <c r="I5257">
        <f t="shared" si="417"/>
        <v>12</v>
      </c>
      <c r="J5257">
        <f t="shared" si="413"/>
        <v>-113.91</v>
      </c>
    </row>
    <row r="5258" spans="1:10" ht="12.5" x14ac:dyDescent="0.25">
      <c r="A5258" s="1">
        <v>46021</v>
      </c>
      <c r="B5258" s="2" t="s">
        <v>12</v>
      </c>
      <c r="C5258" s="3">
        <v>24.99</v>
      </c>
      <c r="D5258" s="3">
        <v>7</v>
      </c>
      <c r="E5258" s="3">
        <v>174.92999999999998</v>
      </c>
      <c r="F5258" t="str">
        <f t="shared" si="414"/>
        <v>net sales</v>
      </c>
      <c r="G5258" s="7" t="str">
        <f t="shared" si="415"/>
        <v>product 2</v>
      </c>
      <c r="H5258">
        <f t="shared" si="416"/>
        <v>2025</v>
      </c>
      <c r="I5258">
        <f t="shared" si="417"/>
        <v>12</v>
      </c>
      <c r="J5258">
        <f t="shared" si="413"/>
        <v>659.34</v>
      </c>
    </row>
    <row r="5259" spans="1:10" ht="12.5" x14ac:dyDescent="0.25">
      <c r="A5259" s="1">
        <v>46021</v>
      </c>
      <c r="B5259" s="2" t="s">
        <v>13</v>
      </c>
      <c r="C5259" s="3">
        <v>12.49</v>
      </c>
      <c r="D5259" s="3">
        <v>190</v>
      </c>
      <c r="E5259" s="3">
        <v>2373.1</v>
      </c>
      <c r="F5259" t="str">
        <f t="shared" si="414"/>
        <v>net sales</v>
      </c>
      <c r="G5259" s="7" t="str">
        <f t="shared" si="415"/>
        <v>product 3</v>
      </c>
      <c r="H5259">
        <f t="shared" si="416"/>
        <v>2025</v>
      </c>
      <c r="I5259">
        <f t="shared" si="417"/>
        <v>12</v>
      </c>
      <c r="J5259">
        <f t="shared" si="413"/>
        <v>74.97</v>
      </c>
    </row>
    <row r="5260" spans="1:10" ht="12.5" x14ac:dyDescent="0.25">
      <c r="A5260" s="1">
        <v>46022</v>
      </c>
      <c r="B5260" s="2" t="s">
        <v>7</v>
      </c>
      <c r="C5260" s="3">
        <v>5.49</v>
      </c>
      <c r="D5260" s="3">
        <v>35</v>
      </c>
      <c r="E5260" s="3">
        <v>192.15</v>
      </c>
      <c r="F5260" t="str">
        <f t="shared" si="414"/>
        <v>cogs</v>
      </c>
      <c r="G5260" s="7" t="str">
        <f t="shared" si="415"/>
        <v>product 1</v>
      </c>
      <c r="H5260">
        <f t="shared" si="416"/>
        <v>2025</v>
      </c>
      <c r="I5260">
        <f t="shared" si="417"/>
        <v>12</v>
      </c>
      <c r="J5260">
        <f t="shared" si="413"/>
        <v>1686.15</v>
      </c>
    </row>
    <row r="5261" spans="1:10" ht="12.5" x14ac:dyDescent="0.25">
      <c r="A5261" s="1">
        <v>46022</v>
      </c>
      <c r="B5261" s="2" t="s">
        <v>8</v>
      </c>
      <c r="C5261" s="3">
        <v>21.49</v>
      </c>
      <c r="D5261" s="3">
        <v>4</v>
      </c>
      <c r="E5261" s="3">
        <v>85.96</v>
      </c>
      <c r="F5261" t="str">
        <f t="shared" si="414"/>
        <v>cogs</v>
      </c>
      <c r="G5261" s="7" t="str">
        <f t="shared" si="415"/>
        <v>product 2</v>
      </c>
      <c r="H5261">
        <f t="shared" si="416"/>
        <v>2025</v>
      </c>
      <c r="I5261">
        <f t="shared" si="417"/>
        <v>12</v>
      </c>
      <c r="J5261">
        <f t="shared" si="413"/>
        <v>0</v>
      </c>
    </row>
    <row r="5262" spans="1:10" ht="12.5" x14ac:dyDescent="0.25">
      <c r="A5262" s="1">
        <v>46022</v>
      </c>
      <c r="B5262" s="2" t="s">
        <v>9</v>
      </c>
      <c r="C5262" s="3">
        <v>8.99</v>
      </c>
      <c r="D5262" s="3">
        <v>161</v>
      </c>
      <c r="E5262" s="3">
        <v>1447.39</v>
      </c>
      <c r="F5262" t="str">
        <f t="shared" si="414"/>
        <v>cogs</v>
      </c>
      <c r="G5262" s="7" t="str">
        <f t="shared" si="415"/>
        <v>product 3</v>
      </c>
      <c r="H5262">
        <f t="shared" si="416"/>
        <v>2025</v>
      </c>
      <c r="I5262">
        <f t="shared" si="417"/>
        <v>12</v>
      </c>
      <c r="J5262">
        <f t="shared" si="413"/>
        <v>-5.49</v>
      </c>
    </row>
    <row r="5263" spans="1:10" ht="12.5" x14ac:dyDescent="0.25">
      <c r="A5263" s="1">
        <v>46022</v>
      </c>
      <c r="B5263" s="2" t="s">
        <v>10</v>
      </c>
      <c r="C5263" s="2" t="s">
        <v>6</v>
      </c>
      <c r="D5263" s="2" t="s">
        <v>6</v>
      </c>
      <c r="E5263" s="3">
        <v>110</v>
      </c>
      <c r="F5263" t="str">
        <f t="shared" si="414"/>
        <v>marketing</v>
      </c>
      <c r="G5263" s="7" t="s">
        <v>6</v>
      </c>
      <c r="H5263">
        <f t="shared" si="416"/>
        <v>2025</v>
      </c>
      <c r="I5263">
        <f t="shared" si="417"/>
        <v>12</v>
      </c>
      <c r="J5263">
        <f t="shared" si="413"/>
        <v>-64.47</v>
      </c>
    </row>
    <row r="5264" spans="1:10" ht="12.5" x14ac:dyDescent="0.25">
      <c r="A5264" s="1">
        <v>46022</v>
      </c>
      <c r="B5264" s="2" t="s">
        <v>11</v>
      </c>
      <c r="C5264" s="3">
        <v>9.99</v>
      </c>
      <c r="D5264" s="3">
        <v>35</v>
      </c>
      <c r="E5264" s="3">
        <v>349.65000000000003</v>
      </c>
      <c r="F5264" t="str">
        <f t="shared" si="414"/>
        <v>net sales</v>
      </c>
      <c r="G5264" s="7" t="str">
        <f t="shared" si="415"/>
        <v>product 1</v>
      </c>
      <c r="H5264">
        <f t="shared" si="416"/>
        <v>2025</v>
      </c>
      <c r="I5264">
        <f t="shared" si="417"/>
        <v>12</v>
      </c>
      <c r="J5264">
        <f t="shared" si="413"/>
        <v>-925.97</v>
      </c>
    </row>
    <row r="5265" spans="1:10" ht="12.5" x14ac:dyDescent="0.25">
      <c r="A5265" s="1">
        <v>46022</v>
      </c>
      <c r="B5265" s="2" t="s">
        <v>12</v>
      </c>
      <c r="C5265" s="3">
        <v>24.99</v>
      </c>
      <c r="D5265" s="3">
        <v>4</v>
      </c>
      <c r="E5265" s="3">
        <v>99.96</v>
      </c>
      <c r="F5265" t="str">
        <f t="shared" si="414"/>
        <v>net sales</v>
      </c>
      <c r="G5265" s="7" t="str">
        <f t="shared" si="415"/>
        <v>product 2</v>
      </c>
      <c r="H5265">
        <f t="shared" si="416"/>
        <v>2025</v>
      </c>
      <c r="I5265">
        <f t="shared" si="417"/>
        <v>12</v>
      </c>
      <c r="J5265">
        <f t="shared" si="413"/>
        <v>-105.05</v>
      </c>
    </row>
    <row r="5266" spans="1:10" ht="12.5" x14ac:dyDescent="0.25">
      <c r="A5266" s="1">
        <v>46022</v>
      </c>
      <c r="B5266" s="2" t="s">
        <v>13</v>
      </c>
      <c r="C5266" s="3">
        <v>12.49</v>
      </c>
      <c r="D5266" s="3">
        <v>161</v>
      </c>
      <c r="E5266" s="3">
        <v>2010.89</v>
      </c>
      <c r="F5266" t="str">
        <f t="shared" si="414"/>
        <v>net sales</v>
      </c>
      <c r="G5266" s="7" t="str">
        <f t="shared" si="415"/>
        <v>product 3</v>
      </c>
      <c r="H5266">
        <f t="shared" si="416"/>
        <v>2025</v>
      </c>
      <c r="I5266">
        <f t="shared" si="417"/>
        <v>12</v>
      </c>
      <c r="J5266">
        <f t="shared" si="413"/>
        <v>9.99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4"/>
  <sheetViews>
    <sheetView zoomScale="97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" sqref="N1"/>
    </sheetView>
  </sheetViews>
  <sheetFormatPr defaultColWidth="12.6328125" defaultRowHeight="15" customHeight="1" x14ac:dyDescent="0.25"/>
  <cols>
    <col min="1" max="1" width="33.90625" bestFit="1" customWidth="1"/>
    <col min="2" max="12" width="11.6328125" bestFit="1" customWidth="1"/>
    <col min="13" max="13" width="15.6328125" customWidth="1"/>
    <col min="14" max="14" width="12.81640625" bestFit="1" customWidth="1"/>
  </cols>
  <sheetData>
    <row r="1" spans="1:14" ht="23" x14ac:dyDescent="0.5">
      <c r="A1" s="8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 t="s">
        <v>18</v>
      </c>
      <c r="N1" s="49">
        <v>2024</v>
      </c>
    </row>
    <row r="2" spans="1:14" ht="15.5" x14ac:dyDescent="0.35">
      <c r="A2" s="10" t="s">
        <v>19</v>
      </c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  <c r="N2" s="12"/>
    </row>
    <row r="3" spans="1:14" ht="15" customHeight="1" x14ac:dyDescent="0.35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1" t="s">
        <v>25</v>
      </c>
      <c r="H3" s="11" t="s">
        <v>26</v>
      </c>
      <c r="I3" s="11" t="s">
        <v>27</v>
      </c>
      <c r="J3" s="11" t="s">
        <v>28</v>
      </c>
      <c r="K3" s="11" t="s">
        <v>29</v>
      </c>
      <c r="L3" s="11" t="s">
        <v>30</v>
      </c>
      <c r="M3" s="11" t="s">
        <v>31</v>
      </c>
      <c r="N3" s="12" t="s">
        <v>32</v>
      </c>
    </row>
    <row r="4" spans="1:14" ht="15" customHeight="1" x14ac:dyDescent="0.35">
      <c r="A4" s="13" t="s">
        <v>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ht="13" x14ac:dyDescent="0.3">
      <c r="A5" s="16" t="s">
        <v>34</v>
      </c>
      <c r="B5" s="17">
        <f>SUMIFS(Data!$E:$E, Data!$I:$I, $B$2, Data!$H:$H, $N$1, Data!$F:$F, "net sales")</f>
        <v>67968.83</v>
      </c>
      <c r="C5" s="17">
        <f>SUMIFS(Data!$E:$E, Data!$I:$I, $C$2, Data!$H:$H, $N$1, Data!$F:$F, "net sales")</f>
        <v>52966.62000000001</v>
      </c>
      <c r="D5" s="17">
        <f>SUMIFS(Data!$E:$E, Data!$I:$I, $D$2, Data!$H:$H, $N$1, Data!$F:$F, "net sales")</f>
        <v>55756.970000000016</v>
      </c>
      <c r="E5" s="17">
        <f>SUMIFS(Data!$E:$E, Data!$I:$I, $E$2, Data!$H:$H, $N$1, Data!$F:$F, "net sales")</f>
        <v>55429.220000000016</v>
      </c>
      <c r="F5" s="17">
        <f>SUMIFS(Data!$E:$E, Data!$I:$I, $F$2, Data!$H:$H, $N$1, Data!$F:$F, "net sales")</f>
        <v>57305.18</v>
      </c>
      <c r="G5" s="17">
        <f>SUMIFS(Data!$E:$E, Data!$I:$I, $G$2, Data!$H:$H, $N$1, Data!$F:$F, "net sales")</f>
        <v>59788.56</v>
      </c>
      <c r="H5" s="17">
        <f>SUMIFS(Data!$E:$E, Data!$I:$I, $H$2, Data!$H:$H, $N$1, Data!$F:$F, "net sales")</f>
        <v>58349.25</v>
      </c>
      <c r="I5" s="17">
        <f>SUMIFS(Data!$E:$E, Data!$I:$I, $I$2, Data!$H:$H, $N$1, Data!$F:$F, "net sales")</f>
        <v>60709.840000000011</v>
      </c>
      <c r="J5" s="17">
        <f>SUMIFS(Data!$E:$E, Data!$I:$I, $J$2, Data!$H:$H, $N$1, Data!$F:$F, "net sales")</f>
        <v>65533.869999999995</v>
      </c>
      <c r="K5" s="17">
        <f>SUMIFS(Data!$E:$E, Data!$I:$I, $K$2, Data!$H:$H, $N$1, Data!$F:$F, "net sales")</f>
        <v>70224.86</v>
      </c>
      <c r="L5" s="17">
        <f>SUMIFS(Data!$E:$E, Data!$I:$I, $L$2, Data!$H:$H, $N$1, Data!$F:$F, "net sales")</f>
        <v>48235.100000000006</v>
      </c>
      <c r="M5" s="17">
        <f>SUMIFS(Data!$E:$E, Data!$I:$I, $M$2, Data!$H:$H, $N$1, Data!$F:$F, "net sales")</f>
        <v>64497.170000000027</v>
      </c>
      <c r="N5" s="18">
        <f>SUM(B5:M5)</f>
        <v>716765.47000000009</v>
      </c>
    </row>
    <row r="6" spans="1:14" ht="13.5" thickBot="1" x14ac:dyDescent="0.35">
      <c r="A6" s="19" t="s">
        <v>35</v>
      </c>
      <c r="B6" s="20">
        <f>SUMIFS(Data!$E:$E, Data!$I:$I, $B$2, Data!$H:$H, $N$1, Data!$F:$F, "cogs")</f>
        <v>44936.83</v>
      </c>
      <c r="C6" s="17">
        <f>SUMIFS(Data!$E:$E, Data!$I:$I, $C$2, Data!$H:$H, $N$1, Data!$F:$F, "cogs")</f>
        <v>35058.619999999995</v>
      </c>
      <c r="D6" s="17">
        <f>SUMIFS(Data!$E:$E, Data!$I:$I, $D$2, Data!$H:$H, $N$1, Data!$F:$F, "cogs")</f>
        <v>36936.970000000008</v>
      </c>
      <c r="E6" s="17">
        <f>SUMIFS(Data!$E:$E, Data!$I:$I, $E$2, Data!$H:$H, $N$1, Data!$F:$F, "cogs")</f>
        <v>36485.219999999994</v>
      </c>
      <c r="F6" s="17">
        <f>SUMIFS(Data!$E:$E, Data!$I:$I, $F$2, Data!$H:$H, $N$1, Data!$F:$F, "cogs")</f>
        <v>37745.179999999986</v>
      </c>
      <c r="G6" s="17">
        <f>SUMIFS(Data!$E:$E, Data!$I:$I, $G$2, Data!$H:$H, $N$1, Data!$F:$F, "cogs")</f>
        <v>39528.559999999998</v>
      </c>
      <c r="H6" s="17">
        <f>SUMIFS(Data!$E:$E, Data!$I:$I, $H$2, Data!$H:$H, $N$1, Data!$F:$F, "cogs")</f>
        <v>38461.249999999978</v>
      </c>
      <c r="I6" s="17">
        <f>SUMIFS(Data!$E:$E, Data!$I:$I, $I$2, Data!$H:$H, $N$1, Data!$F:$F, "cogs")</f>
        <v>40057.840000000011</v>
      </c>
      <c r="J6" s="17">
        <f>SUMIFS(Data!$E:$E, Data!$I:$I, $J$2, Data!$H:$H, $N$1, Data!$F:$F, "cogs")</f>
        <v>43521.869999999995</v>
      </c>
      <c r="K6" s="17">
        <f>SUMIFS(Data!$E:$E, Data!$I:$I, $K$2, Data!$H:$H, $N$1, Data!$F:$F, "cogs")</f>
        <v>46540.859999999993</v>
      </c>
      <c r="L6" s="17">
        <f>SUMIFS(Data!$E:$E, Data!$I:$I, $L$2, Data!$H:$H, $N$1, Data!$F:$F, "cogs")</f>
        <v>31699.099999999991</v>
      </c>
      <c r="M6" s="17">
        <f>SUMIFS(Data!$E:$E, Data!$I:$I, $M$2, Data!$H:$H, $N$1, Data!$F:$F, "cogs")</f>
        <v>42713.170000000013</v>
      </c>
      <c r="N6" s="21">
        <f>SUM(B6:M6)</f>
        <v>473685.47</v>
      </c>
    </row>
    <row r="7" spans="1:14" ht="15" customHeight="1" x14ac:dyDescent="0.35">
      <c r="A7" s="22" t="s">
        <v>36</v>
      </c>
      <c r="B7" s="4">
        <f>B5-B6</f>
        <v>23032</v>
      </c>
      <c r="C7" s="4">
        <f>C5-C6</f>
        <v>17908.000000000015</v>
      </c>
      <c r="D7" s="4">
        <f t="shared" ref="D7:M7" si="0">D5-D6</f>
        <v>18820.000000000007</v>
      </c>
      <c r="E7" s="4">
        <f t="shared" si="0"/>
        <v>18944.000000000022</v>
      </c>
      <c r="F7" s="4">
        <f t="shared" si="0"/>
        <v>19560.000000000015</v>
      </c>
      <c r="G7" s="4">
        <f t="shared" si="0"/>
        <v>20260</v>
      </c>
      <c r="H7" s="4">
        <f t="shared" si="0"/>
        <v>19888.000000000022</v>
      </c>
      <c r="I7" s="4">
        <f t="shared" si="0"/>
        <v>20652</v>
      </c>
      <c r="J7" s="4">
        <f t="shared" si="0"/>
        <v>22012</v>
      </c>
      <c r="K7" s="4">
        <f t="shared" si="0"/>
        <v>23684.000000000007</v>
      </c>
      <c r="L7" s="4">
        <f t="shared" si="0"/>
        <v>16536.000000000015</v>
      </c>
      <c r="M7" s="4">
        <f t="shared" si="0"/>
        <v>21784.000000000015</v>
      </c>
      <c r="N7" s="18">
        <f>SUM(B7:M7)</f>
        <v>243080.00000000012</v>
      </c>
    </row>
    <row r="8" spans="1:14" ht="15" customHeight="1" x14ac:dyDescent="0.35">
      <c r="A8" s="23" t="s">
        <v>37</v>
      </c>
      <c r="B8" s="24">
        <f>B7/B5</f>
        <v>0.33886121035186273</v>
      </c>
      <c r="C8" s="24">
        <f>C7/C5</f>
        <v>0.33809973149126771</v>
      </c>
      <c r="D8" s="24">
        <f t="shared" ref="D8:M8" si="1">D7/D5</f>
        <v>0.33753627573377826</v>
      </c>
      <c r="E8" s="24">
        <f t="shared" si="1"/>
        <v>0.34176919682434675</v>
      </c>
      <c r="F8" s="24">
        <f t="shared" si="1"/>
        <v>0.34133039979980895</v>
      </c>
      <c r="G8" s="24">
        <f t="shared" si="1"/>
        <v>0.33886081216874936</v>
      </c>
      <c r="H8" s="24">
        <f t="shared" si="1"/>
        <v>0.34084414109864347</v>
      </c>
      <c r="I8" s="24">
        <f t="shared" si="1"/>
        <v>0.34017549708581007</v>
      </c>
      <c r="J8" s="24">
        <f t="shared" si="1"/>
        <v>0.3358873815936706</v>
      </c>
      <c r="K8" s="24">
        <f t="shared" si="1"/>
        <v>0.33725948332257277</v>
      </c>
      <c r="L8" s="24">
        <f t="shared" si="1"/>
        <v>0.34282089184017472</v>
      </c>
      <c r="M8" s="24">
        <f t="shared" si="1"/>
        <v>0.33775125327204286</v>
      </c>
      <c r="N8" s="25">
        <f>N7/N5</f>
        <v>0.33913464051218883</v>
      </c>
    </row>
    <row r="9" spans="1:14" ht="15" customHeight="1" x14ac:dyDescent="0.35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8"/>
    </row>
    <row r="10" spans="1:14" ht="15" customHeight="1" x14ac:dyDescent="0.35">
      <c r="A10" s="13" t="s">
        <v>38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5"/>
    </row>
    <row r="11" spans="1:14" ht="13" x14ac:dyDescent="0.3">
      <c r="A11" s="16" t="s">
        <v>39</v>
      </c>
      <c r="B11" s="17">
        <f>SUMIFS(Data!$E:$E, Data!$I:$I, $B$2, Data!$H:$H, $N$1, Data!$F:$F, "payroll")</f>
        <v>2400</v>
      </c>
      <c r="C11" s="17">
        <f>SUMIFS(Data!$E:$E, Data!$I:$I, $C$2, Data!$H:$H, $N$1, Data!$F:$F, "payroll")</f>
        <v>2400</v>
      </c>
      <c r="D11" s="17">
        <f>SUMIFS(Data!$E:$E, Data!$I:$I, $D$2, Data!$H:$H, $N$1, Data!$F:$F, "payroll")</f>
        <v>3600</v>
      </c>
      <c r="E11" s="17">
        <f>SUMIFS(Data!$E:$E, Data!$I:$I, $E$2, Data!$H:$H, $N$1, Data!$F:$F, "payroll")</f>
        <v>2400</v>
      </c>
      <c r="F11" s="17">
        <f>SUMIFS(Data!$E:$E, Data!$I:$I, $F$2, Data!$H:$H, $N$1, Data!$F:$F, "payroll")</f>
        <v>2400</v>
      </c>
      <c r="G11" s="17">
        <f>SUMIFS(Data!$E:$E, Data!$I:$I, $G$2, Data!$H:$H, $N$1, Data!$F:$F, "payroll")</f>
        <v>2400</v>
      </c>
      <c r="H11" s="17">
        <f>SUMIFS(Data!$E:$E, Data!$I:$I, $H$2, Data!$H:$H, $N$1, Data!$F:$F, "payroll")</f>
        <v>2400</v>
      </c>
      <c r="I11" s="17">
        <f>SUMIFS(Data!$E:$E, Data!$I:$I, $I$2, Data!$H:$H, $N$1, Data!$F:$F, "payroll")</f>
        <v>3600</v>
      </c>
      <c r="J11" s="17">
        <f>SUMIFS(Data!$E:$E, Data!$I:$I, $J$2, Data!$H:$H, $N$1, Data!$F:$F, "payroll")</f>
        <v>2400</v>
      </c>
      <c r="K11" s="17">
        <f>SUMIFS(Data!$E:$E, Data!$I:$I, $K$2, Data!$H:$H, $N$1, Data!$F:$F, "payroll")</f>
        <v>2400</v>
      </c>
      <c r="L11" s="17">
        <f>SUMIFS(Data!$E:$E, Data!$I:$I, $L$2, Data!$H:$H, $N$1, Data!$F:$F, "payroll")</f>
        <v>2400</v>
      </c>
      <c r="M11" s="17">
        <f>SUMIFS(Data!$E:$E, Data!$I:$I, $M$2, Data!$H:$H, $N$1, Data!$F:$F, "payroll")</f>
        <v>2400</v>
      </c>
      <c r="N11" s="18">
        <f>SUM(B11:M11)</f>
        <v>31200</v>
      </c>
    </row>
    <row r="12" spans="1:14" ht="13" x14ac:dyDescent="0.3">
      <c r="A12" s="29" t="s">
        <v>40</v>
      </c>
      <c r="B12" s="17">
        <f>SUMIFS(Data!$E:$E, Data!$I:$I, $B$2, Data!$H:$H, $N$1, Data!$F:$F, "overhead")</f>
        <v>2324.25</v>
      </c>
      <c r="C12" s="17">
        <f>SUMIFS(Data!$E:$E, Data!$I:$I, $C$2, Data!$H:$H, $N$1, Data!$F:$F, "overhead")</f>
        <v>2305.56</v>
      </c>
      <c r="D12" s="17">
        <f>SUMIFS(Data!$E:$E, Data!$I:$I, $D$2, Data!$H:$H, $N$1, Data!$F:$F, "overhead")</f>
        <v>2303.5299999999997</v>
      </c>
      <c r="E12" s="17">
        <f>SUMIFS(Data!$E:$E, Data!$I:$I, $E$2, Data!$H:$H, $N$1, Data!$F:$F, "overhead")</f>
        <v>2293.9299999999998</v>
      </c>
      <c r="F12" s="17">
        <f>SUMIFS(Data!$E:$E, Data!$I:$I, $F$2, Data!$H:$H, $N$1, Data!$F:$F, "overhead")</f>
        <v>2315.6</v>
      </c>
      <c r="G12" s="17">
        <f>SUMIFS(Data!$E:$E, Data!$I:$I, $G$2, Data!$H:$H, $N$1, Data!$F:$F, "overhead")</f>
        <v>2314.1</v>
      </c>
      <c r="H12" s="17">
        <f>SUMIFS(Data!$E:$E, Data!$I:$I, $H$2, Data!$H:$H, $N$1, Data!$F:$F, "overhead")</f>
        <v>2314.5700000000002</v>
      </c>
      <c r="I12" s="17">
        <f>SUMIFS(Data!$E:$E, Data!$I:$I, $I$2, Data!$H:$H, $N$1, Data!$F:$F, "overhead")</f>
        <v>2315.1999999999998</v>
      </c>
      <c r="J12" s="17">
        <f>SUMIFS(Data!$E:$E, Data!$I:$I, $J$2, Data!$H:$H, $N$1, Data!$F:$F, "overhead")</f>
        <v>2320.04</v>
      </c>
      <c r="K12" s="17">
        <f>SUMIFS(Data!$E:$E, Data!$I:$I, $K$2, Data!$H:$H, $N$1, Data!$F:$F, "overhead")</f>
        <v>2316.2799999999997</v>
      </c>
      <c r="L12" s="17">
        <f>SUMIFS(Data!$E:$E, Data!$I:$I, $L$2, Data!$H:$H, $N$1, Data!$F:$F, "overhead")</f>
        <v>2312.5100000000002</v>
      </c>
      <c r="M12" s="17">
        <f>SUMIFS(Data!$E:$E, Data!$I:$I, $M$2, Data!$H:$H, $N$1, Data!$F:$F, "overhead")</f>
        <v>2310.94</v>
      </c>
      <c r="N12" s="18">
        <f>SUM(B12:M12)</f>
        <v>27746.51</v>
      </c>
    </row>
    <row r="13" spans="1:14" ht="13" x14ac:dyDescent="0.3">
      <c r="A13" s="16" t="s">
        <v>41</v>
      </c>
      <c r="B13" s="17">
        <f>SUMIFS(Data!$E:$E, Data!$I:$I, $B$2, Data!$H:$H, $N$1, Data!$F:$F, "marketing")</f>
        <v>3099.34</v>
      </c>
      <c r="C13" s="17">
        <f>SUMIFS(Data!$E:$E, Data!$I:$I, $C$2, Data!$H:$H, $N$1, Data!$F:$F, "marketing")</f>
        <v>2899.8999999999996</v>
      </c>
      <c r="D13" s="17">
        <f>SUMIFS(Data!$E:$E, Data!$I:$I, $D$2, Data!$H:$H, $N$1, Data!$F:$F, "marketing")</f>
        <v>3099.96</v>
      </c>
      <c r="E13" s="17">
        <f>SUMIFS(Data!$E:$E, Data!$I:$I, $E$2, Data!$H:$H, $N$1, Data!$F:$F, "marketing")</f>
        <v>2999.9200000000005</v>
      </c>
      <c r="F13" s="17">
        <f>SUMIFS(Data!$E:$E, Data!$I:$I, $F$2, Data!$H:$H, $N$1, Data!$F:$F, "marketing")</f>
        <v>3099.71</v>
      </c>
      <c r="G13" s="17">
        <f>SUMIFS(Data!$E:$E, Data!$I:$I, $G$2, Data!$H:$H, $N$1, Data!$F:$F, "marketing")</f>
        <v>3000.3600000000006</v>
      </c>
      <c r="H13" s="17">
        <f>SUMIFS(Data!$E:$E, Data!$I:$I, $H$2, Data!$H:$H, $N$1, Data!$F:$F, "marketing")</f>
        <v>3099.3900000000003</v>
      </c>
      <c r="I13" s="17">
        <f>SUMIFS(Data!$E:$E, Data!$I:$I, $I$2, Data!$H:$H, $N$1, Data!$F:$F, "marketing")</f>
        <v>3100.21</v>
      </c>
      <c r="J13" s="17">
        <f>SUMIFS(Data!$E:$E, Data!$I:$I, $J$2, Data!$H:$H, $N$1, Data!$F:$F, "marketing")</f>
        <v>2999.9</v>
      </c>
      <c r="K13" s="17">
        <f>SUMIFS(Data!$E:$E, Data!$I:$I, $K$2, Data!$H:$H, $N$1, Data!$F:$F, "marketing")</f>
        <v>3100.1800000000003</v>
      </c>
      <c r="L13" s="17">
        <f>SUMIFS(Data!$E:$E, Data!$I:$I, $L$2, Data!$H:$H, $N$1, Data!$F:$F, "marketing")</f>
        <v>3000.26</v>
      </c>
      <c r="M13" s="17">
        <f>SUMIFS(Data!$E:$E, Data!$I:$I, $M$2, Data!$H:$H, $N$1, Data!$F:$F, "marketing")</f>
        <v>3099.8699999999994</v>
      </c>
      <c r="N13" s="18">
        <f>SUM(B13:M13)</f>
        <v>36599.000000000007</v>
      </c>
    </row>
    <row r="14" spans="1:14" ht="13" x14ac:dyDescent="0.3">
      <c r="A14" s="16" t="s">
        <v>42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ht="13" x14ac:dyDescent="0.3">
      <c r="A15" s="30" t="s">
        <v>43</v>
      </c>
      <c r="B15" s="17">
        <f>SUMIFS(Data!$E:$E, Data!$I:$I, $B$2, Data!$H:$H, $N$1, Data!$F:$F, "amortization")</f>
        <v>50</v>
      </c>
      <c r="C15" s="17">
        <f>SUMIFS(Data!$E:$E, Data!$I:$I, $C$2, Data!$H:$H, $N$1, Data!$F:$F, "amortization")</f>
        <v>50</v>
      </c>
      <c r="D15" s="17">
        <f>SUMIFS(Data!$E:$E, Data!$I:$I, $D$2, Data!$H:$H, $N$1, Data!$F:$F, "amortization")</f>
        <v>50</v>
      </c>
      <c r="E15" s="17">
        <f>SUMIFS(Data!$E:$E, Data!$I:$I, $E$2, Data!$H:$H, $N$1, Data!$F:$F, "amortization")</f>
        <v>50</v>
      </c>
      <c r="F15" s="17">
        <f>SUMIFS(Data!$E:$E, Data!$I:$I, $F$2, Data!$H:$H, $N$1, Data!$F:$F, "amortization")</f>
        <v>50</v>
      </c>
      <c r="G15" s="17">
        <f>SUMIFS(Data!$E:$E, Data!$I:$I, $G$2, Data!$H:$H, $N$1, Data!$F:$F, "amortization")</f>
        <v>50</v>
      </c>
      <c r="H15" s="17">
        <f>SUMIFS(Data!$E:$E, Data!$I:$I, $H$2, Data!$H:$H, $N$1, Data!$F:$F, "amortization")</f>
        <v>50</v>
      </c>
      <c r="I15" s="17">
        <f>SUMIFS(Data!$E:$E, Data!$I:$I, $I$2, Data!$H:$H, $N$1, Data!$F:$F, "amortization")</f>
        <v>50</v>
      </c>
      <c r="J15" s="17">
        <f>SUMIFS(Data!$E:$E, Data!$I:$I, $J$2, Data!$H:$H, $N$1, Data!$F:$F, "amortization")</f>
        <v>50</v>
      </c>
      <c r="K15" s="17">
        <f>SUMIFS(Data!$E:$E, Data!$I:$I, $K$2, Data!$H:$H, $N$1, Data!$F:$F, "amortization")</f>
        <v>50</v>
      </c>
      <c r="L15" s="17">
        <f>SUMIFS(Data!$E:$E, Data!$I:$I, $L$2, Data!$H:$H, $N$1, Data!$F:$F, "amortization")</f>
        <v>50</v>
      </c>
      <c r="M15" s="17">
        <f>SUMIFS(Data!$E:$E, Data!$I:$I, $M$2, Data!$H:$H, $N$1, Data!$F:$F, "amortization")</f>
        <v>50</v>
      </c>
      <c r="N15" s="18">
        <f t="shared" ref="N15" si="2">SUM(B15:M15)</f>
        <v>600</v>
      </c>
    </row>
    <row r="16" spans="1:14" ht="13.5" thickBot="1" x14ac:dyDescent="0.35">
      <c r="A16" s="31" t="s">
        <v>44</v>
      </c>
      <c r="B16" s="17">
        <f>SUMIFS(Data!$E:$E, Data!$I:$I, $B$2, Data!$H:$H, $N$1, Data!$F:$F, "interest")</f>
        <v>1297</v>
      </c>
      <c r="C16" s="17">
        <f>SUMIFS(Data!$E:$E, Data!$I:$I, $C$2, Data!$H:$H, $N$1, Data!$F:$F, "interest")</f>
        <v>1242.56</v>
      </c>
      <c r="D16" s="17">
        <f>SUMIFS(Data!$E:$E, Data!$I:$I, $D$2, Data!$H:$H, $N$1, Data!$F:$F, "interest")</f>
        <v>1214.1199999999999</v>
      </c>
      <c r="E16" s="17">
        <f>SUMIFS(Data!$E:$E, Data!$I:$I, $E$2, Data!$H:$H, $N$1, Data!$F:$F, "interest")</f>
        <v>1290.6400000000001</v>
      </c>
      <c r="F16" s="17">
        <f>SUMIFS(Data!$E:$E, Data!$I:$I, $F$2, Data!$H:$H, $N$1, Data!$F:$F, "interest")</f>
        <v>1262.4000000000001</v>
      </c>
      <c r="G16" s="17">
        <f>SUMIFS(Data!$E:$E, Data!$I:$I, $G$2, Data!$H:$H, $N$1, Data!$F:$F, "interest")</f>
        <v>1286.44</v>
      </c>
      <c r="H16" s="17">
        <f>SUMIFS(Data!$E:$E, Data!$I:$I, $H$2, Data!$H:$H, $N$1, Data!$F:$F, "interest")</f>
        <v>1258.28</v>
      </c>
      <c r="I16" s="17">
        <f>SUMIFS(Data!$E:$E, Data!$I:$I, $I$2, Data!$H:$H, $N$1, Data!$F:$F, "interest")</f>
        <v>1282.24</v>
      </c>
      <c r="J16" s="17">
        <f>SUMIFS(Data!$E:$E, Data!$I:$I, $J$2, Data!$H:$H, $N$1, Data!$F:$F, "interest")</f>
        <v>1280.1600000000001</v>
      </c>
      <c r="K16" s="17">
        <f>SUMIFS(Data!$E:$E, Data!$I:$I, $K$2, Data!$H:$H, $N$1, Data!$F:$F, "interest")</f>
        <v>1252.1199999999999</v>
      </c>
      <c r="L16" s="17">
        <f>SUMIFS(Data!$E:$E, Data!$I:$I, $L$2, Data!$H:$H, $N$1, Data!$F:$F, "interest")</f>
        <v>1250.04</v>
      </c>
      <c r="M16" s="17">
        <f>SUMIFS(Data!$E:$E, Data!$I:$I, $M$2, Data!$H:$H, $N$1, Data!$F:$F, "interest")</f>
        <v>1247.92</v>
      </c>
      <c r="N16" s="18">
        <f t="shared" ref="N16" si="3">SUM(B16:M16)</f>
        <v>15163.92</v>
      </c>
    </row>
    <row r="17" spans="1:14" ht="15" customHeight="1" x14ac:dyDescent="0.35">
      <c r="A17" s="22" t="s">
        <v>45</v>
      </c>
      <c r="B17" s="4">
        <f t="shared" ref="B17:M17" si="4">SUM(B11:B16)</f>
        <v>9170.59</v>
      </c>
      <c r="C17" s="4">
        <f t="shared" si="4"/>
        <v>8898.0199999999986</v>
      </c>
      <c r="D17" s="4">
        <f t="shared" si="4"/>
        <v>10267.61</v>
      </c>
      <c r="E17" s="4">
        <f t="shared" si="4"/>
        <v>9034.49</v>
      </c>
      <c r="F17" s="4">
        <f t="shared" si="4"/>
        <v>9127.7100000000009</v>
      </c>
      <c r="G17" s="4">
        <f t="shared" si="4"/>
        <v>9050.9000000000015</v>
      </c>
      <c r="H17" s="4">
        <f t="shared" si="4"/>
        <v>9122.24</v>
      </c>
      <c r="I17" s="4">
        <f t="shared" si="4"/>
        <v>10347.65</v>
      </c>
      <c r="J17" s="4">
        <f t="shared" si="4"/>
        <v>9050.1</v>
      </c>
      <c r="K17" s="4">
        <f t="shared" si="4"/>
        <v>9118.58</v>
      </c>
      <c r="L17" s="4">
        <f t="shared" si="4"/>
        <v>9012.8100000000013</v>
      </c>
      <c r="M17" s="4">
        <f t="shared" si="4"/>
        <v>9108.73</v>
      </c>
      <c r="N17" s="32">
        <f>SUM(B17:M17)</f>
        <v>111309.43</v>
      </c>
    </row>
    <row r="18" spans="1:14" ht="15" customHeight="1" x14ac:dyDescent="0.35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5"/>
    </row>
    <row r="19" spans="1:14" ht="15" customHeight="1" x14ac:dyDescent="0.35">
      <c r="A19" s="13" t="s">
        <v>46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</row>
    <row r="20" spans="1:14" ht="13" x14ac:dyDescent="0.3">
      <c r="A20" s="30" t="s">
        <v>47</v>
      </c>
      <c r="B20" s="17">
        <f t="shared" ref="B20:N20" si="5">B7-B17</f>
        <v>13861.41</v>
      </c>
      <c r="C20" s="17">
        <f t="shared" si="5"/>
        <v>9009.9800000000159</v>
      </c>
      <c r="D20" s="17">
        <f t="shared" si="5"/>
        <v>8552.3900000000067</v>
      </c>
      <c r="E20" s="17">
        <f t="shared" si="5"/>
        <v>9909.510000000022</v>
      </c>
      <c r="F20" s="17">
        <f t="shared" si="5"/>
        <v>10432.290000000014</v>
      </c>
      <c r="G20" s="17">
        <f t="shared" si="5"/>
        <v>11209.099999999999</v>
      </c>
      <c r="H20" s="17">
        <f t="shared" si="5"/>
        <v>10765.760000000022</v>
      </c>
      <c r="I20" s="17">
        <f t="shared" si="5"/>
        <v>10304.35</v>
      </c>
      <c r="J20" s="17">
        <f t="shared" si="5"/>
        <v>12961.9</v>
      </c>
      <c r="K20" s="17">
        <f t="shared" si="5"/>
        <v>14565.420000000007</v>
      </c>
      <c r="L20" s="17">
        <f t="shared" si="5"/>
        <v>7523.1900000000132</v>
      </c>
      <c r="M20" s="17">
        <f t="shared" si="5"/>
        <v>12675.270000000015</v>
      </c>
      <c r="N20" s="17">
        <f t="shared" si="5"/>
        <v>131770.57000000012</v>
      </c>
    </row>
    <row r="21" spans="1:14" ht="13.5" thickBot="1" x14ac:dyDescent="0.35">
      <c r="A21" s="31" t="s">
        <v>48</v>
      </c>
      <c r="B21" s="36">
        <f>B20*0.21</f>
        <v>2910.8960999999999</v>
      </c>
      <c r="C21" s="36">
        <f t="shared" ref="C21:M21" si="6">C20*0.21</f>
        <v>1892.0958000000032</v>
      </c>
      <c r="D21" s="36">
        <f t="shared" si="6"/>
        <v>1796.0019000000013</v>
      </c>
      <c r="E21" s="36">
        <f t="shared" si="6"/>
        <v>2080.9971000000046</v>
      </c>
      <c r="F21" s="36">
        <f t="shared" si="6"/>
        <v>2190.7809000000029</v>
      </c>
      <c r="G21" s="36">
        <f t="shared" si="6"/>
        <v>2353.9109999999996</v>
      </c>
      <c r="H21" s="36">
        <f t="shared" si="6"/>
        <v>2260.8096000000046</v>
      </c>
      <c r="I21" s="36">
        <f t="shared" si="6"/>
        <v>2163.9135000000001</v>
      </c>
      <c r="J21" s="36">
        <f t="shared" si="6"/>
        <v>2721.9989999999998</v>
      </c>
      <c r="K21" s="36">
        <f t="shared" si="6"/>
        <v>3058.7382000000016</v>
      </c>
      <c r="L21" s="36">
        <f t="shared" si="6"/>
        <v>1579.8699000000026</v>
      </c>
      <c r="M21" s="36">
        <f t="shared" si="6"/>
        <v>2661.8067000000033</v>
      </c>
      <c r="N21" s="36">
        <f>N20*0.21</f>
        <v>27671.819700000025</v>
      </c>
    </row>
    <row r="22" spans="1:14" ht="15" customHeight="1" x14ac:dyDescent="0.35">
      <c r="A22" s="22" t="s">
        <v>49</v>
      </c>
      <c r="B22" s="5">
        <f>B20-B21</f>
        <v>10950.5139</v>
      </c>
      <c r="C22" s="5">
        <f t="shared" ref="C22:M22" si="7">C20-C21</f>
        <v>7117.8842000000132</v>
      </c>
      <c r="D22" s="5">
        <f t="shared" si="7"/>
        <v>6756.3881000000056</v>
      </c>
      <c r="E22" s="5">
        <f t="shared" si="7"/>
        <v>7828.5129000000179</v>
      </c>
      <c r="F22" s="5">
        <f t="shared" si="7"/>
        <v>8241.5091000000102</v>
      </c>
      <c r="G22" s="5">
        <f t="shared" si="7"/>
        <v>8855.1889999999985</v>
      </c>
      <c r="H22" s="5">
        <f t="shared" si="7"/>
        <v>8504.9504000000179</v>
      </c>
      <c r="I22" s="5">
        <f t="shared" si="7"/>
        <v>8140.4364999999998</v>
      </c>
      <c r="J22" s="5">
        <f t="shared" si="7"/>
        <v>10239.901</v>
      </c>
      <c r="K22" s="5">
        <f t="shared" si="7"/>
        <v>11506.681800000006</v>
      </c>
      <c r="L22" s="5">
        <f t="shared" si="7"/>
        <v>5943.3201000000108</v>
      </c>
      <c r="M22" s="5">
        <f t="shared" si="7"/>
        <v>10013.463300000012</v>
      </c>
      <c r="N22" s="5">
        <f>N20-N21</f>
        <v>104098.7503000001</v>
      </c>
    </row>
    <row r="23" spans="1:14" ht="13" x14ac:dyDescent="0.3">
      <c r="A23" s="37" t="s">
        <v>50</v>
      </c>
      <c r="B23" s="6">
        <f>B22+B16+B21</f>
        <v>15158.41</v>
      </c>
      <c r="C23" s="6">
        <f t="shared" ref="C23:N23" si="8">C22+C16+C21</f>
        <v>10252.540000000015</v>
      </c>
      <c r="D23" s="6">
        <f t="shared" si="8"/>
        <v>9766.5100000000075</v>
      </c>
      <c r="E23" s="6">
        <f t="shared" si="8"/>
        <v>11200.150000000021</v>
      </c>
      <c r="F23" s="6">
        <f t="shared" si="8"/>
        <v>11694.690000000013</v>
      </c>
      <c r="G23" s="6">
        <f t="shared" si="8"/>
        <v>12495.539999999999</v>
      </c>
      <c r="H23" s="6">
        <f t="shared" si="8"/>
        <v>12024.040000000023</v>
      </c>
      <c r="I23" s="6">
        <f t="shared" si="8"/>
        <v>11586.59</v>
      </c>
      <c r="J23" s="6">
        <f t="shared" si="8"/>
        <v>14242.06</v>
      </c>
      <c r="K23" s="6">
        <f t="shared" si="8"/>
        <v>15817.540000000006</v>
      </c>
      <c r="L23" s="6">
        <f t="shared" si="8"/>
        <v>8773.2300000000141</v>
      </c>
      <c r="M23" s="6">
        <f t="shared" si="8"/>
        <v>13923.190000000015</v>
      </c>
      <c r="N23" s="6">
        <f t="shared" si="8"/>
        <v>146934.49000000014</v>
      </c>
    </row>
    <row r="24" spans="1:14" ht="13" x14ac:dyDescent="0.3">
      <c r="A24" s="38" t="s">
        <v>51</v>
      </c>
      <c r="B24" s="39">
        <f>B22+B16+B21+B14+B15</f>
        <v>15208.41</v>
      </c>
      <c r="C24" s="39">
        <f t="shared" ref="C24:N24" si="9">C22+C16+C21+C14+C15</f>
        <v>10302.540000000015</v>
      </c>
      <c r="D24" s="39">
        <f t="shared" si="9"/>
        <v>9816.5100000000075</v>
      </c>
      <c r="E24" s="39">
        <f t="shared" si="9"/>
        <v>11250.150000000021</v>
      </c>
      <c r="F24" s="39">
        <f t="shared" si="9"/>
        <v>11744.690000000013</v>
      </c>
      <c r="G24" s="39">
        <f t="shared" si="9"/>
        <v>12545.539999999999</v>
      </c>
      <c r="H24" s="39">
        <f t="shared" si="9"/>
        <v>12074.040000000023</v>
      </c>
      <c r="I24" s="39">
        <f t="shared" si="9"/>
        <v>11636.59</v>
      </c>
      <c r="J24" s="39">
        <f t="shared" si="9"/>
        <v>14292.06</v>
      </c>
      <c r="K24" s="39">
        <f t="shared" si="9"/>
        <v>15867.540000000006</v>
      </c>
      <c r="L24" s="39">
        <f t="shared" si="9"/>
        <v>8823.2300000000141</v>
      </c>
      <c r="M24" s="39">
        <f t="shared" si="9"/>
        <v>13973.190000000015</v>
      </c>
      <c r="N24" s="39">
        <f t="shared" si="9"/>
        <v>147534.49000000014</v>
      </c>
    </row>
  </sheetData>
  <dataValidations count="1">
    <dataValidation type="list" allowBlank="1" showInputMessage="1" showErrorMessage="1" sqref="N1" xr:uid="{7FBB80AE-6386-4F25-8B91-5A211C9F6FF4}">
      <formula1>"2024,2025"</formula1>
    </dataValidation>
  </dataValidations>
  <pageMargins left="0.7" right="0.7" top="0.75" bottom="0.7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4F0E-DD81-402B-B5B3-A0AED98AE645}">
  <dimension ref="A1:I34"/>
  <sheetViews>
    <sheetView zoomScaleNormal="100" workbookViewId="0">
      <selection activeCell="O16" sqref="O16"/>
    </sheetView>
  </sheetViews>
  <sheetFormatPr defaultRowHeight="12.5" x14ac:dyDescent="0.25"/>
  <cols>
    <col min="1" max="1" width="16" bestFit="1" customWidth="1"/>
    <col min="2" max="2" width="14.54296875" bestFit="1" customWidth="1"/>
    <col min="3" max="3" width="14.26953125" bestFit="1" customWidth="1"/>
    <col min="4" max="4" width="13" bestFit="1" customWidth="1"/>
    <col min="5" max="5" width="9.26953125" bestFit="1" customWidth="1"/>
    <col min="7" max="7" width="11.90625" customWidth="1"/>
    <col min="8" max="8" width="11.36328125" customWidth="1"/>
    <col min="9" max="9" width="11.6328125" customWidth="1"/>
  </cols>
  <sheetData>
    <row r="1" spans="1:9" ht="13" x14ac:dyDescent="0.3">
      <c r="A1" s="42" t="s">
        <v>55</v>
      </c>
      <c r="B1" t="s">
        <v>60</v>
      </c>
      <c r="G1" s="50" t="s">
        <v>78</v>
      </c>
      <c r="H1" s="51"/>
      <c r="I1" s="51"/>
    </row>
    <row r="2" spans="1:9" ht="13" x14ac:dyDescent="0.3">
      <c r="A2" s="43">
        <v>2024</v>
      </c>
      <c r="B2">
        <v>117906</v>
      </c>
      <c r="G2" s="46"/>
      <c r="H2" s="46" t="s">
        <v>76</v>
      </c>
      <c r="I2" s="46" t="s">
        <v>77</v>
      </c>
    </row>
    <row r="3" spans="1:9" ht="13" x14ac:dyDescent="0.3">
      <c r="A3" s="44" t="s">
        <v>56</v>
      </c>
      <c r="B3">
        <v>33816</v>
      </c>
      <c r="G3" s="46" t="s">
        <v>61</v>
      </c>
      <c r="H3" s="48">
        <f>AVERAGEIFS(Data!$J:$J, Data!$G:$G, "product 1", Data!$H:$H, 2024)</f>
        <v>362.92725409836072</v>
      </c>
      <c r="I3" s="48">
        <f>AVERAGEIFS(Data!$J:$J, Data!$G:$G, "product 1", Data!$H:$H, 2025)</f>
        <v>422.95264383561653</v>
      </c>
    </row>
    <row r="4" spans="1:9" ht="13" x14ac:dyDescent="0.3">
      <c r="A4" s="44" t="s">
        <v>57</v>
      </c>
      <c r="B4">
        <v>3634</v>
      </c>
      <c r="G4" s="46" t="s">
        <v>62</v>
      </c>
      <c r="H4" s="48">
        <f>AVERAGEIFS(Data!$J:$J, Data!$G:$G, "product 2", Data!$H:$H, 2024)</f>
        <v>63.489180327868844</v>
      </c>
      <c r="I4" s="48">
        <f>AVERAGEIFS(Data!$J:$J, Data!$G:$G, "product 2", Data!$H:$H, 2025)</f>
        <v>83.365945205479434</v>
      </c>
    </row>
    <row r="5" spans="1:9" ht="13" x14ac:dyDescent="0.3">
      <c r="A5" s="44" t="s">
        <v>58</v>
      </c>
      <c r="B5">
        <v>80456</v>
      </c>
      <c r="G5" s="46" t="s">
        <v>63</v>
      </c>
      <c r="H5" s="48">
        <f>AVERAGEIFS(Data!$J:$J, Data!$G:$G, "product 3", Data!$H:$H, 2024)</f>
        <v>62.904453551912567</v>
      </c>
      <c r="I5" s="48">
        <f>AVERAGEIFS(Data!$J:$J, Data!$G:$G, "product 3", Data!$H:$H, 2025)</f>
        <v>38.914191780821916</v>
      </c>
    </row>
    <row r="6" spans="1:9" x14ac:dyDescent="0.25">
      <c r="A6" s="43">
        <v>2025</v>
      </c>
      <c r="B6">
        <v>129514</v>
      </c>
    </row>
    <row r="7" spans="1:9" x14ac:dyDescent="0.25">
      <c r="A7" s="44" t="s">
        <v>56</v>
      </c>
      <c r="B7">
        <v>37844</v>
      </c>
    </row>
    <row r="8" spans="1:9" x14ac:dyDescent="0.25">
      <c r="A8" s="44" t="s">
        <v>57</v>
      </c>
      <c r="B8">
        <v>2798</v>
      </c>
    </row>
    <row r="9" spans="1:9" x14ac:dyDescent="0.25">
      <c r="A9" s="44" t="s">
        <v>58</v>
      </c>
      <c r="B9">
        <v>88872</v>
      </c>
    </row>
    <row r="10" spans="1:9" x14ac:dyDescent="0.25">
      <c r="A10" s="43" t="s">
        <v>59</v>
      </c>
      <c r="B10">
        <v>247420</v>
      </c>
    </row>
    <row r="12" spans="1:9" ht="13" x14ac:dyDescent="0.3">
      <c r="A12" s="50" t="s">
        <v>66</v>
      </c>
      <c r="B12" s="51"/>
      <c r="C12" s="51"/>
      <c r="D12" s="51"/>
      <c r="E12" s="52"/>
    </row>
    <row r="13" spans="1:9" ht="13" x14ac:dyDescent="0.3">
      <c r="A13" s="46"/>
      <c r="B13" s="46" t="s">
        <v>64</v>
      </c>
      <c r="C13" s="46" t="s">
        <v>65</v>
      </c>
      <c r="D13" s="46" t="s">
        <v>66</v>
      </c>
      <c r="E13" s="46" t="s">
        <v>67</v>
      </c>
    </row>
    <row r="14" spans="1:9" ht="13" x14ac:dyDescent="0.3">
      <c r="A14" s="46" t="s">
        <v>61</v>
      </c>
      <c r="B14" s="45">
        <f>GETPIVOTDATA("quantity",$A$1,"product","product 1","year",2024)</f>
        <v>33816</v>
      </c>
      <c r="C14" s="45">
        <f>GETPIVOTDATA("quantity",$A$1,"product","product 1","year",2025)</f>
        <v>37844</v>
      </c>
      <c r="D14" s="45">
        <f>C14-B14</f>
        <v>4028</v>
      </c>
      <c r="E14" s="47">
        <f>D14/B14</f>
        <v>0.11911521173409037</v>
      </c>
    </row>
    <row r="15" spans="1:9" ht="13" x14ac:dyDescent="0.3">
      <c r="A15" s="46" t="s">
        <v>62</v>
      </c>
      <c r="B15" s="45">
        <f>GETPIVOTDATA("quantity",$A$1,"product","product 2","year",2024)</f>
        <v>3634</v>
      </c>
      <c r="C15" s="45">
        <f>GETPIVOTDATA("quantity",$A$1,"product","product 2","year",2025)</f>
        <v>2798</v>
      </c>
      <c r="D15" s="45">
        <f t="shared" ref="D15:D17" si="0">C15-B15</f>
        <v>-836</v>
      </c>
      <c r="E15" s="47">
        <f t="shared" ref="E15:E17" si="1">D15/B15</f>
        <v>-0.23004953219592736</v>
      </c>
    </row>
    <row r="16" spans="1:9" ht="13" x14ac:dyDescent="0.3">
      <c r="A16" s="46" t="s">
        <v>63</v>
      </c>
      <c r="B16" s="45">
        <f>GETPIVOTDATA("quantity",$A$1,"product","product 3","year",2024)</f>
        <v>80456</v>
      </c>
      <c r="C16" s="45">
        <f>GETPIVOTDATA("quantity",$A$1,"product","product 3","year",2025)</f>
        <v>88872</v>
      </c>
      <c r="D16" s="45">
        <f t="shared" si="0"/>
        <v>8416</v>
      </c>
      <c r="E16" s="47">
        <f t="shared" si="1"/>
        <v>0.10460375857611613</v>
      </c>
    </row>
    <row r="17" spans="1:5" ht="13" x14ac:dyDescent="0.3">
      <c r="A17" s="46" t="s">
        <v>68</v>
      </c>
      <c r="B17" s="45">
        <f>GETPIVOTDATA("quantity",$A$1,"year",2024)</f>
        <v>117906</v>
      </c>
      <c r="C17" s="45">
        <f>GETPIVOTDATA("quantity",$A$1,"year",2025)</f>
        <v>129514</v>
      </c>
      <c r="D17" s="45">
        <f t="shared" si="0"/>
        <v>11608</v>
      </c>
      <c r="E17" s="47">
        <f t="shared" si="1"/>
        <v>9.8451308669618168E-2</v>
      </c>
    </row>
    <row r="19" spans="1:5" x14ac:dyDescent="0.25">
      <c r="A19" s="42" t="s">
        <v>54</v>
      </c>
      <c r="B19" s="42" t="s">
        <v>53</v>
      </c>
      <c r="C19" t="s">
        <v>69</v>
      </c>
    </row>
    <row r="20" spans="1:5" x14ac:dyDescent="0.25">
      <c r="A20">
        <v>2024</v>
      </c>
      <c r="C20">
        <v>249</v>
      </c>
    </row>
    <row r="21" spans="1:5" x14ac:dyDescent="0.25">
      <c r="B21" t="s">
        <v>56</v>
      </c>
      <c r="C21">
        <v>99</v>
      </c>
    </row>
    <row r="22" spans="1:5" x14ac:dyDescent="0.25">
      <c r="B22" t="s">
        <v>57</v>
      </c>
      <c r="C22">
        <v>10</v>
      </c>
    </row>
    <row r="23" spans="1:5" x14ac:dyDescent="0.25">
      <c r="B23" t="s">
        <v>58</v>
      </c>
      <c r="C23">
        <v>249</v>
      </c>
    </row>
    <row r="24" spans="1:5" x14ac:dyDescent="0.25">
      <c r="A24">
        <v>2025</v>
      </c>
      <c r="C24">
        <v>273</v>
      </c>
    </row>
    <row r="25" spans="1:5" x14ac:dyDescent="0.25">
      <c r="B25" t="s">
        <v>56</v>
      </c>
      <c r="C25">
        <v>103</v>
      </c>
    </row>
    <row r="26" spans="1:5" x14ac:dyDescent="0.25">
      <c r="B26" t="s">
        <v>57</v>
      </c>
      <c r="C26">
        <v>9</v>
      </c>
    </row>
    <row r="27" spans="1:5" x14ac:dyDescent="0.25">
      <c r="B27" t="s">
        <v>58</v>
      </c>
      <c r="C27">
        <v>273</v>
      </c>
    </row>
    <row r="28" spans="1:5" x14ac:dyDescent="0.25">
      <c r="A28" t="s">
        <v>59</v>
      </c>
      <c r="C28">
        <v>273</v>
      </c>
    </row>
    <row r="30" spans="1:5" ht="13" x14ac:dyDescent="0.3">
      <c r="A30" s="50" t="s">
        <v>70</v>
      </c>
      <c r="B30" s="51"/>
      <c r="C30" s="51"/>
      <c r="D30" s="51"/>
    </row>
    <row r="31" spans="1:5" ht="13" x14ac:dyDescent="0.3">
      <c r="A31" s="46"/>
      <c r="B31" s="46" t="s">
        <v>71</v>
      </c>
      <c r="C31" s="46" t="s">
        <v>72</v>
      </c>
      <c r="D31" s="46" t="s">
        <v>73</v>
      </c>
    </row>
    <row r="32" spans="1:5" ht="13" x14ac:dyDescent="0.3">
      <c r="A32" s="46" t="s">
        <v>61</v>
      </c>
      <c r="B32" s="45">
        <f>GETPIVOTDATA("quantity",$A$19,"product","product 1","year",2024)</f>
        <v>99</v>
      </c>
      <c r="C32" s="45">
        <f>GETPIVOTDATA("quantity",$A$19,"product","product 1","year",2025)</f>
        <v>103</v>
      </c>
      <c r="D32" s="45">
        <f>C32-B32</f>
        <v>4</v>
      </c>
    </row>
    <row r="33" spans="1:4" ht="13" x14ac:dyDescent="0.3">
      <c r="A33" s="46" t="s">
        <v>62</v>
      </c>
      <c r="B33" s="45">
        <f>GETPIVOTDATA("quantity",$A$19,"product","product 2","year",2024)</f>
        <v>10</v>
      </c>
      <c r="C33" s="45">
        <f>GETPIVOTDATA("quantity",$A$19,"product","product 2","year",2025)</f>
        <v>9</v>
      </c>
      <c r="D33" s="45">
        <f t="shared" ref="D33:D34" si="2">C33-B33</f>
        <v>-1</v>
      </c>
    </row>
    <row r="34" spans="1:4" ht="13" x14ac:dyDescent="0.3">
      <c r="A34" s="46" t="s">
        <v>63</v>
      </c>
      <c r="B34" s="45">
        <f>GETPIVOTDATA("quantity",$A$19,"product","product 3","year",2024)</f>
        <v>249</v>
      </c>
      <c r="C34" s="45">
        <f>GETPIVOTDATA("quantity",$A$19,"product","product 3","year",2025)</f>
        <v>273</v>
      </c>
      <c r="D34" s="45">
        <f t="shared" si="2"/>
        <v>24</v>
      </c>
    </row>
  </sheetData>
  <mergeCells count="3">
    <mergeCell ref="A12:E12"/>
    <mergeCell ref="A30:D30"/>
    <mergeCell ref="G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2BE9-2B40-4A80-8B98-F61B8EC138B5}">
  <dimension ref="A1"/>
  <sheetViews>
    <sheetView zoomScale="79" workbookViewId="0">
      <selection activeCell="V37" sqref="V37"/>
    </sheetView>
  </sheetViews>
  <sheetFormatPr defaultRowHeight="12.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3545-9685-4943-A7A8-2AC876DEDE29}">
  <dimension ref="A1:D17"/>
  <sheetViews>
    <sheetView workbookViewId="0">
      <selection activeCell="I30" sqref="I30"/>
    </sheetView>
  </sheetViews>
  <sheetFormatPr defaultRowHeight="12.5" x14ac:dyDescent="0.25"/>
  <cols>
    <col min="1" max="1" width="13" bestFit="1" customWidth="1"/>
    <col min="2" max="2" width="15.90625" bestFit="1" customWidth="1"/>
    <col min="3" max="3" width="9.81640625" bestFit="1" customWidth="1"/>
    <col min="4" max="5" width="11.08984375" bestFit="1" customWidth="1"/>
  </cols>
  <sheetData>
    <row r="1" spans="1:4" x14ac:dyDescent="0.25">
      <c r="A1" s="42" t="s">
        <v>52</v>
      </c>
      <c r="B1" t="s">
        <v>81</v>
      </c>
    </row>
    <row r="3" spans="1:4" x14ac:dyDescent="0.25">
      <c r="A3" s="42" t="s">
        <v>80</v>
      </c>
      <c r="B3" s="42" t="s">
        <v>79</v>
      </c>
    </row>
    <row r="4" spans="1:4" x14ac:dyDescent="0.25">
      <c r="A4" s="42" t="s">
        <v>55</v>
      </c>
      <c r="B4">
        <v>2024</v>
      </c>
      <c r="C4">
        <v>2025</v>
      </c>
      <c r="D4" t="s">
        <v>59</v>
      </c>
    </row>
    <row r="5" spans="1:4" x14ac:dyDescent="0.25">
      <c r="A5" s="43">
        <v>1</v>
      </c>
      <c r="B5">
        <v>67968.83</v>
      </c>
      <c r="C5">
        <v>63068.100000000006</v>
      </c>
      <c r="D5">
        <v>131036.93000000001</v>
      </c>
    </row>
    <row r="6" spans="1:4" x14ac:dyDescent="0.25">
      <c r="A6" s="43">
        <v>2</v>
      </c>
      <c r="B6">
        <v>52966.62000000001</v>
      </c>
      <c r="C6">
        <v>50910.720000000008</v>
      </c>
      <c r="D6">
        <v>103877.34000000003</v>
      </c>
    </row>
    <row r="7" spans="1:4" x14ac:dyDescent="0.25">
      <c r="A7" s="43">
        <v>3</v>
      </c>
      <c r="B7">
        <v>55756.970000000016</v>
      </c>
      <c r="C7">
        <v>63397.099999999977</v>
      </c>
      <c r="D7">
        <v>119154.06999999999</v>
      </c>
    </row>
    <row r="8" spans="1:4" x14ac:dyDescent="0.25">
      <c r="A8" s="43">
        <v>4</v>
      </c>
      <c r="B8">
        <v>55429.220000000016</v>
      </c>
      <c r="C8">
        <v>65832.400000000009</v>
      </c>
      <c r="D8">
        <v>121261.62000000002</v>
      </c>
    </row>
    <row r="9" spans="1:4" x14ac:dyDescent="0.25">
      <c r="A9" s="43">
        <v>5</v>
      </c>
      <c r="B9">
        <v>57305.18</v>
      </c>
      <c r="C9">
        <v>64291.96</v>
      </c>
      <c r="D9">
        <v>121597.14</v>
      </c>
    </row>
    <row r="10" spans="1:4" x14ac:dyDescent="0.25">
      <c r="A10" s="43">
        <v>6</v>
      </c>
      <c r="B10">
        <v>59788.56</v>
      </c>
      <c r="C10">
        <v>56920.560000000005</v>
      </c>
      <c r="D10">
        <v>116709.12</v>
      </c>
    </row>
    <row r="11" spans="1:4" x14ac:dyDescent="0.25">
      <c r="A11" s="43">
        <v>7</v>
      </c>
      <c r="B11">
        <v>58349.25</v>
      </c>
      <c r="C11">
        <v>73444.380000000019</v>
      </c>
      <c r="D11">
        <v>131793.63</v>
      </c>
    </row>
    <row r="12" spans="1:4" x14ac:dyDescent="0.25">
      <c r="A12" s="43">
        <v>8</v>
      </c>
      <c r="B12">
        <v>60709.840000000011</v>
      </c>
      <c r="C12">
        <v>62057.76999999999</v>
      </c>
      <c r="D12">
        <v>122767.61</v>
      </c>
    </row>
    <row r="13" spans="1:4" x14ac:dyDescent="0.25">
      <c r="A13" s="43">
        <v>9</v>
      </c>
      <c r="B13">
        <v>65533.869999999995</v>
      </c>
      <c r="C13">
        <v>66704.10000000002</v>
      </c>
      <c r="D13">
        <v>132237.97000000003</v>
      </c>
    </row>
    <row r="14" spans="1:4" x14ac:dyDescent="0.25">
      <c r="A14" s="43">
        <v>10</v>
      </c>
      <c r="B14">
        <v>70224.86</v>
      </c>
      <c r="C14">
        <v>72541.66</v>
      </c>
      <c r="D14">
        <v>142766.52000000002</v>
      </c>
    </row>
    <row r="15" spans="1:4" x14ac:dyDescent="0.25">
      <c r="A15" s="43">
        <v>11</v>
      </c>
      <c r="B15">
        <v>48235.100000000013</v>
      </c>
      <c r="C15">
        <v>73094.140000000014</v>
      </c>
      <c r="D15">
        <v>121329.24000000002</v>
      </c>
    </row>
    <row r="16" spans="1:4" x14ac:dyDescent="0.25">
      <c r="A16" s="43">
        <v>12</v>
      </c>
      <c r="B16">
        <v>64497.169999999984</v>
      </c>
      <c r="C16">
        <v>66734.539999999994</v>
      </c>
      <c r="D16">
        <v>131231.70999999996</v>
      </c>
    </row>
    <row r="17" spans="1:4" x14ac:dyDescent="0.25">
      <c r="A17" s="43" t="s">
        <v>59</v>
      </c>
      <c r="B17">
        <v>716765.47</v>
      </c>
      <c r="C17">
        <v>778997.43</v>
      </c>
      <c r="D17">
        <v>1495762.9000000001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CD41-5F1B-4E1B-AAFA-E3AEED8DB217}">
  <dimension ref="A1:D22"/>
  <sheetViews>
    <sheetView workbookViewId="0">
      <selection activeCell="M29" sqref="M29"/>
    </sheetView>
  </sheetViews>
  <sheetFormatPr defaultRowHeight="12.5" x14ac:dyDescent="0.25"/>
  <cols>
    <col min="1" max="1" width="14.54296875" bestFit="1" customWidth="1"/>
    <col min="2" max="2" width="15.90625" bestFit="1" customWidth="1"/>
    <col min="3" max="3" width="6.81640625" bestFit="1" customWidth="1"/>
    <col min="4" max="5" width="11.08984375" bestFit="1" customWidth="1"/>
  </cols>
  <sheetData>
    <row r="1" spans="1:4" x14ac:dyDescent="0.25">
      <c r="A1" s="42" t="s">
        <v>60</v>
      </c>
      <c r="B1" s="42" t="s">
        <v>79</v>
      </c>
    </row>
    <row r="2" spans="1:4" x14ac:dyDescent="0.25">
      <c r="A2" s="42" t="s">
        <v>55</v>
      </c>
      <c r="B2">
        <v>2024</v>
      </c>
      <c r="C2">
        <v>2025</v>
      </c>
      <c r="D2" t="s">
        <v>59</v>
      </c>
    </row>
    <row r="3" spans="1:4" x14ac:dyDescent="0.25">
      <c r="A3" s="43">
        <v>1</v>
      </c>
      <c r="B3">
        <v>11234</v>
      </c>
      <c r="C3">
        <v>10380</v>
      </c>
      <c r="D3">
        <v>21614</v>
      </c>
    </row>
    <row r="4" spans="1:4" x14ac:dyDescent="0.25">
      <c r="A4" s="43">
        <v>2</v>
      </c>
      <c r="B4">
        <v>8676</v>
      </c>
      <c r="C4">
        <v>8356</v>
      </c>
      <c r="D4">
        <v>17032</v>
      </c>
    </row>
    <row r="5" spans="1:4" x14ac:dyDescent="0.25">
      <c r="A5" s="43">
        <v>3</v>
      </c>
      <c r="B5">
        <v>9106</v>
      </c>
      <c r="C5">
        <v>10580</v>
      </c>
      <c r="D5">
        <v>19686</v>
      </c>
    </row>
    <row r="6" spans="1:4" x14ac:dyDescent="0.25">
      <c r="A6" s="43">
        <v>4</v>
      </c>
      <c r="B6">
        <v>9156</v>
      </c>
      <c r="C6">
        <v>11020</v>
      </c>
      <c r="D6">
        <v>20176</v>
      </c>
    </row>
    <row r="7" spans="1:4" x14ac:dyDescent="0.25">
      <c r="A7" s="43">
        <v>5</v>
      </c>
      <c r="B7">
        <v>9464</v>
      </c>
      <c r="C7">
        <v>10608</v>
      </c>
      <c r="D7">
        <v>20072</v>
      </c>
    </row>
    <row r="8" spans="1:4" x14ac:dyDescent="0.25">
      <c r="A8" s="43">
        <v>6</v>
      </c>
      <c r="B8">
        <v>9788</v>
      </c>
      <c r="C8">
        <v>9388</v>
      </c>
      <c r="D8">
        <v>19176</v>
      </c>
    </row>
    <row r="9" spans="1:4" x14ac:dyDescent="0.25">
      <c r="A9" s="43">
        <v>7</v>
      </c>
      <c r="B9">
        <v>9650</v>
      </c>
      <c r="C9">
        <v>12124</v>
      </c>
      <c r="D9">
        <v>21774</v>
      </c>
    </row>
    <row r="10" spans="1:4" x14ac:dyDescent="0.25">
      <c r="A10" s="43">
        <v>8</v>
      </c>
      <c r="B10">
        <v>10032</v>
      </c>
      <c r="C10">
        <v>10446</v>
      </c>
      <c r="D10">
        <v>20478</v>
      </c>
    </row>
    <row r="11" spans="1:4" x14ac:dyDescent="0.25">
      <c r="A11" s="43">
        <v>9</v>
      </c>
      <c r="B11">
        <v>10726</v>
      </c>
      <c r="C11">
        <v>11180</v>
      </c>
      <c r="D11">
        <v>21906</v>
      </c>
    </row>
    <row r="12" spans="1:4" x14ac:dyDescent="0.25">
      <c r="A12" s="43">
        <v>10</v>
      </c>
      <c r="B12">
        <v>11528</v>
      </c>
      <c r="C12">
        <v>12168</v>
      </c>
      <c r="D12">
        <v>23696</v>
      </c>
    </row>
    <row r="13" spans="1:4" x14ac:dyDescent="0.25">
      <c r="A13" s="43">
        <v>11</v>
      </c>
      <c r="B13">
        <v>7980</v>
      </c>
      <c r="C13">
        <v>12172</v>
      </c>
      <c r="D13">
        <v>20152</v>
      </c>
    </row>
    <row r="14" spans="1:4" x14ac:dyDescent="0.25">
      <c r="A14" s="43">
        <v>12</v>
      </c>
      <c r="B14">
        <v>10566</v>
      </c>
      <c r="C14">
        <v>11092</v>
      </c>
      <c r="D14">
        <v>21658</v>
      </c>
    </row>
    <row r="15" spans="1:4" x14ac:dyDescent="0.25">
      <c r="A15" s="43" t="s">
        <v>59</v>
      </c>
      <c r="B15">
        <v>117906</v>
      </c>
      <c r="C15">
        <v>129514</v>
      </c>
      <c r="D15">
        <v>247420</v>
      </c>
    </row>
    <row r="17" spans="1:4" x14ac:dyDescent="0.25">
      <c r="A17" s="42" t="s">
        <v>60</v>
      </c>
      <c r="B17" s="42" t="s">
        <v>79</v>
      </c>
    </row>
    <row r="18" spans="1:4" x14ac:dyDescent="0.25">
      <c r="A18" s="42" t="s">
        <v>55</v>
      </c>
      <c r="B18">
        <v>2024</v>
      </c>
      <c r="C18">
        <v>2025</v>
      </c>
      <c r="D18" t="s">
        <v>59</v>
      </c>
    </row>
    <row r="19" spans="1:4" x14ac:dyDescent="0.25">
      <c r="A19" s="43" t="s">
        <v>56</v>
      </c>
      <c r="B19">
        <v>33816</v>
      </c>
      <c r="C19">
        <v>37844</v>
      </c>
      <c r="D19">
        <v>71660</v>
      </c>
    </row>
    <row r="20" spans="1:4" x14ac:dyDescent="0.25">
      <c r="A20" s="43" t="s">
        <v>57</v>
      </c>
      <c r="B20">
        <v>3634</v>
      </c>
      <c r="C20">
        <v>2798</v>
      </c>
      <c r="D20">
        <v>6432</v>
      </c>
    </row>
    <row r="21" spans="1:4" x14ac:dyDescent="0.25">
      <c r="A21" s="43" t="s">
        <v>58</v>
      </c>
      <c r="B21">
        <v>80456</v>
      </c>
      <c r="C21">
        <v>88872</v>
      </c>
      <c r="D21">
        <v>169328</v>
      </c>
    </row>
    <row r="22" spans="1:4" x14ac:dyDescent="0.25">
      <c r="A22" s="43" t="s">
        <v>59</v>
      </c>
      <c r="B22">
        <v>117906</v>
      </c>
      <c r="C22">
        <v>129514</v>
      </c>
      <c r="D22">
        <v>247420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P&amp;L</vt:lpstr>
      <vt:lpstr>Products</vt:lpstr>
      <vt:lpstr>Charts</vt:lpstr>
      <vt:lpstr>Analysis</vt:lpstr>
      <vt:lpstr>More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ديمه فرحان بن احمد العنزي</cp:lastModifiedBy>
  <dcterms:modified xsi:type="dcterms:W3CDTF">2026-05-02T14:08:47Z</dcterms:modified>
</cp:coreProperties>
</file>